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B65A33D0-A398-4378-81DB-A5AB362F826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Y122" i="1"/>
  <c r="I11" i="1" s="1"/>
  <c r="H122" i="1"/>
  <c r="F122" i="1"/>
  <c r="G122" i="1" s="1"/>
  <c r="Y121" i="1"/>
  <c r="B122" i="1" s="1"/>
  <c r="H121" i="1"/>
  <c r="F121" i="1"/>
  <c r="G121" i="1" s="1"/>
  <c r="Y120" i="1"/>
  <c r="B121" i="1" s="1"/>
  <c r="H120" i="1"/>
  <c r="F120" i="1"/>
  <c r="G120" i="1" s="1"/>
  <c r="Y119" i="1"/>
  <c r="B120" i="1" s="1"/>
  <c r="H119" i="1"/>
  <c r="F119" i="1"/>
  <c r="G119" i="1" s="1"/>
  <c r="Y118" i="1"/>
  <c r="B119" i="1" s="1"/>
  <c r="H118" i="1"/>
  <c r="F118" i="1"/>
  <c r="G118" i="1" s="1"/>
  <c r="Y117" i="1"/>
  <c r="B118" i="1" s="1"/>
  <c r="H117" i="1"/>
  <c r="F117" i="1"/>
  <c r="G117" i="1" s="1"/>
  <c r="Y116" i="1"/>
  <c r="B117" i="1" s="1"/>
  <c r="H116" i="1"/>
  <c r="F116" i="1"/>
  <c r="G116" i="1" s="1"/>
  <c r="Y115" i="1"/>
  <c r="B116" i="1" s="1"/>
  <c r="H115" i="1"/>
  <c r="F115" i="1"/>
  <c r="G115" i="1" s="1"/>
  <c r="Y114" i="1"/>
  <c r="B115" i="1" s="1"/>
  <c r="H114" i="1"/>
  <c r="F114" i="1"/>
  <c r="G114" i="1" s="1"/>
  <c r="Y113" i="1"/>
  <c r="B114" i="1" s="1"/>
  <c r="H113" i="1"/>
  <c r="F113" i="1"/>
  <c r="G113" i="1" s="1"/>
  <c r="Y112" i="1"/>
  <c r="B113" i="1" s="1"/>
  <c r="H112" i="1"/>
  <c r="F112" i="1"/>
  <c r="G112" i="1" s="1"/>
  <c r="Y111" i="1"/>
  <c r="B112" i="1" s="1"/>
  <c r="H111" i="1"/>
  <c r="F111" i="1"/>
  <c r="G111" i="1" s="1"/>
  <c r="Y110" i="1"/>
  <c r="B111" i="1" s="1"/>
  <c r="H110" i="1"/>
  <c r="F110" i="1"/>
  <c r="G110" i="1" s="1"/>
  <c r="Y109" i="1"/>
  <c r="B110" i="1" s="1"/>
  <c r="H109" i="1"/>
  <c r="F109" i="1"/>
  <c r="G109" i="1" s="1"/>
  <c r="Y108" i="1"/>
  <c r="B109" i="1" s="1"/>
  <c r="H108" i="1"/>
  <c r="F108" i="1"/>
  <c r="G108" i="1" s="1"/>
  <c r="Y107" i="1"/>
  <c r="B108" i="1" s="1"/>
  <c r="H107" i="1"/>
  <c r="F107" i="1"/>
  <c r="G107" i="1" s="1"/>
  <c r="Y106" i="1"/>
  <c r="B107" i="1" s="1"/>
  <c r="H106" i="1"/>
  <c r="F106" i="1"/>
  <c r="G106" i="1" s="1"/>
  <c r="Y105" i="1"/>
  <c r="B106" i="1" s="1"/>
  <c r="H105" i="1"/>
  <c r="F105" i="1"/>
  <c r="G105" i="1" s="1"/>
  <c r="Y104" i="1"/>
  <c r="B105" i="1" s="1"/>
  <c r="H104" i="1"/>
  <c r="F104" i="1"/>
  <c r="G104" i="1" s="1"/>
  <c r="Y103" i="1"/>
  <c r="B104" i="1" s="1"/>
  <c r="H103" i="1"/>
  <c r="F103" i="1"/>
  <c r="G103" i="1" s="1"/>
  <c r="Y102" i="1"/>
  <c r="B103" i="1" s="1"/>
  <c r="H102" i="1"/>
  <c r="F102" i="1"/>
  <c r="G102" i="1" s="1"/>
  <c r="Y101" i="1"/>
  <c r="B102" i="1" s="1"/>
  <c r="H101" i="1"/>
  <c r="F101" i="1"/>
  <c r="G101" i="1" s="1"/>
  <c r="Y100" i="1"/>
  <c r="B101" i="1" s="1"/>
  <c r="H100" i="1"/>
  <c r="F100" i="1"/>
  <c r="G100" i="1" s="1"/>
  <c r="Y99" i="1"/>
  <c r="B100" i="1" s="1"/>
  <c r="H99" i="1"/>
  <c r="F99" i="1"/>
  <c r="G99" i="1" s="1"/>
  <c r="Y98" i="1"/>
  <c r="B99" i="1" s="1"/>
  <c r="H98" i="1"/>
  <c r="F98" i="1"/>
  <c r="G98" i="1" s="1"/>
  <c r="Y97" i="1"/>
  <c r="B98" i="1" s="1"/>
  <c r="H97" i="1"/>
  <c r="F97" i="1"/>
  <c r="G97" i="1" s="1"/>
  <c r="Y96" i="1"/>
  <c r="B97" i="1" s="1"/>
  <c r="H96" i="1"/>
  <c r="F96" i="1"/>
  <c r="G96" i="1" s="1"/>
  <c r="Y95" i="1"/>
  <c r="B96" i="1" s="1"/>
  <c r="H95" i="1"/>
  <c r="F95" i="1"/>
  <c r="G95" i="1" s="1"/>
  <c r="Y94" i="1"/>
  <c r="B95" i="1" s="1"/>
  <c r="H94" i="1"/>
  <c r="F94" i="1"/>
  <c r="G94" i="1" s="1"/>
  <c r="Y93" i="1"/>
  <c r="B94" i="1" s="1"/>
  <c r="H93" i="1"/>
  <c r="F93" i="1"/>
  <c r="G93" i="1" s="1"/>
  <c r="Y92" i="1"/>
  <c r="B93" i="1" s="1"/>
  <c r="H92" i="1"/>
  <c r="F92" i="1"/>
  <c r="G92" i="1" s="1"/>
  <c r="Y91" i="1"/>
  <c r="B92" i="1" s="1"/>
  <c r="H91" i="1"/>
  <c r="F91" i="1"/>
  <c r="G91" i="1" s="1"/>
  <c r="Y90" i="1"/>
  <c r="B91" i="1" s="1"/>
  <c r="H90" i="1"/>
  <c r="F90" i="1"/>
  <c r="G90" i="1" s="1"/>
  <c r="Y89" i="1"/>
  <c r="B90" i="1" s="1"/>
  <c r="H89" i="1"/>
  <c r="F89" i="1"/>
  <c r="G89" i="1" s="1"/>
  <c r="Y88" i="1"/>
  <c r="B89" i="1" s="1"/>
  <c r="H88" i="1"/>
  <c r="F88" i="1"/>
  <c r="G88" i="1" s="1"/>
  <c r="Y87" i="1"/>
  <c r="B88" i="1" s="1"/>
  <c r="H87" i="1"/>
  <c r="F87" i="1"/>
  <c r="G87" i="1" s="1"/>
  <c r="Y86" i="1"/>
  <c r="B87" i="1" s="1"/>
  <c r="H86" i="1"/>
  <c r="F86" i="1"/>
  <c r="G86" i="1" s="1"/>
  <c r="Y85" i="1"/>
  <c r="B86" i="1" s="1"/>
  <c r="H85" i="1"/>
  <c r="F85" i="1"/>
  <c r="G85" i="1" s="1"/>
  <c r="Y84" i="1"/>
  <c r="B85" i="1" s="1"/>
  <c r="H84" i="1"/>
  <c r="F84" i="1"/>
  <c r="G84" i="1" s="1"/>
  <c r="Y83" i="1"/>
  <c r="B84" i="1" s="1"/>
  <c r="H83" i="1"/>
  <c r="F83" i="1"/>
  <c r="G83" i="1" s="1"/>
  <c r="Y82" i="1"/>
  <c r="B83" i="1" s="1"/>
  <c r="H82" i="1"/>
  <c r="F82" i="1"/>
  <c r="G82" i="1" s="1"/>
  <c r="Y81" i="1"/>
  <c r="B82" i="1" s="1"/>
  <c r="H81" i="1"/>
  <c r="F81" i="1"/>
  <c r="G81" i="1" s="1"/>
  <c r="Y80" i="1"/>
  <c r="B81" i="1" s="1"/>
  <c r="H80" i="1"/>
  <c r="F80" i="1"/>
  <c r="G80" i="1" s="1"/>
  <c r="Y79" i="1"/>
  <c r="B80" i="1" s="1"/>
  <c r="H79" i="1"/>
  <c r="F79" i="1"/>
  <c r="G79" i="1" s="1"/>
  <c r="Y78" i="1"/>
  <c r="B79" i="1" s="1"/>
  <c r="H78" i="1"/>
  <c r="F78" i="1"/>
  <c r="G78" i="1" s="1"/>
  <c r="Y77" i="1"/>
  <c r="B78" i="1" s="1"/>
  <c r="H77" i="1"/>
  <c r="F77" i="1"/>
  <c r="G77" i="1" s="1"/>
  <c r="Y76" i="1"/>
  <c r="B77" i="1" s="1"/>
  <c r="H76" i="1"/>
  <c r="F76" i="1"/>
  <c r="G76" i="1" s="1"/>
  <c r="Y75" i="1"/>
  <c r="B76" i="1" s="1"/>
  <c r="H75" i="1"/>
  <c r="F75" i="1"/>
  <c r="G75" i="1" s="1"/>
  <c r="Y74" i="1"/>
  <c r="B75" i="1" s="1"/>
  <c r="H74" i="1"/>
  <c r="F74" i="1"/>
  <c r="G74" i="1" s="1"/>
  <c r="Y73" i="1"/>
  <c r="B74" i="1" s="1"/>
  <c r="H73" i="1"/>
  <c r="F73" i="1"/>
  <c r="G73" i="1" s="1"/>
  <c r="Y72" i="1"/>
  <c r="B73" i="1" s="1"/>
  <c r="H72" i="1"/>
  <c r="F72" i="1"/>
  <c r="G72" i="1" s="1"/>
  <c r="Y71" i="1"/>
  <c r="B72" i="1" s="1"/>
  <c r="H71" i="1"/>
  <c r="F71" i="1"/>
  <c r="G71" i="1" s="1"/>
  <c r="Y70" i="1"/>
  <c r="B71" i="1" s="1"/>
  <c r="H70" i="1"/>
  <c r="F70" i="1"/>
  <c r="G70" i="1" s="1"/>
  <c r="Y69" i="1"/>
  <c r="B70" i="1" s="1"/>
  <c r="H69" i="1"/>
  <c r="F69" i="1"/>
  <c r="G69" i="1" s="1"/>
  <c r="Y68" i="1"/>
  <c r="B69" i="1" s="1"/>
  <c r="H68" i="1"/>
  <c r="F68" i="1"/>
  <c r="G68" i="1" s="1"/>
  <c r="Y67" i="1"/>
  <c r="B68" i="1" s="1"/>
  <c r="H67" i="1"/>
  <c r="F67" i="1"/>
  <c r="G67" i="1" s="1"/>
  <c r="Y66" i="1"/>
  <c r="B67" i="1" s="1"/>
  <c r="H66" i="1"/>
  <c r="F66" i="1"/>
  <c r="G66" i="1" s="1"/>
  <c r="Y65" i="1"/>
  <c r="B66" i="1" s="1"/>
  <c r="H65" i="1"/>
  <c r="F65" i="1"/>
  <c r="G65" i="1" s="1"/>
  <c r="Y64" i="1"/>
  <c r="B65" i="1" s="1"/>
  <c r="H64" i="1"/>
  <c r="F64" i="1"/>
  <c r="G64" i="1" s="1"/>
  <c r="Y63" i="1"/>
  <c r="B64" i="1" s="1"/>
  <c r="H63" i="1"/>
  <c r="F63" i="1"/>
  <c r="G63" i="1" s="1"/>
  <c r="Y62" i="1"/>
  <c r="B63" i="1" s="1"/>
  <c r="H62" i="1"/>
  <c r="F62" i="1"/>
  <c r="G62" i="1" s="1"/>
  <c r="Y61" i="1"/>
  <c r="B62" i="1" s="1"/>
  <c r="H61" i="1"/>
  <c r="F61" i="1"/>
  <c r="G61" i="1" s="1"/>
  <c r="Y60" i="1"/>
  <c r="B61" i="1" s="1"/>
  <c r="H60" i="1"/>
  <c r="F60" i="1"/>
  <c r="G60" i="1" s="1"/>
  <c r="Y59" i="1"/>
  <c r="B60" i="1" s="1"/>
  <c r="H59" i="1"/>
  <c r="F59" i="1"/>
  <c r="G59" i="1" s="1"/>
  <c r="Y58" i="1"/>
  <c r="B59" i="1" s="1"/>
  <c r="H58" i="1"/>
  <c r="F58" i="1"/>
  <c r="G58" i="1" s="1"/>
  <c r="Y57" i="1"/>
  <c r="B58" i="1" s="1"/>
  <c r="H57" i="1"/>
  <c r="F57" i="1"/>
  <c r="G57" i="1" s="1"/>
  <c r="Y56" i="1"/>
  <c r="B57" i="1" s="1"/>
  <c r="H56" i="1"/>
  <c r="F56" i="1"/>
  <c r="G56" i="1" s="1"/>
  <c r="Y55" i="1"/>
  <c r="B56" i="1" s="1"/>
  <c r="H55" i="1"/>
  <c r="F55" i="1"/>
  <c r="G55" i="1" s="1"/>
  <c r="Y54" i="1"/>
  <c r="B55" i="1" s="1"/>
  <c r="H54" i="1"/>
  <c r="F54" i="1"/>
  <c r="G54" i="1" s="1"/>
  <c r="Y53" i="1"/>
  <c r="B54" i="1" s="1"/>
  <c r="H53" i="1"/>
  <c r="F53" i="1"/>
  <c r="G53" i="1" s="1"/>
  <c r="Y52" i="1"/>
  <c r="B53" i="1" s="1"/>
  <c r="H52" i="1"/>
  <c r="F52" i="1"/>
  <c r="G52" i="1" s="1"/>
  <c r="Y51" i="1"/>
  <c r="B52" i="1" s="1"/>
  <c r="H51" i="1"/>
  <c r="F51" i="1"/>
  <c r="G51" i="1" s="1"/>
  <c r="Y50" i="1"/>
  <c r="B51" i="1" s="1"/>
  <c r="H50" i="1"/>
  <c r="F50" i="1"/>
  <c r="G50" i="1" s="1"/>
  <c r="Y49" i="1"/>
  <c r="B50" i="1" s="1"/>
  <c r="H49" i="1"/>
  <c r="F49" i="1"/>
  <c r="G49" i="1" s="1"/>
  <c r="Y48" i="1"/>
  <c r="B49" i="1" s="1"/>
  <c r="H48" i="1"/>
  <c r="F48" i="1"/>
  <c r="G48" i="1" s="1"/>
  <c r="Y47" i="1"/>
  <c r="B48" i="1" s="1"/>
  <c r="H47" i="1"/>
  <c r="F47" i="1"/>
  <c r="G47" i="1" s="1"/>
  <c r="Y46" i="1"/>
  <c r="B47" i="1" s="1"/>
  <c r="H46" i="1"/>
  <c r="F46" i="1"/>
  <c r="G46" i="1" s="1"/>
  <c r="Y45" i="1"/>
  <c r="B46" i="1" s="1"/>
  <c r="H45" i="1"/>
  <c r="F45" i="1"/>
  <c r="Y44" i="1"/>
  <c r="B45" i="1" s="1"/>
  <c r="H44" i="1"/>
  <c r="F44" i="1"/>
  <c r="G44" i="1" s="1"/>
  <c r="Y43" i="1"/>
  <c r="B44" i="1" s="1"/>
  <c r="H43" i="1"/>
  <c r="F43" i="1"/>
  <c r="E43" i="1"/>
  <c r="D43" i="1"/>
  <c r="C43" i="1"/>
  <c r="B43" i="1"/>
  <c r="T34" i="1"/>
  <c r="N33" i="1"/>
  <c r="N32" i="1"/>
  <c r="N31" i="1"/>
  <c r="P10" i="1"/>
  <c r="W1694" i="1" s="1"/>
  <c r="P9" i="1"/>
  <c r="L1648" i="1" s="1"/>
  <c r="P8" i="1"/>
  <c r="N58" i="1" s="1"/>
  <c r="P7" i="1"/>
  <c r="M112" i="1" s="1"/>
  <c r="P6" i="1"/>
  <c r="L55" i="1" s="1"/>
  <c r="P5" i="1"/>
  <c r="K101" i="1" s="1"/>
  <c r="AP1564" i="1" l="1"/>
  <c r="AP1565" i="1" s="1"/>
  <c r="AP1566" i="1" s="1"/>
  <c r="AP1567" i="1" s="1"/>
  <c r="AP1568" i="1" s="1"/>
  <c r="AP1569" i="1" s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P1540" i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M57" i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L72" i="1"/>
  <c r="M92" i="1"/>
  <c r="M72" i="1"/>
  <c r="M52" i="1"/>
  <c r="M76" i="1"/>
  <c r="O33" i="1"/>
  <c r="M65" i="1"/>
  <c r="K62" i="1"/>
  <c r="K100" i="1"/>
  <c r="K88" i="1"/>
  <c r="N51" i="1"/>
  <c r="K61" i="1"/>
  <c r="K115" i="1"/>
  <c r="M61" i="1"/>
  <c r="K72" i="1"/>
  <c r="K48" i="1"/>
  <c r="N57" i="1"/>
  <c r="L48" i="1"/>
  <c r="K73" i="1"/>
  <c r="K79" i="1"/>
  <c r="K49" i="1"/>
  <c r="N54" i="1"/>
  <c r="K64" i="1"/>
  <c r="N64" i="1"/>
  <c r="N75" i="1"/>
  <c r="M97" i="1"/>
  <c r="K45" i="1"/>
  <c r="K80" i="1"/>
  <c r="K47" i="1"/>
  <c r="N71" i="1"/>
  <c r="M121" i="1"/>
  <c r="N53" i="1"/>
  <c r="N74" i="1"/>
  <c r="K44" i="1"/>
  <c r="M47" i="1"/>
  <c r="K60" i="1"/>
  <c r="K63" i="1"/>
  <c r="K67" i="1"/>
  <c r="N103" i="1"/>
  <c r="L44" i="1"/>
  <c r="N60" i="1"/>
  <c r="K99" i="1"/>
  <c r="O32" i="1"/>
  <c r="O31" i="1"/>
  <c r="N44" i="1"/>
  <c r="L51" i="1"/>
  <c r="K54" i="1"/>
  <c r="K75" i="1"/>
  <c r="K78" i="1"/>
  <c r="M51" i="1"/>
  <c r="M54" i="1"/>
  <c r="K57" i="1"/>
  <c r="M75" i="1"/>
  <c r="M45" i="1"/>
  <c r="K55" i="1"/>
  <c r="N84" i="1"/>
  <c r="M105" i="1"/>
  <c r="M55" i="1"/>
  <c r="M89" i="1"/>
  <c r="K52" i="1"/>
  <c r="K58" i="1"/>
  <c r="K65" i="1"/>
  <c r="K76" i="1"/>
  <c r="N89" i="1"/>
  <c r="L62" i="1"/>
  <c r="M73" i="1"/>
  <c r="M85" i="1"/>
  <c r="L93" i="1"/>
  <c r="N92" i="1"/>
  <c r="K43" i="1"/>
  <c r="M62" i="1"/>
  <c r="M70" i="1"/>
  <c r="M93" i="1"/>
  <c r="N120" i="1"/>
  <c r="L43" i="1"/>
  <c r="M46" i="1"/>
  <c r="K59" i="1"/>
  <c r="N62" i="1"/>
  <c r="K102" i="1"/>
  <c r="M43" i="1"/>
  <c r="N46" i="1"/>
  <c r="K56" i="1"/>
  <c r="M59" i="1"/>
  <c r="M50" i="1"/>
  <c r="K53" i="1"/>
  <c r="M56" i="1"/>
  <c r="L66" i="1"/>
  <c r="K74" i="1"/>
  <c r="K77" i="1"/>
  <c r="L90" i="1"/>
  <c r="N50" i="1"/>
  <c r="M53" i="1"/>
  <c r="N56" i="1"/>
  <c r="M74" i="1"/>
  <c r="K94" i="1"/>
  <c r="M98" i="1"/>
  <c r="AP1608" i="1"/>
  <c r="AP1609" i="1" s="1"/>
  <c r="AP1610" i="1" s="1"/>
  <c r="AP1611" i="1" s="1"/>
  <c r="AP1612" i="1" s="1"/>
  <c r="AP1613" i="1" s="1"/>
  <c r="AP1614" i="1" s="1"/>
  <c r="AP1615" i="1" s="1"/>
  <c r="G43" i="1"/>
  <c r="L57" i="1"/>
  <c r="L54" i="1"/>
  <c r="N72" i="1"/>
  <c r="L47" i="1"/>
  <c r="L100" i="1"/>
  <c r="L59" i="1"/>
  <c r="L73" i="1"/>
  <c r="L117" i="1"/>
  <c r="H130" i="1"/>
  <c r="K133" i="1"/>
  <c r="L102" i="1"/>
  <c r="N59" i="1"/>
  <c r="L61" i="1"/>
  <c r="N73" i="1"/>
  <c r="N86" i="1"/>
  <c r="L97" i="1"/>
  <c r="L53" i="1"/>
  <c r="L56" i="1"/>
  <c r="L63" i="1"/>
  <c r="L74" i="1"/>
  <c r="L46" i="1"/>
  <c r="G45" i="1"/>
  <c r="N61" i="1"/>
  <c r="N69" i="1"/>
  <c r="L75" i="1"/>
  <c r="H1536" i="1"/>
  <c r="K1539" i="1"/>
  <c r="L76" i="1"/>
  <c r="L114" i="1"/>
  <c r="W1601" i="1"/>
  <c r="M111" i="1"/>
  <c r="M91" i="1"/>
  <c r="M110" i="1"/>
  <c r="M108" i="1"/>
  <c r="M88" i="1"/>
  <c r="M106" i="1"/>
  <c r="M103" i="1"/>
  <c r="M122" i="1"/>
  <c r="M69" i="1"/>
  <c r="M49" i="1"/>
  <c r="M68" i="1"/>
  <c r="M48" i="1"/>
  <c r="M94" i="1"/>
  <c r="M67" i="1"/>
  <c r="M117" i="1"/>
  <c r="M114" i="1"/>
  <c r="M90" i="1"/>
  <c r="M66" i="1"/>
  <c r="M86" i="1"/>
  <c r="M84" i="1"/>
  <c r="M64" i="1"/>
  <c r="M44" i="1"/>
  <c r="M109" i="1"/>
  <c r="M104" i="1"/>
  <c r="M83" i="1"/>
  <c r="M63" i="1"/>
  <c r="M95" i="1"/>
  <c r="M82" i="1"/>
  <c r="M107" i="1"/>
  <c r="M81" i="1"/>
  <c r="M116" i="1"/>
  <c r="M87" i="1"/>
  <c r="M80" i="1"/>
  <c r="M113" i="1"/>
  <c r="M79" i="1"/>
  <c r="M102" i="1"/>
  <c r="M99" i="1"/>
  <c r="M78" i="1"/>
  <c r="M120" i="1"/>
  <c r="M119" i="1"/>
  <c r="M115" i="1"/>
  <c r="M100" i="1"/>
  <c r="L52" i="1"/>
  <c r="N70" i="1"/>
  <c r="N76" i="1"/>
  <c r="M77" i="1"/>
  <c r="L78" i="1"/>
  <c r="N88" i="1"/>
  <c r="N112" i="1"/>
  <c r="L118" i="1"/>
  <c r="H147" i="1"/>
  <c r="K150" i="1"/>
  <c r="N49" i="1"/>
  <c r="L58" i="1"/>
  <c r="T1648" i="1"/>
  <c r="S1648" i="1"/>
  <c r="R1648" i="1"/>
  <c r="N1648" i="1"/>
  <c r="M1648" i="1"/>
  <c r="O1648" i="1"/>
  <c r="P1648" i="1"/>
  <c r="Q1648" i="1" s="1"/>
  <c r="N45" i="1"/>
  <c r="N52" i="1"/>
  <c r="M58" i="1"/>
  <c r="M101" i="1"/>
  <c r="M118" i="1"/>
  <c r="W1557" i="1"/>
  <c r="L112" i="1"/>
  <c r="L92" i="1"/>
  <c r="L111" i="1"/>
  <c r="L109" i="1"/>
  <c r="L89" i="1"/>
  <c r="L107" i="1"/>
  <c r="L104" i="1"/>
  <c r="L70" i="1"/>
  <c r="L50" i="1"/>
  <c r="L106" i="1"/>
  <c r="L69" i="1"/>
  <c r="L49" i="1"/>
  <c r="L68" i="1"/>
  <c r="L94" i="1"/>
  <c r="L67" i="1"/>
  <c r="L101" i="1"/>
  <c r="L98" i="1"/>
  <c r="L85" i="1"/>
  <c r="L65" i="1"/>
  <c r="L45" i="1"/>
  <c r="L86" i="1"/>
  <c r="L84" i="1"/>
  <c r="L64" i="1"/>
  <c r="L83" i="1"/>
  <c r="L95" i="1"/>
  <c r="L82" i="1"/>
  <c r="L91" i="1"/>
  <c r="L81" i="1"/>
  <c r="L116" i="1"/>
  <c r="L87" i="1"/>
  <c r="L80" i="1"/>
  <c r="L113" i="1"/>
  <c r="L79" i="1"/>
  <c r="L121" i="1"/>
  <c r="L105" i="1"/>
  <c r="L96" i="1"/>
  <c r="L88" i="1"/>
  <c r="L122" i="1"/>
  <c r="L120" i="1"/>
  <c r="L119" i="1"/>
  <c r="L110" i="1"/>
  <c r="L115" i="1"/>
  <c r="L108" i="1"/>
  <c r="L77" i="1"/>
  <c r="L99" i="1"/>
  <c r="L60" i="1"/>
  <c r="L71" i="1"/>
  <c r="M96" i="1"/>
  <c r="W1642" i="1"/>
  <c r="N110" i="1"/>
  <c r="N90" i="1"/>
  <c r="N109" i="1"/>
  <c r="N107" i="1"/>
  <c r="N87" i="1"/>
  <c r="N105" i="1"/>
  <c r="N122" i="1"/>
  <c r="N102" i="1"/>
  <c r="N121" i="1"/>
  <c r="N106" i="1"/>
  <c r="N68" i="1"/>
  <c r="N48" i="1"/>
  <c r="N94" i="1"/>
  <c r="N67" i="1"/>
  <c r="N47" i="1"/>
  <c r="N117" i="1"/>
  <c r="N114" i="1"/>
  <c r="N66" i="1"/>
  <c r="N101" i="1"/>
  <c r="N98" i="1"/>
  <c r="N85" i="1"/>
  <c r="N65" i="1"/>
  <c r="N104" i="1"/>
  <c r="N83" i="1"/>
  <c r="N63" i="1"/>
  <c r="N43" i="1"/>
  <c r="N111" i="1"/>
  <c r="N95" i="1"/>
  <c r="N82" i="1"/>
  <c r="N81" i="1"/>
  <c r="N116" i="1"/>
  <c r="N91" i="1"/>
  <c r="N80" i="1"/>
  <c r="N113" i="1"/>
  <c r="N79" i="1"/>
  <c r="N99" i="1"/>
  <c r="N78" i="1"/>
  <c r="N77" i="1"/>
  <c r="N119" i="1"/>
  <c r="N115" i="1"/>
  <c r="N108" i="1"/>
  <c r="N100" i="1"/>
  <c r="N93" i="1"/>
  <c r="N118" i="1"/>
  <c r="N97" i="1"/>
  <c r="AA1694" i="1"/>
  <c r="Y1694" i="1"/>
  <c r="X1694" i="1"/>
  <c r="N55" i="1"/>
  <c r="M60" i="1"/>
  <c r="M71" i="1"/>
  <c r="N96" i="1"/>
  <c r="L103" i="1"/>
  <c r="K119" i="1"/>
  <c r="K122" i="1"/>
  <c r="K96" i="1"/>
  <c r="K121" i="1"/>
  <c r="K92" i="1"/>
  <c r="K87" i="1"/>
  <c r="K116" i="1"/>
  <c r="K81" i="1"/>
  <c r="K91" i="1"/>
  <c r="K82" i="1"/>
  <c r="K95" i="1"/>
  <c r="K107" i="1"/>
  <c r="K83" i="1"/>
  <c r="K84" i="1"/>
  <c r="K86" i="1"/>
  <c r="K104" i="1"/>
  <c r="K109" i="1"/>
  <c r="K85" i="1"/>
  <c r="K98" i="1"/>
  <c r="K113" i="1"/>
  <c r="K93" i="1"/>
  <c r="K112" i="1"/>
  <c r="K111" i="1"/>
  <c r="K110" i="1"/>
  <c r="K90" i="1"/>
  <c r="K108" i="1"/>
  <c r="K105" i="1"/>
  <c r="K120" i="1"/>
  <c r="K46" i="1"/>
  <c r="K66" i="1"/>
  <c r="K114" i="1"/>
  <c r="K117" i="1"/>
  <c r="K68" i="1"/>
  <c r="K69" i="1"/>
  <c r="K106" i="1"/>
  <c r="L133" i="1"/>
  <c r="K50" i="1"/>
  <c r="K70" i="1"/>
  <c r="K51" i="1"/>
  <c r="K71" i="1"/>
  <c r="K89" i="1"/>
  <c r="K97" i="1"/>
  <c r="K103" i="1"/>
  <c r="K118" i="1"/>
  <c r="K134" i="1" l="1"/>
  <c r="S133" i="1"/>
  <c r="O133" i="1"/>
  <c r="R133" i="1"/>
  <c r="T133" i="1"/>
  <c r="P133" i="1"/>
  <c r="Q133" i="1" s="1"/>
  <c r="N133" i="1"/>
  <c r="M133" i="1"/>
  <c r="K1540" i="1"/>
  <c r="AA1557" i="1"/>
  <c r="Y1557" i="1"/>
  <c r="X1557" i="1"/>
  <c r="AA1642" i="1"/>
  <c r="Y1642" i="1"/>
  <c r="X1642" i="1"/>
  <c r="K151" i="1"/>
  <c r="I43" i="1"/>
  <c r="Y1601" i="1"/>
  <c r="AA1601" i="1"/>
  <c r="X1601" i="1"/>
  <c r="K1541" i="1" l="1"/>
  <c r="K135" i="1"/>
  <c r="K152" i="1"/>
  <c r="J43" i="1"/>
  <c r="K153" i="1" l="1"/>
  <c r="K136" i="1"/>
  <c r="K1542" i="1"/>
  <c r="K137" i="1" l="1"/>
  <c r="K1543" i="1"/>
  <c r="K154" i="1"/>
  <c r="K155" i="1" l="1"/>
  <c r="K1544" i="1"/>
  <c r="K138" i="1"/>
  <c r="K1545" i="1" l="1"/>
  <c r="K139" i="1"/>
  <c r="K156" i="1"/>
  <c r="K157" i="1" l="1"/>
  <c r="K140" i="1"/>
  <c r="K1546" i="1"/>
  <c r="K141" i="1" l="1"/>
  <c r="K1547" i="1"/>
  <c r="K158" i="1"/>
  <c r="K159" i="1" l="1"/>
  <c r="K1548" i="1"/>
  <c r="K142" i="1"/>
  <c r="K143" i="1" l="1"/>
  <c r="K1549" i="1"/>
  <c r="K160" i="1"/>
  <c r="K1550" i="1" l="1"/>
  <c r="K144" i="1"/>
  <c r="K161" i="1"/>
  <c r="K162" i="1" l="1"/>
  <c r="P31" i="1"/>
  <c r="K1551" i="1"/>
  <c r="K1552" i="1" l="1"/>
  <c r="K163" i="1"/>
  <c r="K164" i="1" l="1"/>
  <c r="K1553" i="1"/>
  <c r="K1554" i="1" l="1"/>
  <c r="K165" i="1"/>
  <c r="K166" i="1" l="1"/>
  <c r="K1555" i="1"/>
  <c r="K1556" i="1" l="1"/>
  <c r="K167" i="1"/>
  <c r="K168" i="1" l="1"/>
  <c r="K1557" i="1"/>
  <c r="AD1557" i="1" l="1"/>
  <c r="AC1557" i="1"/>
  <c r="Z1557" i="1"/>
  <c r="AE1557" i="1"/>
  <c r="AB1557" i="1"/>
  <c r="K169" i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P32" i="1" l="1"/>
  <c r="I12" i="1"/>
  <c r="I13" i="1"/>
  <c r="I14" i="1"/>
  <c r="I15" i="1"/>
  <c r="I16" i="1"/>
  <c r="I17" i="1"/>
  <c r="L31" i="1"/>
  <c r="M31" i="1"/>
  <c r="Q31" i="1"/>
  <c r="R31" i="1"/>
  <c r="S31" i="1"/>
  <c r="U31" i="1"/>
  <c r="L32" i="1"/>
  <c r="M32" i="1"/>
  <c r="Q32" i="1"/>
  <c r="R32" i="1"/>
  <c r="S32" i="1"/>
  <c r="T32" i="1"/>
  <c r="U32" i="1"/>
  <c r="L33" i="1"/>
  <c r="M33" i="1"/>
  <c r="Q33" i="1"/>
  <c r="R33" i="1"/>
  <c r="S33" i="1"/>
  <c r="T33" i="1"/>
  <c r="U33" i="1"/>
  <c r="L34" i="1"/>
  <c r="M34" i="1"/>
  <c r="N34" i="1"/>
  <c r="O34" i="1"/>
  <c r="P34" i="1"/>
  <c r="Q34" i="1"/>
  <c r="R34" i="1"/>
  <c r="S34" i="1"/>
  <c r="U34" i="1"/>
  <c r="L35" i="1"/>
  <c r="M35" i="1"/>
  <c r="N35" i="1"/>
  <c r="O35" i="1"/>
  <c r="Q35" i="1"/>
  <c r="R35" i="1"/>
  <c r="S35" i="1"/>
  <c r="T35" i="1"/>
  <c r="U35" i="1"/>
  <c r="L36" i="1"/>
  <c r="M36" i="1"/>
  <c r="N36" i="1"/>
  <c r="P36" i="1"/>
  <c r="Q36" i="1"/>
  <c r="R36" i="1"/>
  <c r="S36" i="1"/>
  <c r="U36" i="1"/>
  <c r="O43" i="1"/>
  <c r="P43" i="1"/>
  <c r="Q43" i="1"/>
  <c r="R43" i="1"/>
  <c r="S43" i="1"/>
  <c r="T43" i="1"/>
  <c r="U43" i="1"/>
  <c r="V43" i="1"/>
  <c r="W43" i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C44" i="1"/>
  <c r="D44" i="1"/>
  <c r="E44" i="1"/>
  <c r="I44" i="1"/>
  <c r="J44" i="1"/>
  <c r="O44" i="1"/>
  <c r="P44" i="1"/>
  <c r="Q44" i="1"/>
  <c r="R44" i="1"/>
  <c r="S44" i="1"/>
  <c r="T44" i="1"/>
  <c r="U44" i="1"/>
  <c r="V44" i="1"/>
  <c r="W44" i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O45" i="1"/>
  <c r="P45" i="1"/>
  <c r="Q45" i="1"/>
  <c r="R45" i="1"/>
  <c r="S45" i="1"/>
  <c r="T45" i="1"/>
  <c r="U45" i="1"/>
  <c r="V45" i="1"/>
  <c r="W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O46" i="1"/>
  <c r="P46" i="1"/>
  <c r="Q46" i="1"/>
  <c r="R46" i="1"/>
  <c r="S46" i="1"/>
  <c r="T46" i="1"/>
  <c r="U46" i="1"/>
  <c r="V46" i="1"/>
  <c r="W46" i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O47" i="1"/>
  <c r="P47" i="1"/>
  <c r="Q47" i="1"/>
  <c r="R47" i="1"/>
  <c r="S47" i="1"/>
  <c r="T47" i="1"/>
  <c r="U47" i="1"/>
  <c r="V47" i="1"/>
  <c r="W47" i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O48" i="1"/>
  <c r="P48" i="1"/>
  <c r="Q48" i="1"/>
  <c r="R48" i="1"/>
  <c r="S48" i="1"/>
  <c r="T48" i="1"/>
  <c r="U48" i="1"/>
  <c r="V48" i="1"/>
  <c r="W48" i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O49" i="1"/>
  <c r="P49" i="1"/>
  <c r="Q49" i="1"/>
  <c r="R49" i="1"/>
  <c r="S49" i="1"/>
  <c r="T49" i="1"/>
  <c r="U49" i="1"/>
  <c r="V49" i="1"/>
  <c r="W49" i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O50" i="1"/>
  <c r="P50" i="1"/>
  <c r="Q50" i="1"/>
  <c r="R50" i="1"/>
  <c r="S50" i="1"/>
  <c r="T50" i="1"/>
  <c r="U50" i="1"/>
  <c r="V50" i="1"/>
  <c r="W50" i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O51" i="1"/>
  <c r="P51" i="1"/>
  <c r="Q51" i="1"/>
  <c r="R51" i="1"/>
  <c r="S51" i="1"/>
  <c r="T51" i="1"/>
  <c r="U51" i="1"/>
  <c r="V51" i="1"/>
  <c r="W51" i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O52" i="1"/>
  <c r="P52" i="1"/>
  <c r="Q52" i="1"/>
  <c r="R52" i="1"/>
  <c r="S52" i="1"/>
  <c r="T52" i="1"/>
  <c r="U52" i="1"/>
  <c r="V52" i="1"/>
  <c r="W52" i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O53" i="1"/>
  <c r="P53" i="1"/>
  <c r="Q53" i="1"/>
  <c r="R53" i="1"/>
  <c r="S53" i="1"/>
  <c r="T53" i="1"/>
  <c r="U53" i="1"/>
  <c r="V53" i="1"/>
  <c r="W53" i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O54" i="1"/>
  <c r="P54" i="1"/>
  <c r="Q54" i="1"/>
  <c r="R54" i="1"/>
  <c r="S54" i="1"/>
  <c r="T54" i="1"/>
  <c r="U54" i="1"/>
  <c r="V54" i="1"/>
  <c r="W54" i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O55" i="1"/>
  <c r="P55" i="1"/>
  <c r="Q55" i="1"/>
  <c r="R55" i="1"/>
  <c r="S55" i="1"/>
  <c r="T55" i="1"/>
  <c r="U55" i="1"/>
  <c r="V55" i="1"/>
  <c r="W55" i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O57" i="1"/>
  <c r="P57" i="1"/>
  <c r="Q57" i="1"/>
  <c r="R57" i="1"/>
  <c r="S57" i="1"/>
  <c r="T57" i="1"/>
  <c r="U57" i="1"/>
  <c r="V57" i="1"/>
  <c r="W57" i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O58" i="1"/>
  <c r="P58" i="1"/>
  <c r="Q58" i="1"/>
  <c r="R58" i="1"/>
  <c r="S58" i="1"/>
  <c r="T58" i="1"/>
  <c r="U58" i="1"/>
  <c r="V58" i="1"/>
  <c r="W58" i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O59" i="1"/>
  <c r="P59" i="1"/>
  <c r="Q59" i="1"/>
  <c r="R59" i="1"/>
  <c r="S59" i="1"/>
  <c r="T59" i="1"/>
  <c r="U59" i="1"/>
  <c r="V59" i="1"/>
  <c r="W59" i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O60" i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O61" i="1"/>
  <c r="P61" i="1"/>
  <c r="Q61" i="1"/>
  <c r="R61" i="1"/>
  <c r="S61" i="1"/>
  <c r="T61" i="1"/>
  <c r="U61" i="1"/>
  <c r="V61" i="1"/>
  <c r="W61" i="1"/>
  <c r="X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O62" i="1"/>
  <c r="P62" i="1"/>
  <c r="Q62" i="1"/>
  <c r="R62" i="1"/>
  <c r="S62" i="1"/>
  <c r="T62" i="1"/>
  <c r="U62" i="1"/>
  <c r="V62" i="1"/>
  <c r="W62" i="1"/>
  <c r="X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O63" i="1"/>
  <c r="P63" i="1"/>
  <c r="Q63" i="1"/>
  <c r="R63" i="1"/>
  <c r="S63" i="1"/>
  <c r="T63" i="1"/>
  <c r="U63" i="1"/>
  <c r="V63" i="1"/>
  <c r="W63" i="1"/>
  <c r="X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O64" i="1"/>
  <c r="P64" i="1"/>
  <c r="Q64" i="1"/>
  <c r="R64" i="1"/>
  <c r="S64" i="1"/>
  <c r="T64" i="1"/>
  <c r="U64" i="1"/>
  <c r="V64" i="1"/>
  <c r="W64" i="1"/>
  <c r="X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O65" i="1"/>
  <c r="P65" i="1"/>
  <c r="Q65" i="1"/>
  <c r="R65" i="1"/>
  <c r="S65" i="1"/>
  <c r="T65" i="1"/>
  <c r="U65" i="1"/>
  <c r="V65" i="1"/>
  <c r="W65" i="1"/>
  <c r="X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O66" i="1"/>
  <c r="P66" i="1"/>
  <c r="Q66" i="1"/>
  <c r="R66" i="1"/>
  <c r="S66" i="1"/>
  <c r="T66" i="1"/>
  <c r="U66" i="1"/>
  <c r="V66" i="1"/>
  <c r="W66" i="1"/>
  <c r="X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O67" i="1"/>
  <c r="P67" i="1"/>
  <c r="Q67" i="1"/>
  <c r="R67" i="1"/>
  <c r="S67" i="1"/>
  <c r="T67" i="1"/>
  <c r="U67" i="1"/>
  <c r="V67" i="1"/>
  <c r="W67" i="1"/>
  <c r="X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O68" i="1"/>
  <c r="P68" i="1"/>
  <c r="Q68" i="1"/>
  <c r="R68" i="1"/>
  <c r="S68" i="1"/>
  <c r="T68" i="1"/>
  <c r="U68" i="1"/>
  <c r="V68" i="1"/>
  <c r="W68" i="1"/>
  <c r="X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O69" i="1"/>
  <c r="P69" i="1"/>
  <c r="Q69" i="1"/>
  <c r="R69" i="1"/>
  <c r="S69" i="1"/>
  <c r="T69" i="1"/>
  <c r="U69" i="1"/>
  <c r="V69" i="1"/>
  <c r="W69" i="1"/>
  <c r="X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O70" i="1"/>
  <c r="P70" i="1"/>
  <c r="Q70" i="1"/>
  <c r="R70" i="1"/>
  <c r="S70" i="1"/>
  <c r="T70" i="1"/>
  <c r="U70" i="1"/>
  <c r="V70" i="1"/>
  <c r="W70" i="1"/>
  <c r="X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O71" i="1"/>
  <c r="P71" i="1"/>
  <c r="Q71" i="1"/>
  <c r="R71" i="1"/>
  <c r="S71" i="1"/>
  <c r="T71" i="1"/>
  <c r="U71" i="1"/>
  <c r="V71" i="1"/>
  <c r="W71" i="1"/>
  <c r="X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O72" i="1"/>
  <c r="P72" i="1"/>
  <c r="Q72" i="1"/>
  <c r="R72" i="1"/>
  <c r="S72" i="1"/>
  <c r="T72" i="1"/>
  <c r="U72" i="1"/>
  <c r="V72" i="1"/>
  <c r="W72" i="1"/>
  <c r="X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O73" i="1"/>
  <c r="P73" i="1"/>
  <c r="Q73" i="1"/>
  <c r="R73" i="1"/>
  <c r="S73" i="1"/>
  <c r="T73" i="1"/>
  <c r="U73" i="1"/>
  <c r="V73" i="1"/>
  <c r="W73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O74" i="1"/>
  <c r="P74" i="1"/>
  <c r="Q74" i="1"/>
  <c r="R74" i="1"/>
  <c r="S74" i="1"/>
  <c r="T74" i="1"/>
  <c r="U74" i="1"/>
  <c r="V74" i="1"/>
  <c r="W74" i="1"/>
  <c r="X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O75" i="1"/>
  <c r="P75" i="1"/>
  <c r="Q75" i="1"/>
  <c r="R75" i="1"/>
  <c r="S75" i="1"/>
  <c r="T75" i="1"/>
  <c r="U75" i="1"/>
  <c r="V75" i="1"/>
  <c r="W75" i="1"/>
  <c r="X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O76" i="1"/>
  <c r="P76" i="1"/>
  <c r="Q76" i="1"/>
  <c r="R76" i="1"/>
  <c r="S76" i="1"/>
  <c r="T76" i="1"/>
  <c r="U76" i="1"/>
  <c r="V76" i="1"/>
  <c r="W76" i="1"/>
  <c r="X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O77" i="1"/>
  <c r="P77" i="1"/>
  <c r="Q77" i="1"/>
  <c r="R77" i="1"/>
  <c r="S77" i="1"/>
  <c r="T77" i="1"/>
  <c r="U77" i="1"/>
  <c r="V77" i="1"/>
  <c r="W77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O78" i="1"/>
  <c r="P78" i="1"/>
  <c r="Q78" i="1"/>
  <c r="R78" i="1"/>
  <c r="S78" i="1"/>
  <c r="T78" i="1"/>
  <c r="U78" i="1"/>
  <c r="V78" i="1"/>
  <c r="W78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O79" i="1"/>
  <c r="P79" i="1"/>
  <c r="Q79" i="1"/>
  <c r="R79" i="1"/>
  <c r="S79" i="1"/>
  <c r="T79" i="1"/>
  <c r="U79" i="1"/>
  <c r="V79" i="1"/>
  <c r="W79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O80" i="1"/>
  <c r="P80" i="1"/>
  <c r="Q80" i="1"/>
  <c r="R80" i="1"/>
  <c r="S80" i="1"/>
  <c r="T80" i="1"/>
  <c r="U80" i="1"/>
  <c r="V80" i="1"/>
  <c r="W80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O81" i="1"/>
  <c r="P81" i="1"/>
  <c r="Q81" i="1"/>
  <c r="R81" i="1"/>
  <c r="S81" i="1"/>
  <c r="T81" i="1"/>
  <c r="U81" i="1"/>
  <c r="V81" i="1"/>
  <c r="W81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O82" i="1"/>
  <c r="P82" i="1"/>
  <c r="Q82" i="1"/>
  <c r="R82" i="1"/>
  <c r="S82" i="1"/>
  <c r="T82" i="1"/>
  <c r="U82" i="1"/>
  <c r="V82" i="1"/>
  <c r="W82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O83" i="1"/>
  <c r="P83" i="1"/>
  <c r="Q83" i="1"/>
  <c r="R83" i="1"/>
  <c r="S83" i="1"/>
  <c r="T83" i="1"/>
  <c r="U83" i="1"/>
  <c r="V83" i="1"/>
  <c r="W83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O85" i="1"/>
  <c r="P85" i="1"/>
  <c r="Q85" i="1"/>
  <c r="R85" i="1"/>
  <c r="S85" i="1"/>
  <c r="T85" i="1"/>
  <c r="U85" i="1"/>
  <c r="V85" i="1"/>
  <c r="W85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O86" i="1"/>
  <c r="P86" i="1"/>
  <c r="Q86" i="1"/>
  <c r="R86" i="1"/>
  <c r="S86" i="1"/>
  <c r="T86" i="1"/>
  <c r="U86" i="1"/>
  <c r="V86" i="1"/>
  <c r="W86" i="1"/>
  <c r="X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O87" i="1"/>
  <c r="P87" i="1"/>
  <c r="Q87" i="1"/>
  <c r="R87" i="1"/>
  <c r="S87" i="1"/>
  <c r="T87" i="1"/>
  <c r="U87" i="1"/>
  <c r="V87" i="1"/>
  <c r="W87" i="1"/>
  <c r="X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O88" i="1"/>
  <c r="P88" i="1"/>
  <c r="Q88" i="1"/>
  <c r="R88" i="1"/>
  <c r="S88" i="1"/>
  <c r="T88" i="1"/>
  <c r="U88" i="1"/>
  <c r="V88" i="1"/>
  <c r="W88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O89" i="1"/>
  <c r="P89" i="1"/>
  <c r="Q89" i="1"/>
  <c r="R89" i="1"/>
  <c r="S89" i="1"/>
  <c r="T89" i="1"/>
  <c r="U89" i="1"/>
  <c r="V89" i="1"/>
  <c r="W89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O90" i="1"/>
  <c r="P90" i="1"/>
  <c r="Q90" i="1"/>
  <c r="R90" i="1"/>
  <c r="S90" i="1"/>
  <c r="T90" i="1"/>
  <c r="U90" i="1"/>
  <c r="V90" i="1"/>
  <c r="W90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O91" i="1"/>
  <c r="P91" i="1"/>
  <c r="Q91" i="1"/>
  <c r="R91" i="1"/>
  <c r="S91" i="1"/>
  <c r="T91" i="1"/>
  <c r="U91" i="1"/>
  <c r="V91" i="1"/>
  <c r="W91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O92" i="1"/>
  <c r="P92" i="1"/>
  <c r="Q92" i="1"/>
  <c r="R92" i="1"/>
  <c r="S92" i="1"/>
  <c r="T92" i="1"/>
  <c r="U92" i="1"/>
  <c r="V92" i="1"/>
  <c r="W92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O93" i="1"/>
  <c r="P93" i="1"/>
  <c r="Q93" i="1"/>
  <c r="R93" i="1"/>
  <c r="S93" i="1"/>
  <c r="T93" i="1"/>
  <c r="U93" i="1"/>
  <c r="V93" i="1"/>
  <c r="W93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O94" i="1"/>
  <c r="P94" i="1"/>
  <c r="Q94" i="1"/>
  <c r="R94" i="1"/>
  <c r="S94" i="1"/>
  <c r="T94" i="1"/>
  <c r="U94" i="1"/>
  <c r="V94" i="1"/>
  <c r="W94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O95" i="1"/>
  <c r="P95" i="1"/>
  <c r="Q95" i="1"/>
  <c r="R95" i="1"/>
  <c r="S95" i="1"/>
  <c r="T95" i="1"/>
  <c r="U95" i="1"/>
  <c r="V95" i="1"/>
  <c r="W95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O97" i="1"/>
  <c r="P97" i="1"/>
  <c r="Q97" i="1"/>
  <c r="R97" i="1"/>
  <c r="S97" i="1"/>
  <c r="T97" i="1"/>
  <c r="U97" i="1"/>
  <c r="V97" i="1"/>
  <c r="W97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O98" i="1"/>
  <c r="P98" i="1"/>
  <c r="Q98" i="1"/>
  <c r="R98" i="1"/>
  <c r="S98" i="1"/>
  <c r="T98" i="1"/>
  <c r="U98" i="1"/>
  <c r="V98" i="1"/>
  <c r="W98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O99" i="1"/>
  <c r="P99" i="1"/>
  <c r="Q99" i="1"/>
  <c r="R99" i="1"/>
  <c r="S99" i="1"/>
  <c r="T99" i="1"/>
  <c r="U99" i="1"/>
  <c r="V99" i="1"/>
  <c r="W99" i="1"/>
  <c r="X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O100" i="1"/>
  <c r="P100" i="1"/>
  <c r="Q100" i="1"/>
  <c r="R100" i="1"/>
  <c r="S100" i="1"/>
  <c r="T100" i="1"/>
  <c r="U100" i="1"/>
  <c r="V100" i="1"/>
  <c r="W100" i="1"/>
  <c r="X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O101" i="1"/>
  <c r="P101" i="1"/>
  <c r="Q101" i="1"/>
  <c r="R101" i="1"/>
  <c r="S101" i="1"/>
  <c r="T101" i="1"/>
  <c r="U101" i="1"/>
  <c r="V101" i="1"/>
  <c r="W101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O103" i="1"/>
  <c r="P103" i="1"/>
  <c r="Q103" i="1"/>
  <c r="R103" i="1"/>
  <c r="S103" i="1"/>
  <c r="T103" i="1"/>
  <c r="U103" i="1"/>
  <c r="V103" i="1"/>
  <c r="W103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O104" i="1"/>
  <c r="P104" i="1"/>
  <c r="Q104" i="1"/>
  <c r="R104" i="1"/>
  <c r="S104" i="1"/>
  <c r="T104" i="1"/>
  <c r="U104" i="1"/>
  <c r="V104" i="1"/>
  <c r="W104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O105" i="1"/>
  <c r="P105" i="1"/>
  <c r="Q105" i="1"/>
  <c r="R105" i="1"/>
  <c r="S105" i="1"/>
  <c r="T105" i="1"/>
  <c r="U105" i="1"/>
  <c r="V105" i="1"/>
  <c r="W105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O106" i="1"/>
  <c r="P106" i="1"/>
  <c r="Q106" i="1"/>
  <c r="R106" i="1"/>
  <c r="S106" i="1"/>
  <c r="T106" i="1"/>
  <c r="U106" i="1"/>
  <c r="V106" i="1"/>
  <c r="W106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O107" i="1"/>
  <c r="P107" i="1"/>
  <c r="Q107" i="1"/>
  <c r="R107" i="1"/>
  <c r="S107" i="1"/>
  <c r="T107" i="1"/>
  <c r="U107" i="1"/>
  <c r="V107" i="1"/>
  <c r="W107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O108" i="1"/>
  <c r="P108" i="1"/>
  <c r="Q108" i="1"/>
  <c r="R108" i="1"/>
  <c r="S108" i="1"/>
  <c r="T108" i="1"/>
  <c r="U108" i="1"/>
  <c r="V108" i="1"/>
  <c r="W108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O110" i="1"/>
  <c r="P110" i="1"/>
  <c r="Q110" i="1"/>
  <c r="R110" i="1"/>
  <c r="S110" i="1"/>
  <c r="T110" i="1"/>
  <c r="U110" i="1"/>
  <c r="V110" i="1"/>
  <c r="W110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O111" i="1"/>
  <c r="P111" i="1"/>
  <c r="Q111" i="1"/>
  <c r="R111" i="1"/>
  <c r="S111" i="1"/>
  <c r="T111" i="1"/>
  <c r="U111" i="1"/>
  <c r="V111" i="1"/>
  <c r="W111" i="1"/>
  <c r="X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O112" i="1"/>
  <c r="P112" i="1"/>
  <c r="Q112" i="1"/>
  <c r="R112" i="1"/>
  <c r="S112" i="1"/>
  <c r="T112" i="1"/>
  <c r="U112" i="1"/>
  <c r="V112" i="1"/>
  <c r="W112" i="1"/>
  <c r="X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O113" i="1"/>
  <c r="P113" i="1"/>
  <c r="Q113" i="1"/>
  <c r="R113" i="1"/>
  <c r="S113" i="1"/>
  <c r="T113" i="1"/>
  <c r="U113" i="1"/>
  <c r="V113" i="1"/>
  <c r="W113" i="1"/>
  <c r="X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O114" i="1"/>
  <c r="P114" i="1"/>
  <c r="Q114" i="1"/>
  <c r="R114" i="1"/>
  <c r="S114" i="1"/>
  <c r="T114" i="1"/>
  <c r="U114" i="1"/>
  <c r="V114" i="1"/>
  <c r="W114" i="1"/>
  <c r="X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O115" i="1"/>
  <c r="P115" i="1"/>
  <c r="Q115" i="1"/>
  <c r="R115" i="1"/>
  <c r="S115" i="1"/>
  <c r="T115" i="1"/>
  <c r="U115" i="1"/>
  <c r="V115" i="1"/>
  <c r="W115" i="1"/>
  <c r="X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O116" i="1"/>
  <c r="P116" i="1"/>
  <c r="Q116" i="1"/>
  <c r="R116" i="1"/>
  <c r="S116" i="1"/>
  <c r="T116" i="1"/>
  <c r="U116" i="1"/>
  <c r="V116" i="1"/>
  <c r="W116" i="1"/>
  <c r="X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O117" i="1"/>
  <c r="P117" i="1"/>
  <c r="Q117" i="1"/>
  <c r="R117" i="1"/>
  <c r="S117" i="1"/>
  <c r="T117" i="1"/>
  <c r="U117" i="1"/>
  <c r="V117" i="1"/>
  <c r="W117" i="1"/>
  <c r="X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O118" i="1"/>
  <c r="P118" i="1"/>
  <c r="Q118" i="1"/>
  <c r="R118" i="1"/>
  <c r="S118" i="1"/>
  <c r="T118" i="1"/>
  <c r="U118" i="1"/>
  <c r="V118" i="1"/>
  <c r="W118" i="1"/>
  <c r="X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O119" i="1"/>
  <c r="P119" i="1"/>
  <c r="Q119" i="1"/>
  <c r="R119" i="1"/>
  <c r="S119" i="1"/>
  <c r="T119" i="1"/>
  <c r="U119" i="1"/>
  <c r="V119" i="1"/>
  <c r="W119" i="1"/>
  <c r="X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O120" i="1"/>
  <c r="P120" i="1"/>
  <c r="Q120" i="1"/>
  <c r="R120" i="1"/>
  <c r="S120" i="1"/>
  <c r="T120" i="1"/>
  <c r="U120" i="1"/>
  <c r="V120" i="1"/>
  <c r="W120" i="1"/>
  <c r="X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O121" i="1"/>
  <c r="P121" i="1"/>
  <c r="Q121" i="1"/>
  <c r="R121" i="1"/>
  <c r="S121" i="1"/>
  <c r="T121" i="1"/>
  <c r="U121" i="1"/>
  <c r="V121" i="1"/>
  <c r="W121" i="1"/>
  <c r="X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O122" i="1"/>
  <c r="P122" i="1"/>
  <c r="Q122" i="1"/>
  <c r="R122" i="1"/>
  <c r="S122" i="1"/>
  <c r="T122" i="1"/>
  <c r="U122" i="1"/>
  <c r="V122" i="1"/>
  <c r="W122" i="1"/>
  <c r="X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H1533" i="1"/>
  <c r="AI1533" i="1"/>
  <c r="AJ1533" i="1"/>
  <c r="AQ1533" i="1"/>
  <c r="AR1533" i="1"/>
  <c r="AS1533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AH1557" i="1"/>
  <c r="AI1557" i="1"/>
  <c r="AJ1557" i="1"/>
  <c r="AQ1557" i="1"/>
  <c r="AR1557" i="1"/>
  <c r="AS1557" i="1"/>
  <c r="H1560" i="1"/>
  <c r="K1563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H1601" i="1"/>
  <c r="AI1601" i="1"/>
  <c r="AJ1601" i="1"/>
  <c r="AP1601" i="1"/>
  <c r="AQ1601" i="1"/>
  <c r="AR1601" i="1"/>
  <c r="AS1601" i="1"/>
  <c r="H1604" i="1"/>
  <c r="K1607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H1645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<sst xmlns="http://schemas.openxmlformats.org/spreadsheetml/2006/main" count="2298" uniqueCount="198">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</sst>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M1573" workbookViewId="0">
      <selection activeCell="S1587" sqref="S1587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>IF(OR(N6="Known WSE",N6="Known WS"),O6,IF(N6="Known Depth",(K33)+(O6),IF(N6="Normal Depth",(K33)+(MAX($D$16,POWER((ABS(P33)*$D$6)/(MAX(G33,0.1)*SQRT(MAX(ABS((K33-J33)/MAX(E33,0.000001)),$D$17))),3/5))),IF(N6="Critical Depth",(K33)+(MAX($D$16,POWER((ABS(P33)^2)/($I$5*MAX(G33,0.1)^2),1/3))),IF(OR(N6="None",N6="Spill End",N6="Spill Zero"),(K33)+$D$16,(K33)+(MAX($D$16,POWER((ABS(P33)*$D$6)/(MAX(G33,0.1)*SQRT(MAX(ABS((K33-J33)/MAX(E33,0.000001)),$D$17))),3/5))))))))</f>
        <v>634.3119999999999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1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 ca="1">Z122</f>
        <v>0.98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 ca="1">AM122</f>
        <v>634.34800000000155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 ca="1">AN122</f>
        <v>631.9250000000028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 t="e">
        <f ca="1">N36</f>
        <v>#VALUE!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 ca="1">AO122</f>
        <v>2.3874235921539366E-12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 ca="1">AP122</f>
        <v>4.4337866711430252E-12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634.29999999999995</v>
      </c>
    </row>
    <row r="22" spans="1:24" x14ac:dyDescent="0.35">
      <c r="B22" s="2" t="s">
        <v>65</v>
      </c>
      <c r="C22" s="2" t="s">
        <v>52</v>
      </c>
      <c r="D22" s="2">
        <v>631.9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AI133</f>
        <v>637</v>
      </c>
      <c r="M31">
        <f ca="1">AI144</f>
        <v>634.34800000000155</v>
      </c>
      <c r="N31">
        <f>$D$5</f>
        <v>51</v>
      </c>
      <c r="O31">
        <f>SUM(AO133:AO144)</f>
        <v>0</v>
      </c>
      <c r="P31">
        <f>MAX(0,K144-AO144-0)</f>
        <v>51</v>
      </c>
      <c r="Q31">
        <f ca="1">AVERAGE(AH133:AH144)</f>
        <v>1.8161610487337219</v>
      </c>
      <c r="R31">
        <f ca="1">AVERAGE(AS133:AS144)</f>
        <v>25.129456911674769</v>
      </c>
      <c r="S31">
        <f t="shared" ref="S31:S36" ca="1" si="0">E31*R31</f>
        <v>269.94062614521039</v>
      </c>
      <c r="T31">
        <v>0</v>
      </c>
      <c r="U31">
        <f t="shared" ref="U31:U36" ca="1" si="1">S31+T31</f>
        <v>269.94062614521039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AI150</f>
        <v>634.34800000000155</v>
      </c>
      <c r="M32">
        <f ca="1">AI1533</f>
        <v>631.9250000000028</v>
      </c>
      <c r="N32">
        <f>IF(N6="None",$D$5,$D$5*$I$11)</f>
        <v>51</v>
      </c>
      <c r="O32">
        <f>SUM(AO150:AO1533)</f>
        <v>0</v>
      </c>
      <c r="P32">
        <f>MAX(0,K1533-AO1533-0)</f>
        <v>51</v>
      </c>
      <c r="Q32">
        <f ca="1">AVERAGE(AH150:AH1533)</f>
        <v>2.1297718790398354</v>
      </c>
      <c r="R32">
        <f ca="1">AVERAGE(AS150:AS1533)</f>
        <v>0.31096544703726131</v>
      </c>
      <c r="S32">
        <f t="shared" ca="1" si="0"/>
        <v>429.87801205341594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429.87801205341594</v>
      </c>
      <c r="V32" t="s">
        <v>95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AI1539</f>
        <v>634.34800000000155</v>
      </c>
      <c r="M33">
        <f ca="1">AI1557</f>
        <v>634.3119999999999</v>
      </c>
      <c r="N33">
        <f>IF(N6="None",0,$D$5-N32)</f>
        <v>0</v>
      </c>
      <c r="O33">
        <f>SUM(AO1539:AO1557)</f>
        <v>0</v>
      </c>
      <c r="P33">
        <v>0</v>
      </c>
      <c r="Q33">
        <f ca="1">AVERAGE(AH1539:AH1557)</f>
        <v>5.0000000000081396E-2</v>
      </c>
      <c r="R33">
        <f ca="1">AVERAGE(AS1539:AS1557)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 t="e">
        <f ca="1">AI1563</f>
        <v>#VALUE!</v>
      </c>
      <c r="M34" t="e">
        <f ca="1">AI1601</f>
        <v>#VALUE!</v>
      </c>
      <c r="N34">
        <f ca="1">IF(AND(N7="None",N8="None"),0,IF(N8="None",N32,IF(N7="None",0,N32*$I$12)))</f>
        <v>49.98</v>
      </c>
      <c r="O34" t="e">
        <f ca="1">SUM(AO1563:AO1601)</f>
        <v>#VALUE!</v>
      </c>
      <c r="P34" t="e">
        <f ca="1">MAX(0,K1601-AO1601-0.001)</f>
        <v>#VALUE!</v>
      </c>
      <c r="Q34" t="e">
        <f ca="1">AVERAGE(AH1563:AH1601)</f>
        <v>#VALUE!</v>
      </c>
      <c r="R34" t="e">
        <f ca="1">AVERAGE(AS1563:AS1601)</f>
        <v>#VALUE!</v>
      </c>
      <c r="S34" t="e">
        <f t="shared" ca="1" si="0"/>
        <v>#VALUE!</v>
      </c>
      <c r="T34">
        <f>0</f>
        <v>0</v>
      </c>
      <c r="U34" t="e">
        <f t="shared" ca="1" si="1"/>
        <v>#VALUE!</v>
      </c>
      <c r="V34" t="s">
        <v>95</v>
      </c>
      <c r="W34">
        <v>-90</v>
      </c>
      <c r="X34">
        <v>-90</v>
      </c>
    </row>
    <row r="35" spans="1:42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 t="e">
        <f ca="1">AI1607</f>
        <v>#VALUE!</v>
      </c>
      <c r="M35" t="e">
        <f ca="1">AI1642</f>
        <v>#VALUE!</v>
      </c>
      <c r="N35">
        <f ca="1">IF(AND(N7="None",N8="None"),0,IF(N8="None",0,IF(N7="None",N32,N32-N34)))</f>
        <v>1.0200000000000031</v>
      </c>
      <c r="O35" t="e">
        <f ca="1">SUM(AO1607:AO1642)</f>
        <v>#VALUE!</v>
      </c>
      <c r="P35">
        <v>0</v>
      </c>
      <c r="Q35" t="e">
        <f ca="1">AVERAGE(AH1607:AH1642)</f>
        <v>#VALUE!</v>
      </c>
      <c r="R35" t="e">
        <f ca="1">AVERAGE(AS1607:AS1642)</f>
        <v>#VALUE!</v>
      </c>
      <c r="S35" t="e">
        <f t="shared" ca="1" si="0"/>
        <v>#VALUE!</v>
      </c>
      <c r="T35">
        <f ca="1"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0.36330531446605707</v>
      </c>
      <c r="U35" t="e">
        <f t="shared" ca="1" si="1"/>
        <v>#VALUE!</v>
      </c>
      <c r="V35" t="s">
        <v>95</v>
      </c>
      <c r="W35">
        <v>-17.818999999999999</v>
      </c>
      <c r="X35">
        <v>-85.754999999999995</v>
      </c>
    </row>
    <row r="36" spans="1:42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 t="e">
        <f ca="1">AI1648</f>
        <v>#VALUE!</v>
      </c>
      <c r="M36" t="e">
        <f ca="1">AI1694</f>
        <v>#VALUE!</v>
      </c>
      <c r="N36" t="e">
        <f ca="1">O34+O35</f>
        <v>#VALUE!</v>
      </c>
      <c r="O36" t="s">
        <v>99</v>
      </c>
      <c r="P36" t="e">
        <f ca="1">MAX(0,K1694-AO1694-0)</f>
        <v>#VALUE!</v>
      </c>
      <c r="Q36" t="e">
        <f ca="1">AVERAGE(AH1648:AH1694)</f>
        <v>#VALUE!</v>
      </c>
      <c r="R36" t="e">
        <f ca="1">AVERAGE(AS1648:AS1694)</f>
        <v>#VALUE!</v>
      </c>
      <c r="S36" t="e">
        <f t="shared" ca="1" si="0"/>
        <v>#VALUE!</v>
      </c>
      <c r="T36">
        <v>0</v>
      </c>
      <c r="U36" t="e">
        <f t="shared" ca="1" si="1"/>
        <v>#VALUE!</v>
      </c>
      <c r="V36" t="s">
        <v>95</v>
      </c>
      <c r="W36">
        <v>-65.100999999999999</v>
      </c>
      <c r="X36">
        <v>-90.405000000000001</v>
      </c>
    </row>
    <row r="42" spans="1:42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  <c r="AC42" s="5" t="s">
        <v>128</v>
      </c>
      <c r="AD42" s="5" t="s">
        <v>129</v>
      </c>
      <c r="AE42" s="5" t="s">
        <v>130</v>
      </c>
      <c r="AF42" s="5" t="s">
        <v>131</v>
      </c>
      <c r="AG42" s="5" t="s">
        <v>132</v>
      </c>
      <c r="AH42" s="5" t="s">
        <v>133</v>
      </c>
      <c r="AI42" s="5" t="s">
        <v>134</v>
      </c>
      <c r="AJ42" s="5" t="s">
        <v>135</v>
      </c>
      <c r="AK42" s="5" t="s">
        <v>136</v>
      </c>
      <c r="AL42" s="5" t="s">
        <v>137</v>
      </c>
      <c r="AM42" s="5" t="s">
        <v>138</v>
      </c>
      <c r="AN42" s="5" t="s">
        <v>139</v>
      </c>
      <c r="AO42" s="5" t="s">
        <v>58</v>
      </c>
      <c r="AP42" s="5" t="s">
        <v>60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634.29999999999995</v>
      </c>
      <c r="E43">
        <f>$D$22</f>
        <v>631.9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634.3119999999999</v>
      </c>
      <c r="M43">
        <f>P7</f>
        <v>635.5</v>
      </c>
      <c r="N43">
        <f>P8</f>
        <v>631.54999999999995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-2091.5872404992097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3149.1751056116104</v>
      </c>
      <c r="Q43">
        <f ca="1">L43+((ABS(H43)/MAX(((G33)+(I33)*(MAX($D$16,(L43)-(K33))))*(MAX($D$16,(L43)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AC43)-(J33))))*(MAX($D$16,(AC43)-(J33))),0.000001)),$D$9*((((ABS(H43)/MAX(((G33)+(I33)*(MAX($D$16,(L43)-(K33))))*(MAX($D$16,(L43)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L43)-(K33))))*(MAX($D$16,(L43)-(K33))),0.000001))^2)/(2*$I$5)))))+($D$10*(ABS((X33)-(W33))/90)*MAX(((ABS(H43)/MAX(((F33)+(H33)*(MAX($D$16,(AC43)-(J33))))*(MAX($D$16,(AC43)-(J33))),0.000001))^2)/(2*$I$5),((ABS(H43)/MAX(((G33)+(I33)*(MAX($D$16,(L43)-(K33))))*(MAX($D$16,(L43)-(K33))),0.000001))^2)/(2*$I$5)))+(($D$11*0.00000015*(ABS(G43)/MAX(ABS(F43),0.000001))^2*MAX(((ABS(H43)/MAX(((F33)+(H33)*(MAX($D$16,(AC43)-(J33))))*(MAX($D$16,(AC43)-(J33))),0.000001))^2)/(2*$I$5),((ABS(H43)/MAX(((G33)+(I33)*(MAX($D$16,(L43)-(K33))))*(MAX($D$16,(L43)-(K33))),0.000001))^2)/(2*$I$5))))-((ABS(H43)/MAX(((F33)+(H33)*(MAX($D$16,(AC43)-(J33))))*(MAX($D$16,(AC43)-(J33))),0.000001))^2)/(2*$I$5)</f>
        <v>634.3119999999999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-292118.81246378768</v>
      </c>
      <c r="S43">
        <f ca="1">M43+((ABS(I43)/MAX(((G34)+(I34)*(MAX($D$16,(M43)-(K34))))*(MAX($D$16,(M43)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AD43)-(J34))))*(MAX($D$16,(AD43)-(J34))),0.000001)),$D$9*((((ABS(I43)/MAX(((G34)+(I34)*(MAX($D$16,(M43)-(K34))))*(MAX($D$16,(M43)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M43)-(K34))))*(MAX($D$16,(M43)-(K34))),0.000001))^2)/(2*$I$5)))))+($D$10*(ABS((X34)-(W34))/90)*MAX(((ABS(I43)/MAX(((F34)+(H34)*(MAX($D$16,(AD43)-(J34))))*(MAX($D$16,(AD43)-(J34))),0.000001))^2)/(2*$I$5),((ABS(I43)/MAX(((G34)+(I34)*(MAX($D$16,(M43)-(K34))))*(MAX($D$16,(M43)-(K34))),0.000001))^2)/(2*$I$5)))+(0)-((ABS(I43)/MAX(((F34)+(H34)*(MAX($D$16,(AD43)-(J34))))*(MAX($D$16,(AD43)-(J34))),0.000001))^2)/(2*$I$5)</f>
        <v>635.51383000050578</v>
      </c>
      <c r="T43">
        <f ca="1">N43+((ABS(J43)/MAX(((G35)+(I35)*(MAX($D$16,(N43)-(K35))))*(MAX($D$16,(N43)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AD43)-(J35))))*(MAX($D$16,(AD43)-(J35))),0.000001)),$D$9*((((ABS(J43)/MAX(((G35)+(I35)*(MAX($D$16,(N43)-(K35))))*(MAX($D$16,(N43)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N43)-(K35))))*(MAX($D$16,(N43)-(K35))),0.000001))^2)/(2*$I$5)))))+($D$10*(ABS((X35)-(W35))/90)*MAX(((ABS(J43)/MAX(((F35)+(H35)*(MAX($D$16,(AD43)-(J35))))*(MAX($D$16,(AD43)-(J35))),0.000001))^2)/(2*$I$5),((ABS(J43)/MAX(((G35)+(I35)*(MAX($D$16,(N43)-(K35))))*(MAX($D$16,(N43)-(K35))),0.000001))^2)/(2*$I$5)))+(($D$11*0.34699541*(ABS(I43)/MAX(ABS(G43),0.000001))^2*MAX(((ABS(J43)/MAX(((F35)+(H35)*(MAX($D$16,(AD43)-(J35))))*(MAX($D$16,(AD43)-(J35))),0.000001))^2)/(2*$I$5),((ABS(J43)/MAX(((G35)+(I35)*(MAX($D$16,(N43)-(K35))))*(MAX($D$16,(N43)-(K35))),0.000001))^2)/(2*$I$5))))-((ABS(J43)/MAX(((F35)+(H35)*(MAX($D$16,(AD43)-(J35))))*(MAX($D$16,(AD43)-(J35))),0.000001))^2)/(2*$I$5)</f>
        <v>3149.1758181850601</v>
      </c>
      <c r="U43">
        <f ca="1">((((G31)*(MAX($D$16,(AE43)-(K31)))^2)/2+(I31)*(MAX($D$16,(AE43)-(K31)))^3/3+(ABS(F43)^2)/($I$5*MAX(((G31)+(I31)*(MAX($D$16,(AE43)-(K31))))*(MAX($D$16,(AE43)-(K31))),0.000001)))-(IF(N6="None",((((F32)*(MAX($D$16,(AE43)-(J32)))^2)/2+(H32)*(MAX($D$16,(AE43)-(J32)))^3/3+(ABS(G43)^2)/($I$5*MAX(((F32)+(H32)*(MAX($D$16,(AE43)-(J32))))*(MAX($D$16,(AE43)-(J32))),0.000001)))*0.72785025),(((((F32)*(MAX($D$16,(AE43)-(J32)))^2)/2+(H32)*(MAX($D$16,(AE43)-(J32)))^3/3+(ABS(G43)^2)/($I$5*MAX(((F32)+(H32)*(MAX($D$16,(AE43)-(J32))))*(MAX($D$16,(AE43)-(J32))),0.000001)))*0.72785025)+((((F33)*(MAX($D$16,(AE43)-(J33)))^2)/2+(H33)*(MAX($D$16,(AE43)-(J33)))^3/3+(ABS(H43)^2)/($I$5*MAX(((F33)+(H33)*(MAX($D$16,(AE43)-(J33))))*(MAX($D$16,(AE43)-(J33))),0.000001)))*0.99999971)))))/MAX(((G31)*(MAX($D$16,(AE43)-(K31)))^2)/2+(I31)*(MAX($D$16,(AE43)-(K31)))^3/3+(ABS(F43)^2)/($I$5*MAX(((G31)+(I31)*(MAX($D$16,(AE43)-(K31))))*(MAX($D$16,(AE43)-(K31))),0.000001)),0.000001)</f>
        <v>0.27214975000000002</v>
      </c>
      <c r="V43">
        <f ca="1">((((G32)*(MAX($D$16,(AF43)-(K32)))^2)/2+(I32)*(MAX($D$16,(AF43)-(K32)))^3/3+(ABS(G43)^2)/($I$5*MAX(((G32)+(I32)*(MAX($D$16,(AF43)-(K32))))*(MAX($D$16,(AF43)-(K32))),0.000001)))-(IF(AND(N7="None",N8="None"),0,IF(N8="None",((((F34)*(MAX($D$16,(AF43)-(J34)))^2)/2+(H34)*(MAX($D$16,(AF43)-(J34)))^3/3+(ABS(I43)^2)/($I$5*MAX(((F34)+(H34)*(MAX($D$16,(AF43)-(J34))))*(MAX($D$16,(AF43)-(J34))),0.000001)))*1),IF(N7="None",((((F35)*(MAX($D$16,(AF43)-(J35)))^2)/2+(H35)*(MAX($D$16,(AF43)-(J35)))^3/3+(ABS(J43)^2)/($I$5*MAX(((F35)+(H35)*(MAX($D$16,(AF43)-(J35))))*(MAX($D$16,(AF43)-(J35))),0.000001)))*0.30600918),(((((F34)*(MAX($D$16,(AF43)-(J34)))^2)/2+(H34)*(MAX($D$16,(AF43)-(J34)))^3/3+(ABS(I43)^2)/($I$5*MAX(((F34)+(H34)*(MAX($D$16,(AF43)-(J34))))*(MAX($D$16,(AF43)-(J34))),0.000001)))*1)+((((F35)*(MAX($D$16,(AF43)-(J35)))^2)/2+(H35)*(MAX($D$16,(AF43)-(J35)))^3/3+(ABS(J43)^2)/($I$5*MAX(((F35)+(H35)*(MAX($D$16,(AF43)-(J35))))*(MAX($D$16,(AF43)-(J35))),0.000001)))*0.30600918)))))))/MAX(((G32)*(MAX($D$16,(AF43)-(K32)))^2)/2+(I32)*(MAX($D$16,(AF43)-(K32)))^3/3+(ABS(G43)^2)/($I$5*MAX(((G32)+(I32)*(MAX($D$16,(AF43)-(K32))))*(MAX($D$16,(AF43)-(K32))),0.000001)),0.000001)</f>
        <v>0.57253294447458092</v>
      </c>
      <c r="W43">
        <f ca="1">ABS((IF(N6="None",P43,MAX(P43,Q43)))-D43)</f>
        <v>2514.8751056116107</v>
      </c>
      <c r="X43">
        <f ca="1">ABS((IF(AND(N7="None",N8="None"),E43,IF(N8="None",S43,IF(N7="None",T43,MAX(S43,T43)))))-E43)</f>
        <v>2517.27581818506</v>
      </c>
      <c r="Y43">
        <f>IF(N6="None",1,MIN(0.98,MAX(0.02,B43+$D$14*((Q43-P43)/MAX(ABS(D43),1)))))</f>
        <v>1</v>
      </c>
      <c r="Z43">
        <f ca="1">IF(AND(N7="None",N8="None"),C43,IF(N8="None",1,IF(N7="None",0,MIN(0.98,MAX(0.02,C43+$D$14*((T43-S43)/MAX(ABS(E43),1)))))))</f>
        <v>0.96823541550049752</v>
      </c>
      <c r="AA43">
        <f t="shared" ref="AA43:AA74" ca="1" si="3">D43+$D$13*(AC43-D43)</f>
        <v>1514.5066361259387</v>
      </c>
      <c r="AB43">
        <f t="shared" ref="AB43:AB74" ca="1" si="4">E43+$D$13*(AD43-E43)</f>
        <v>1512.9462868824871</v>
      </c>
      <c r="AC43">
        <f ca="1">IF($D$20=0,D43,IF(AC43=0,(IF(N6="None",P43,MAX(P43,Q43))),IF(ABS((IF(N6="None",P43,MAX(P43,Q43)))-AC43)&lt;$D$19,AC43,MAX((K31)+$D$16,AC43+$D$13*(((IF(N6="None",P43,MAX(P43,Q43)))-AC43))))))</f>
        <v>3149.1761032169679</v>
      </c>
      <c r="AD43">
        <f ca="1">IF($D$20=0,E43,IF(AD43=0,(IF(AND(N7="None",N8="None"),E43,IF(N8="None",S43,IF(N7="None",T43,MAX(S43,T43))))),IF(ABS((IF(AND(N7="None",N8="None"),E43,IF(N8="None",S43,IF(N7="None",T43,MAX(S43,T43)))))-AD43)&lt;$D$19,AD43,MAX((K32)+$D$16,AD43+$D$13*(((IF(AND(N7="None",N8="None"),E43,IF(N8="None",S43,IF(N7="None",T43,MAX(S43,T43)))))-AD43))))))</f>
        <v>3149.1751053785347</v>
      </c>
      <c r="AE43">
        <f ca="1">IF($D$20=0,D43,IF(AE43=0,O43,IF(ABS(U43)&lt;$D$19,AE43,MAX((K31)+$D$16,AE43+($D$13*(((O43)-AE43)+(U43*MAX(ABS(AE43-(K31)),1))))))))</f>
        <v>634.34799999999996</v>
      </c>
      <c r="AF43">
        <f ca="1">IF($D$20=0,E43,IF(AF43=0,R43,IF(ABS(V43)&lt;$D$19,AF43,MAX((K32)+$D$16,AF43+($D$13*(((R43)-AF43)+(V43*MAX(ABS(AF43-(K32)),1))))))))</f>
        <v>631.92499999999995</v>
      </c>
      <c r="AG43">
        <f ca="1">((G31)*(MAX($D$16,(AC43)-(K31)))^2)/2+(I31)*(MAX($D$16,(AC43)-(K31)))^3/3+(ABS(F43)^2)/($I$5*MAX(((G31)+(I31)*(MAX($D$16,(AC43)-(K31))))*(MAX($D$16,(AC43)-(K31))),0.000001))</f>
        <v>20738402.35105392</v>
      </c>
      <c r="AH43">
        <f ca="1">((G31)*(MAX($D$16,(AE43)-(K31)))^2)/2+(I31)*(MAX($D$16,(AE43)-(K31)))^3/3+(ABS(F43)^2)/($I$5*MAX(((G31)+(I31)*(MAX($D$16,(AE43)-(K31))))*(MAX($D$16,(AE43)-(K31))),0.000001))</f>
        <v>808.60110594434002</v>
      </c>
      <c r="AI43">
        <f ca="1">((G32)*(MAX($D$16,(AD43)-(K32)))^2)/2+(I32)*(MAX($D$16,(AD43)-(K32)))^3/3+(ABS(G43)^2)/($I$5*MAX(((G32)+(I32)*(MAX($D$16,(AD43)-(K32))))*(MAX($D$16,(AD43)-(K32))),0.000001))</f>
        <v>32336689.494529426</v>
      </c>
      <c r="AJ43">
        <f ca="1">((G32)*(MAX($D$16,(AF43)-(K32)))^2)/2+(I32)*(MAX($D$16,(AF43)-(K32)))^3/3+(ABS(G43)^2)/($I$5*MAX(((G32)+(I32)*(MAX($D$16,(AF43)-(K32))))*(MAX($D$16,(AF43)-(K32))),0.000001))</f>
        <v>519.58480272613974</v>
      </c>
      <c r="AK43" t="str">
        <f t="shared" ref="AK43:AK74" ca="1" si="5">IF(AH43&gt;=AG43,"Supercritical","Subcritical")</f>
        <v>Subcritical</v>
      </c>
      <c r="AL43" t="str">
        <f t="shared" ref="AL43:AL74" ca="1" si="6">IF(AJ43&gt;=AI43,"Supercritical","Subcritical")</f>
        <v>Subcritical</v>
      </c>
      <c r="AM43">
        <f t="shared" ref="AM43:AM74" ca="1" si="7">D43+$D$13*(IF(AK43="Supercritical",AE43,AC43)-D43)</f>
        <v>1514.5066361259387</v>
      </c>
      <c r="AN43">
        <f t="shared" ref="AN43:AN74" ca="1" si="8">E43+$D$13*(IF(AL43="Supercritical",AF43,AD43)-E43)</f>
        <v>1512.9462868824871</v>
      </c>
      <c r="AO43">
        <f t="shared" ref="AO43:AO74" ca="1" si="9">ABS(IF(AK43="Supercritical",AE43,AC43)-D43)</f>
        <v>2514.8761032169677</v>
      </c>
      <c r="AP43">
        <f t="shared" ref="AP43:AP74" ca="1" si="10">ABS(IF(AL43="Supercritical",AF43,AD43)-E43)</f>
        <v>2517.2751053785346</v>
      </c>
    </row>
    <row r="44" spans="1:42" x14ac:dyDescent="0.35">
      <c r="A44">
        <v>1</v>
      </c>
      <c r="B44">
        <f t="shared" ref="B44:B75" si="11">Y43</f>
        <v>1</v>
      </c>
      <c r="C44">
        <f t="shared" ref="C44:C75" ca="1" si="12">Z43</f>
        <v>0.96823541550049752</v>
      </c>
      <c r="D44">
        <f t="shared" ref="D44:D75" ca="1" si="13">AM43</f>
        <v>1514.5066361259387</v>
      </c>
      <c r="E44">
        <f t="shared" ref="E44:E75" ca="1" si="14">AN43</f>
        <v>1512.9462868824871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 ca="1">IF(AND(N7="None",N8="None"),0,IF(N8="None",G44,IF(N7="None",0,MAX(0,G44*C44))))</f>
        <v>49.380006190525371</v>
      </c>
      <c r="J44">
        <f ca="1">IF(AND(N7="None",N8="None"),0,IF(N8="None",0,IF(N7="None",G44,MAX(0,G44-I44))))</f>
        <v>1.6199938094746287</v>
      </c>
      <c r="K44">
        <f>P5</f>
        <v>637</v>
      </c>
      <c r="L44">
        <f>P6</f>
        <v>634.3119999999999</v>
      </c>
      <c r="M44">
        <f>P7</f>
        <v>635.5</v>
      </c>
      <c r="N44">
        <f>P8</f>
        <v>631.54999999999995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-2091.5872404992097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652.78414780493097</v>
      </c>
      <c r="Q44">
        <f ca="1">L44+((ABS(H44)/MAX(((G33)+(I33)*(MAX($D$16,(L44)-(K33))))*(MAX($D$16,(L44)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AC44)-(J33))))*(MAX($D$16,(AC44)-(J33))),0.000001)),$D$9*((((ABS(H44)/MAX(((G33)+(I33)*(MAX($D$16,(L44)-(K33))))*(MAX($D$16,(L44)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L44)-(K33))))*(MAX($D$16,(L44)-(K33))),0.000001))^2)/(2*$I$5)))))+($D$10*(ABS((X33)-(W33))/90)*MAX(((ABS(H44)/MAX(((F33)+(H33)*(MAX($D$16,(AC44)-(J33))))*(MAX($D$16,(AC44)-(J33))),0.000001))^2)/(2*$I$5),((ABS(H44)/MAX(((G33)+(I33)*(MAX($D$16,(L44)-(K33))))*(MAX($D$16,(L44)-(K33))),0.000001))^2)/(2*$I$5)))+(($D$11*0.00000015*(ABS(G44)/MAX(ABS(F44),0.000001))^2*MAX(((ABS(H44)/MAX(((F33)+(H33)*(MAX($D$16,(AC44)-(J33))))*(MAX($D$16,(AC44)-(J33))),0.000001))^2)/(2*$I$5),((ABS(H44)/MAX(((G33)+(I33)*(MAX($D$16,(L44)-(K33))))*(MAX($D$16,(L44)-(K33))),0.000001))^2)/(2*$I$5))))-((ABS(H44)/MAX(((F33)+(H33)*(MAX($D$16,(AC44)-(J33))))*(MAX($D$16,(AC44)-(J33))),0.000001))^2)/(2*$I$5)</f>
        <v>634.3119999999999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-292118.81246378768</v>
      </c>
      <c r="S44">
        <f ca="1">M44+((ABS(I44)/MAX(((G34)+(I34)*(MAX($D$16,(M44)-(K34))))*(MAX($D$16,(M44)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AD44)-(J34))))*(MAX($D$16,(AD44)-(J34))),0.000001)),$D$9*((((ABS(I44)/MAX(((G34)+(I34)*(MAX($D$16,(M44)-(K34))))*(MAX($D$16,(M44)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M44)-(K34))))*(MAX($D$16,(M44)-(K34))),0.000001))^2)/(2*$I$5)))))+($D$10*(ABS((X34)-(W34))/90)*MAX(((ABS(I44)/MAX(((F34)+(H34)*(MAX($D$16,(AD44)-(J34))))*(MAX($D$16,(AD44)-(J34))),0.000001))^2)/(2*$I$5),((ABS(I44)/MAX(((G34)+(I34)*(MAX($D$16,(M44)-(K34))))*(MAX($D$16,(M44)-(K34))),0.000001))^2)/(2*$I$5)))+(0)-((ABS(I44)/MAX(((F34)+(H34)*(MAX($D$16,(AD44)-(J34))))*(MAX($D$16,(AD44)-(J34))),0.000001))^2)/(2*$I$5)</f>
        <v>635.52771879985664</v>
      </c>
      <c r="T44">
        <f ca="1">N44+((ABS(J44)/MAX(((G35)+(I35)*(MAX($D$16,(N44)-(K35))))*(MAX($D$16,(N44)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AD44)-(J35))))*(MAX($D$16,(AD44)-(J35))),0.000001)),$D$9*((((ABS(J44)/MAX(((G35)+(I35)*(MAX($D$16,(N44)-(K35))))*(MAX($D$16,(N44)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N44)-(K35))))*(MAX($D$16,(N44)-(K35))),0.000001))^2)/(2*$I$5)))))+($D$10*(ABS((X35)-(W35))/90)*MAX(((ABS(J44)/MAX(((F35)+(H35)*(MAX($D$16,(AD44)-(J35))))*(MAX($D$16,(AD44)-(J35))),0.000001))^2)/(2*$I$5),((ABS(J44)/MAX(((G35)+(I35)*(MAX($D$16,(N44)-(K35))))*(MAX($D$16,(N44)-(K35))),0.000001))^2)/(2*$I$5)))+(($D$11*0.34699541*(ABS(I44)/MAX(ABS(G44),0.000001))^2*MAX(((ABS(J44)/MAX(((F35)+(H35)*(MAX($D$16,(AD44)-(J35))))*(MAX($D$16,(AD44)-(J35))),0.000001))^2)/(2*$I$5),((ABS(J44)/MAX(((G35)+(I35)*(MAX($D$16,(N44)-(K35))))*(MAX($D$16,(N44)-(K35))),0.000001))^2)/(2*$I$5))))-((ABS(J44)/MAX(((F35)+(H35)*(MAX($D$16,(AD44)-(J35))))*(MAX($D$16,(AD44)-(J35))),0.000001))^2)/(2*$I$5)</f>
        <v>652.77818439722341</v>
      </c>
      <c r="U44">
        <f ca="1">((((G31)*(MAX($D$16,(AE44)-(K31)))^2)/2+(I31)*(MAX($D$16,(AE44)-(K31)))^3/3+(ABS(F44)^2)/($I$5*MAX(((G31)+(I31)*(MAX($D$16,(AE44)-(K31))))*(MAX($D$16,(AE44)-(K31))),0.000001)))-(IF(N6="None",((((F32)*(MAX($D$16,(AE44)-(J32)))^2)/2+(H32)*(MAX($D$16,(AE44)-(J32)))^3/3+(ABS(G44)^2)/($I$5*MAX(((F32)+(H32)*(MAX($D$16,(AE44)-(J32))))*(MAX($D$16,(AE44)-(J32))),0.000001)))*0.72785025),(((((F32)*(MAX($D$16,(AE44)-(J32)))^2)/2+(H32)*(MAX($D$16,(AE44)-(J32)))^3/3+(ABS(G44)^2)/($I$5*MAX(((F32)+(H32)*(MAX($D$16,(AE44)-(J32))))*(MAX($D$16,(AE44)-(J32))),0.000001)))*0.72785025)+((((F33)*(MAX($D$16,(AE44)-(J33)))^2)/2+(H33)*(MAX($D$16,(AE44)-(J33)))^3/3+(ABS(H44)^2)/($I$5*MAX(((F33)+(H33)*(MAX($D$16,(AE44)-(J33))))*(MAX($D$16,(AE44)-(J33))),0.000001)))*0.99999971)))))/MAX(((G31)*(MAX($D$16,(AE44)-(K31)))^2)/2+(I31)*(MAX($D$16,(AE44)-(K31)))^3/3+(ABS(F44)^2)/($I$5*MAX(((G31)+(I31)*(MAX($D$16,(AE44)-(K31))))*(MAX($D$16,(AE44)-(K31))),0.000001)),0.000001)</f>
        <v>0.27214975000000002</v>
      </c>
      <c r="V44">
        <f ca="1">((((G32)*(MAX($D$16,(AF44)-(K32)))^2)/2+(I32)*(MAX($D$16,(AF44)-(K32)))^3/3+(ABS(G44)^2)/($I$5*MAX(((G32)+(I32)*(MAX($D$16,(AF44)-(K32))))*(MAX($D$16,(AF44)-(K32))),0.000001)))-(IF(AND(N7="None",N8="None"),0,IF(N8="None",((((F34)*(MAX($D$16,(AF44)-(J34)))^2)/2+(H34)*(MAX($D$16,(AF44)-(J34)))^3/3+(ABS(I44)^2)/($I$5*MAX(((F34)+(H34)*(MAX($D$16,(AF44)-(J34))))*(MAX($D$16,(AF44)-(J34))),0.000001)))*1),IF(N7="None",((((F35)*(MAX($D$16,(AF44)-(J35)))^2)/2+(H35)*(MAX($D$16,(AF44)-(J35)))^3/3+(ABS(J44)^2)/($I$5*MAX(((F35)+(H35)*(MAX($D$16,(AF44)-(J35))))*(MAX($D$16,(AF44)-(J35))),0.000001)))*0.30600918),(((((F34)*(MAX($D$16,(AF44)-(J34)))^2)/2+(H34)*(MAX($D$16,(AF44)-(J34)))^3/3+(ABS(I44)^2)/($I$5*MAX(((F34)+(H34)*(MAX($D$16,(AF44)-(J34))))*(MAX($D$16,(AF44)-(J34))),0.000001)))*1)+((((F35)*(MAX($D$16,(AF44)-(J35)))^2)/2+(H35)*(MAX($D$16,(AF44)-(J35)))^3/3+(ABS(J44)^2)/($I$5*MAX(((F35)+(H35)*(MAX($D$16,(AF44)-(J35))))*(MAX($D$16,(AF44)-(J35))),0.000001)))*0.30600918)))))))/MAX(((G32)*(MAX($D$16,(AF44)-(K32)))^2)/2+(I32)*(MAX($D$16,(AF44)-(K32)))^3/3+(ABS(G44)^2)/($I$5*MAX(((G32)+(I32)*(MAX($D$16,(AF44)-(K32))))*(MAX($D$16,(AF44)-(K32))),0.000001)),0.000001)</f>
        <v>6.1939469299064229E-2</v>
      </c>
      <c r="W44">
        <f ca="1">ABS((IF(N6="None",P44,MAX(P44,Q44)))-D44)</f>
        <v>861.72248832100775</v>
      </c>
      <c r="X44">
        <f ca="1">ABS((IF(AND(N7="None",N8="None"),E44,IF(N8="None",S44,IF(N7="None",T44,MAX(S44,T44)))))-E44)</f>
        <v>860.16810248526372</v>
      </c>
      <c r="Y44">
        <f>IF(N6="None",1,MIN(0.98,MAX(0.02,B44+$D$14*((Q44-P44)/MAX(ABS(D44),1)))))</f>
        <v>1</v>
      </c>
      <c r="Z44">
        <f ca="1">IF(AND(N7="None",N8="None"),C44,IF(N8="None",1,IF(N7="None",0,MIN(0.98,MAX(0.02,C44+$D$14*((T44-S44)/MAX(ABS(E44),1)))))))</f>
        <v>0.96914756767652288</v>
      </c>
      <c r="AA44">
        <f t="shared" ca="1" si="3"/>
        <v>1212.9041132351017</v>
      </c>
      <c r="AB44">
        <f t="shared" ca="1" si="4"/>
        <v>1211.8877274342417</v>
      </c>
      <c r="AC44">
        <f ca="1">IF($D$20=0,D44,IF(AC44=0,(IF(N6="None",P44,MAX(P44,Q44))),IF(ABS((IF(N6="None",P44,MAX(P44,Q44)))-AC44)&lt;$D$19,AC44,MAX((K31)+$D$16,AC44+$D$13*(((IF(N6="None",P44,MAX(P44,Q44)))-AC44))))))</f>
        <v>652.78514215211851</v>
      </c>
      <c r="AD44">
        <f ca="1">IF($D$20=0,E44,IF(AD44=0,(IF(AND(N7="None",N8="None"),E44,IF(N8="None",S44,IF(N7="None",T44,MAX(S44,T44))))),IF(ABS((IF(AND(N7="None",N8="None"),E44,IF(N8="None",S44,IF(N7="None",T44,MAX(S44,T44)))))-AD44)&lt;$D$19,AD44,MAX((K32)+$D$16,AD44+$D$13*(((IF(AND(N7="None",N8="None"),E44,IF(N8="None",S44,IF(N7="None",T44,MAX(S44,T44)))))-AD44))))))</f>
        <v>652.77897417321469</v>
      </c>
      <c r="AE44">
        <f ca="1">IF($D$20=0,D44,IF(AE44=0,O44,IF(ABS(U44)&lt;$D$19,AE44,MAX((K31)+$D$16,AE44+($D$13*(((O44)-AE44)+(U44*MAX(ABS(AE44-(K31)),1))))))))</f>
        <v>634.34799999999996</v>
      </c>
      <c r="AF44">
        <f ca="1">IF($D$20=0,E44,IF(AF44=0,R44,IF(ABS(V44)&lt;$D$19,AF44,MAX((K32)+$D$16,AF44+($D$13*(((R44)-AF44)+(V44*MAX(ABS(AF44-(K32)),1))))))))</f>
        <v>631.92499999999995</v>
      </c>
      <c r="AG44">
        <f ca="1">((G31)*(MAX($D$16,(AC44)-(K31)))^2)/2+(I31)*(MAX($D$16,(AC44)-(K31)))^3/3+(ABS(F44)^2)/($I$5*MAX(((G31)+(I31)*(MAX($D$16,(AC44)-(K31))))*(MAX($D$16,(AC44)-(K31))),0.000001))</f>
        <v>1122.8652455996537</v>
      </c>
      <c r="AH44">
        <f ca="1">((G31)*(MAX($D$16,(AE44)-(K31)))^2)/2+(I31)*(MAX($D$16,(AE44)-(K31)))^3/3+(ABS(F44)^2)/($I$5*MAX(((G31)+(I31)*(MAX($D$16,(AE44)-(K31))))*(MAX($D$16,(AE44)-(K31))),0.000001))</f>
        <v>808.60110594434002</v>
      </c>
      <c r="AI44">
        <f ca="1">((G32)*(MAX($D$16,(AD44)-(K32)))^2)/2+(I32)*(MAX($D$16,(AD44)-(K32)))^3/3+(ABS(G44)^2)/($I$5*MAX(((G32)+(I32)*(MAX($D$16,(AD44)-(K32))))*(MAX($D$16,(AD44)-(K32))),0.000001))</f>
        <v>2231.1319822148898</v>
      </c>
      <c r="AJ44">
        <f ca="1">((G32)*(MAX($D$16,(AF44)-(K32)))^2)/2+(I32)*(MAX($D$16,(AF44)-(K32)))^3/3+(ABS(G44)^2)/($I$5*MAX(((G32)+(I32)*(MAX($D$16,(AF44)-(K32))))*(MAX($D$16,(AF44)-(K32))),0.000001))</f>
        <v>519.58480272613974</v>
      </c>
      <c r="AK44" t="str">
        <f t="shared" ca="1" si="5"/>
        <v>Subcritical</v>
      </c>
      <c r="AL44" t="str">
        <f t="shared" ca="1" si="6"/>
        <v>Subcritical</v>
      </c>
      <c r="AM44">
        <f t="shared" ca="1" si="7"/>
        <v>1212.9041132351017</v>
      </c>
      <c r="AN44">
        <f t="shared" ca="1" si="8"/>
        <v>1211.8877274342417</v>
      </c>
      <c r="AO44">
        <f t="shared" ca="1" si="9"/>
        <v>861.7214939738202</v>
      </c>
      <c r="AP44">
        <f t="shared" ca="1" si="10"/>
        <v>860.16731270927244</v>
      </c>
    </row>
    <row r="45" spans="1:42" x14ac:dyDescent="0.35">
      <c r="A45">
        <v>2</v>
      </c>
      <c r="B45">
        <f t="shared" si="11"/>
        <v>1</v>
      </c>
      <c r="C45">
        <f t="shared" ca="1" si="12"/>
        <v>0.96914756767652288</v>
      </c>
      <c r="D45">
        <f t="shared" ca="1" si="13"/>
        <v>1212.9041132351017</v>
      </c>
      <c r="E45">
        <f t="shared" ca="1" si="14"/>
        <v>1211.8877274342417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 ca="1">IF(AND(N7="None",N8="None"),0,IF(N8="None",G45,IF(N7="None",0,MAX(0,G45*C45))))</f>
        <v>49.426525951502668</v>
      </c>
      <c r="J45">
        <f ca="1">IF(AND(N7="None",N8="None"),0,IF(N8="None",0,IF(N7="None",G45,MAX(0,G45-I45))))</f>
        <v>1.5734740484973315</v>
      </c>
      <c r="K45">
        <f>P5</f>
        <v>637</v>
      </c>
      <c r="L45">
        <f>P6</f>
        <v>634.3119999999999</v>
      </c>
      <c r="M45">
        <f>P7</f>
        <v>635.5</v>
      </c>
      <c r="N45">
        <f>P8</f>
        <v>631.54999999999995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-2091.5872404992097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651.5850445607341</v>
      </c>
      <c r="Q45">
        <f ca="1">L45+((ABS(H45)/MAX(((G33)+(I33)*(MAX($D$16,(L45)-(K33))))*(MAX($D$16,(L45)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AC45)-(J33))))*(MAX($D$16,(AC45)-(J33))),0.000001)),$D$9*((((ABS(H45)/MAX(((G33)+(I33)*(MAX($D$16,(L45)-(K33))))*(MAX($D$16,(L45)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L45)-(K33))))*(MAX($D$16,(L45)-(K33))),0.000001))^2)/(2*$I$5)))))+($D$10*(ABS((X33)-(W33))/90)*MAX(((ABS(H45)/MAX(((F33)+(H33)*(MAX($D$16,(AC45)-(J33))))*(MAX($D$16,(AC45)-(J33))),0.000001))^2)/(2*$I$5),((ABS(H45)/MAX(((G33)+(I33)*(MAX($D$16,(L45)-(K33))))*(MAX($D$16,(L45)-(K33))),0.000001))^2)/(2*$I$5)))+(($D$11*0.00000015*(ABS(G45)/MAX(ABS(F45),0.000001))^2*MAX(((ABS(H45)/MAX(((F33)+(H33)*(MAX($D$16,(AC45)-(J33))))*(MAX($D$16,(AC45)-(J33))),0.000001))^2)/(2*$I$5),((ABS(H45)/MAX(((G33)+(I33)*(MAX($D$16,(L45)-(K33))))*(MAX($D$16,(L45)-(K33))),0.000001))^2)/(2*$I$5))))-((ABS(H45)/MAX(((F33)+(H33)*(MAX($D$16,(AC45)-(J33))))*(MAX($D$16,(AC45)-(J33))),0.000001))^2)/(2*$I$5)</f>
        <v>634.3119999999999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-292118.81246378768</v>
      </c>
      <c r="S45">
        <f ca="1">M45+((ABS(I45)/MAX(((G34)+(I34)*(MAX($D$16,(M45)-(K34))))*(MAX($D$16,(M45)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AD45)-(J34))))*(MAX($D$16,(AD45)-(J34))),0.000001)),$D$9*((((ABS(I45)/MAX(((G34)+(I34)*(MAX($D$16,(M45)-(K34))))*(MAX($D$16,(M45)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M45)-(K34))))*(MAX($D$16,(M45)-(K34))),0.000001))^2)/(2*$I$5)))))+($D$10*(ABS((X34)-(W34))/90)*MAX(((ABS(I45)/MAX(((F34)+(H34)*(MAX($D$16,(AD45)-(J34))))*(MAX($D$16,(AD45)-(J34))),0.000001))^2)/(2*$I$5),((ABS(I45)/MAX(((G34)+(I34)*(MAX($D$16,(M45)-(K34))))*(MAX($D$16,(M45)-(K34))),0.000001))^2)/(2*$I$5)))+(0)-((ABS(I45)/MAX(((F34)+(H34)*(MAX($D$16,(AD45)-(J34))))*(MAX($D$16,(AD45)-(J34))),0.000001))^2)/(2*$I$5)</f>
        <v>635.52739840689878</v>
      </c>
      <c r="T45">
        <f ca="1">N45+((ABS(J45)/MAX(((G35)+(I35)*(MAX($D$16,(N45)-(K35))))*(MAX($D$16,(N45)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AD45)-(J35))))*(MAX($D$16,(AD45)-(J35))),0.000001)),$D$9*((((ABS(J45)/MAX(((G35)+(I35)*(MAX($D$16,(N45)-(K35))))*(MAX($D$16,(N45)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N45)-(K35))))*(MAX($D$16,(N45)-(K35))),0.000001))^2)/(2*$I$5)))))+($D$10*(ABS((X35)-(W35))/90)*MAX(((ABS(J45)/MAX(((F35)+(H35)*(MAX($D$16,(AD45)-(J35))))*(MAX($D$16,(AD45)-(J35))),0.000001))^2)/(2*$I$5),((ABS(J45)/MAX(((G35)+(I35)*(MAX($D$16,(N45)-(K35))))*(MAX($D$16,(N45)-(K35))),0.000001))^2)/(2*$I$5)))+(($D$11*0.34699541*(ABS(I45)/MAX(ABS(G45),0.000001))^2*MAX(((ABS(J45)/MAX(((F35)+(H35)*(MAX($D$16,(AD45)-(J35))))*(MAX($D$16,(AD45)-(J35))),0.000001))^2)/(2*$I$5),((ABS(J45)/MAX(((G35)+(I35)*(MAX($D$16,(N45)-(K35))))*(MAX($D$16,(N45)-(K35))),0.000001))^2)/(2*$I$5))))-((ABS(J45)/MAX(((F35)+(H35)*(MAX($D$16,(AD45)-(J35))))*(MAX($D$16,(AD45)-(J35))),0.000001))^2)/(2*$I$5)</f>
        <v>651.57810224110449</v>
      </c>
      <c r="U45">
        <f ca="1">((((G31)*(MAX($D$16,(AE45)-(K31)))^2)/2+(I31)*(MAX($D$16,(AE45)-(K31)))^3/3+(ABS(F45)^2)/($I$5*MAX(((G31)+(I31)*(MAX($D$16,(AE45)-(K31))))*(MAX($D$16,(AE45)-(K31))),0.000001)))-(IF(N6="None",((((F32)*(MAX($D$16,(AE45)-(J32)))^2)/2+(H32)*(MAX($D$16,(AE45)-(J32)))^3/3+(ABS(G45)^2)/($I$5*MAX(((F32)+(H32)*(MAX($D$16,(AE45)-(J32))))*(MAX($D$16,(AE45)-(J32))),0.000001)))*0.72785025),(((((F32)*(MAX($D$16,(AE45)-(J32)))^2)/2+(H32)*(MAX($D$16,(AE45)-(J32)))^3/3+(ABS(G45)^2)/($I$5*MAX(((F32)+(H32)*(MAX($D$16,(AE45)-(J32))))*(MAX($D$16,(AE45)-(J32))),0.000001)))*0.72785025)+((((F33)*(MAX($D$16,(AE45)-(J33)))^2)/2+(H33)*(MAX($D$16,(AE45)-(J33)))^3/3+(ABS(H45)^2)/($I$5*MAX(((F33)+(H33)*(MAX($D$16,(AE45)-(J33))))*(MAX($D$16,(AE45)-(J33))),0.000001)))*0.99999971)))))/MAX(((G31)*(MAX($D$16,(AE45)-(K31)))^2)/2+(I31)*(MAX($D$16,(AE45)-(K31)))^3/3+(ABS(F45)^2)/($I$5*MAX(((G31)+(I31)*(MAX($D$16,(AE45)-(K31))))*(MAX($D$16,(AE45)-(K31))),0.000001)),0.000001)</f>
        <v>0.27214975000000002</v>
      </c>
      <c r="V45">
        <f ca="1">((((G32)*(MAX($D$16,(AF45)-(K32)))^2)/2+(I32)*(MAX($D$16,(AF45)-(K32)))^3/3+(ABS(G45)^2)/($I$5*MAX(((G32)+(I32)*(MAX($D$16,(AF45)-(K32))))*(MAX($D$16,(AF45)-(K32))),0.000001)))-(IF(AND(N7="None",N8="None"),0,IF(N8="None",((((F34)*(MAX($D$16,(AF45)-(J34)))^2)/2+(H34)*(MAX($D$16,(AF45)-(J34)))^3/3+(ABS(I45)^2)/($I$5*MAX(((F34)+(H34)*(MAX($D$16,(AF45)-(J34))))*(MAX($D$16,(AF45)-(J34))),0.000001)))*1),IF(N7="None",((((F35)*(MAX($D$16,(AF45)-(J35)))^2)/2+(H35)*(MAX($D$16,(AF45)-(J35)))^3/3+(ABS(J45)^2)/($I$5*MAX(((F35)+(H35)*(MAX($D$16,(AF45)-(J35))))*(MAX($D$16,(AF45)-(J35))),0.000001)))*0.30600918),(((((F34)*(MAX($D$16,(AF45)-(J34)))^2)/2+(H34)*(MAX($D$16,(AF45)-(J34)))^3/3+(ABS(I45)^2)/($I$5*MAX(((F34)+(H34)*(MAX($D$16,(AF45)-(J34))))*(MAX($D$16,(AF45)-(J34))),0.000001)))*1)+((((F35)*(MAX($D$16,(AF45)-(J35)))^2)/2+(H35)*(MAX($D$16,(AF45)-(J35)))^3/3+(ABS(J45)^2)/($I$5*MAX(((F35)+(H35)*(MAX($D$16,(AF45)-(J35))))*(MAX($D$16,(AF45)-(J35))),0.000001)))*0.30600918)))))))/MAX(((G32)*(MAX($D$16,(AF45)-(K32)))^2)/2+(I32)*(MAX($D$16,(AF45)-(K32)))^3/3+(ABS(G45)^2)/($I$5*MAX(((G32)+(I32)*(MAX($D$16,(AF45)-(K32))))*(MAX($D$16,(AF45)-(K32))),0.000001)),0.000001)</f>
        <v>6.0174380781522582E-2</v>
      </c>
      <c r="W45">
        <f ca="1">ABS((IF(N6="None",P45,MAX(P45,Q45)))-D45)</f>
        <v>561.3190686743676</v>
      </c>
      <c r="X45">
        <f ca="1">ABS((IF(AND(N7="None",N8="None"),E45,IF(N8="None",S45,IF(N7="None",T45,MAX(S45,T45)))))-E45)</f>
        <v>560.30962519313721</v>
      </c>
      <c r="Y45">
        <f>IF(N6="None",1,MIN(0.98,MAX(0.02,B45+$D$14*((Q45-P45)/MAX(ABS(D45),1)))))</f>
        <v>1</v>
      </c>
      <c r="Z45">
        <f ca="1">IF(AND(N7="None",N8="None"),C45,IF(N8="None",1,IF(N7="None",0,MIN(0.98,MAX(0.02,C45+$D$14*((T45-S45)/MAX(ABS(E45),1)))))))</f>
        <v>0.97020711822536376</v>
      </c>
      <c r="AA45">
        <f t="shared" ca="1" si="3"/>
        <v>1016.4427810685631</v>
      </c>
      <c r="AB45">
        <f t="shared" ca="1" si="4"/>
        <v>1015.7796914166972</v>
      </c>
      <c r="AC45">
        <f ca="1">IF($D$20=0,D45,IF(AC45=0,(IF(N6="None",P45,MAX(P45,Q45))),IF(ABS((IF(N6="None",P45,MAX(P45,Q45)))-AC45)&lt;$D$19,AC45,MAX((K31)+$D$16,AC45+$D$13*(((IF(N6="None",P45,MAX(P45,Q45)))-AC45))))))</f>
        <v>651.58602133070576</v>
      </c>
      <c r="AD45">
        <f ca="1">IF($D$20=0,E45,IF(AD45=0,(IF(AND(N7="None",N8="None"),E45,IF(N8="None",S45,IF(N7="None",T45,MAX(S45,T45))))),IF(ABS((IF(AND(N7="None",N8="None"),E45,IF(N8="None",S45,IF(N7="None",T45,MAX(S45,T45)))))-AD45)&lt;$D$19,AD45,MAX((K32)+$D$16,AD45+$D$13*(((IF(AND(N7="None",N8="None"),E45,IF(N8="None",S45,IF(N7="None",T45,MAX(S45,T45)))))-AD45))))))</f>
        <v>651.57905309840021</v>
      </c>
      <c r="AE45">
        <f ca="1">IF($D$20=0,D45,IF(AE45=0,O45,IF(ABS(U45)&lt;$D$19,AE45,MAX((K31)+$D$16,AE45+($D$13*(((O45)-AE45)+(U45*MAX(ABS(AE45-(K31)),1))))))))</f>
        <v>634.34799999999996</v>
      </c>
      <c r="AF45">
        <f ca="1">IF($D$20=0,E45,IF(AF45=0,R45,IF(ABS(V45)&lt;$D$19,AF45,MAX((K32)+$D$16,AF45+($D$13*(((R45)-AF45)+(V45*MAX(ABS(AF45-(K32)),1))))))))</f>
        <v>631.92499999999995</v>
      </c>
      <c r="AG45">
        <f ca="1">((G31)*(MAX($D$16,(AC45)-(K31)))^2)/2+(I31)*(MAX($D$16,(AC45)-(K31)))^3/3+(ABS(F45)^2)/($I$5*MAX(((G31)+(I31)*(MAX($D$16,(AC45)-(K31))))*(MAX($D$16,(AC45)-(K31))),0.000001))</f>
        <v>982.35195272573594</v>
      </c>
      <c r="AH45">
        <f ca="1">((G31)*(MAX($D$16,(AE45)-(K31)))^2)/2+(I31)*(MAX($D$16,(AE45)-(K31)))^3/3+(ABS(F45)^2)/($I$5*MAX(((G31)+(I31)*(MAX($D$16,(AE45)-(K31))))*(MAX($D$16,(AE45)-(K31))),0.000001))</f>
        <v>808.60110594434002</v>
      </c>
      <c r="AI45">
        <f ca="1">((G32)*(MAX($D$16,(AD45)-(K32)))^2)/2+(I32)*(MAX($D$16,(AD45)-(K32)))^3/3+(ABS(G45)^2)/($I$5*MAX(((G32)+(I32)*(MAX($D$16,(AD45)-(K32))))*(MAX($D$16,(AD45)-(K32))),0.000001))</f>
        <v>1982.5567020164194</v>
      </c>
      <c r="AJ45">
        <f ca="1">((G32)*(MAX($D$16,(AF45)-(K32)))^2)/2+(I32)*(MAX($D$16,(AF45)-(K32)))^3/3+(ABS(G45)^2)/($I$5*MAX(((G32)+(I32)*(MAX($D$16,(AF45)-(K32))))*(MAX($D$16,(AF45)-(K32))),0.000001))</f>
        <v>519.58480272613974</v>
      </c>
      <c r="AK45" t="str">
        <f t="shared" ca="1" si="5"/>
        <v>Subcritical</v>
      </c>
      <c r="AL45" t="str">
        <f t="shared" ca="1" si="6"/>
        <v>Subcritical</v>
      </c>
      <c r="AM45">
        <f t="shared" ca="1" si="7"/>
        <v>1016.4427810685631</v>
      </c>
      <c r="AN45">
        <f t="shared" ca="1" si="8"/>
        <v>1015.7796914166972</v>
      </c>
      <c r="AO45">
        <f t="shared" ca="1" si="9"/>
        <v>561.31809190439594</v>
      </c>
      <c r="AP45">
        <f t="shared" ca="1" si="10"/>
        <v>560.30867433584149</v>
      </c>
    </row>
    <row r="46" spans="1:42" x14ac:dyDescent="0.35">
      <c r="A46">
        <v>3</v>
      </c>
      <c r="B46">
        <f t="shared" si="11"/>
        <v>1</v>
      </c>
      <c r="C46">
        <f t="shared" ca="1" si="12"/>
        <v>0.97020711822536376</v>
      </c>
      <c r="D46">
        <f t="shared" ca="1" si="13"/>
        <v>1016.4427810685631</v>
      </c>
      <c r="E46">
        <f t="shared" ca="1" si="14"/>
        <v>1015.7796914166972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 ca="1">IF(AND(N7="None",N8="None"),0,IF(N8="None",G46,IF(N7="None",0,MAX(0,G46*C46))))</f>
        <v>49.480563029493553</v>
      </c>
      <c r="J46">
        <f ca="1">IF(AND(N7="None",N8="None"),0,IF(N8="None",0,IF(N7="None",G46,MAX(0,G46-I46))))</f>
        <v>1.5194369705064474</v>
      </c>
      <c r="K46">
        <f>P5</f>
        <v>637</v>
      </c>
      <c r="L46">
        <f>P6</f>
        <v>634.3119999999999</v>
      </c>
      <c r="M46">
        <f>P7</f>
        <v>635.5</v>
      </c>
      <c r="N46">
        <f>P8</f>
        <v>631.54999999999995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-2091.5872404992097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650.23591547951798</v>
      </c>
      <c r="Q46">
        <f ca="1">L46+((ABS(H46)/MAX(((G33)+(I33)*(MAX($D$16,(L46)-(K33))))*(MAX($D$16,(L46)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AC46)-(J33))))*(MAX($D$16,(AC46)-(J33))),0.000001)),$D$9*((((ABS(H46)/MAX(((G33)+(I33)*(MAX($D$16,(L46)-(K33))))*(MAX($D$16,(L46)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L46)-(K33))))*(MAX($D$16,(L46)-(K33))),0.000001))^2)/(2*$I$5)))))+($D$10*(ABS((X33)-(W33))/90)*MAX(((ABS(H46)/MAX(((F33)+(H33)*(MAX($D$16,(AC46)-(J33))))*(MAX($D$16,(AC46)-(J33))),0.000001))^2)/(2*$I$5),((ABS(H46)/MAX(((G33)+(I33)*(MAX($D$16,(L46)-(K33))))*(MAX($D$16,(L46)-(K33))),0.000001))^2)/(2*$I$5)))+(($D$11*0.00000015*(ABS(G46)/MAX(ABS(F46),0.000001))^2*MAX(((ABS(H46)/MAX(((F33)+(H33)*(MAX($D$16,(AC46)-(J33))))*(MAX($D$16,(AC46)-(J33))),0.000001))^2)/(2*$I$5),((ABS(H46)/MAX(((G33)+(I33)*(MAX($D$16,(L46)-(K33))))*(MAX($D$16,(L46)-(K33))),0.000001))^2)/(2*$I$5))))-((ABS(H46)/MAX(((F33)+(H33)*(MAX($D$16,(AC46)-(J33))))*(MAX($D$16,(AC46)-(J33))),0.000001))^2)/(2*$I$5)</f>
        <v>634.3119999999999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-292118.81246378768</v>
      </c>
      <c r="S46">
        <f ca="1">M46+((ABS(I46)/MAX(((G34)+(I34)*(MAX($D$16,(M46)-(K34))))*(MAX($D$16,(M46)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AD46)-(J34))))*(MAX($D$16,(AD46)-(J34))),0.000001)),$D$9*((((ABS(I46)/MAX(((G34)+(I34)*(MAX($D$16,(M46)-(K34))))*(MAX($D$16,(M46)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M46)-(K34))))*(MAX($D$16,(M46)-(K34))),0.000001))^2)/(2*$I$5)))))+($D$10*(ABS((X34)-(W34))/90)*MAX(((ABS(I46)/MAX(((F34)+(H34)*(MAX($D$16,(AD46)-(J34))))*(MAX($D$16,(AD46)-(J34))),0.000001))^2)/(2*$I$5),((ABS(I46)/MAX(((G34)+(I34)*(MAX($D$16,(M46)-(K34))))*(MAX($D$16,(M46)-(K34))),0.000001))^2)/(2*$I$5)))+(0)-((ABS(I46)/MAX(((F34)+(H34)*(MAX($D$16,(AD46)-(J34))))*(MAX($D$16,(AD46)-(J34))),0.000001))^2)/(2*$I$5)</f>
        <v>635.52694758626899</v>
      </c>
      <c r="T46">
        <f ca="1">N46+((ABS(J46)/MAX(((G35)+(I35)*(MAX($D$16,(N46)-(K35))))*(MAX($D$16,(N46)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AD46)-(J35))))*(MAX($D$16,(AD46)-(J35))),0.000001)),$D$9*((((ABS(J46)/MAX(((G35)+(I35)*(MAX($D$16,(N46)-(K35))))*(MAX($D$16,(N46)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N46)-(K35))))*(MAX($D$16,(N46)-(K35))),0.000001))^2)/(2*$I$5)))))+($D$10*(ABS((X35)-(W35))/90)*MAX(((ABS(J46)/MAX(((F35)+(H35)*(MAX($D$16,(AD46)-(J35))))*(MAX($D$16,(AD46)-(J35))),0.000001))^2)/(2*$I$5),((ABS(J46)/MAX(((G35)+(I35)*(MAX($D$16,(N46)-(K35))))*(MAX($D$16,(N46)-(K35))),0.000001))^2)/(2*$I$5)))+(($D$11*0.34699541*(ABS(I46)/MAX(ABS(G46),0.000001))^2*MAX(((ABS(J46)/MAX(((F35)+(H35)*(MAX($D$16,(AD46)-(J35))))*(MAX($D$16,(AD46)-(J35))),0.000001))^2)/(2*$I$5),((ABS(J46)/MAX(((G35)+(I35)*(MAX($D$16,(N46)-(K35))))*(MAX($D$16,(N46)-(K35))),0.000001))^2)/(2*$I$5))))-((ABS(J46)/MAX(((F35)+(H35)*(MAX($D$16,(AD46)-(J35))))*(MAX($D$16,(AD46)-(J35))),0.000001))^2)/(2*$I$5)</f>
        <v>650.22781665455852</v>
      </c>
      <c r="U46">
        <f ca="1">((((G31)*(MAX($D$16,(AE46)-(K31)))^2)/2+(I31)*(MAX($D$16,(AE46)-(K31)))^3/3+(ABS(F46)^2)/($I$5*MAX(((G31)+(I31)*(MAX($D$16,(AE46)-(K31))))*(MAX($D$16,(AE46)-(K31))),0.000001)))-(IF(N6="None",((((F32)*(MAX($D$16,(AE46)-(J32)))^2)/2+(H32)*(MAX($D$16,(AE46)-(J32)))^3/3+(ABS(G46)^2)/($I$5*MAX(((F32)+(H32)*(MAX($D$16,(AE46)-(J32))))*(MAX($D$16,(AE46)-(J32))),0.000001)))*0.72785025),(((((F32)*(MAX($D$16,(AE46)-(J32)))^2)/2+(H32)*(MAX($D$16,(AE46)-(J32)))^3/3+(ABS(G46)^2)/($I$5*MAX(((F32)+(H32)*(MAX($D$16,(AE46)-(J32))))*(MAX($D$16,(AE46)-(J32))),0.000001)))*0.72785025)+((((F33)*(MAX($D$16,(AE46)-(J33)))^2)/2+(H33)*(MAX($D$16,(AE46)-(J33)))^3/3+(ABS(H46)^2)/($I$5*MAX(((F33)+(H33)*(MAX($D$16,(AE46)-(J33))))*(MAX($D$16,(AE46)-(J33))),0.000001)))*0.99999971)))))/MAX(((G31)*(MAX($D$16,(AE46)-(K31)))^2)/2+(I31)*(MAX($D$16,(AE46)-(K31)))^3/3+(ABS(F46)^2)/($I$5*MAX(((G31)+(I31)*(MAX($D$16,(AE46)-(K31))))*(MAX($D$16,(AE46)-(K31))),0.000001)),0.000001)</f>
        <v>0.27214975000000002</v>
      </c>
      <c r="V46">
        <f ca="1">((((G32)*(MAX($D$16,(AF46)-(K32)))^2)/2+(I32)*(MAX($D$16,(AF46)-(K32)))^3/3+(ABS(G46)^2)/($I$5*MAX(((G32)+(I32)*(MAX($D$16,(AF46)-(K32))))*(MAX($D$16,(AF46)-(K32))),0.000001)))-(IF(AND(N7="None",N8="None"),0,IF(N8="None",((((F34)*(MAX($D$16,(AF46)-(J34)))^2)/2+(H34)*(MAX($D$16,(AF46)-(J34)))^3/3+(ABS(I46)^2)/($I$5*MAX(((F34)+(H34)*(MAX($D$16,(AF46)-(J34))))*(MAX($D$16,(AF46)-(J34))),0.000001)))*1),IF(N7="None",((((F35)*(MAX($D$16,(AF46)-(J35)))^2)/2+(H35)*(MAX($D$16,(AF46)-(J35)))^3/3+(ABS(J46)^2)/($I$5*MAX(((F35)+(H35)*(MAX($D$16,(AF46)-(J35))))*(MAX($D$16,(AF46)-(J35))),0.000001)))*0.30600918),(((((F34)*(MAX($D$16,(AF46)-(J34)))^2)/2+(H34)*(MAX($D$16,(AF46)-(J34)))^3/3+(ABS(I46)^2)/($I$5*MAX(((F34)+(H34)*(MAX($D$16,(AF46)-(J34))))*(MAX($D$16,(AF46)-(J34))),0.000001)))*1)+((((F35)*(MAX($D$16,(AF46)-(J35)))^2)/2+(H35)*(MAX($D$16,(AF46)-(J35)))^3/3+(ABS(J46)^2)/($I$5*MAX(((F35)+(H35)*(MAX($D$16,(AF46)-(J35))))*(MAX($D$16,(AF46)-(J35))),0.000001)))*0.30600918)))))))/MAX(((G32)*(MAX($D$16,(AF46)-(K32)))^2)/2+(I32)*(MAX($D$16,(AF46)-(K32)))^3/3+(ABS(G46)^2)/($I$5*MAX(((G32)+(I32)*(MAX($D$16,(AF46)-(K32))))*(MAX($D$16,(AF46)-(K32))),0.000001)),0.000001)</f>
        <v>5.812190016933011E-2</v>
      </c>
      <c r="W46">
        <f ca="1">ABS((IF(N6="None",P46,MAX(P46,Q46)))-D46)</f>
        <v>366.20686558904515</v>
      </c>
      <c r="X46">
        <f ca="1">ABS((IF(AND(N7="None",N8="None"),E46,IF(N8="None",S46,IF(N7="None",T46,MAX(S46,T46)))))-E46)</f>
        <v>365.55187476213871</v>
      </c>
      <c r="Y46">
        <f>IF(N6="None",1,MIN(0.98,MAX(0.02,B46+$D$14*((Q46-P46)/MAX(ABS(D46),1)))))</f>
        <v>1</v>
      </c>
      <c r="Z46">
        <f ca="1">IF(AND(N7="None",N8="None"),C46,IF(N8="None",1,IF(N7="None",0,MIN(0.98,MAX(0.02,C46+$D$14*((T46-S46)/MAX(ABS(E46),1)))))))</f>
        <v>0.97136491802723113</v>
      </c>
      <c r="AA46">
        <f t="shared" ca="1" si="3"/>
        <v>888.27071926616259</v>
      </c>
      <c r="AB46">
        <f t="shared" ca="1" si="4"/>
        <v>887.8368618442812</v>
      </c>
      <c r="AC46">
        <f ca="1">IF($D$20=0,D46,IF(AC46=0,(IF(N6="None",P46,MAX(P46,Q46))),IF(ABS((IF(N6="None",P46,MAX(P46,Q46)))-AC46)&lt;$D$19,AC46,MAX((K31)+$D$16,AC46+$D$13*(((IF(N6="None",P46,MAX(P46,Q46)))-AC46))))))</f>
        <v>650.23689020456152</v>
      </c>
      <c r="AD46">
        <f ca="1">IF($D$20=0,E46,IF(AD46=0,(IF(AND(N7="None",N8="None"),E46,IF(N8="None",S46,IF(N7="None",T46,MAX(S46,T46))))),IF(ABS((IF(AND(N7="None",N8="None"),E46,IF(N8="None",S46,IF(N7="None",T46,MAX(S46,T46)))))-AD46)&lt;$D$19,AD46,MAX((K32)+$D$16,AD46+$D$13*(((IF(AND(N7="None",N8="None"),E46,IF(N8="None",S46,IF(N7="None",T46,MAX(S46,T46)))))-AD46))))))</f>
        <v>650.22874978122297</v>
      </c>
      <c r="AE46">
        <f ca="1">IF($D$20=0,D46,IF(AE46=0,O46,IF(ABS(U46)&lt;$D$19,AE46,MAX((K31)+$D$16,AE46+($D$13*(((O46)-AE46)+(U46*MAX(ABS(AE46-(K31)),1))))))))</f>
        <v>634.34799999999996</v>
      </c>
      <c r="AF46">
        <f ca="1">IF($D$20=0,E46,IF(AF46=0,R46,IF(ABS(V46)&lt;$D$19,AF46,MAX((K32)+$D$16,AF46+($D$13*(((R46)-AF46)+(V46*MAX(ABS(AF46-(K32)),1))))))))</f>
        <v>631.92499999999995</v>
      </c>
      <c r="AG46">
        <f ca="1">((G31)*(MAX($D$16,(AC46)-(K31)))^2)/2+(I31)*(MAX($D$16,(AC46)-(K31)))^3/3+(ABS(F46)^2)/($I$5*MAX(((G31)+(I31)*(MAX($D$16,(AC46)-(K31))))*(MAX($D$16,(AC46)-(K31))),0.000001))</f>
        <v>835.56065731211027</v>
      </c>
      <c r="AH46">
        <f ca="1">((G31)*(MAX($D$16,(AE46)-(K31)))^2)/2+(I31)*(MAX($D$16,(AE46)-(K31)))^3/3+(ABS(F46)^2)/($I$5*MAX(((G31)+(I31)*(MAX($D$16,(AE46)-(K31))))*(MAX($D$16,(AE46)-(K31))),0.000001))</f>
        <v>808.60110594434002</v>
      </c>
      <c r="AI46">
        <f ca="1">((G32)*(MAX($D$16,(AD46)-(K32)))^2)/2+(I32)*(MAX($D$16,(AD46)-(K32)))^3/3+(ABS(G46)^2)/($I$5*MAX(((G32)+(I32)*(MAX($D$16,(AD46)-(K32))))*(MAX($D$16,(AD46)-(K32))),0.000001))</f>
        <v>1720.4126870569955</v>
      </c>
      <c r="AJ46">
        <f ca="1">((G32)*(MAX($D$16,(AF46)-(K32)))^2)/2+(I32)*(MAX($D$16,(AF46)-(K32)))^3/3+(ABS(G46)^2)/($I$5*MAX(((G32)+(I32)*(MAX($D$16,(AF46)-(K32))))*(MAX($D$16,(AF46)-(K32))),0.000001))</f>
        <v>519.58480272613974</v>
      </c>
      <c r="AK46" t="str">
        <f t="shared" ca="1" si="5"/>
        <v>Subcritical</v>
      </c>
      <c r="AL46" t="str">
        <f t="shared" ca="1" si="6"/>
        <v>Subcritical</v>
      </c>
      <c r="AM46">
        <f t="shared" ca="1" si="7"/>
        <v>888.27071926616259</v>
      </c>
      <c r="AN46">
        <f t="shared" ca="1" si="8"/>
        <v>887.8368618442812</v>
      </c>
      <c r="AO46">
        <f t="shared" ca="1" si="9"/>
        <v>366.20589086400162</v>
      </c>
      <c r="AP46">
        <f t="shared" ca="1" si="10"/>
        <v>365.55094163547426</v>
      </c>
    </row>
    <row r="47" spans="1:42" x14ac:dyDescent="0.35">
      <c r="A47">
        <v>4</v>
      </c>
      <c r="B47">
        <f t="shared" si="11"/>
        <v>1</v>
      </c>
      <c r="C47">
        <f t="shared" ca="1" si="12"/>
        <v>0.97136491802723113</v>
      </c>
      <c r="D47">
        <f t="shared" ca="1" si="13"/>
        <v>888.27071926616259</v>
      </c>
      <c r="E47">
        <f t="shared" ca="1" si="14"/>
        <v>887.8368618442812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 ca="1">IF(AND(N7="None",N8="None"),0,IF(N8="None",G47,IF(N7="None",0,MAX(0,G47*C47))))</f>
        <v>49.539610819388784</v>
      </c>
      <c r="J47">
        <f ca="1">IF(AND(N7="None",N8="None"),0,IF(N8="None",0,IF(N7="None",G47,MAX(0,G47-I47))))</f>
        <v>1.4603891806112159</v>
      </c>
      <c r="K47">
        <f>P5</f>
        <v>637</v>
      </c>
      <c r="L47">
        <f>P6</f>
        <v>634.3119999999999</v>
      </c>
      <c r="M47">
        <f>P7</f>
        <v>635.5</v>
      </c>
      <c r="N47">
        <f>P8</f>
        <v>631.54999999999995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-2091.5872404992097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648.81582084757179</v>
      </c>
      <c r="Q47">
        <f ca="1">L47+((ABS(H47)/MAX(((G33)+(I33)*(MAX($D$16,(L47)-(K33))))*(MAX($D$16,(L47)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AC47)-(J33))))*(MAX($D$16,(AC47)-(J33))),0.000001)),$D$9*((((ABS(H47)/MAX(((G33)+(I33)*(MAX($D$16,(L47)-(K33))))*(MAX($D$16,(L47)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L47)-(K33))))*(MAX($D$16,(L47)-(K33))),0.000001))^2)/(2*$I$5)))))+($D$10*(ABS((X33)-(W33))/90)*MAX(((ABS(H47)/MAX(((F33)+(H33)*(MAX($D$16,(AC47)-(J33))))*(MAX($D$16,(AC47)-(J33))),0.000001))^2)/(2*$I$5),((ABS(H47)/MAX(((G33)+(I33)*(MAX($D$16,(L47)-(K33))))*(MAX($D$16,(L47)-(K33))),0.000001))^2)/(2*$I$5)))+(($D$11*0.00000015*(ABS(G47)/MAX(ABS(F47),0.000001))^2*MAX(((ABS(H47)/MAX(((F33)+(H33)*(MAX($D$16,(AC47)-(J33))))*(MAX($D$16,(AC47)-(J33))),0.000001))^2)/(2*$I$5),((ABS(H47)/MAX(((G33)+(I33)*(MAX($D$16,(L47)-(K33))))*(MAX($D$16,(L47)-(K33))),0.000001))^2)/(2*$I$5))))-((ABS(H47)/MAX(((F33)+(H33)*(MAX($D$16,(AC47)-(J33))))*(MAX($D$16,(AC47)-(J33))),0.000001))^2)/(2*$I$5)</f>
        <v>634.3119999999999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-292118.81246378768</v>
      </c>
      <c r="S47">
        <f ca="1">M47+((ABS(I47)/MAX(((G34)+(I34)*(MAX($D$16,(M47)-(K34))))*(MAX($D$16,(M47)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AD47)-(J34))))*(MAX($D$16,(AD47)-(J34))),0.000001)),$D$9*((((ABS(I47)/MAX(((G34)+(I34)*(MAX($D$16,(M47)-(K34))))*(MAX($D$16,(M47)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M47)-(K34))))*(MAX($D$16,(M47)-(K34))),0.000001))^2)/(2*$I$5)))))+($D$10*(ABS((X34)-(W34))/90)*MAX(((ABS(I47)/MAX(((F34)+(H34)*(MAX($D$16,(AD47)-(J34))))*(MAX($D$16,(AD47)-(J34))),0.000001))^2)/(2*$I$5),((ABS(I47)/MAX(((G34)+(I34)*(MAX($D$16,(M47)-(K34))))*(MAX($D$16,(M47)-(K34))),0.000001))^2)/(2*$I$5)))+(0)-((ABS(I47)/MAX(((F34)+(H34)*(MAX($D$16,(AD47)-(J34))))*(MAX($D$16,(AD47)-(J34))),0.000001))^2)/(2*$I$5)</f>
        <v>635.52633536870565</v>
      </c>
      <c r="T47">
        <f ca="1">N47+((ABS(J47)/MAX(((G35)+(I35)*(MAX($D$16,(N47)-(K35))))*(MAX($D$16,(N47)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AD47)-(J35))))*(MAX($D$16,(AD47)-(J35))),0.000001)),$D$9*((((ABS(J47)/MAX(((G35)+(I35)*(MAX($D$16,(N47)-(K35))))*(MAX($D$16,(N47)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N47)-(K35))))*(MAX($D$16,(N47)-(K35))),0.000001))^2)/(2*$I$5)))))+($D$10*(ABS((X35)-(W35))/90)*MAX(((ABS(J47)/MAX(((F35)+(H35)*(MAX($D$16,(AD47)-(J35))))*(MAX($D$16,(AD47)-(J35))),0.000001))^2)/(2*$I$5),((ABS(J47)/MAX(((G35)+(I35)*(MAX($D$16,(N47)-(K35))))*(MAX($D$16,(N47)-(K35))),0.000001))^2)/(2*$I$5)))+(($D$11*0.34699541*(ABS(I47)/MAX(ABS(G47),0.000001))^2*MAX(((ABS(J47)/MAX(((F35)+(H35)*(MAX($D$16,(AD47)-(J35))))*(MAX($D$16,(AD47)-(J35))),0.000001))^2)/(2*$I$5),((ABS(J47)/MAX(((G35)+(I35)*(MAX($D$16,(N47)-(K35))))*(MAX($D$16,(N47)-(K35))),0.000001))^2)/(2*$I$5))))-((ABS(J47)/MAX(((F35)+(H35)*(MAX($D$16,(AD47)-(J35))))*(MAX($D$16,(AD47)-(J35))),0.000001))^2)/(2*$I$5)</f>
        <v>648.80606639271377</v>
      </c>
      <c r="U47">
        <f ca="1">((((G31)*(MAX($D$16,(AE47)-(K31)))^2)/2+(I31)*(MAX($D$16,(AE47)-(K31)))^3/3+(ABS(F47)^2)/($I$5*MAX(((G31)+(I31)*(MAX($D$16,(AE47)-(K31))))*(MAX($D$16,(AE47)-(K31))),0.000001)))-(IF(N6="None",((((F32)*(MAX($D$16,(AE47)-(J32)))^2)/2+(H32)*(MAX($D$16,(AE47)-(J32)))^3/3+(ABS(G47)^2)/($I$5*MAX(((F32)+(H32)*(MAX($D$16,(AE47)-(J32))))*(MAX($D$16,(AE47)-(J32))),0.000001)))*0.72785025),(((((F32)*(MAX($D$16,(AE47)-(J32)))^2)/2+(H32)*(MAX($D$16,(AE47)-(J32)))^3/3+(ABS(G47)^2)/($I$5*MAX(((F32)+(H32)*(MAX($D$16,(AE47)-(J32))))*(MAX($D$16,(AE47)-(J32))),0.000001)))*0.72785025)+((((F33)*(MAX($D$16,(AE47)-(J33)))^2)/2+(H33)*(MAX($D$16,(AE47)-(J33)))^3/3+(ABS(H47)^2)/($I$5*MAX(((F33)+(H33)*(MAX($D$16,(AE47)-(J33))))*(MAX($D$16,(AE47)-(J33))),0.000001)))*0.99999971)))))/MAX(((G31)*(MAX($D$16,(AE47)-(K31)))^2)/2+(I31)*(MAX($D$16,(AE47)-(K31)))^3/3+(ABS(F47)^2)/($I$5*MAX(((G31)+(I31)*(MAX($D$16,(AE47)-(K31))))*(MAX($D$16,(AE47)-(K31))),0.000001)),0.000001)</f>
        <v>0.27214975000000002</v>
      </c>
      <c r="V47">
        <f ca="1">((((G32)*(MAX($D$16,(AF47)-(K32)))^2)/2+(I32)*(MAX($D$16,(AF47)-(K32)))^3/3+(ABS(G47)^2)/($I$5*MAX(((G32)+(I32)*(MAX($D$16,(AF47)-(K32))))*(MAX($D$16,(AF47)-(K32))),0.000001)))-(IF(AND(N7="None",N8="None"),0,IF(N8="None",((((F34)*(MAX($D$16,(AF47)-(J34)))^2)/2+(H34)*(MAX($D$16,(AF47)-(J34)))^3/3+(ABS(I47)^2)/($I$5*MAX(((F34)+(H34)*(MAX($D$16,(AF47)-(J34))))*(MAX($D$16,(AF47)-(J34))),0.000001)))*1),IF(N7="None",((((F35)*(MAX($D$16,(AF47)-(J35)))^2)/2+(H35)*(MAX($D$16,(AF47)-(J35)))^3/3+(ABS(J47)^2)/($I$5*MAX(((F35)+(H35)*(MAX($D$16,(AF47)-(J35))))*(MAX($D$16,(AF47)-(J35))),0.000001)))*0.30600918),(((((F34)*(MAX($D$16,(AF47)-(J34)))^2)/2+(H34)*(MAX($D$16,(AF47)-(J34)))^3/3+(ABS(I47)^2)/($I$5*MAX(((F34)+(H34)*(MAX($D$16,(AF47)-(J34))))*(MAX($D$16,(AF47)-(J34))),0.000001)))*1)+((((F35)*(MAX($D$16,(AF47)-(J35)))^2)/2+(H35)*(MAX($D$16,(AF47)-(J35)))^3/3+(ABS(J47)^2)/($I$5*MAX(((F35)+(H35)*(MAX($D$16,(AF47)-(J35))))*(MAX($D$16,(AF47)-(J35))),0.000001)))*0.30600918)))))))/MAX(((G32)*(MAX($D$16,(AF47)-(K32)))^2)/2+(I32)*(MAX($D$16,(AF47)-(K32)))^3/3+(ABS(G47)^2)/($I$5*MAX(((G32)+(I32)*(MAX($D$16,(AF47)-(K32))))*(MAX($D$16,(AF47)-(K32))),0.000001)),0.000001)</f>
        <v>5.5876438982102997E-2</v>
      </c>
      <c r="W47">
        <f ca="1">ABS((IF(N6="None",P47,MAX(P47,Q47)))-D47)</f>
        <v>239.4548984185908</v>
      </c>
      <c r="X47">
        <f ca="1">ABS((IF(AND(N7="None",N8="None"),E47,IF(N8="None",S47,IF(N7="None",T47,MAX(S47,T47)))))-E47)</f>
        <v>239.03079545156743</v>
      </c>
      <c r="Y47">
        <f>IF(N6="None",1,MIN(0.98,MAX(0.02,B47+$D$14*((Q47-P47)/MAX(ABS(D47),1)))))</f>
        <v>1</v>
      </c>
      <c r="Z47">
        <f ca="1">IF(AND(N7="None",N8="None"),C47,IF(N8="None",1,IF(N7="None",0,MIN(0.98,MAX(0.02,C47+$D$14*((T47-S47)/MAX(ABS(E47),1)))))))</f>
        <v>0.97256151002242475</v>
      </c>
      <c r="AA47">
        <f t="shared" ca="1" si="3"/>
        <v>804.46184540009597</v>
      </c>
      <c r="AB47">
        <f t="shared" ca="1" si="4"/>
        <v>804.17641200237711</v>
      </c>
      <c r="AC47">
        <f ca="1">IF($D$20=0,D47,IF(AC47=0,(IF(N6="None",P47,MAX(P47,Q47))),IF(ABS((IF(N6="None",P47,MAX(P47,Q47)))-AC47)&lt;$D$19,AC47,MAX((K31)+$D$16,AC47+$D$13*(((IF(N6="None",P47,MAX(P47,Q47)))-AC47))))))</f>
        <v>648.81679393454374</v>
      </c>
      <c r="AD47">
        <f ca="1">IF($D$20=0,E47,IF(AD47=0,(IF(AND(N7="None",N8="None"),E47,IF(N8="None",S47,IF(N7="None",T47,MAX(S47,T47))))),IF(ABS((IF(AND(N7="None",N8="None"),E47,IF(N8="None",S47,IF(N7="None",T47,MAX(S47,T47)))))-AD47)&lt;$D$19,AD47,MAX((K32)+$D$16,AD47+$D$13*(((IF(AND(N7="None",N8="None"),E47,IF(N8="None",S47,IF(N7="None",T47,MAX(S47,T47)))))-AD47))))))</f>
        <v>648.80700515312662</v>
      </c>
      <c r="AE47">
        <f ca="1">IF($D$20=0,D47,IF(AE47=0,O47,IF(ABS(U47)&lt;$D$19,AE47,MAX((K31)+$D$16,AE47+($D$13*(((O47)-AE47)+(U47*MAX(ABS(AE47-(K31)),1))))))))</f>
        <v>634.34799999999996</v>
      </c>
      <c r="AF47">
        <f ca="1">IF($D$20=0,E47,IF(AF47=0,R47,IF(ABS(V47)&lt;$D$19,AF47,MAX((K32)+$D$16,AF47+($D$13*(((R47)-AF47)+(V47*MAX(ABS(AF47-(K32)),1))))))))</f>
        <v>631.92499999999995</v>
      </c>
      <c r="AG47">
        <f ca="1">((G31)*(MAX($D$16,(AC47)-(K31)))^2)/2+(I31)*(MAX($D$16,(AC47)-(K31)))^3/3+(ABS(F47)^2)/($I$5*MAX(((G31)+(I31)*(MAX($D$16,(AC47)-(K31))))*(MAX($D$16,(AC47)-(K31))),0.000001))</f>
        <v>693.98268435246291</v>
      </c>
      <c r="AH47">
        <f ca="1">((G31)*(MAX($D$16,(AE47)-(K31)))^2)/2+(I31)*(MAX($D$16,(AE47)-(K31)))^3/3+(ABS(F47)^2)/($I$5*MAX(((G31)+(I31)*(MAX($D$16,(AE47)-(K31))))*(MAX($D$16,(AE47)-(K31))),0.000001))</f>
        <v>808.60110594434002</v>
      </c>
      <c r="AI47">
        <f ca="1">((G32)*(MAX($D$16,(AD47)-(K32)))^2)/2+(I32)*(MAX($D$16,(AD47)-(K32)))^3/3+(ABS(G47)^2)/($I$5*MAX(((G32)+(I32)*(MAX($D$16,(AD47)-(K32))))*(MAX($D$16,(AD47)-(K32))),0.000001))</f>
        <v>1464.5276405417856</v>
      </c>
      <c r="AJ47">
        <f ca="1">((G32)*(MAX($D$16,(AF47)-(K32)))^2)/2+(I32)*(MAX($D$16,(AF47)-(K32)))^3/3+(ABS(G47)^2)/($I$5*MAX(((G32)+(I32)*(MAX($D$16,(AF47)-(K32))))*(MAX($D$16,(AF47)-(K32))),0.000001))</f>
        <v>519.58480272613974</v>
      </c>
      <c r="AK47" t="str">
        <f t="shared" ca="1" si="5"/>
        <v>Supercritical</v>
      </c>
      <c r="AL47" t="str">
        <f t="shared" ca="1" si="6"/>
        <v>Subcritical</v>
      </c>
      <c r="AM47">
        <f t="shared" ca="1" si="7"/>
        <v>799.39776752300565</v>
      </c>
      <c r="AN47">
        <f t="shared" ca="1" si="8"/>
        <v>804.17641200237711</v>
      </c>
      <c r="AO47">
        <f t="shared" ca="1" si="9"/>
        <v>253.92271926616263</v>
      </c>
      <c r="AP47">
        <f t="shared" ca="1" si="10"/>
        <v>239.02985669115458</v>
      </c>
    </row>
    <row r="48" spans="1:42" x14ac:dyDescent="0.35">
      <c r="A48">
        <v>5</v>
      </c>
      <c r="B48">
        <f t="shared" si="11"/>
        <v>1</v>
      </c>
      <c r="C48">
        <f t="shared" ca="1" si="12"/>
        <v>0.97256151002242475</v>
      </c>
      <c r="D48">
        <f t="shared" ca="1" si="13"/>
        <v>799.39776752300565</v>
      </c>
      <c r="E48">
        <f t="shared" ca="1" si="14"/>
        <v>804.17641200237711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 ca="1">IF(AND(N7="None",N8="None"),0,IF(N8="None",G48,IF(N7="None",0,MAX(0,G48*C48))))</f>
        <v>49.600637011143661</v>
      </c>
      <c r="J48">
        <f ca="1">IF(AND(N7="None",N8="None"),0,IF(N8="None",0,IF(N7="None",G48,MAX(0,G48-I48))))</f>
        <v>1.399362988856339</v>
      </c>
      <c r="K48">
        <f>P5</f>
        <v>637</v>
      </c>
      <c r="L48">
        <f>P6</f>
        <v>634.3119999999999</v>
      </c>
      <c r="M48">
        <f>P7</f>
        <v>635.5</v>
      </c>
      <c r="N48">
        <f>P8</f>
        <v>631.54999999999995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-2091.5872404992097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647.40770576678233</v>
      </c>
      <c r="Q48">
        <f ca="1">L48+((ABS(H48)/MAX(((G33)+(I33)*(MAX($D$16,(L48)-(K33))))*(MAX($D$16,(L48)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AC48)-(J33))))*(MAX($D$16,(AC48)-(J33))),0.000001)),$D$9*((((ABS(H48)/MAX(((G33)+(I33)*(MAX($D$16,(L48)-(K33))))*(MAX($D$16,(L48)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L48)-(K33))))*(MAX($D$16,(L48)-(K33))),0.000001))^2)/(2*$I$5)))))+($D$10*(ABS((X33)-(W33))/90)*MAX(((ABS(H48)/MAX(((F33)+(H33)*(MAX($D$16,(AC48)-(J33))))*(MAX($D$16,(AC48)-(J33))),0.000001))^2)/(2*$I$5),((ABS(H48)/MAX(((G33)+(I33)*(MAX($D$16,(L48)-(K33))))*(MAX($D$16,(L48)-(K33))),0.000001))^2)/(2*$I$5)))+(($D$11*0.00000015*(ABS(G48)/MAX(ABS(F48),0.000001))^2*MAX(((ABS(H48)/MAX(((F33)+(H33)*(MAX($D$16,(AC48)-(J33))))*(MAX($D$16,(AC48)-(J33))),0.000001))^2)/(2*$I$5),((ABS(H48)/MAX(((G33)+(I33)*(MAX($D$16,(L48)-(K33))))*(MAX($D$16,(L48)-(K33))),0.000001))^2)/(2*$I$5))))-((ABS(H48)/MAX(((F33)+(H33)*(MAX($D$16,(AC48)-(J33))))*(MAX($D$16,(AC48)-(J33))),0.000001))^2)/(2*$I$5)</f>
        <v>634.3119999999999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-292118.81246378768</v>
      </c>
      <c r="S48">
        <f ca="1">M48+((ABS(I48)/MAX(((G34)+(I34)*(MAX($D$16,(M48)-(K34))))*(MAX($D$16,(M48)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AD48)-(J34))))*(MAX($D$16,(AD48)-(J34))),0.000001)),$D$9*((((ABS(I48)/MAX(((G34)+(I34)*(MAX($D$16,(M48)-(K34))))*(MAX($D$16,(M48)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M48)-(K34))))*(MAX($D$16,(M48)-(K34))),0.000001))^2)/(2*$I$5)))))+($D$10*(ABS((X34)-(W34))/90)*MAX(((ABS(I48)/MAX(((F34)+(H34)*(MAX($D$16,(AD48)-(J34))))*(MAX($D$16,(AD48)-(J34))),0.000001))^2)/(2*$I$5),((ABS(I48)/MAX(((G34)+(I34)*(MAX($D$16,(M48)-(K34))))*(MAX($D$16,(M48)-(K34))),0.000001))^2)/(2*$I$5)))+(0)-((ABS(I48)/MAX(((F34)+(H34)*(MAX($D$16,(AD48)-(J34))))*(MAX($D$16,(AD48)-(J34))),0.000001))^2)/(2*$I$5)</f>
        <v>635.52553548399908</v>
      </c>
      <c r="T48">
        <f ca="1">N48+((ABS(J48)/MAX(((G35)+(I35)*(MAX($D$16,(N48)-(K35))))*(MAX($D$16,(N48)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AD48)-(J35))))*(MAX($D$16,(AD48)-(J35))),0.000001)),$D$9*((((ABS(J48)/MAX(((G35)+(I35)*(MAX($D$16,(N48)-(K35))))*(MAX($D$16,(N48)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N48)-(K35))))*(MAX($D$16,(N48)-(K35))),0.000001))^2)/(2*$I$5)))))+($D$10*(ABS((X35)-(W35))/90)*MAX(((ABS(J48)/MAX(((F35)+(H35)*(MAX($D$16,(AD48)-(J35))))*(MAX($D$16,(AD48)-(J35))),0.000001))^2)/(2*$I$5),((ABS(J48)/MAX(((G35)+(I35)*(MAX($D$16,(N48)-(K35))))*(MAX($D$16,(N48)-(K35))),0.000001))^2)/(2*$I$5)))+(($D$11*0.34699541*(ABS(I48)/MAX(ABS(G48),0.000001))^2*MAX(((ABS(J48)/MAX(((F35)+(H35)*(MAX($D$16,(AD48)-(J35))))*(MAX($D$16,(AD48)-(J35))),0.000001))^2)/(2*$I$5),((ABS(J48)/MAX(((G35)+(I35)*(MAX($D$16,(N48)-(K35))))*(MAX($D$16,(N48)-(K35))),0.000001))^2)/(2*$I$5))))-((ABS(J48)/MAX(((F35)+(H35)*(MAX($D$16,(AD48)-(J35))))*(MAX($D$16,(AD48)-(J35))),0.000001))^2)/(2*$I$5)</f>
        <v>647.39567458347778</v>
      </c>
      <c r="U48">
        <f ca="1">((((G31)*(MAX($D$16,(AE48)-(K31)))^2)/2+(I31)*(MAX($D$16,(AE48)-(K31)))^3/3+(ABS(F48)^2)/($I$5*MAX(((G31)+(I31)*(MAX($D$16,(AE48)-(K31))))*(MAX($D$16,(AE48)-(K31))),0.000001)))-(IF(N6="None",((((F32)*(MAX($D$16,(AE48)-(J32)))^2)/2+(H32)*(MAX($D$16,(AE48)-(J32)))^3/3+(ABS(G48)^2)/($I$5*MAX(((F32)+(H32)*(MAX($D$16,(AE48)-(J32))))*(MAX($D$16,(AE48)-(J32))),0.000001)))*0.72785025),(((((F32)*(MAX($D$16,(AE48)-(J32)))^2)/2+(H32)*(MAX($D$16,(AE48)-(J32)))^3/3+(ABS(G48)^2)/($I$5*MAX(((F32)+(H32)*(MAX($D$16,(AE48)-(J32))))*(MAX($D$16,(AE48)-(J32))),0.000001)))*0.72785025)+((((F33)*(MAX($D$16,(AE48)-(J33)))^2)/2+(H33)*(MAX($D$16,(AE48)-(J33)))^3/3+(ABS(H48)^2)/($I$5*MAX(((F33)+(H33)*(MAX($D$16,(AE48)-(J33))))*(MAX($D$16,(AE48)-(J33))),0.000001)))*0.99999971)))))/MAX(((G31)*(MAX($D$16,(AE48)-(K31)))^2)/2+(I31)*(MAX($D$16,(AE48)-(K31)))^3/3+(ABS(F48)^2)/($I$5*MAX(((G31)+(I31)*(MAX($D$16,(AE48)-(K31))))*(MAX($D$16,(AE48)-(K31))),0.000001)),0.000001)</f>
        <v>0.27214975000000002</v>
      </c>
      <c r="V48">
        <f ca="1">((((G32)*(MAX($D$16,(AF48)-(K32)))^2)/2+(I32)*(MAX($D$16,(AF48)-(K32)))^3/3+(ABS(G48)^2)/($I$5*MAX(((G32)+(I32)*(MAX($D$16,(AF48)-(K32))))*(MAX($D$16,(AF48)-(K32))),0.000001)))-(IF(AND(N7="None",N8="None"),0,IF(N8="None",((((F34)*(MAX($D$16,(AF48)-(J34)))^2)/2+(H34)*(MAX($D$16,(AF48)-(J34)))^3/3+(ABS(I48)^2)/($I$5*MAX(((F34)+(H34)*(MAX($D$16,(AF48)-(J34))))*(MAX($D$16,(AF48)-(J34))),0.000001)))*1),IF(N7="None",((((F35)*(MAX($D$16,(AF48)-(J35)))^2)/2+(H35)*(MAX($D$16,(AF48)-(J35)))^3/3+(ABS(J48)^2)/($I$5*MAX(((F35)+(H35)*(MAX($D$16,(AF48)-(J35))))*(MAX($D$16,(AF48)-(J35))),0.000001)))*0.30600918),(((((F34)*(MAX($D$16,(AF48)-(J34)))^2)/2+(H34)*(MAX($D$16,(AF48)-(J34)))^3/3+(ABS(I48)^2)/($I$5*MAX(((F34)+(H34)*(MAX($D$16,(AF48)-(J34))))*(MAX($D$16,(AF48)-(J34))),0.000001)))*1)+((((F35)*(MAX($D$16,(AF48)-(J35)))^2)/2+(H35)*(MAX($D$16,(AF48)-(J35)))^3/3+(ABS(J48)^2)/($I$5*MAX(((F35)+(H35)*(MAX($D$16,(AF48)-(J35))))*(MAX($D$16,(AF48)-(J35))),0.000001)))*0.30600918)))))))/MAX(((G32)*(MAX($D$16,(AF48)-(K32)))^2)/2+(I32)*(MAX($D$16,(AF48)-(K32)))^3/3+(ABS(G48)^2)/($I$5*MAX(((G32)+(I32)*(MAX($D$16,(AF48)-(K32))))*(MAX($D$16,(AF48)-(K32))),0.000001)),0.000001)</f>
        <v>5.3552824803962985E-2</v>
      </c>
      <c r="W48">
        <f ca="1">ABS((IF(N6="None",P48,MAX(P48,Q48)))-D48)</f>
        <v>151.99006175622333</v>
      </c>
      <c r="X48">
        <f ca="1">ABS((IF(AND(N7="None",N8="None"),E48,IF(N8="None",S48,IF(N7="None",T48,MAX(S48,T48)))))-E48)</f>
        <v>156.78073741889932</v>
      </c>
      <c r="Y48">
        <f>IF(N6="None",1,MIN(0.98,MAX(0.02,B48+$D$14*((Q48-P48)/MAX(ABS(D48),1)))))</f>
        <v>1</v>
      </c>
      <c r="Z48">
        <f ca="1">IF(AND(N7="None",N8="None"),C48,IF(N8="None",1,IF(N7="None",0,MIN(0.98,MAX(0.02,C48+$D$14*((T48-S48)/MAX(ABS(E48),1)))))))</f>
        <v>0.97374235929104946</v>
      </c>
      <c r="AA48">
        <f t="shared" ca="1" si="3"/>
        <v>746.20158556688773</v>
      </c>
      <c r="AB48">
        <f t="shared" ca="1" si="4"/>
        <v>749.30348615253774</v>
      </c>
      <c r="AC48">
        <f ca="1">IF($D$20=0,D48,IF(AC48=0,(IF(N6="None",P48,MAX(P48,Q48))),IF(ABS((IF(N6="None",P48,MAX(P48,Q48)))-AC48)&lt;$D$19,AC48,MAX((K31)+$D$16,AC48+$D$13*(((IF(N6="None",P48,MAX(P48,Q48)))-AC48))))))</f>
        <v>647.40867621981147</v>
      </c>
      <c r="AD48">
        <f ca="1">IF($D$20=0,E48,IF(AD48=0,(IF(AND(N7="None",N8="None"),E48,IF(N8="None",S48,IF(N7="None",T48,MAX(S48,T48))))),IF(ABS((IF(AND(N7="None",N8="None"),E48,IF(N8="None",S48,IF(N7="None",T48,MAX(S48,T48)))))-AD48)&lt;$D$19,AD48,MAX((K32)+$D$16,AD48+$D$13*(((IF(AND(N7="None",N8="None"),E48,IF(N8="None",S48,IF(N7="None",T48,MAX(S48,T48)))))-AD48))))))</f>
        <v>647.39662385997906</v>
      </c>
      <c r="AE48">
        <f ca="1">IF($D$20=0,D48,IF(AE48=0,O48,IF(ABS(U48)&lt;$D$19,AE48,MAX((K31)+$D$16,AE48+($D$13*(((O48)-AE48)+(U48*MAX(ABS(AE48-(K31)),1))))))))</f>
        <v>634.34799999999996</v>
      </c>
      <c r="AF48">
        <f ca="1">IF($D$20=0,E48,IF(AF48=0,R48,IF(ABS(V48)&lt;$D$19,AF48,MAX((K32)+$D$16,AF48+($D$13*(((R48)-AF48)+(V48*MAX(ABS(AF48-(K32)),1))))))))</f>
        <v>631.92499999999995</v>
      </c>
      <c r="AG48">
        <f ca="1">((G31)*(MAX($D$16,(AC48)-(K31)))^2)/2+(I31)*(MAX($D$16,(AC48)-(K31)))^3/3+(ABS(F48)^2)/($I$5*MAX(((G31)+(I31)*(MAX($D$16,(AC48)-(K31))))*(MAX($D$16,(AC48)-(K31))),0.000001))</f>
        <v>566.71047496435017</v>
      </c>
      <c r="AH48">
        <f ca="1">((G31)*(MAX($D$16,(AE48)-(K31)))^2)/2+(I31)*(MAX($D$16,(AE48)-(K31)))^3/3+(ABS(F48)^2)/($I$5*MAX(((G31)+(I31)*(MAX($D$16,(AE48)-(K31))))*(MAX($D$16,(AE48)-(K31))),0.000001))</f>
        <v>808.60110594434002</v>
      </c>
      <c r="AI48">
        <f ca="1">((G32)*(MAX($D$16,(AD48)-(K32)))^2)/2+(I32)*(MAX($D$16,(AD48)-(K32)))^3/3+(ABS(G48)^2)/($I$5*MAX(((G32)+(I32)*(MAX($D$16,(AD48)-(K32))))*(MAX($D$16,(AD48)-(K32))),0.000001))</f>
        <v>1231.0925832919625</v>
      </c>
      <c r="AJ48">
        <f ca="1">((G32)*(MAX($D$16,(AF48)-(K32)))^2)/2+(I32)*(MAX($D$16,(AF48)-(K32)))^3/3+(ABS(G48)^2)/($I$5*MAX(((G32)+(I32)*(MAX($D$16,(AF48)-(K32))))*(MAX($D$16,(AF48)-(K32))),0.000001))</f>
        <v>519.58480272613974</v>
      </c>
      <c r="AK48" t="str">
        <f t="shared" ca="1" si="5"/>
        <v>Supercritical</v>
      </c>
      <c r="AL48" t="str">
        <f t="shared" ca="1" si="6"/>
        <v>Subcritical</v>
      </c>
      <c r="AM48">
        <f t="shared" ca="1" si="7"/>
        <v>741.63034888995367</v>
      </c>
      <c r="AN48">
        <f t="shared" ca="1" si="8"/>
        <v>749.30348615253774</v>
      </c>
      <c r="AO48">
        <f t="shared" ca="1" si="9"/>
        <v>165.0497675230057</v>
      </c>
      <c r="AP48">
        <f t="shared" ca="1" si="10"/>
        <v>156.77978814239805</v>
      </c>
    </row>
    <row r="49" spans="1:42" x14ac:dyDescent="0.35">
      <c r="A49">
        <v>6</v>
      </c>
      <c r="B49">
        <f t="shared" si="11"/>
        <v>1</v>
      </c>
      <c r="C49">
        <f t="shared" ca="1" si="12"/>
        <v>0.97374235929104946</v>
      </c>
      <c r="D49">
        <f t="shared" ca="1" si="13"/>
        <v>741.63034888995367</v>
      </c>
      <c r="E49">
        <f t="shared" ca="1" si="14"/>
        <v>749.30348615253774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 ca="1">IF(AND(N7="None",N8="None"),0,IF(N8="None",G49,IF(N7="None",0,MAX(0,G49*C49))))</f>
        <v>49.660860323843522</v>
      </c>
      <c r="J49">
        <f ca="1">IF(AND(N7="None",N8="None"),0,IF(N8="None",0,IF(N7="None",G49,MAX(0,G49-I49))))</f>
        <v>1.3391396761564778</v>
      </c>
      <c r="K49">
        <f>P5</f>
        <v>637</v>
      </c>
      <c r="L49">
        <f>P6</f>
        <v>634.3119999999999</v>
      </c>
      <c r="M49">
        <f>P7</f>
        <v>635.5</v>
      </c>
      <c r="N49">
        <f>P8</f>
        <v>631.54999999999995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-2091.5872404992097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646.07773125945664</v>
      </c>
      <c r="Q49">
        <f ca="1">L49+((ABS(H49)/MAX(((G33)+(I33)*(MAX($D$16,(L49)-(K33))))*(MAX($D$16,(L49)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AC49)-(J33))))*(MAX($D$16,(AC49)-(J33))),0.000001)),$D$9*((((ABS(H49)/MAX(((G33)+(I33)*(MAX($D$16,(L49)-(K33))))*(MAX($D$16,(L49)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L49)-(K33))))*(MAX($D$16,(L49)-(K33))),0.000001))^2)/(2*$I$5)))))+($D$10*(ABS((X33)-(W33))/90)*MAX(((ABS(H49)/MAX(((F33)+(H33)*(MAX($D$16,(AC49)-(J33))))*(MAX($D$16,(AC49)-(J33))),0.000001))^2)/(2*$I$5),((ABS(H49)/MAX(((G33)+(I33)*(MAX($D$16,(L49)-(K33))))*(MAX($D$16,(L49)-(K33))),0.000001))^2)/(2*$I$5)))+(($D$11*0.00000015*(ABS(G49)/MAX(ABS(F49),0.000001))^2*MAX(((ABS(H49)/MAX(((F33)+(H33)*(MAX($D$16,(AC49)-(J33))))*(MAX($D$16,(AC49)-(J33))),0.000001))^2)/(2*$I$5),((ABS(H49)/MAX(((G33)+(I33)*(MAX($D$16,(L49)-(K33))))*(MAX($D$16,(L49)-(K33))),0.000001))^2)/(2*$I$5))))-((ABS(H49)/MAX(((F33)+(H33)*(MAX($D$16,(AC49)-(J33))))*(MAX($D$16,(AC49)-(J33))),0.000001))^2)/(2*$I$5)</f>
        <v>634.3119999999999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-292118.81246378768</v>
      </c>
      <c r="S49">
        <f ca="1">M49+((ABS(I49)/MAX(((G34)+(I34)*(MAX($D$16,(M49)-(K34))))*(MAX($D$16,(M49)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AD49)-(J34))))*(MAX($D$16,(AD49)-(J34))),0.000001)),$D$9*((((ABS(I49)/MAX(((G34)+(I34)*(MAX($D$16,(M49)-(K34))))*(MAX($D$16,(M49)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M49)-(K34))))*(MAX($D$16,(M49)-(K34))),0.000001))^2)/(2*$I$5)))))+($D$10*(ABS((X34)-(W34))/90)*MAX(((ABS(I49)/MAX(((F34)+(H34)*(MAX($D$16,(AD49)-(J34))))*(MAX($D$16,(AD49)-(J34))),0.000001))^2)/(2*$I$5),((ABS(I49)/MAX(((G34)+(I34)*(MAX($D$16,(M49)-(K34))))*(MAX($D$16,(M49)-(K34))),0.000001))^2)/(2*$I$5)))+(0)-((ABS(I49)/MAX(((F34)+(H34)*(MAX($D$16,(AD49)-(J34))))*(MAX($D$16,(AD49)-(J34))),0.000001))^2)/(2*$I$5)</f>
        <v>635.52452994937948</v>
      </c>
      <c r="T49">
        <f ca="1">N49+((ABS(J49)/MAX(((G35)+(I35)*(MAX($D$16,(N49)-(K35))))*(MAX($D$16,(N49)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AD49)-(J35))))*(MAX($D$16,(AD49)-(J35))),0.000001)),$D$9*((((ABS(J49)/MAX(((G35)+(I35)*(MAX($D$16,(N49)-(K35))))*(MAX($D$16,(N49)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N49)-(K35))))*(MAX($D$16,(N49)-(K35))),0.000001))^2)/(2*$I$5)))))+($D$10*(ABS((X35)-(W35))/90)*MAX(((ABS(J49)/MAX(((F35)+(H35)*(MAX($D$16,(AD49)-(J35))))*(MAX($D$16,(AD49)-(J35))),0.000001))^2)/(2*$I$5),((ABS(J49)/MAX(((G35)+(I35)*(MAX($D$16,(N49)-(K35))))*(MAX($D$16,(N49)-(K35))),0.000001))^2)/(2*$I$5)))+(($D$11*0.34699541*(ABS(I49)/MAX(ABS(G49),0.000001))^2*MAX(((ABS(J49)/MAX(((F35)+(H35)*(MAX($D$16,(AD49)-(J35))))*(MAX($D$16,(AD49)-(J35))),0.000001))^2)/(2*$I$5),((ABS(J49)/MAX(((G35)+(I35)*(MAX($D$16,(N49)-(K35))))*(MAX($D$16,(N49)-(K35))),0.000001))^2)/(2*$I$5))))-((ABS(J49)/MAX(((F35)+(H35)*(MAX($D$16,(AD49)-(J35))))*(MAX($D$16,(AD49)-(J35))),0.000001))^2)/(2*$I$5)</f>
        <v>646.06264416814838</v>
      </c>
      <c r="U49">
        <f ca="1">((((G31)*(MAX($D$16,(AE49)-(K31)))^2)/2+(I31)*(MAX($D$16,(AE49)-(K31)))^3/3+(ABS(F49)^2)/($I$5*MAX(((G31)+(I31)*(MAX($D$16,(AE49)-(K31))))*(MAX($D$16,(AE49)-(K31))),0.000001)))-(IF(N6="None",((((F32)*(MAX($D$16,(AE49)-(J32)))^2)/2+(H32)*(MAX($D$16,(AE49)-(J32)))^3/3+(ABS(G49)^2)/($I$5*MAX(((F32)+(H32)*(MAX($D$16,(AE49)-(J32))))*(MAX($D$16,(AE49)-(J32))),0.000001)))*0.72785025),(((((F32)*(MAX($D$16,(AE49)-(J32)))^2)/2+(H32)*(MAX($D$16,(AE49)-(J32)))^3/3+(ABS(G49)^2)/($I$5*MAX(((F32)+(H32)*(MAX($D$16,(AE49)-(J32))))*(MAX($D$16,(AE49)-(J32))),0.000001)))*0.72785025)+((((F33)*(MAX($D$16,(AE49)-(J33)))^2)/2+(H33)*(MAX($D$16,(AE49)-(J33)))^3/3+(ABS(H49)^2)/($I$5*MAX(((F33)+(H33)*(MAX($D$16,(AE49)-(J33))))*(MAX($D$16,(AE49)-(J33))),0.000001)))*0.99999971)))))/MAX(((G31)*(MAX($D$16,(AE49)-(K31)))^2)/2+(I31)*(MAX($D$16,(AE49)-(K31)))^3/3+(ABS(F49)^2)/($I$5*MAX(((G31)+(I31)*(MAX($D$16,(AE49)-(K31))))*(MAX($D$16,(AE49)-(K31))),0.000001)),0.000001)</f>
        <v>0.27214975000000002</v>
      </c>
      <c r="V49">
        <f ca="1">((((G32)*(MAX($D$16,(AF49)-(K32)))^2)/2+(I32)*(MAX($D$16,(AF49)-(K32)))^3/3+(ABS(G49)^2)/($I$5*MAX(((G32)+(I32)*(MAX($D$16,(AF49)-(K32))))*(MAX($D$16,(AF49)-(K32))),0.000001)))-(IF(AND(N7="None",N8="None"),0,IF(N8="None",((((F34)*(MAX($D$16,(AF49)-(J34)))^2)/2+(H34)*(MAX($D$16,(AF49)-(J34)))^3/3+(ABS(I49)^2)/($I$5*MAX(((F34)+(H34)*(MAX($D$16,(AF49)-(J34))))*(MAX($D$16,(AF49)-(J34))),0.000001)))*1),IF(N7="None",((((F35)*(MAX($D$16,(AF49)-(J35)))^2)/2+(H35)*(MAX($D$16,(AF49)-(J35)))^3/3+(ABS(J49)^2)/($I$5*MAX(((F35)+(H35)*(MAX($D$16,(AF49)-(J35))))*(MAX($D$16,(AF49)-(J35))),0.000001)))*0.30600918),(((((F34)*(MAX($D$16,(AF49)-(J34)))^2)/2+(H34)*(MAX($D$16,(AF49)-(J34)))^3/3+(ABS(I49)^2)/($I$5*MAX(((F34)+(H34)*(MAX($D$16,(AF49)-(J34))))*(MAX($D$16,(AF49)-(J34))),0.000001)))*1)+((((F35)*(MAX($D$16,(AF49)-(J35)))^2)/2+(H35)*(MAX($D$16,(AF49)-(J35)))^3/3+(ABS(J49)^2)/($I$5*MAX(((F35)+(H35)*(MAX($D$16,(AF49)-(J35))))*(MAX($D$16,(AF49)-(J35))),0.000001)))*0.30600918)))))))/MAX(((G32)*(MAX($D$16,(AF49)-(K32)))^2)/2+(I32)*(MAX($D$16,(AF49)-(K32)))^3/3+(ABS(G49)^2)/($I$5*MAX(((G32)+(I32)*(MAX($D$16,(AF49)-(K32))))*(MAX($D$16,(AF49)-(K32))),0.000001)),0.000001)</f>
        <v>5.1256872399658829E-2</v>
      </c>
      <c r="W49">
        <f ca="1">ABS((IF(N6="None",P49,MAX(P49,Q49)))-D49)</f>
        <v>95.552617630497025</v>
      </c>
      <c r="X49">
        <f ca="1">ABS((IF(AND(N7="None",N8="None"),E49,IF(N8="None",S49,IF(N7="None",T49,MAX(S49,T49)))))-E49)</f>
        <v>103.24084198438936</v>
      </c>
      <c r="Y49">
        <f>IF(N6="None",1,MIN(0.98,MAX(0.02,B49+$D$14*((Q49-P49)/MAX(ABS(D49),1)))))</f>
        <v>1</v>
      </c>
      <c r="Z49">
        <f ca="1">IF(AND(N7="None",N8="None"),C49,IF(N8="None",1,IF(N7="None",0,MIN(0.98,MAX(0.02,C49+$D$14*((T49-S49)/MAX(ABS(E49),1)))))))</f>
        <v>0.9748674696810069</v>
      </c>
      <c r="AA49">
        <f t="shared" ca="1" si="3"/>
        <v>708.18727087874595</v>
      </c>
      <c r="AB49">
        <f t="shared" ca="1" si="4"/>
        <v>713.16952826987415</v>
      </c>
      <c r="AC49">
        <f ca="1">IF($D$20=0,D49,IF(AC49=0,(IF(N6="None",P49,MAX(P49,Q49))),IF(ABS((IF(N6="None",P49,MAX(P49,Q49)))-AC49)&lt;$D$19,AC49,MAX((K31)+$D$16,AC49+$D$13*(((IF(N6="None",P49,MAX(P49,Q49)))-AC49))))))</f>
        <v>646.07869742936009</v>
      </c>
      <c r="AD49">
        <f ca="1">IF($D$20=0,E49,IF(AD49=0,(IF(AND(N7="None",N8="None"),E49,IF(N8="None",S49,IF(N7="None",T49,MAX(S49,T49))))),IF(ABS((IF(AND(N7="None",N8="None"),E49,IF(N8="None",S49,IF(N7="None",T49,MAX(S49,T49)))))-AD49)&lt;$D$19,AD49,MAX((K32)+$D$16,AD49+$D$13*(((IF(AND(N7="None",N8="None"),E49,IF(N8="None",S49,IF(N7="None",T49,MAX(S49,T49)))))-AD49))))))</f>
        <v>646.06360648778468</v>
      </c>
      <c r="AE49">
        <f ca="1">IF($D$20=0,D49,IF(AE49=0,O49,IF(ABS(U49)&lt;$D$19,AE49,MAX((K31)+$D$16,AE49+($D$13*(((O49)-AE49)+(U49*MAX(ABS(AE49-(K31)),1))))))))</f>
        <v>634.34799999999996</v>
      </c>
      <c r="AF49">
        <f ca="1">IF($D$20=0,E49,IF(AF49=0,R49,IF(ABS(V49)&lt;$D$19,AF49,MAX((K32)+$D$16,AF49+($D$13*(((R49)-AF49)+(V49*MAX(ABS(AF49-(K32)),1))))))))</f>
        <v>631.92499999999995</v>
      </c>
      <c r="AG49">
        <f ca="1">((G31)*(MAX($D$16,(AC49)-(K31)))^2)/2+(I31)*(MAX($D$16,(AC49)-(K31)))^3/3+(ABS(F49)^2)/($I$5*MAX(((G31)+(I31)*(MAX($D$16,(AC49)-(K31))))*(MAX($D$16,(AC49)-(K31))),0.000001))</f>
        <v>458.5073188765549</v>
      </c>
      <c r="AH49">
        <f ca="1">((G31)*(MAX($D$16,(AE49)-(K31)))^2)/2+(I31)*(MAX($D$16,(AE49)-(K31)))^3/3+(ABS(F49)^2)/($I$5*MAX(((G31)+(I31)*(MAX($D$16,(AE49)-(K31))))*(MAX($D$16,(AE49)-(K31))),0.000001))</f>
        <v>808.60110594434002</v>
      </c>
      <c r="AI49">
        <f ca="1">((G32)*(MAX($D$16,(AD49)-(K32)))^2)/2+(I32)*(MAX($D$16,(AD49)-(K32)))^3/3+(ABS(G49)^2)/($I$5*MAX(((G32)+(I32)*(MAX($D$16,(AD49)-(K32))))*(MAX($D$16,(AD49)-(K32))),0.000001))</f>
        <v>1029.1493235067853</v>
      </c>
      <c r="AJ49">
        <f ca="1">((G32)*(MAX($D$16,(AF49)-(K32)))^2)/2+(I32)*(MAX($D$16,(AF49)-(K32)))^3/3+(ABS(G49)^2)/($I$5*MAX(((G32)+(I32)*(MAX($D$16,(AF49)-(K32))))*(MAX($D$16,(AF49)-(K32))),0.000001))</f>
        <v>519.58480272613974</v>
      </c>
      <c r="AK49" t="str">
        <f t="shared" ca="1" si="5"/>
        <v>Supercritical</v>
      </c>
      <c r="AL49" t="str">
        <f t="shared" ca="1" si="6"/>
        <v>Subcritical</v>
      </c>
      <c r="AM49">
        <f t="shared" ca="1" si="7"/>
        <v>704.08152677846988</v>
      </c>
      <c r="AN49">
        <f t="shared" ca="1" si="8"/>
        <v>713.16952826987415</v>
      </c>
      <c r="AO49">
        <f t="shared" ca="1" si="9"/>
        <v>107.28234888995371</v>
      </c>
      <c r="AP49">
        <f t="shared" ca="1" si="10"/>
        <v>103.23987966475306</v>
      </c>
    </row>
    <row r="50" spans="1:42" x14ac:dyDescent="0.35">
      <c r="A50">
        <v>7</v>
      </c>
      <c r="B50">
        <f t="shared" si="11"/>
        <v>1</v>
      </c>
      <c r="C50">
        <f t="shared" ca="1" si="12"/>
        <v>0.9748674696810069</v>
      </c>
      <c r="D50">
        <f t="shared" ca="1" si="13"/>
        <v>704.08152677846988</v>
      </c>
      <c r="E50">
        <f t="shared" ca="1" si="14"/>
        <v>713.16952826987415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 ca="1">IF(AND(N7="None",N8="None"),0,IF(N8="None",G50,IF(N7="None",0,MAX(0,G50*C50))))</f>
        <v>49.718240953731353</v>
      </c>
      <c r="J50">
        <f ca="1">IF(AND(N7="None",N8="None"),0,IF(N8="None",0,IF(N7="None",G50,MAX(0,G50-I50))))</f>
        <v>1.2817590462686468</v>
      </c>
      <c r="K50">
        <f>P5</f>
        <v>637</v>
      </c>
      <c r="L50">
        <f>P6</f>
        <v>634.3119999999999</v>
      </c>
      <c r="M50">
        <f>P7</f>
        <v>635.5</v>
      </c>
      <c r="N50">
        <f>P8</f>
        <v>631.54999999999995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-2091.5872404992097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644.86599794102688</v>
      </c>
      <c r="Q50">
        <f ca="1">L50+((ABS(H50)/MAX(((G33)+(I33)*(MAX($D$16,(L50)-(K33))))*(MAX($D$16,(L50)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AC50)-(J33))))*(MAX($D$16,(AC50)-(J33))),0.000001)),$D$9*((((ABS(H50)/MAX(((G33)+(I33)*(MAX($D$16,(L50)-(K33))))*(MAX($D$16,(L50)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L50)-(K33))))*(MAX($D$16,(L50)-(K33))),0.000001))^2)/(2*$I$5)))))+($D$10*(ABS((X33)-(W33))/90)*MAX(((ABS(H50)/MAX(((F33)+(H33)*(MAX($D$16,(AC50)-(J33))))*(MAX($D$16,(AC50)-(J33))),0.000001))^2)/(2*$I$5),((ABS(H50)/MAX(((G33)+(I33)*(MAX($D$16,(L50)-(K33))))*(MAX($D$16,(L50)-(K33))),0.000001))^2)/(2*$I$5)))+(($D$11*0.00000015*(ABS(G50)/MAX(ABS(F50),0.000001))^2*MAX(((ABS(H50)/MAX(((F33)+(H33)*(MAX($D$16,(AC50)-(J33))))*(MAX($D$16,(AC50)-(J33))),0.000001))^2)/(2*$I$5),((ABS(H50)/MAX(((G33)+(I33)*(MAX($D$16,(L50)-(K33))))*(MAX($D$16,(L50)-(K33))),0.000001))^2)/(2*$I$5))))-((ABS(H50)/MAX(((F33)+(H33)*(MAX($D$16,(AC50)-(J33))))*(MAX($D$16,(AC50)-(J33))),0.000001))^2)/(2*$I$5)</f>
        <v>634.3119999999999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-292118.81246378768</v>
      </c>
      <c r="S50">
        <f ca="1">M50+((ABS(I50)/MAX(((G34)+(I34)*(MAX($D$16,(M50)-(K34))))*(MAX($D$16,(M50)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AD50)-(J34))))*(MAX($D$16,(AD50)-(J34))),0.000001)),$D$9*((((ABS(I50)/MAX(((G34)+(I34)*(MAX($D$16,(M50)-(K34))))*(MAX($D$16,(M50)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M50)-(K34))))*(MAX($D$16,(M50)-(K34))),0.000001))^2)/(2*$I$5)))))+($D$10*(ABS((X34)-(W34))/90)*MAX(((ABS(I50)/MAX(((F34)+(H34)*(MAX($D$16,(AD50)-(J34))))*(MAX($D$16,(AD50)-(J34))),0.000001))^2)/(2*$I$5),((ABS(I50)/MAX(((G34)+(I34)*(MAX($D$16,(M50)-(K34))))*(MAX($D$16,(M50)-(K34))),0.000001))^2)/(2*$I$5)))+(0)-((ABS(I50)/MAX(((F34)+(H34)*(MAX($D$16,(AD50)-(J34))))*(MAX($D$16,(AD50)-(J34))),0.000001))^2)/(2*$I$5)</f>
        <v>635.52331030805385</v>
      </c>
      <c r="T50">
        <f ca="1">N50+((ABS(J50)/MAX(((G35)+(I35)*(MAX($D$16,(N50)-(K35))))*(MAX($D$16,(N50)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AD50)-(J35))))*(MAX($D$16,(AD50)-(J35))),0.000001)),$D$9*((((ABS(J50)/MAX(((G35)+(I35)*(MAX($D$16,(N50)-(K35))))*(MAX($D$16,(N50)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N50)-(K35))))*(MAX($D$16,(N50)-(K35))),0.000001))^2)/(2*$I$5)))))+($D$10*(ABS((X35)-(W35))/90)*MAX(((ABS(J50)/MAX(((F35)+(H35)*(MAX($D$16,(AD50)-(J35))))*(MAX($D$16,(AD50)-(J35))),0.000001))^2)/(2*$I$5),((ABS(J50)/MAX(((G35)+(I35)*(MAX($D$16,(N50)-(K35))))*(MAX($D$16,(N50)-(K35))),0.000001))^2)/(2*$I$5)))+(($D$11*0.34699541*(ABS(I50)/MAX(ABS(G50),0.000001))^2*MAX(((ABS(J50)/MAX(((F35)+(H35)*(MAX($D$16,(AD50)-(J35))))*(MAX($D$16,(AD50)-(J35))),0.000001))^2)/(2*$I$5),((ABS(J50)/MAX(((G35)+(I35)*(MAX($D$16,(N50)-(K35))))*(MAX($D$16,(N50)-(K35))),0.000001))^2)/(2*$I$5))))-((ABS(J50)/MAX(((F35)+(H35)*(MAX($D$16,(AD50)-(J35))))*(MAX($D$16,(AD50)-(J35))),0.000001))^2)/(2*$I$5)</f>
        <v>644.84689764045652</v>
      </c>
      <c r="U50">
        <f ca="1">((((G31)*(MAX($D$16,(AE50)-(K31)))^2)/2+(I31)*(MAX($D$16,(AE50)-(K31)))^3/3+(ABS(F50)^2)/($I$5*MAX(((G31)+(I31)*(MAX($D$16,(AE50)-(K31))))*(MAX($D$16,(AE50)-(K31))),0.000001)))-(IF(N6="None",((((F32)*(MAX($D$16,(AE50)-(J32)))^2)/2+(H32)*(MAX($D$16,(AE50)-(J32)))^3/3+(ABS(G50)^2)/($I$5*MAX(((F32)+(H32)*(MAX($D$16,(AE50)-(J32))))*(MAX($D$16,(AE50)-(J32))),0.000001)))*0.72785025),(((((F32)*(MAX($D$16,(AE50)-(J32)))^2)/2+(H32)*(MAX($D$16,(AE50)-(J32)))^3/3+(ABS(G50)^2)/($I$5*MAX(((F32)+(H32)*(MAX($D$16,(AE50)-(J32))))*(MAX($D$16,(AE50)-(J32))),0.000001)))*0.72785025)+((((F33)*(MAX($D$16,(AE50)-(J33)))^2)/2+(H33)*(MAX($D$16,(AE50)-(J33)))^3/3+(ABS(H50)^2)/($I$5*MAX(((F33)+(H33)*(MAX($D$16,(AE50)-(J33))))*(MAX($D$16,(AE50)-(J33))),0.000001)))*0.99999971)))))/MAX(((G31)*(MAX($D$16,(AE50)-(K31)))^2)/2+(I31)*(MAX($D$16,(AE50)-(K31)))^3/3+(ABS(F50)^2)/($I$5*MAX(((G31)+(I31)*(MAX($D$16,(AE50)-(K31))))*(MAX($D$16,(AE50)-(K31))),0.000001)),0.000001)</f>
        <v>0.27214975000000002</v>
      </c>
      <c r="V50">
        <f ca="1">((((G32)*(MAX($D$16,(AF50)-(K32)))^2)/2+(I32)*(MAX($D$16,(AF50)-(K32)))^3/3+(ABS(G50)^2)/($I$5*MAX(((G32)+(I32)*(MAX($D$16,(AF50)-(K32))))*(MAX($D$16,(AF50)-(K32))),0.000001)))-(IF(AND(N7="None",N8="None"),0,IF(N8="None",((((F34)*(MAX($D$16,(AF50)-(J34)))^2)/2+(H34)*(MAX($D$16,(AF50)-(J34)))^3/3+(ABS(I50)^2)/($I$5*MAX(((F34)+(H34)*(MAX($D$16,(AF50)-(J34))))*(MAX($D$16,(AF50)-(J34))),0.000001)))*1),IF(N7="None",((((F35)*(MAX($D$16,(AF50)-(J35)))^2)/2+(H35)*(MAX($D$16,(AF50)-(J35)))^3/3+(ABS(J50)^2)/($I$5*MAX(((F35)+(H35)*(MAX($D$16,(AF50)-(J35))))*(MAX($D$16,(AF50)-(J35))),0.000001)))*0.30600918),(((((F34)*(MAX($D$16,(AF50)-(J34)))^2)/2+(H34)*(MAX($D$16,(AF50)-(J34)))^3/3+(ABS(I50)^2)/($I$5*MAX(((F34)+(H34)*(MAX($D$16,(AF50)-(J34))))*(MAX($D$16,(AF50)-(J34))),0.000001)))*1)+((((F35)*(MAX($D$16,(AF50)-(J35)))^2)/2+(H35)*(MAX($D$16,(AF50)-(J35)))^3/3+(ABS(J50)^2)/($I$5*MAX(((F35)+(H35)*(MAX($D$16,(AF50)-(J35))))*(MAX($D$16,(AF50)-(J35))),0.000001)))*0.30600918)))))))/MAX(((G32)*(MAX($D$16,(AF50)-(K32)))^2)/2+(I32)*(MAX($D$16,(AF50)-(K32)))^3/3+(ABS(G50)^2)/($I$5*MAX(((G32)+(I32)*(MAX($D$16,(AF50)-(K32))))*(MAX($D$16,(AF50)-(K32))),0.000001)),0.000001)</f>
        <v>4.9066606583190855E-2</v>
      </c>
      <c r="W50">
        <f ca="1">ABS((IF(N6="None",P50,MAX(P50,Q50)))-D50)</f>
        <v>59.215528837443003</v>
      </c>
      <c r="X50">
        <f ca="1">ABS((IF(AND(N7="None",N8="None"),E50,IF(N8="None",S50,IF(N7="None",T50,MAX(S50,T50)))))-E50)</f>
        <v>68.322630629417631</v>
      </c>
      <c r="Y50">
        <f>IF(N6="None",1,MIN(0.98,MAX(0.02,B50+$D$14*((Q50-P50)/MAX(ABS(D50),1)))))</f>
        <v>1</v>
      </c>
      <c r="Z50">
        <f ca="1">IF(AND(N7="None",N8="None"),C50,IF(N8="None",1,IF(N7="None",0,MIN(0.98,MAX(0.02,C50+$D$14*((T50-S50)/MAX(ABS(E50),1)))))))</f>
        <v>0.9759133458114716</v>
      </c>
      <c r="AA50">
        <f t="shared" ca="1" si="3"/>
        <v>683.35642746769201</v>
      </c>
      <c r="AB50">
        <f t="shared" ca="1" si="4"/>
        <v>689.25694907534114</v>
      </c>
      <c r="AC50">
        <f ca="1">IF($D$20=0,D50,IF(AC50=0,(IF(N6="None",P50,MAX(P50,Q50))),IF(ABS((IF(N6="None",P50,MAX(P50,Q50)))-AC50)&lt;$D$19,AC50,MAX((K31)+$D$16,AC50+$D$13*(((IF(N6="None",P50,MAX(P50,Q50)))-AC50))))))</f>
        <v>644.86695731910459</v>
      </c>
      <c r="AD50">
        <f ca="1">IF($D$20=0,E50,IF(AD50=0,(IF(AND(N7="None",N8="None"),E50,IF(N8="None",S50,IF(N7="None",T50,MAX(S50,T50))))),IF(ABS((IF(AND(N7="None",N8="None"),E50,IF(N8="None",S50,IF(N7="None",T50,MAX(S50,T50)))))-AD50)&lt;$D$19,AD50,MAX((K32)+$D$16,AD50+$D$13*(((IF(AND(N7="None",N8="None"),E50,IF(N8="None",S50,IF(N7="None",T50,MAX(S50,T50)))))-AD50))))))</f>
        <v>644.84787342835136</v>
      </c>
      <c r="AE50">
        <f ca="1">IF($D$20=0,D50,IF(AE50=0,O50,IF(ABS(U50)&lt;$D$19,AE50,MAX((K31)+$D$16,AE50+($D$13*(((O50)-AE50)+(U50*MAX(ABS(AE50-(K31)),1))))))))</f>
        <v>634.34799999999996</v>
      </c>
      <c r="AF50">
        <f ca="1">IF($D$20=0,E50,IF(AF50=0,R50,IF(ABS(V50)&lt;$D$19,AF50,MAX((K32)+$D$16,AF50+($D$13*(((R50)-AF50)+(V50*MAX(ABS(AF50-(K32)),1))))))))</f>
        <v>631.92499999999995</v>
      </c>
      <c r="AG50">
        <f ca="1">((G31)*(MAX($D$16,(AC50)-(K31)))^2)/2+(I31)*(MAX($D$16,(AC50)-(K31)))^3/3+(ABS(F50)^2)/($I$5*MAX(((G31)+(I31)*(MAX($D$16,(AC50)-(K31))))*(MAX($D$16,(AC50)-(K31))),0.000001))</f>
        <v>370.09899420036646</v>
      </c>
      <c r="AH50">
        <f ca="1">((G31)*(MAX($D$16,(AE50)-(K31)))^2)/2+(I31)*(MAX($D$16,(AE50)-(K31)))^3/3+(ABS(F50)^2)/($I$5*MAX(((G31)+(I31)*(MAX($D$16,(AE50)-(K31))))*(MAX($D$16,(AE50)-(K31))),0.000001))</f>
        <v>808.60110594434002</v>
      </c>
      <c r="AI50">
        <f ca="1">((G32)*(MAX($D$16,(AD50)-(K32)))^2)/2+(I32)*(MAX($D$16,(AD50)-(K32)))^3/3+(ABS(G50)^2)/($I$5*MAX(((G32)+(I32)*(MAX($D$16,(AD50)-(K32))))*(MAX($D$16,(AD50)-(K32))),0.000001))</f>
        <v>860.81418839742912</v>
      </c>
      <c r="AJ50">
        <f ca="1">((G32)*(MAX($D$16,(AF50)-(K32)))^2)/2+(I32)*(MAX($D$16,(AF50)-(K32)))^3/3+(ABS(G50)^2)/($I$5*MAX(((G32)+(I32)*(MAX($D$16,(AF50)-(K32))))*(MAX($D$16,(AF50)-(K32))),0.000001))</f>
        <v>519.58480272613974</v>
      </c>
      <c r="AK50" t="str">
        <f t="shared" ca="1" si="5"/>
        <v>Supercritical</v>
      </c>
      <c r="AL50" t="str">
        <f t="shared" ca="1" si="6"/>
        <v>Subcritical</v>
      </c>
      <c r="AM50">
        <f t="shared" ca="1" si="7"/>
        <v>679.67479240600539</v>
      </c>
      <c r="AN50">
        <f t="shared" ca="1" si="8"/>
        <v>689.25694907534114</v>
      </c>
      <c r="AO50">
        <f t="shared" ca="1" si="9"/>
        <v>69.733526778469923</v>
      </c>
      <c r="AP50">
        <f t="shared" ca="1" si="10"/>
        <v>68.321654841522786</v>
      </c>
    </row>
    <row r="51" spans="1:42" x14ac:dyDescent="0.35">
      <c r="A51">
        <v>8</v>
      </c>
      <c r="B51">
        <f t="shared" si="11"/>
        <v>1</v>
      </c>
      <c r="C51">
        <f t="shared" ca="1" si="12"/>
        <v>0.9759133458114716</v>
      </c>
      <c r="D51">
        <f t="shared" ca="1" si="13"/>
        <v>679.67479240600539</v>
      </c>
      <c r="E51">
        <f t="shared" ca="1" si="14"/>
        <v>689.25694907534114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 ca="1">IF(AND(N7="None",N8="None"),0,IF(N8="None",G51,IF(N7="None",0,MAX(0,G51*C51))))</f>
        <v>49.771580636385053</v>
      </c>
      <c r="J51">
        <f ca="1">IF(AND(N7="None",N8="None"),0,IF(N8="None",0,IF(N7="None",G51,MAX(0,G51-I51))))</f>
        <v>1.2284193636149467</v>
      </c>
      <c r="K51">
        <f>P5</f>
        <v>637</v>
      </c>
      <c r="L51">
        <f>P6</f>
        <v>634.3119999999999</v>
      </c>
      <c r="M51">
        <f>P7</f>
        <v>635.5</v>
      </c>
      <c r="N51">
        <f>P8</f>
        <v>631.54999999999995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-2091.5872404992097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643.78862728715148</v>
      </c>
      <c r="Q51">
        <f ca="1">L51+((ABS(H51)/MAX(((G33)+(I33)*(MAX($D$16,(L51)-(K33))))*(MAX($D$16,(L51)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AC51)-(J33))))*(MAX($D$16,(AC51)-(J33))),0.000001)),$D$9*((((ABS(H51)/MAX(((G33)+(I33)*(MAX($D$16,(L51)-(K33))))*(MAX($D$16,(L51)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L51)-(K33))))*(MAX($D$16,(L51)-(K33))),0.000001))^2)/(2*$I$5)))))+($D$10*(ABS((X33)-(W33))/90)*MAX(((ABS(H51)/MAX(((F33)+(H33)*(MAX($D$16,(AC51)-(J33))))*(MAX($D$16,(AC51)-(J33))),0.000001))^2)/(2*$I$5),((ABS(H51)/MAX(((G33)+(I33)*(MAX($D$16,(L51)-(K33))))*(MAX($D$16,(L51)-(K33))),0.000001))^2)/(2*$I$5)))+(($D$11*0.00000015*(ABS(G51)/MAX(ABS(F51),0.000001))^2*MAX(((ABS(H51)/MAX(((F33)+(H33)*(MAX($D$16,(AC51)-(J33))))*(MAX($D$16,(AC51)-(J33))),0.000001))^2)/(2*$I$5),((ABS(H51)/MAX(((G33)+(I33)*(MAX($D$16,(L51)-(K33))))*(MAX($D$16,(L51)-(K33))),0.000001))^2)/(2*$I$5))))-((ABS(H51)/MAX(((F33)+(H33)*(MAX($D$16,(AC51)-(J33))))*(MAX($D$16,(AC51)-(J33))),0.000001))^2)/(2*$I$5)</f>
        <v>634.3119999999999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-292118.81246378768</v>
      </c>
      <c r="S51">
        <f ca="1">M51+((ABS(I51)/MAX(((G34)+(I34)*(MAX($D$16,(M51)-(K34))))*(MAX($D$16,(M51)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AD51)-(J34))))*(MAX($D$16,(AD51)-(J34))),0.000001)),$D$9*((((ABS(I51)/MAX(((G34)+(I34)*(MAX($D$16,(M51)-(K34))))*(MAX($D$16,(M51)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M51)-(K34))))*(MAX($D$16,(M51)-(K34))),0.000001))^2)/(2*$I$5)))))+($D$10*(ABS((X34)-(W34))/90)*MAX(((ABS(I51)/MAX(((F34)+(H34)*(MAX($D$16,(AD51)-(J34))))*(MAX($D$16,(AD51)-(J34))),0.000001))^2)/(2*$I$5),((ABS(I51)/MAX(((G34)+(I34)*(MAX($D$16,(M51)-(K34))))*(MAX($D$16,(M51)-(K34))),0.000001))^2)/(2*$I$5)))+(0)-((ABS(I51)/MAX(((F34)+(H34)*(MAX($D$16,(AD51)-(J34))))*(MAX($D$16,(AD51)-(J34))),0.000001))^2)/(2*$I$5)</f>
        <v>635.52187683289731</v>
      </c>
      <c r="T51">
        <f ca="1">N51+((ABS(J51)/MAX(((G35)+(I35)*(MAX($D$16,(N51)-(K35))))*(MAX($D$16,(N51)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AD51)-(J35))))*(MAX($D$16,(AD51)-(J35))),0.000001)),$D$9*((((ABS(J51)/MAX(((G35)+(I35)*(MAX($D$16,(N51)-(K35))))*(MAX($D$16,(N51)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N51)-(K35))))*(MAX($D$16,(N51)-(K35))),0.000001))^2)/(2*$I$5)))))+($D$10*(ABS((X35)-(W35))/90)*MAX(((ABS(J51)/MAX(((F35)+(H35)*(MAX($D$16,(AD51)-(J35))))*(MAX($D$16,(AD51)-(J35))),0.000001))^2)/(2*$I$5),((ABS(J51)/MAX(((G35)+(I35)*(MAX($D$16,(N51)-(K35))))*(MAX($D$16,(N51)-(K35))),0.000001))^2)/(2*$I$5)))+(($D$11*0.34699541*(ABS(I51)/MAX(ABS(G51),0.000001))^2*MAX(((ABS(J51)/MAX(((F35)+(H35)*(MAX($D$16,(AD51)-(J35))))*(MAX($D$16,(AD51)-(J35))),0.000001))^2)/(2*$I$5),((ABS(J51)/MAX(((G35)+(I35)*(MAX($D$16,(N51)-(K35))))*(MAX($D$16,(N51)-(K35))),0.000001))^2)/(2*$I$5))))-((ABS(J51)/MAX(((F35)+(H35)*(MAX($D$16,(AD51)-(J35))))*(MAX($D$16,(AD51)-(J35))),0.000001))^2)/(2*$I$5)</f>
        <v>643.76435745796618</v>
      </c>
      <c r="U51">
        <f ca="1">((((G31)*(MAX($D$16,(AE51)-(K31)))^2)/2+(I31)*(MAX($D$16,(AE51)-(K31)))^3/3+(ABS(F51)^2)/($I$5*MAX(((G31)+(I31)*(MAX($D$16,(AE51)-(K31))))*(MAX($D$16,(AE51)-(K31))),0.000001)))-(IF(N6="None",((((F32)*(MAX($D$16,(AE51)-(J32)))^2)/2+(H32)*(MAX($D$16,(AE51)-(J32)))^3/3+(ABS(G51)^2)/($I$5*MAX(((F32)+(H32)*(MAX($D$16,(AE51)-(J32))))*(MAX($D$16,(AE51)-(J32))),0.000001)))*0.72785025),(((((F32)*(MAX($D$16,(AE51)-(J32)))^2)/2+(H32)*(MAX($D$16,(AE51)-(J32)))^3/3+(ABS(G51)^2)/($I$5*MAX(((F32)+(H32)*(MAX($D$16,(AE51)-(J32))))*(MAX($D$16,(AE51)-(J32))),0.000001)))*0.72785025)+((((F33)*(MAX($D$16,(AE51)-(J33)))^2)/2+(H33)*(MAX($D$16,(AE51)-(J33)))^3/3+(ABS(H51)^2)/($I$5*MAX(((F33)+(H33)*(MAX($D$16,(AE51)-(J33))))*(MAX($D$16,(AE51)-(J33))),0.000001)))*0.99999971)))))/MAX(((G31)*(MAX($D$16,(AE51)-(K31)))^2)/2+(I31)*(MAX($D$16,(AE51)-(K31)))^3/3+(ABS(F51)^2)/($I$5*MAX(((G31)+(I31)*(MAX($D$16,(AE51)-(K31))))*(MAX($D$16,(AE51)-(K31))),0.000001)),0.000001)</f>
        <v>0.27214975000000002</v>
      </c>
      <c r="V51">
        <f ca="1">((((G32)*(MAX($D$16,(AF51)-(K32)))^2)/2+(I32)*(MAX($D$16,(AF51)-(K32)))^3/3+(ABS(G51)^2)/($I$5*MAX(((G32)+(I32)*(MAX($D$16,(AF51)-(K32))))*(MAX($D$16,(AF51)-(K32))),0.000001)))-(IF(AND(N7="None",N8="None"),0,IF(N8="None",((((F34)*(MAX($D$16,(AF51)-(J34)))^2)/2+(H34)*(MAX($D$16,(AF51)-(J34)))^3/3+(ABS(I51)^2)/($I$5*MAX(((F34)+(H34)*(MAX($D$16,(AF51)-(J34))))*(MAX($D$16,(AF51)-(J34))),0.000001)))*1),IF(N7="None",((((F35)*(MAX($D$16,(AF51)-(J35)))^2)/2+(H35)*(MAX($D$16,(AF51)-(J35)))^3/3+(ABS(J51)^2)/($I$5*MAX(((F35)+(H35)*(MAX($D$16,(AF51)-(J35))))*(MAX($D$16,(AF51)-(J35))),0.000001)))*0.30600918),(((((F34)*(MAX($D$16,(AF51)-(J34)))^2)/2+(H34)*(MAX($D$16,(AF51)-(J34)))^3/3+(ABS(I51)^2)/($I$5*MAX(((F34)+(H34)*(MAX($D$16,(AF51)-(J34))))*(MAX($D$16,(AF51)-(J34))),0.000001)))*1)+((((F35)*(MAX($D$16,(AF51)-(J35)))^2)/2+(H35)*(MAX($D$16,(AF51)-(J35)))^3/3+(ABS(J51)^2)/($I$5*MAX(((F35)+(H35)*(MAX($D$16,(AF51)-(J35))))*(MAX($D$16,(AF51)-(J35))),0.000001)))*0.30600918)))))))/MAX(((G32)*(MAX($D$16,(AF51)-(K32)))^2)/2+(I32)*(MAX($D$16,(AF51)-(K32)))^3/3+(ABS(G51)^2)/($I$5*MAX(((G32)+(I32)*(MAX($D$16,(AF51)-(K32))))*(MAX($D$16,(AF51)-(K32))),0.000001)),0.000001)</f>
        <v>4.7028234776121502E-2</v>
      </c>
      <c r="W51">
        <f ca="1">ABS((IF(N6="None",P51,MAX(P51,Q51)))-D51)</f>
        <v>35.88616511885391</v>
      </c>
      <c r="X51">
        <f ca="1">ABS((IF(AND(N7="None",N8="None"),E51,IF(N8="None",S51,IF(N7="None",T51,MAX(S51,T51)))))-E51)</f>
        <v>45.492591617374956</v>
      </c>
      <c r="Y51">
        <f>IF(N6="None",1,MIN(0.98,MAX(0.02,B51+$D$14*((Q51-P51)/MAX(ABS(D51),1)))))</f>
        <v>1</v>
      </c>
      <c r="Z51">
        <f ca="1">IF(AND(N7="None",N8="None"),C51,IF(N8="None",1,IF(N7="None",0,MIN(0.98,MAX(0.02,C51+$D$14*((T51-S51)/MAX(ABS(E51),1)))))))</f>
        <v>0.97687002597391337</v>
      </c>
      <c r="AA51">
        <f t="shared" ca="1" si="3"/>
        <v>667.11496676202376</v>
      </c>
      <c r="AB51">
        <f t="shared" ca="1" si="4"/>
        <v>673.33488792220157</v>
      </c>
      <c r="AC51">
        <f ca="1">IF($D$20=0,D51,IF(AC51=0,(IF(N6="None",P51,MAX(P51,Q51))),IF(ABS((IF(N6="None",P51,MAX(P51,Q51)))-AC51)&lt;$D$19,AC51,MAX((K31)+$D$16,AC51+$D$13*(((IF(N6="None",P51,MAX(P51,Q51)))-AC51))))))</f>
        <v>643.78957628034357</v>
      </c>
      <c r="AD51">
        <f ca="1">IF($D$20=0,E51,IF(AD51=0,(IF(AND(N7="None",N8="None"),E51,IF(N8="None",S51,IF(N7="None",T51,MAX(S51,T51))))),IF(ABS((IF(AND(N7="None",N8="None"),E51,IF(N8="None",S51,IF(N7="None",T51,MAX(S51,T51)))))-AD51)&lt;$D$19,AD51,MAX((K32)+$D$16,AD51+$D$13*(((IF(AND(N7="None",N8="None"),E51,IF(N8="None",S51,IF(N7="None",T51,MAX(S51,T51)))))-AD51))))))</f>
        <v>643.76534578065662</v>
      </c>
      <c r="AE51">
        <f ca="1">IF($D$20=0,D51,IF(AE51=0,O51,IF(ABS(U51)&lt;$D$19,AE51,MAX((K31)+$D$16,AE51+($D$13*(((O51)-AE51)+(U51*MAX(ABS(AE51-(K31)),1))))))))</f>
        <v>634.34799999999996</v>
      </c>
      <c r="AF51">
        <f ca="1">IF($D$20=0,E51,IF(AF51=0,R51,IF(ABS(V51)&lt;$D$19,AF51,MAX((K32)+$D$16,AF51+($D$13*(((R51)-AF51)+(V51*MAX(ABS(AF51-(K32)),1))))))))</f>
        <v>631.92499999999995</v>
      </c>
      <c r="AG51">
        <f ca="1">((G31)*(MAX($D$16,(AC51)-(K31)))^2)/2+(I31)*(MAX($D$16,(AC51)-(K31)))^3/3+(ABS(F51)^2)/($I$5*MAX(((G31)+(I31)*(MAX($D$16,(AC51)-(K31))))*(MAX($D$16,(AC51)-(K31))),0.000001))</f>
        <v>299.66470562181553</v>
      </c>
      <c r="AH51">
        <f ca="1">((G31)*(MAX($D$16,(AE51)-(K31)))^2)/2+(I31)*(MAX($D$16,(AE51)-(K31)))^3/3+(ABS(F51)^2)/($I$5*MAX(((G31)+(I31)*(MAX($D$16,(AE51)-(K31))))*(MAX($D$16,(AE51)-(K31))),0.000001))</f>
        <v>808.60110594434002</v>
      </c>
      <c r="AI51">
        <f ca="1">((G32)*(MAX($D$16,(AD51)-(K32)))^2)/2+(I32)*(MAX($D$16,(AD51)-(K32)))^3/3+(ABS(G51)^2)/($I$5*MAX(((G32)+(I32)*(MAX($D$16,(AD51)-(K32))))*(MAX($D$16,(AD51)-(K32))),0.000001))</f>
        <v>723.64863550631844</v>
      </c>
      <c r="AJ51">
        <f ca="1">((G32)*(MAX($D$16,(AF51)-(K32)))^2)/2+(I32)*(MAX($D$16,(AF51)-(K32)))^3/3+(ABS(G51)^2)/($I$5*MAX(((G32)+(I32)*(MAX($D$16,(AF51)-(K32))))*(MAX($D$16,(AF51)-(K32))),0.000001))</f>
        <v>519.58480272613974</v>
      </c>
      <c r="AK51" t="str">
        <f t="shared" ca="1" si="5"/>
        <v>Supercritical</v>
      </c>
      <c r="AL51" t="str">
        <f t="shared" ca="1" si="6"/>
        <v>Subcritical</v>
      </c>
      <c r="AM51">
        <f t="shared" ca="1" si="7"/>
        <v>663.81041506390352</v>
      </c>
      <c r="AN51">
        <f t="shared" ca="1" si="8"/>
        <v>673.33488792220157</v>
      </c>
      <c r="AO51">
        <f t="shared" ca="1" si="9"/>
        <v>45.326792406005438</v>
      </c>
      <c r="AP51">
        <f t="shared" ca="1" si="10"/>
        <v>45.491603294684523</v>
      </c>
    </row>
    <row r="52" spans="1:42" x14ac:dyDescent="0.35">
      <c r="A52">
        <v>9</v>
      </c>
      <c r="B52">
        <f t="shared" si="11"/>
        <v>1</v>
      </c>
      <c r="C52">
        <f t="shared" ca="1" si="12"/>
        <v>0.97687002597391337</v>
      </c>
      <c r="D52">
        <f t="shared" ca="1" si="13"/>
        <v>663.81041506390352</v>
      </c>
      <c r="E52">
        <f t="shared" ca="1" si="14"/>
        <v>673.33488792220157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 ca="1">IF(AND(N7="None",N8="None"),0,IF(N8="None",G52,IF(N7="None",0,MAX(0,G52*C52))))</f>
        <v>49.82037132466958</v>
      </c>
      <c r="J52">
        <f ca="1">IF(AND(N7="None",N8="None"),0,IF(N8="None",0,IF(N7="None",G52,MAX(0,G52-I52))))</f>
        <v>1.1796286753304202</v>
      </c>
      <c r="K52">
        <f>P5</f>
        <v>637</v>
      </c>
      <c r="L52">
        <f>P6</f>
        <v>634.3119999999999</v>
      </c>
      <c r="M52">
        <f>P7</f>
        <v>635.5</v>
      </c>
      <c r="N52">
        <f>P8</f>
        <v>631.54999999999995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-2091.5872404992097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642.84477248595147</v>
      </c>
      <c r="Q52">
        <f ca="1">L52+((ABS(H52)/MAX(((G33)+(I33)*(MAX($D$16,(L52)-(K33))))*(MAX($D$16,(L52)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AC52)-(J33))))*(MAX($D$16,(AC52)-(J33))),0.000001)),$D$9*((((ABS(H52)/MAX(((G33)+(I33)*(MAX($D$16,(L52)-(K33))))*(MAX($D$16,(L52)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L52)-(K33))))*(MAX($D$16,(L52)-(K33))),0.000001))^2)/(2*$I$5)))))+($D$10*(ABS((X33)-(W33))/90)*MAX(((ABS(H52)/MAX(((F33)+(H33)*(MAX($D$16,(AC52)-(J33))))*(MAX($D$16,(AC52)-(J33))),0.000001))^2)/(2*$I$5),((ABS(H52)/MAX(((G33)+(I33)*(MAX($D$16,(L52)-(K33))))*(MAX($D$16,(L52)-(K33))),0.000001))^2)/(2*$I$5)))+(($D$11*0.00000015*(ABS(G52)/MAX(ABS(F52),0.000001))^2*MAX(((ABS(H52)/MAX(((F33)+(H33)*(MAX($D$16,(AC52)-(J33))))*(MAX($D$16,(AC52)-(J33))),0.000001))^2)/(2*$I$5),((ABS(H52)/MAX(((G33)+(I33)*(MAX($D$16,(L52)-(K33))))*(MAX($D$16,(L52)-(K33))),0.000001))^2)/(2*$I$5))))-((ABS(H52)/MAX(((F33)+(H33)*(MAX($D$16,(AC52)-(J33))))*(MAX($D$16,(AC52)-(J33))),0.000001))^2)/(2*$I$5)</f>
        <v>634.3119999999999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-292118.81246378768</v>
      </c>
      <c r="S52">
        <f ca="1">M52+((ABS(I52)/MAX(((G34)+(I34)*(MAX($D$16,(M52)-(K34))))*(MAX($D$16,(M52)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AD52)-(J34))))*(MAX($D$16,(AD52)-(J34))),0.000001)),$D$9*((((ABS(I52)/MAX(((G34)+(I34)*(MAX($D$16,(M52)-(K34))))*(MAX($D$16,(M52)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M52)-(K34))))*(MAX($D$16,(M52)-(K34))),0.000001))^2)/(2*$I$5)))))+($D$10*(ABS((X34)-(W34))/90)*MAX(((ABS(I52)/MAX(((F34)+(H34)*(MAX($D$16,(AD52)-(J34))))*(MAX($D$16,(AD52)-(J34))),0.000001))^2)/(2*$I$5),((ABS(I52)/MAX(((G34)+(I34)*(MAX($D$16,(M52)-(K34))))*(MAX($D$16,(M52)-(K34))),0.000001))^2)/(2*$I$5)))+(0)-((ABS(I52)/MAX(((F34)+(H34)*(MAX($D$16,(AD52)-(J34))))*(MAX($D$16,(AD52)-(J34))),0.000001))^2)/(2*$I$5)</f>
        <v>635.52023599630002</v>
      </c>
      <c r="T52">
        <f ca="1">N52+((ABS(J52)/MAX(((G35)+(I35)*(MAX($D$16,(N52)-(K35))))*(MAX($D$16,(N52)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AD52)-(J35))))*(MAX($D$16,(AD52)-(J35))),0.000001)),$D$9*((((ABS(J52)/MAX(((G35)+(I35)*(MAX($D$16,(N52)-(K35))))*(MAX($D$16,(N52)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N52)-(K35))))*(MAX($D$16,(N52)-(K35))),0.000001))^2)/(2*$I$5)))))+($D$10*(ABS((X35)-(W35))/90)*MAX(((ABS(J52)/MAX(((F35)+(H35)*(MAX($D$16,(AD52)-(J35))))*(MAX($D$16,(AD52)-(J35))),0.000001))^2)/(2*$I$5),((ABS(J52)/MAX(((G35)+(I35)*(MAX($D$16,(N52)-(K35))))*(MAX($D$16,(N52)-(K35))),0.000001))^2)/(2*$I$5)))+(($D$11*0.34699541*(ABS(I52)/MAX(ABS(G52),0.000001))^2*MAX(((ABS(J52)/MAX(((F35)+(H35)*(MAX($D$16,(AD52)-(J35))))*(MAX($D$16,(AD52)-(J35))),0.000001))^2)/(2*$I$5),((ABS(J52)/MAX(((G35)+(I35)*(MAX($D$16,(N52)-(K35))))*(MAX($D$16,(N52)-(K35))),0.000001))^2)/(2*$I$5))))-((ABS(J52)/MAX(((F35)+(H35)*(MAX($D$16,(AD52)-(J35))))*(MAX($D$16,(AD52)-(J35))),0.000001))^2)/(2*$I$5)</f>
        <v>642.81430423995846</v>
      </c>
      <c r="U52">
        <f ca="1">((((G31)*(MAX($D$16,(AE52)-(K31)))^2)/2+(I31)*(MAX($D$16,(AE52)-(K31)))^3/3+(ABS(F52)^2)/($I$5*MAX(((G31)+(I31)*(MAX($D$16,(AE52)-(K31))))*(MAX($D$16,(AE52)-(K31))),0.000001)))-(IF(N6="None",((((F32)*(MAX($D$16,(AE52)-(J32)))^2)/2+(H32)*(MAX($D$16,(AE52)-(J32)))^3/3+(ABS(G52)^2)/($I$5*MAX(((F32)+(H32)*(MAX($D$16,(AE52)-(J32))))*(MAX($D$16,(AE52)-(J32))),0.000001)))*0.72785025),(((((F32)*(MAX($D$16,(AE52)-(J32)))^2)/2+(H32)*(MAX($D$16,(AE52)-(J32)))^3/3+(ABS(G52)^2)/($I$5*MAX(((F32)+(H32)*(MAX($D$16,(AE52)-(J32))))*(MAX($D$16,(AE52)-(J32))),0.000001)))*0.72785025)+((((F33)*(MAX($D$16,(AE52)-(J33)))^2)/2+(H33)*(MAX($D$16,(AE52)-(J33)))^3/3+(ABS(H52)^2)/($I$5*MAX(((F33)+(H33)*(MAX($D$16,(AE52)-(J33))))*(MAX($D$16,(AE52)-(J33))),0.000001)))*0.99999971)))))/MAX(((G31)*(MAX($D$16,(AE52)-(K31)))^2)/2+(I31)*(MAX($D$16,(AE52)-(K31)))^3/3+(ABS(F52)^2)/($I$5*MAX(((G31)+(I31)*(MAX($D$16,(AE52)-(K31))))*(MAX($D$16,(AE52)-(K31))),0.000001)),0.000001)</f>
        <v>0.27214975000000002</v>
      </c>
      <c r="V52">
        <f ca="1">((((G32)*(MAX($D$16,(AF52)-(K32)))^2)/2+(I32)*(MAX($D$16,(AF52)-(K32)))^3/3+(ABS(G52)^2)/($I$5*MAX(((G32)+(I32)*(MAX($D$16,(AF52)-(K32))))*(MAX($D$16,(AF52)-(K32))),0.000001)))-(IF(AND(N7="None",N8="None"),0,IF(N8="None",((((F34)*(MAX($D$16,(AF52)-(J34)))^2)/2+(H34)*(MAX($D$16,(AF52)-(J34)))^3/3+(ABS(I52)^2)/($I$5*MAX(((F34)+(H34)*(MAX($D$16,(AF52)-(J34))))*(MAX($D$16,(AF52)-(J34))),0.000001)))*1),IF(N7="None",((((F35)*(MAX($D$16,(AF52)-(J35)))^2)/2+(H35)*(MAX($D$16,(AF52)-(J35)))^3/3+(ABS(J52)^2)/($I$5*MAX(((F35)+(H35)*(MAX($D$16,(AF52)-(J35))))*(MAX($D$16,(AF52)-(J35))),0.000001)))*0.30600918),(((((F34)*(MAX($D$16,(AF52)-(J34)))^2)/2+(H34)*(MAX($D$16,(AF52)-(J34)))^3/3+(ABS(I52)^2)/($I$5*MAX(((F34)+(H34)*(MAX($D$16,(AF52)-(J34))))*(MAX($D$16,(AF52)-(J34))),0.000001)))*1)+((((F35)*(MAX($D$16,(AF52)-(J35)))^2)/2+(H35)*(MAX($D$16,(AF52)-(J35)))^3/3+(ABS(J52)^2)/($I$5*MAX(((F35)+(H35)*(MAX($D$16,(AF52)-(J35))))*(MAX($D$16,(AF52)-(J35))),0.000001)))*0.30600918)))))))/MAX(((G32)*(MAX($D$16,(AF52)-(K32)))^2)/2+(I32)*(MAX($D$16,(AF52)-(K32)))^3/3+(ABS(G52)^2)/($I$5*MAX(((G32)+(I32)*(MAX($D$16,(AF52)-(K32))))*(MAX($D$16,(AF52)-(K32))),0.000001)),0.000001)</f>
        <v>4.5161717705390673E-2</v>
      </c>
      <c r="W52">
        <f ca="1">ABS((IF(N6="None",P52,MAX(P52,Q52)))-D52)</f>
        <v>20.965642577952053</v>
      </c>
      <c r="X52">
        <f ca="1">ABS((IF(AND(N7="None",N8="None"),E52,IF(N8="None",S52,IF(N7="None",T52,MAX(S52,T52)))))-E52)</f>
        <v>30.520583682243114</v>
      </c>
      <c r="Y52">
        <f>IF(N6="None",1,MIN(0.98,MAX(0.02,B52+$D$14*((Q52-P52)/MAX(ABS(D52),1)))))</f>
        <v>1</v>
      </c>
      <c r="Z52">
        <f ca="1">IF(AND(N7="None",N8="None"),C52,IF(N8="None",1,IF(N7="None",0,MIN(0.98,MAX(0.02,C52+$D$14*((T52-S52)/MAX(ABS(E52),1)))))))</f>
        <v>0.97773664594260878</v>
      </c>
      <c r="AA52">
        <f t="shared" ca="1" si="3"/>
        <v>656.47276762563968</v>
      </c>
      <c r="AB52">
        <f t="shared" ca="1" si="4"/>
        <v>662.65291085709703</v>
      </c>
      <c r="AC52">
        <f ca="1">IF($D$20=0,D52,IF(AC52=0,(IF(N6="None",P52,MAX(P52,Q52))),IF(ABS((IF(N6="None",P52,MAX(P52,Q52)))-AC52)&lt;$D$19,AC52,MAX((K31)+$D$16,AC52+$D$13*(((IF(N6="None",P52,MAX(P52,Q52)))-AC52))))))</f>
        <v>642.84570809743525</v>
      </c>
      <c r="AD52">
        <f ca="1">IF($D$20=0,E52,IF(AD52=0,(IF(AND(N7="None",N8="None"),E52,IF(N8="None",S52,IF(N7="None",T52,MAX(S52,T52))))),IF(ABS((IF(AND(N7="None",N8="None"),E52,IF(N8="None",S52,IF(N7="None",T52,MAX(S52,T52)))))-AD52)&lt;$D$19,AD52,MAX((K32)+$D$16,AD52+$D$13*(((IF(AND(N7="None",N8="None"),E52,IF(N8="None",S52,IF(N7="None",T52,MAX(S52,T52)))))-AD52))))))</f>
        <v>642.81495345047426</v>
      </c>
      <c r="AE52">
        <f ca="1">IF($D$20=0,D52,IF(AE52=0,O52,IF(ABS(U52)&lt;$D$19,AE52,MAX((K31)+$D$16,AE52+($D$13*(((O52)-AE52)+(U52*MAX(ABS(AE52-(K31)),1))))))))</f>
        <v>634.34799999999996</v>
      </c>
      <c r="AF52">
        <f ca="1">IF($D$20=0,E52,IF(AF52=0,R52,IF(ABS(V52)&lt;$D$19,AF52,MAX((K32)+$D$16,AF52+($D$13*(((R52)-AF52)+(V52*MAX(ABS(AF52-(K32)),1))))))))</f>
        <v>631.92499999999995</v>
      </c>
      <c r="AG52">
        <f ca="1">((G31)*(MAX($D$16,(AC52)-(K31)))^2)/2+(I31)*(MAX($D$16,(AC52)-(K31)))^3/3+(ABS(F52)^2)/($I$5*MAX(((G31)+(I31)*(MAX($D$16,(AC52)-(K31))))*(MAX($D$16,(AC52)-(K31))),0.000001))</f>
        <v>244.30448707037618</v>
      </c>
      <c r="AH52">
        <f ca="1">((G31)*(MAX($D$16,(AE52)-(K31)))^2)/2+(I31)*(MAX($D$16,(AE52)-(K31)))^3/3+(ABS(F52)^2)/($I$5*MAX(((G31)+(I31)*(MAX($D$16,(AE52)-(K31))))*(MAX($D$16,(AE52)-(K31))),0.000001))</f>
        <v>808.60110594434002</v>
      </c>
      <c r="AI52">
        <f ca="1">((G32)*(MAX($D$16,(AD52)-(K32)))^2)/2+(I32)*(MAX($D$16,(AD52)-(K32)))^3/3+(ABS(G52)^2)/($I$5*MAX(((G32)+(I32)*(MAX($D$16,(AD52)-(K32))))*(MAX($D$16,(AD52)-(K32))),0.000001))</f>
        <v>613.11486720793857</v>
      </c>
      <c r="AJ52">
        <f ca="1">((G32)*(MAX($D$16,(AF52)-(K32)))^2)/2+(I32)*(MAX($D$16,(AF52)-(K32)))^3/3+(ABS(G52)^2)/($I$5*MAX(((G32)+(I32)*(MAX($D$16,(AF52)-(K32))))*(MAX($D$16,(AF52)-(K32))),0.000001))</f>
        <v>519.58480272613974</v>
      </c>
      <c r="AK52" t="str">
        <f t="shared" ca="1" si="5"/>
        <v>Supercritical</v>
      </c>
      <c r="AL52" t="str">
        <f t="shared" ca="1" si="6"/>
        <v>Subcritical</v>
      </c>
      <c r="AM52">
        <f t="shared" ca="1" si="7"/>
        <v>653.49856979153731</v>
      </c>
      <c r="AN52">
        <f t="shared" ca="1" si="8"/>
        <v>662.65291085709703</v>
      </c>
      <c r="AO52">
        <f t="shared" ca="1" si="9"/>
        <v>29.462415063903563</v>
      </c>
      <c r="AP52">
        <f t="shared" ca="1" si="10"/>
        <v>30.519934471727311</v>
      </c>
    </row>
    <row r="53" spans="1:42" x14ac:dyDescent="0.35">
      <c r="A53">
        <v>10</v>
      </c>
      <c r="B53">
        <f t="shared" si="11"/>
        <v>1</v>
      </c>
      <c r="C53">
        <f t="shared" ca="1" si="12"/>
        <v>0.97773664594260878</v>
      </c>
      <c r="D53">
        <f t="shared" ca="1" si="13"/>
        <v>653.49856979153731</v>
      </c>
      <c r="E53">
        <f t="shared" ca="1" si="14"/>
        <v>662.65291085709703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 ca="1">IF(AND(N7="None",N8="None"),0,IF(N8="None",G53,IF(N7="None",0,MAX(0,G53*C53))))</f>
        <v>49.864568943073046</v>
      </c>
      <c r="J53">
        <f ca="1">IF(AND(N7="None",N8="None"),0,IF(N8="None",0,IF(N7="None",G53,MAX(0,G53-I53))))</f>
        <v>1.1354310569269543</v>
      </c>
      <c r="K53">
        <f>P5</f>
        <v>637</v>
      </c>
      <c r="L53">
        <f>P6</f>
        <v>634.3119999999999</v>
      </c>
      <c r="M53">
        <f>P7</f>
        <v>635.5</v>
      </c>
      <c r="N53">
        <f>P8</f>
        <v>631.54999999999995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-2091.5872404992097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642.0254483745133</v>
      </c>
      <c r="Q53">
        <f ca="1">L53+((ABS(H53)/MAX(((G33)+(I33)*(MAX($D$16,(L53)-(K33))))*(MAX($D$16,(L53)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AC53)-(J33))))*(MAX($D$16,(AC53)-(J33))),0.000001)),$D$9*((((ABS(H53)/MAX(((G33)+(I33)*(MAX($D$16,(L53)-(K33))))*(MAX($D$16,(L53)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L53)-(K33))))*(MAX($D$16,(L53)-(K33))),0.000001))^2)/(2*$I$5)))))+($D$10*(ABS((X33)-(W33))/90)*MAX(((ABS(H53)/MAX(((F33)+(H33)*(MAX($D$16,(AC53)-(J33))))*(MAX($D$16,(AC53)-(J33))),0.000001))^2)/(2*$I$5),((ABS(H53)/MAX(((G33)+(I33)*(MAX($D$16,(L53)-(K33))))*(MAX($D$16,(L53)-(K33))),0.000001))^2)/(2*$I$5)))+(($D$11*0.00000015*(ABS(G53)/MAX(ABS(F53),0.000001))^2*MAX(((ABS(H53)/MAX(((F33)+(H33)*(MAX($D$16,(AC53)-(J33))))*(MAX($D$16,(AC53)-(J33))),0.000001))^2)/(2*$I$5),((ABS(H53)/MAX(((G33)+(I33)*(MAX($D$16,(L53)-(K33))))*(MAX($D$16,(L53)-(K33))),0.000001))^2)/(2*$I$5))))-((ABS(H53)/MAX(((F33)+(H33)*(MAX($D$16,(AC53)-(J33))))*(MAX($D$16,(AC53)-(J33))),0.000001))^2)/(2*$I$5)</f>
        <v>634.3119999999999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-292118.81246378768</v>
      </c>
      <c r="S53">
        <f ca="1">M53+((ABS(I53)/MAX(((G34)+(I34)*(MAX($D$16,(M53)-(K34))))*(MAX($D$16,(M53)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AD53)-(J34))))*(MAX($D$16,(AD53)-(J34))),0.000001)),$D$9*((((ABS(I53)/MAX(((G34)+(I34)*(MAX($D$16,(M53)-(K34))))*(MAX($D$16,(M53)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M53)-(K34))))*(MAX($D$16,(M53)-(K34))),0.000001))^2)/(2*$I$5)))))+($D$10*(ABS((X34)-(W34))/90)*MAX(((ABS(I53)/MAX(((F34)+(H34)*(MAX($D$16,(AD53)-(J34))))*(MAX($D$16,(AD53)-(J34))),0.000001))^2)/(2*$I$5),((ABS(I53)/MAX(((G34)+(I34)*(MAX($D$16,(M53)-(K34))))*(MAX($D$16,(M53)-(K34))),0.000001))^2)/(2*$I$5)))+(0)-((ABS(I53)/MAX(((F34)+(H34)*(MAX($D$16,(AD53)-(J34))))*(MAX($D$16,(AD53)-(J34))),0.000001))^2)/(2*$I$5)</f>
        <v>635.51840113037144</v>
      </c>
      <c r="T53">
        <f ca="1">N53+((ABS(J53)/MAX(((G35)+(I35)*(MAX($D$16,(N53)-(K35))))*(MAX($D$16,(N53)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AD53)-(J35))))*(MAX($D$16,(AD53)-(J35))),0.000001)),$D$9*((((ABS(J53)/MAX(((G35)+(I35)*(MAX($D$16,(N53)-(K35))))*(MAX($D$16,(N53)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N53)-(K35))))*(MAX($D$16,(N53)-(K35))),0.000001))^2)/(2*$I$5)))))+($D$10*(ABS((X35)-(W35))/90)*MAX(((ABS(J53)/MAX(((F35)+(H35)*(MAX($D$16,(AD53)-(J35))))*(MAX($D$16,(AD53)-(J35))),0.000001))^2)/(2*$I$5),((ABS(J53)/MAX(((G35)+(I35)*(MAX($D$16,(N53)-(K35))))*(MAX($D$16,(N53)-(K35))),0.000001))^2)/(2*$I$5)))+(($D$11*0.34699541*(ABS(I53)/MAX(ABS(G53),0.000001))^2*MAX(((ABS(J53)/MAX(((F35)+(H35)*(MAX($D$16,(AD53)-(J35))))*(MAX($D$16,(AD53)-(J35))),0.000001))^2)/(2*$I$5),((ABS(J53)/MAX(((G35)+(I35)*(MAX($D$16,(N53)-(K35))))*(MAX($D$16,(N53)-(K35))),0.000001))^2)/(2*$I$5))))-((ABS(J53)/MAX(((F35)+(H35)*(MAX($D$16,(AD53)-(J35))))*(MAX($D$16,(AD53)-(J35))),0.000001))^2)/(2*$I$5)</f>
        <v>641.9868219126746</v>
      </c>
      <c r="U53">
        <f ca="1">((((G31)*(MAX($D$16,(AE53)-(K31)))^2)/2+(I31)*(MAX($D$16,(AE53)-(K31)))^3/3+(ABS(F53)^2)/($I$5*MAX(((G31)+(I31)*(MAX($D$16,(AE53)-(K31))))*(MAX($D$16,(AE53)-(K31))),0.000001)))-(IF(N6="None",((((F32)*(MAX($D$16,(AE53)-(J32)))^2)/2+(H32)*(MAX($D$16,(AE53)-(J32)))^3/3+(ABS(G53)^2)/($I$5*MAX(((F32)+(H32)*(MAX($D$16,(AE53)-(J32))))*(MAX($D$16,(AE53)-(J32))),0.000001)))*0.72785025),(((((F32)*(MAX($D$16,(AE53)-(J32)))^2)/2+(H32)*(MAX($D$16,(AE53)-(J32)))^3/3+(ABS(G53)^2)/($I$5*MAX(((F32)+(H32)*(MAX($D$16,(AE53)-(J32))))*(MAX($D$16,(AE53)-(J32))),0.000001)))*0.72785025)+((((F33)*(MAX($D$16,(AE53)-(J33)))^2)/2+(H33)*(MAX($D$16,(AE53)-(J33)))^3/3+(ABS(H53)^2)/($I$5*MAX(((F33)+(H33)*(MAX($D$16,(AE53)-(J33))))*(MAX($D$16,(AE53)-(J33))),0.000001)))*0.99999971)))))/MAX(((G31)*(MAX($D$16,(AE53)-(K31)))^2)/2+(I31)*(MAX($D$16,(AE53)-(K31)))^3/3+(ABS(F53)^2)/($I$5*MAX(((G31)+(I31)*(MAX($D$16,(AE53)-(K31))))*(MAX($D$16,(AE53)-(K31))),0.000001)),0.000001)</f>
        <v>0.27214975000000002</v>
      </c>
      <c r="V53">
        <f ca="1">((((G32)*(MAX($D$16,(AF53)-(K32)))^2)/2+(I32)*(MAX($D$16,(AF53)-(K32)))^3/3+(ABS(G53)^2)/($I$5*MAX(((G32)+(I32)*(MAX($D$16,(AF53)-(K32))))*(MAX($D$16,(AF53)-(K32))),0.000001)))-(IF(AND(N7="None",N8="None"),0,IF(N8="None",((((F34)*(MAX($D$16,(AF53)-(J34)))^2)/2+(H34)*(MAX($D$16,(AF53)-(J34)))^3/3+(ABS(I53)^2)/($I$5*MAX(((F34)+(H34)*(MAX($D$16,(AF53)-(J34))))*(MAX($D$16,(AF53)-(J34))),0.000001)))*1),IF(N7="None",((((F35)*(MAX($D$16,(AF53)-(J35)))^2)/2+(H35)*(MAX($D$16,(AF53)-(J35)))^3/3+(ABS(J53)^2)/($I$5*MAX(((F35)+(H35)*(MAX($D$16,(AF53)-(J35))))*(MAX($D$16,(AF53)-(J35))),0.000001)))*0.30600918),(((((F34)*(MAX($D$16,(AF53)-(J34)))^2)/2+(H34)*(MAX($D$16,(AF53)-(J34)))^3/3+(ABS(I53)^2)/($I$5*MAX(((F34)+(H34)*(MAX($D$16,(AF53)-(J34))))*(MAX($D$16,(AF53)-(J34))),0.000001)))*1)+((((F35)*(MAX($D$16,(AF53)-(J35)))^2)/2+(H35)*(MAX($D$16,(AF53)-(J35)))^3/3+(ABS(J53)^2)/($I$5*MAX(((F35)+(H35)*(MAX($D$16,(AF53)-(J35))))*(MAX($D$16,(AF53)-(J35))),0.000001)))*0.30600918)))))))/MAX(((G32)*(MAX($D$16,(AF53)-(K32)))^2)/2+(I32)*(MAX($D$16,(AF53)-(K32)))^3/3+(ABS(G53)^2)/($I$5*MAX(((G32)+(I32)*(MAX($D$16,(AF53)-(K32))))*(MAX($D$16,(AF53)-(K32))),0.000001)),0.000001)</f>
        <v>4.3469274326592824E-2</v>
      </c>
      <c r="W53">
        <f ca="1">ABS((IF(N6="None",P53,MAX(P53,Q53)))-D53)</f>
        <v>11.473121417024004</v>
      </c>
      <c r="X53">
        <f ca="1">ABS((IF(AND(N7="None",N8="None"),E53,IF(N8="None",S53,IF(N7="None",T53,MAX(S53,T53)))))-E53)</f>
        <v>20.666088944422427</v>
      </c>
      <c r="Y53">
        <f>IF(N6="None",1,MIN(0.98,MAX(0.02,B53+$D$14*((Q53-P53)/MAX(ABS(D53),1)))))</f>
        <v>1</v>
      </c>
      <c r="Z53">
        <f ca="1">IF(AND(N7="None",N8="None"),C53,IF(N8="None",1,IF(N7="None",0,MIN(0.98,MAX(0.02,C53+$D$14*((T53-S53)/MAX(ABS(E53),1)))))))</f>
        <v>0.97851755802207874</v>
      </c>
      <c r="AA53">
        <f t="shared" ca="1" si="3"/>
        <v>649.48329715249679</v>
      </c>
      <c r="AB53">
        <f t="shared" ca="1" si="4"/>
        <v>655.4200091135333</v>
      </c>
      <c r="AC53">
        <f ca="1">IF($D$20=0,D53,IF(AC53=0,(IF(N6="None",P53,MAX(P53,Q53))),IF(ABS((IF(N6="None",P53,MAX(P53,Q53)))-AC53)&lt;$D$19,AC53,MAX((K31)+$D$16,AC53+$D$13*(((IF(N6="None",P53,MAX(P53,Q53)))-AC53))))))</f>
        <v>642.02636225142157</v>
      </c>
      <c r="AD53">
        <f ca="1">IF($D$20=0,E53,IF(AD53=0,(IF(AND(N7="None",N8="None"),E53,IF(N8="None",S53,IF(N7="None",T53,MAX(S53,T53))))),IF(ABS((IF(AND(N7="None",N8="None"),E53,IF(N8="None",S53,IF(N7="None",T53,MAX(S53,T53)))))-AD53)&lt;$D$19,AD53,MAX((K32)+$D$16,AD53+$D$13*(((IF(AND(N7="None",N8="None"),E53,IF(N8="None",S53,IF(N7="None",T53,MAX(S53,T53)))))-AD53))))))</f>
        <v>641.98747730405785</v>
      </c>
      <c r="AE53">
        <f ca="1">IF($D$20=0,D53,IF(AE53=0,O53,IF(ABS(U53)&lt;$D$19,AE53,MAX((K31)+$D$16,AE53+($D$13*(((O53)-AE53)+(U53*MAX(ABS(AE53-(K31)),1))))))))</f>
        <v>634.34799999999996</v>
      </c>
      <c r="AF53">
        <f ca="1">IF($D$20=0,E53,IF(AF53=0,R53,IF(ABS(V53)&lt;$D$19,AF53,MAX((K32)+$D$16,AF53+($D$13*(((R53)-AF53)+(V53*MAX(ABS(AF53-(K32)),1))))))))</f>
        <v>631.92499999999995</v>
      </c>
      <c r="AG53">
        <f ca="1">((G31)*(MAX($D$16,(AC53)-(K31)))^2)/2+(I31)*(MAX($D$16,(AC53)-(K31)))^3/3+(ABS(F53)^2)/($I$5*MAX(((G31)+(I31)*(MAX($D$16,(AC53)-(K31))))*(MAX($D$16,(AC53)-(K31))),0.000001))</f>
        <v>201.07807910630993</v>
      </c>
      <c r="AH53">
        <f ca="1">((G31)*(MAX($D$16,(AE53)-(K31)))^2)/2+(I31)*(MAX($D$16,(AE53)-(K31)))^3/3+(ABS(F53)^2)/($I$5*MAX(((G31)+(I31)*(MAX($D$16,(AE53)-(K31))))*(MAX($D$16,(AE53)-(K31))),0.000001))</f>
        <v>808.60110594434002</v>
      </c>
      <c r="AI53">
        <f ca="1">((G32)*(MAX($D$16,(AD53)-(K32)))^2)/2+(I32)*(MAX($D$16,(AD53)-(K32)))^3/3+(ABS(G53)^2)/($I$5*MAX(((G32)+(I32)*(MAX($D$16,(AD53)-(K32))))*(MAX($D$16,(AD53)-(K32))),0.000001))</f>
        <v>524.41295763776907</v>
      </c>
      <c r="AJ53">
        <f ca="1">((G32)*(MAX($D$16,(AF53)-(K32)))^2)/2+(I32)*(MAX($D$16,(AF53)-(K32)))^3/3+(ABS(G53)^2)/($I$5*MAX(((G32)+(I32)*(MAX($D$16,(AF53)-(K32))))*(MAX($D$16,(AF53)-(K32))),0.000001))</f>
        <v>519.58480272613974</v>
      </c>
      <c r="AK53" t="str">
        <f t="shared" ca="1" si="5"/>
        <v>Supercritical</v>
      </c>
      <c r="AL53" t="str">
        <f t="shared" ca="1" si="6"/>
        <v>Subcritical</v>
      </c>
      <c r="AM53">
        <f t="shared" ca="1" si="7"/>
        <v>646.79587036449925</v>
      </c>
      <c r="AN53">
        <f t="shared" ca="1" si="8"/>
        <v>655.4200091135333</v>
      </c>
      <c r="AO53">
        <f t="shared" ca="1" si="9"/>
        <v>19.15056979153735</v>
      </c>
      <c r="AP53">
        <f t="shared" ca="1" si="10"/>
        <v>20.665433553039179</v>
      </c>
    </row>
    <row r="54" spans="1:42" x14ac:dyDescent="0.35">
      <c r="A54">
        <v>11</v>
      </c>
      <c r="B54">
        <f t="shared" si="11"/>
        <v>1</v>
      </c>
      <c r="C54">
        <f t="shared" ca="1" si="12"/>
        <v>0.97851755802207874</v>
      </c>
      <c r="D54">
        <f t="shared" ca="1" si="13"/>
        <v>646.79587036449925</v>
      </c>
      <c r="E54">
        <f t="shared" ca="1" si="14"/>
        <v>655.4200091135333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 ca="1">IF(AND(N7="None",N8="None"),0,IF(N8="None",G54,IF(N7="None",0,MAX(0,G54*C54))))</f>
        <v>49.904395459126015</v>
      </c>
      <c r="J54">
        <f ca="1">IF(AND(N7="None",N8="None"),0,IF(N8="None",0,IF(N7="None",G54,MAX(0,G54-I54))))</f>
        <v>1.0956045408739854</v>
      </c>
      <c r="K54">
        <f>P5</f>
        <v>637</v>
      </c>
      <c r="L54">
        <f>P6</f>
        <v>634.3119999999999</v>
      </c>
      <c r="M54">
        <f>P7</f>
        <v>635.5</v>
      </c>
      <c r="N54">
        <f>P8</f>
        <v>631.54999999999995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-2091.5872404992097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641.31681384883484</v>
      </c>
      <c r="Q54">
        <f ca="1">L54+((ABS(H54)/MAX(((G33)+(I33)*(MAX($D$16,(L54)-(K33))))*(MAX($D$16,(L54)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AC54)-(J33))))*(MAX($D$16,(AC54)-(J33))),0.000001)),$D$9*((((ABS(H54)/MAX(((G33)+(I33)*(MAX($D$16,(L54)-(K33))))*(MAX($D$16,(L54)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L54)-(K33))))*(MAX($D$16,(L54)-(K33))),0.000001))^2)/(2*$I$5)))))+($D$10*(ABS((X33)-(W33))/90)*MAX(((ABS(H54)/MAX(((F33)+(H33)*(MAX($D$16,(AC54)-(J33))))*(MAX($D$16,(AC54)-(J33))),0.000001))^2)/(2*$I$5),((ABS(H54)/MAX(((G33)+(I33)*(MAX($D$16,(L54)-(K33))))*(MAX($D$16,(L54)-(K33))),0.000001))^2)/(2*$I$5)))+(($D$11*0.00000015*(ABS(G54)/MAX(ABS(F54),0.000001))^2*MAX(((ABS(H54)/MAX(((F33)+(H33)*(MAX($D$16,(AC54)-(J33))))*(MAX($D$16,(AC54)-(J33))),0.000001))^2)/(2*$I$5),((ABS(H54)/MAX(((G33)+(I33)*(MAX($D$16,(L54)-(K33))))*(MAX($D$16,(L54)-(K33))),0.000001))^2)/(2*$I$5))))-((ABS(H54)/MAX(((F33)+(H33)*(MAX($D$16,(AC54)-(J33))))*(MAX($D$16,(AC54)-(J33))),0.000001))^2)/(2*$I$5)</f>
        <v>634.3119999999999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-292118.81246378768</v>
      </c>
      <c r="S54">
        <f ca="1">M54+((ABS(I54)/MAX(((G34)+(I34)*(MAX($D$16,(M54)-(K34))))*(MAX($D$16,(M54)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AD54)-(J34))))*(MAX($D$16,(AD54)-(J34))),0.000001)),$D$9*((((ABS(I54)/MAX(((G34)+(I34)*(MAX($D$16,(M54)-(K34))))*(MAX($D$16,(M54)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M54)-(K34))))*(MAX($D$16,(M54)-(K34))),0.000001))^2)/(2*$I$5)))))+($D$10*(ABS((X34)-(W34))/90)*MAX(((ABS(I54)/MAX(((F34)+(H34)*(MAX($D$16,(AD54)-(J34))))*(MAX($D$16,(AD54)-(J34))),0.000001))^2)/(2*$I$5),((ABS(I54)/MAX(((G34)+(I34)*(MAX($D$16,(M54)-(K34))))*(MAX($D$16,(M54)-(K34))),0.000001))^2)/(2*$I$5)))+(0)-((ABS(I54)/MAX(((F34)+(H34)*(MAX($D$16,(AD54)-(J34))))*(MAX($D$16,(AD54)-(J34))),0.000001))^2)/(2*$I$5)</f>
        <v>635.51638714775004</v>
      </c>
      <c r="T54">
        <f ca="1">N54+((ABS(J54)/MAX(((G35)+(I35)*(MAX($D$16,(N54)-(K35))))*(MAX($D$16,(N54)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AD54)-(J35))))*(MAX($D$16,(AD54)-(J35))),0.000001)),$D$9*((((ABS(J54)/MAX(((G35)+(I35)*(MAX($D$16,(N54)-(K35))))*(MAX($D$16,(N54)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N54)-(K35))))*(MAX($D$16,(N54)-(K35))),0.000001))^2)/(2*$I$5)))))+($D$10*(ABS((X35)-(W35))/90)*MAX(((ABS(J54)/MAX(((F35)+(H35)*(MAX($D$16,(AD54)-(J35))))*(MAX($D$16,(AD54)-(J35))),0.000001))^2)/(2*$I$5),((ABS(J54)/MAX(((G35)+(I35)*(MAX($D$16,(N54)-(K35))))*(MAX($D$16,(N54)-(K35))),0.000001))^2)/(2*$I$5)))+(($D$11*0.34699541*(ABS(I54)/MAX(ABS(G54),0.000001))^2*MAX(((ABS(J54)/MAX(((F35)+(H35)*(MAX($D$16,(AD54)-(J35))))*(MAX($D$16,(AD54)-(J35))),0.000001))^2)/(2*$I$5),((ABS(J54)/MAX(((G35)+(I35)*(MAX($D$16,(N54)-(K35))))*(MAX($D$16,(N54)-(K35))),0.000001))^2)/(2*$I$5))))-((ABS(J54)/MAX(((F35)+(H35)*(MAX($D$16,(AD54)-(J35))))*(MAX($D$16,(AD54)-(J35))),0.000001))^2)/(2*$I$5)</f>
        <v>641.26816211070229</v>
      </c>
      <c r="U54">
        <f ca="1">((((G31)*(MAX($D$16,(AE54)-(K31)))^2)/2+(I31)*(MAX($D$16,(AE54)-(K31)))^3/3+(ABS(F54)^2)/($I$5*MAX(((G31)+(I31)*(MAX($D$16,(AE54)-(K31))))*(MAX($D$16,(AE54)-(K31))),0.000001)))-(IF(N6="None",((((F32)*(MAX($D$16,(AE54)-(J32)))^2)/2+(H32)*(MAX($D$16,(AE54)-(J32)))^3/3+(ABS(G54)^2)/($I$5*MAX(((F32)+(H32)*(MAX($D$16,(AE54)-(J32))))*(MAX($D$16,(AE54)-(J32))),0.000001)))*0.72785025),(((((F32)*(MAX($D$16,(AE54)-(J32)))^2)/2+(H32)*(MAX($D$16,(AE54)-(J32)))^3/3+(ABS(G54)^2)/($I$5*MAX(((F32)+(H32)*(MAX($D$16,(AE54)-(J32))))*(MAX($D$16,(AE54)-(J32))),0.000001)))*0.72785025)+((((F33)*(MAX($D$16,(AE54)-(J33)))^2)/2+(H33)*(MAX($D$16,(AE54)-(J33)))^3/3+(ABS(H54)^2)/($I$5*MAX(((F33)+(H33)*(MAX($D$16,(AE54)-(J33))))*(MAX($D$16,(AE54)-(J33))),0.000001)))*0.99999971)))))/MAX(((G31)*(MAX($D$16,(AE54)-(K31)))^2)/2+(I31)*(MAX($D$16,(AE54)-(K31)))^3/3+(ABS(F54)^2)/($I$5*MAX(((G31)+(I31)*(MAX($D$16,(AE54)-(K31))))*(MAX($D$16,(AE54)-(K31))),0.000001)),0.000001)</f>
        <v>0.27214975000000002</v>
      </c>
      <c r="V54">
        <f ca="1">((((G32)*(MAX($D$16,(AF54)-(K32)))^2)/2+(I32)*(MAX($D$16,(AF54)-(K32)))^3/3+(ABS(G54)^2)/($I$5*MAX(((G32)+(I32)*(MAX($D$16,(AF54)-(K32))))*(MAX($D$16,(AF54)-(K32))),0.000001)))-(IF(AND(N7="None",N8="None"),0,IF(N8="None",((((F34)*(MAX($D$16,(AF54)-(J34)))^2)/2+(H34)*(MAX($D$16,(AF54)-(J34)))^3/3+(ABS(I54)^2)/($I$5*MAX(((F34)+(H34)*(MAX($D$16,(AF54)-(J34))))*(MAX($D$16,(AF54)-(J34))),0.000001)))*1),IF(N7="None",((((F35)*(MAX($D$16,(AF54)-(J35)))^2)/2+(H35)*(MAX($D$16,(AF54)-(J35)))^3/3+(ABS(J54)^2)/($I$5*MAX(((F35)+(H35)*(MAX($D$16,(AF54)-(J35))))*(MAX($D$16,(AF54)-(J35))),0.000001)))*0.30600918),(((((F34)*(MAX($D$16,(AF54)-(J34)))^2)/2+(H34)*(MAX($D$16,(AF54)-(J34)))^3/3+(ABS(I54)^2)/($I$5*MAX(((F34)+(H34)*(MAX($D$16,(AF54)-(J34))))*(MAX($D$16,(AF54)-(J34))),0.000001)))*1)+((((F35)*(MAX($D$16,(AF54)-(J35)))^2)/2+(H35)*(MAX($D$16,(AF54)-(J35)))^3/3+(ABS(J54)^2)/($I$5*MAX(((F35)+(H35)*(MAX($D$16,(AF54)-(J35))))*(MAX($D$16,(AF54)-(J35))),0.000001)))*0.30600918)))))))/MAX(((G32)*(MAX($D$16,(AF54)-(K32)))^2)/2+(I32)*(MAX($D$16,(AF54)-(K32)))^3/3+(ABS(G54)^2)/($I$5*MAX(((G32)+(I32)*(MAX($D$16,(AF54)-(K32))))*(MAX($D$16,(AF54)-(K32))),0.000001)),0.000001)</f>
        <v>4.1942879122333479E-2</v>
      </c>
      <c r="W54">
        <f ca="1">ABS((IF(N6="None",P54,MAX(P54,Q54)))-D54)</f>
        <v>5.4790565156644107</v>
      </c>
      <c r="X54">
        <f ca="1">ABS((IF(AND(N7="None",N8="None"),E54,IF(N8="None",S54,IF(N7="None",T54,MAX(S54,T54)))))-E54)</f>
        <v>14.151847002831005</v>
      </c>
      <c r="Y54">
        <f>IF(N6="None",1,MIN(0.98,MAX(0.02,B54+$D$14*((Q54-P54)/MAX(ABS(D54),1)))))</f>
        <v>1</v>
      </c>
      <c r="Z54">
        <f ca="1">IF(AND(N7="None",N8="None"),C54,IF(N8="None",1,IF(N7="None",0,MIN(0.98,MAX(0.02,C54+$D$14*((T54-S54)/MAX(ABS(E54),1)))))))</f>
        <v>0.97921961470426411</v>
      </c>
      <c r="AA54">
        <f t="shared" ca="1" si="3"/>
        <v>644.87851001480124</v>
      </c>
      <c r="AB54">
        <f t="shared" ca="1" si="4"/>
        <v>650.46709390583487</v>
      </c>
      <c r="AC54">
        <f ca="1">IF($D$20=0,D54,IF(AC54=0,(IF(N6="None",P54,MAX(P54,Q54))),IF(ABS((IF(N6="None",P54,MAX(P54,Q54)))-AC54)&lt;$D$19,AC54,MAX((K31)+$D$16,AC54+$D$13*(((IF(N6="None",P54,MAX(P54,Q54)))-AC54))))))</f>
        <v>641.31769793679075</v>
      </c>
      <c r="AD54">
        <f ca="1">IF($D$20=0,E54,IF(AD54=0,(IF(AND(N7="None",N8="None"),E54,IF(N8="None",S54,IF(N7="None",T54,MAX(S54,T54))))),IF(ABS((IF(AND(N7="None",N8="None"),E54,IF(N8="None",S54,IF(N7="None",T54,MAX(S54,T54)))))-AD54)&lt;$D$19,AD54,MAX((K32)+$D$16,AD54+$D$13*(((IF(AND(N7="None",N8="None"),E54,IF(N8="None",S54,IF(N7="None",T54,MAX(S54,T54)))))-AD54))))))</f>
        <v>641.26882280582367</v>
      </c>
      <c r="AE54">
        <f ca="1">IF($D$20=0,D54,IF(AE54=0,O54,IF(ABS(U54)&lt;$D$19,AE54,MAX((K31)+$D$16,AE54+($D$13*(((O54)-AE54)+(U54*MAX(ABS(AE54-(K31)),1))))))))</f>
        <v>634.34799999999996</v>
      </c>
      <c r="AF54">
        <f ca="1">IF($D$20=0,E54,IF(AF54=0,R54,IF(ABS(V54)&lt;$D$19,AF54,MAX((K32)+$D$16,AF54+($D$13*(((R54)-AF54)+(V54*MAX(ABS(AF54-(K32)),1))))))))</f>
        <v>631.92499999999995</v>
      </c>
      <c r="AG54">
        <f ca="1">((G31)*(MAX($D$16,(AC54)-(K31)))^2)/2+(I31)*(MAX($D$16,(AC54)-(K31)))^3/3+(ABS(F54)^2)/($I$5*MAX(((G31)+(I31)*(MAX($D$16,(AC54)-(K31))))*(MAX($D$16,(AC54)-(K31))),0.000001))</f>
        <v>167.33598233984495</v>
      </c>
      <c r="AH54">
        <f ca="1">((G31)*(MAX($D$16,(AE54)-(K31)))^2)/2+(I31)*(MAX($D$16,(AE54)-(K31)))^3/3+(ABS(F54)^2)/($I$5*MAX(((G31)+(I31)*(MAX($D$16,(AE54)-(K31))))*(MAX($D$16,(AE54)-(K31))),0.000001))</f>
        <v>808.60110594434002</v>
      </c>
      <c r="AI54">
        <f ca="1">((G32)*(MAX($D$16,(AD54)-(K32)))^2)/2+(I32)*(MAX($D$16,(AD54)-(K32)))^3/3+(ABS(G54)^2)/($I$5*MAX(((G32)+(I32)*(MAX($D$16,(AD54)-(K32))))*(MAX($D$16,(AD54)-(K32))),0.000001))</f>
        <v>453.0741553817769</v>
      </c>
      <c r="AJ54">
        <f ca="1">((G32)*(MAX($D$16,(AF54)-(K32)))^2)/2+(I32)*(MAX($D$16,(AF54)-(K32)))^3/3+(ABS(G54)^2)/($I$5*MAX(((G32)+(I32)*(MAX($D$16,(AF54)-(K32))))*(MAX($D$16,(AF54)-(K32))),0.000001))</f>
        <v>519.58480272613974</v>
      </c>
      <c r="AK54" t="str">
        <f t="shared" ca="1" si="5"/>
        <v>Supercritical</v>
      </c>
      <c r="AL54" t="str">
        <f t="shared" ca="1" si="6"/>
        <v>Supercritical</v>
      </c>
      <c r="AM54">
        <f t="shared" ca="1" si="7"/>
        <v>642.43911573692446</v>
      </c>
      <c r="AN54">
        <f t="shared" ca="1" si="8"/>
        <v>647.19675592379667</v>
      </c>
      <c r="AO54">
        <f t="shared" ca="1" si="9"/>
        <v>12.447870364499295</v>
      </c>
      <c r="AP54">
        <f t="shared" ca="1" si="10"/>
        <v>23.495009113533342</v>
      </c>
    </row>
    <row r="55" spans="1:42" x14ac:dyDescent="0.35">
      <c r="A55">
        <v>12</v>
      </c>
      <c r="B55">
        <f t="shared" si="11"/>
        <v>1</v>
      </c>
      <c r="C55">
        <f t="shared" ca="1" si="12"/>
        <v>0.97921961470426411</v>
      </c>
      <c r="D55">
        <f t="shared" ca="1" si="13"/>
        <v>642.43911573692446</v>
      </c>
      <c r="E55">
        <f t="shared" ca="1" si="14"/>
        <v>647.19675592379667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 ca="1">IF(AND(N7="None",N8="None"),0,IF(N8="None",G55,IF(N7="None",0,MAX(0,G55*C55))))</f>
        <v>49.940200349917468</v>
      </c>
      <c r="J55">
        <f ca="1">IF(AND(N7="None",N8="None"),0,IF(N8="None",0,IF(N7="None",G55,MAX(0,G55-I55))))</f>
        <v>1.0597996500825317</v>
      </c>
      <c r="K55">
        <f>P5</f>
        <v>637</v>
      </c>
      <c r="L55">
        <f>P6</f>
        <v>634.3119999999999</v>
      </c>
      <c r="M55">
        <f>P7</f>
        <v>635.5</v>
      </c>
      <c r="N55">
        <f>P8</f>
        <v>631.54999999999995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-2091.5872404992097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640.70471229774887</v>
      </c>
      <c r="Q55">
        <f ca="1">L55+((ABS(H55)/MAX(((G33)+(I33)*(MAX($D$16,(L55)-(K33))))*(MAX($D$16,(L55)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AC55)-(J33))))*(MAX($D$16,(AC55)-(J33))),0.000001)),$D$9*((((ABS(H55)/MAX(((G33)+(I33)*(MAX($D$16,(L55)-(K33))))*(MAX($D$16,(L55)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L55)-(K33))))*(MAX($D$16,(L55)-(K33))),0.000001))^2)/(2*$I$5)))))+($D$10*(ABS((X33)-(W33))/90)*MAX(((ABS(H55)/MAX(((F33)+(H33)*(MAX($D$16,(AC55)-(J33))))*(MAX($D$16,(AC55)-(J33))),0.000001))^2)/(2*$I$5),((ABS(H55)/MAX(((G33)+(I33)*(MAX($D$16,(L55)-(K33))))*(MAX($D$16,(L55)-(K33))),0.000001))^2)/(2*$I$5)))+(($D$11*0.00000015*(ABS(G55)/MAX(ABS(F55),0.000001))^2*MAX(((ABS(H55)/MAX(((F33)+(H33)*(MAX($D$16,(AC55)-(J33))))*(MAX($D$16,(AC55)-(J33))),0.000001))^2)/(2*$I$5),((ABS(H55)/MAX(((G33)+(I33)*(MAX($D$16,(L55)-(K33))))*(MAX($D$16,(L55)-(K33))),0.000001))^2)/(2*$I$5))))-((ABS(H55)/MAX(((F33)+(H33)*(MAX($D$16,(AC55)-(J33))))*(MAX($D$16,(AC55)-(J33))),0.000001))^2)/(2*$I$5)</f>
        <v>634.3119999999999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-292118.81246378768</v>
      </c>
      <c r="S55">
        <f ca="1">M55+((ABS(I55)/MAX(((G34)+(I34)*(MAX($D$16,(M55)-(K34))))*(MAX($D$16,(M55)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AD55)-(J34))))*(MAX($D$16,(AD55)-(J34))),0.000001)),$D$9*((((ABS(I55)/MAX(((G34)+(I34)*(MAX($D$16,(M55)-(K34))))*(MAX($D$16,(M55)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M55)-(K34))))*(MAX($D$16,(M55)-(K34))),0.000001))^2)/(2*$I$5)))))+($D$10*(ABS((X34)-(W34))/90)*MAX(((ABS(I55)/MAX(((F34)+(H34)*(MAX($D$16,(AD55)-(J34))))*(MAX($D$16,(AD55)-(J34))),0.000001))^2)/(2*$I$5),((ABS(I55)/MAX(((G34)+(I34)*(MAX($D$16,(M55)-(K34))))*(MAX($D$16,(M55)-(K34))),0.000001))^2)/(2*$I$5)))+(0)-((ABS(I55)/MAX(((F34)+(H34)*(MAX($D$16,(AD55)-(J34))))*(MAX($D$16,(AD55)-(J34))),0.000001))^2)/(2*$I$5)</f>
        <v>635.51421163706675</v>
      </c>
      <c r="T55">
        <f ca="1">N55+((ABS(J55)/MAX(((G35)+(I35)*(MAX($D$16,(N55)-(K35))))*(MAX($D$16,(N55)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AD55)-(J35))))*(MAX($D$16,(AD55)-(J35))),0.000001)),$D$9*((((ABS(J55)/MAX(((G35)+(I35)*(MAX($D$16,(N55)-(K35))))*(MAX($D$16,(N55)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N55)-(K35))))*(MAX($D$16,(N55)-(K35))),0.000001))^2)/(2*$I$5)))))+($D$10*(ABS((X35)-(W35))/90)*MAX(((ABS(J55)/MAX(((F35)+(H35)*(MAX($D$16,(AD55)-(J35))))*(MAX($D$16,(AD55)-(J35))),0.000001))^2)/(2*$I$5),((ABS(J55)/MAX(((G35)+(I35)*(MAX($D$16,(N55)-(K35))))*(MAX($D$16,(N55)-(K35))),0.000001))^2)/(2*$I$5)))+(($D$11*0.34699541*(ABS(I55)/MAX(ABS(G55),0.000001))^2*MAX(((ABS(J55)/MAX(((F35)+(H35)*(MAX($D$16,(AD55)-(J35))))*(MAX($D$16,(AD55)-(J35))),0.000001))^2)/(2*$I$5),((ABS(J55)/MAX(((G35)+(I35)*(MAX($D$16,(N55)-(K35))))*(MAX($D$16,(N55)-(K35))),0.000001))^2)/(2*$I$5))))-((ABS(J55)/MAX(((F35)+(H35)*(MAX($D$16,(AD55)-(J35))))*(MAX($D$16,(AD55)-(J35))),0.000001))^2)/(2*$I$5)</f>
        <v>640.64391310980761</v>
      </c>
      <c r="U55">
        <f ca="1">((((G31)*(MAX($D$16,(AE55)-(K31)))^2)/2+(I31)*(MAX($D$16,(AE55)-(K31)))^3/3+(ABS(F55)^2)/($I$5*MAX(((G31)+(I31)*(MAX($D$16,(AE55)-(K31))))*(MAX($D$16,(AE55)-(K31))),0.000001)))-(IF(N6="None",((((F32)*(MAX($D$16,(AE55)-(J32)))^2)/2+(H32)*(MAX($D$16,(AE55)-(J32)))^3/3+(ABS(G55)^2)/($I$5*MAX(((F32)+(H32)*(MAX($D$16,(AE55)-(J32))))*(MAX($D$16,(AE55)-(J32))),0.000001)))*0.72785025),(((((F32)*(MAX($D$16,(AE55)-(J32)))^2)/2+(H32)*(MAX($D$16,(AE55)-(J32)))^3/3+(ABS(G55)^2)/($I$5*MAX(((F32)+(H32)*(MAX($D$16,(AE55)-(J32))))*(MAX($D$16,(AE55)-(J32))),0.000001)))*0.72785025)+((((F33)*(MAX($D$16,(AE55)-(J33)))^2)/2+(H33)*(MAX($D$16,(AE55)-(J33)))^3/3+(ABS(H55)^2)/($I$5*MAX(((F33)+(H33)*(MAX($D$16,(AE55)-(J33))))*(MAX($D$16,(AE55)-(J33))),0.000001)))*0.99999971)))))/MAX(((G31)*(MAX($D$16,(AE55)-(K31)))^2)/2+(I31)*(MAX($D$16,(AE55)-(K31)))^3/3+(ABS(F55)^2)/($I$5*MAX(((G31)+(I31)*(MAX($D$16,(AE55)-(K31))))*(MAX($D$16,(AE55)-(K31))),0.000001)),0.000001)</f>
        <v>0.27214975000000002</v>
      </c>
      <c r="V55">
        <f ca="1">((((G32)*(MAX($D$16,(AF55)-(K32)))^2)/2+(I32)*(MAX($D$16,(AF55)-(K32)))^3/3+(ABS(G55)^2)/($I$5*MAX(((G32)+(I32)*(MAX($D$16,(AF55)-(K32))))*(MAX($D$16,(AF55)-(K32))),0.000001)))-(IF(AND(N7="None",N8="None"),0,IF(N8="None",((((F34)*(MAX($D$16,(AF55)-(J34)))^2)/2+(H34)*(MAX($D$16,(AF55)-(J34)))^3/3+(ABS(I55)^2)/($I$5*MAX(((F34)+(H34)*(MAX($D$16,(AF55)-(J34))))*(MAX($D$16,(AF55)-(J34))),0.000001)))*1),IF(N7="None",((((F35)*(MAX($D$16,(AF55)-(J35)))^2)/2+(H35)*(MAX($D$16,(AF55)-(J35)))^3/3+(ABS(J55)^2)/($I$5*MAX(((F35)+(H35)*(MAX($D$16,(AF55)-(J35))))*(MAX($D$16,(AF55)-(J35))),0.000001)))*0.30600918),(((((F34)*(MAX($D$16,(AF55)-(J34)))^2)/2+(H34)*(MAX($D$16,(AF55)-(J34)))^3/3+(ABS(I55)^2)/($I$5*MAX(((F34)+(H34)*(MAX($D$16,(AF55)-(J34))))*(MAX($D$16,(AF55)-(J34))),0.000001)))*1)+((((F35)*(MAX($D$16,(AF55)-(J35)))^2)/2+(H35)*(MAX($D$16,(AF55)-(J35)))^3/3+(ABS(J55)^2)/($I$5*MAX(((F35)+(H35)*(MAX($D$16,(AF55)-(J35))))*(MAX($D$16,(AF55)-(J35))),0.000001)))*0.30600918)))))))/MAX(((G32)*(MAX($D$16,(AF55)-(K32)))^2)/2+(I32)*(MAX($D$16,(AF55)-(K32)))^3/3+(ABS(G55)^2)/($I$5*MAX(((G32)+(I32)*(MAX($D$16,(AF55)-(K32))))*(MAX($D$16,(AF55)-(K32))),0.000001)),0.000001)</f>
        <v>4.0569538563527338E-2</v>
      </c>
      <c r="W55">
        <f ca="1">ABS((IF(N6="None",P55,MAX(P55,Q55)))-D55)</f>
        <v>1.734403439175594</v>
      </c>
      <c r="X55">
        <f ca="1">ABS((IF(AND(N7="None",N8="None"),E55,IF(N8="None",S55,IF(N7="None",T55,MAX(S55,T55)))))-E55)</f>
        <v>6.5528428139890593</v>
      </c>
      <c r="Y55">
        <f>IF(N6="None",1,MIN(0.98,MAX(0.02,B55+$D$14*((Q55-P55)/MAX(ABS(D55),1)))))</f>
        <v>1</v>
      </c>
      <c r="Z55">
        <f ca="1">IF(AND(N7="None",N8="None"),C55,IF(N8="None",1,IF(N7="None",0,MIN(0.98,MAX(0.02,C55+$D$14*((T55-S55)/MAX(ABS(E55),1)))))))</f>
        <v>0.97985369717464599</v>
      </c>
      <c r="AA55">
        <f t="shared" ca="1" si="3"/>
        <v>641.83237017162321</v>
      </c>
      <c r="AB55">
        <f t="shared" ca="1" si="4"/>
        <v>644.90349377632231</v>
      </c>
      <c r="AC55">
        <f ca="1">IF($D$20=0,D55,IF(AC55=0,(IF(N6="None",P55,MAX(P55,Q55))),IF(ABS((IF(N6="None",P55,MAX(P55,Q55)))-AC55)&lt;$D$19,AC55,MAX((K31)+$D$16,AC55+$D$13*(((IF(N6="None",P55,MAX(P55,Q55)))-AC55))))))</f>
        <v>640.70555697892087</v>
      </c>
      <c r="AD55">
        <f ca="1">IF($D$20=0,E55,IF(AD55=0,(IF(AND(N7="None",N8="None"),E55,IF(N8="None",S55,IF(N7="None",T55,MAX(S55,T55))))),IF(ABS((IF(AND(N7="None",N8="None"),E55,IF(N8="None",S55,IF(N7="None",T55,MAX(S55,T55)))))-AD55)&lt;$D$19,AD55,MAX((K32)+$D$16,AD55+$D$13*(((IF(AND(N7="None",N8="None"),E55,IF(N8="None",S55,IF(N7="None",T55,MAX(S55,T55)))))-AD55))))))</f>
        <v>640.64457835958433</v>
      </c>
      <c r="AE55">
        <f ca="1">IF($D$20=0,D55,IF(AE55=0,O55,IF(ABS(U55)&lt;$D$19,AE55,MAX((K31)+$D$16,AE55+($D$13*(((O55)-AE55)+(U55*MAX(ABS(AE55-(K31)),1))))))))</f>
        <v>634.34799999999996</v>
      </c>
      <c r="AF55">
        <f ca="1">IF($D$20=0,E55,IF(AF55=0,R55,IF(ABS(V55)&lt;$D$19,AF55,MAX((K32)+$D$16,AF55+($D$13*(((R55)-AF55)+(V55*MAX(ABS(AF55-(K32)),1))))))))</f>
        <v>631.92499999999995</v>
      </c>
      <c r="AG55">
        <f ca="1">((G31)*(MAX($D$16,(AC55)-(K31)))^2)/2+(I31)*(MAX($D$16,(AC55)-(K31)))^3/3+(ABS(F55)^2)/($I$5*MAX(((G31)+(I31)*(MAX($D$16,(AC55)-(K31))))*(MAX($D$16,(AC55)-(K31))),0.000001))</f>
        <v>140.93488449466983</v>
      </c>
      <c r="AH55">
        <f ca="1">((G31)*(MAX($D$16,(AE55)-(K31)))^2)/2+(I31)*(MAX($D$16,(AE55)-(K31)))^3/3+(ABS(F55)^2)/($I$5*MAX(((G31)+(I31)*(MAX($D$16,(AE55)-(K31))))*(MAX($D$16,(AE55)-(K31))),0.000001))</f>
        <v>808.60110594434002</v>
      </c>
      <c r="AI55">
        <f ca="1">((G32)*(MAX($D$16,(AD55)-(K32)))^2)/2+(I32)*(MAX($D$16,(AD55)-(K32)))^3/3+(ABS(G55)^2)/($I$5*MAX(((G32)+(I32)*(MAX($D$16,(AD55)-(K32))))*(MAX($D$16,(AD55)-(K32))),0.000001))</f>
        <v>395.41114476611887</v>
      </c>
      <c r="AJ55">
        <f ca="1">((G32)*(MAX($D$16,(AF55)-(K32)))^2)/2+(I32)*(MAX($D$16,(AF55)-(K32)))^3/3+(ABS(G55)^2)/($I$5*MAX(((G32)+(I32)*(MAX($D$16,(AF55)-(K32))))*(MAX($D$16,(AF55)-(K32))),0.000001))</f>
        <v>519.58480272613974</v>
      </c>
      <c r="AK55" t="str">
        <f t="shared" ca="1" si="5"/>
        <v>Supercritical</v>
      </c>
      <c r="AL55" t="str">
        <f t="shared" ca="1" si="6"/>
        <v>Supercritical</v>
      </c>
      <c r="AM55">
        <f t="shared" ca="1" si="7"/>
        <v>639.60722522900085</v>
      </c>
      <c r="AN55">
        <f t="shared" ca="1" si="8"/>
        <v>641.85164135046784</v>
      </c>
      <c r="AO55">
        <f t="shared" ca="1" si="9"/>
        <v>8.0911157369245075</v>
      </c>
      <c r="AP55">
        <f t="shared" ca="1" si="10"/>
        <v>15.271755923796718</v>
      </c>
    </row>
    <row r="56" spans="1:42" x14ac:dyDescent="0.35">
      <c r="A56">
        <v>13</v>
      </c>
      <c r="B56">
        <f t="shared" si="11"/>
        <v>1</v>
      </c>
      <c r="C56">
        <f t="shared" ca="1" si="12"/>
        <v>0.97985369717464599</v>
      </c>
      <c r="D56">
        <f t="shared" ca="1" si="13"/>
        <v>639.60722522900085</v>
      </c>
      <c r="E56">
        <f t="shared" ca="1" si="14"/>
        <v>641.85164135046784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 ca="1">IF(AND(N7="None",N8="None"),0,IF(N8="None",G56,IF(N7="None",0,MAX(0,G56*C56))))</f>
        <v>49.972538555906944</v>
      </c>
      <c r="J56">
        <f ca="1">IF(AND(N7="None",N8="None"),0,IF(N8="None",0,IF(N7="None",G56,MAX(0,G56-I56))))</f>
        <v>1.0274614440930563</v>
      </c>
      <c r="K56">
        <f>P5</f>
        <v>637</v>
      </c>
      <c r="L56">
        <f>P6</f>
        <v>634.3119999999999</v>
      </c>
      <c r="M56">
        <f>P7</f>
        <v>635.5</v>
      </c>
      <c r="N56">
        <f>P8</f>
        <v>631.54999999999995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-2091.5872404992097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640.17328000375016</v>
      </c>
      <c r="Q56">
        <f ca="1">L56+((ABS(H56)/MAX(((G33)+(I33)*(MAX($D$16,(L56)-(K33))))*(MAX($D$16,(L56)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AC56)-(J33))))*(MAX($D$16,(AC56)-(J33))),0.000001)),$D$9*((((ABS(H56)/MAX(((G33)+(I33)*(MAX($D$16,(L56)-(K33))))*(MAX($D$16,(L56)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L56)-(K33))))*(MAX($D$16,(L56)-(K33))),0.000001))^2)/(2*$I$5)))))+($D$10*(ABS((X33)-(W33))/90)*MAX(((ABS(H56)/MAX(((F33)+(H33)*(MAX($D$16,(AC56)-(J33))))*(MAX($D$16,(AC56)-(J33))),0.000001))^2)/(2*$I$5),((ABS(H56)/MAX(((G33)+(I33)*(MAX($D$16,(L56)-(K33))))*(MAX($D$16,(L56)-(K33))),0.000001))^2)/(2*$I$5)))+(($D$11*0.00000015*(ABS(G56)/MAX(ABS(F56),0.000001))^2*MAX(((ABS(H56)/MAX(((F33)+(H33)*(MAX($D$16,(AC56)-(J33))))*(MAX($D$16,(AC56)-(J33))),0.000001))^2)/(2*$I$5),((ABS(H56)/MAX(((G33)+(I33)*(MAX($D$16,(L56)-(K33))))*(MAX($D$16,(L56)-(K33))),0.000001))^2)/(2*$I$5))))-((ABS(H56)/MAX(((F33)+(H33)*(MAX($D$16,(AC56)-(J33))))*(MAX($D$16,(AC56)-(J33))),0.000001))^2)/(2*$I$5)</f>
        <v>634.3119999999999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-292118.81246378768</v>
      </c>
      <c r="S56">
        <f ca="1">M56+((ABS(I56)/MAX(((G34)+(I34)*(MAX($D$16,(M56)-(K34))))*(MAX($D$16,(M56)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AD56)-(J34))))*(MAX($D$16,(AD56)-(J34))),0.000001)),$D$9*((((ABS(I56)/MAX(((G34)+(I34)*(MAX($D$16,(M56)-(K34))))*(MAX($D$16,(M56)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M56)-(K34))))*(MAX($D$16,(M56)-(K34))),0.000001))^2)/(2*$I$5)))))+($D$10*(ABS((X34)-(W34))/90)*MAX(((ABS(I56)/MAX(((F34)+(H34)*(MAX($D$16,(AD56)-(J34))))*(MAX($D$16,(AD56)-(J34))),0.000001))^2)/(2*$I$5),((ABS(I56)/MAX(((G34)+(I34)*(MAX($D$16,(M56)-(K34))))*(MAX($D$16,(M56)-(K34))),0.000001))^2)/(2*$I$5)))+(0)-((ABS(I56)/MAX(((F34)+(H34)*(MAX($D$16,(AD56)-(J34))))*(MAX($D$16,(AD56)-(J34))),0.000001))^2)/(2*$I$5)</f>
        <v>635.51188076811911</v>
      </c>
      <c r="T56">
        <f ca="1">N56+((ABS(J56)/MAX(((G35)+(I35)*(MAX($D$16,(N56)-(K35))))*(MAX($D$16,(N56)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AD56)-(J35))))*(MAX($D$16,(AD56)-(J35))),0.000001)),$D$9*((((ABS(J56)/MAX(((G35)+(I35)*(MAX($D$16,(N56)-(K35))))*(MAX($D$16,(N56)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N56)-(K35))))*(MAX($D$16,(N56)-(K35))),0.000001))^2)/(2*$I$5)))))+($D$10*(ABS((X35)-(W35))/90)*MAX(((ABS(J56)/MAX(((F35)+(H35)*(MAX($D$16,(AD56)-(J35))))*(MAX($D$16,(AD56)-(J35))),0.000001))^2)/(2*$I$5),((ABS(J56)/MAX(((G35)+(I35)*(MAX($D$16,(N56)-(K35))))*(MAX($D$16,(N56)-(K35))),0.000001))^2)/(2*$I$5)))+(($D$11*0.34699541*(ABS(I56)/MAX(ABS(G56),0.000001))^2*MAX(((ABS(J56)/MAX(((F35)+(H35)*(MAX($D$16,(AD56)-(J35))))*(MAX($D$16,(AD56)-(J35))),0.000001))^2)/(2*$I$5),((ABS(J56)/MAX(((G35)+(I35)*(MAX($D$16,(N56)-(K35))))*(MAX($D$16,(N56)-(K35))),0.000001))^2)/(2*$I$5))))-((ABS(J56)/MAX(((F35)+(H35)*(MAX($D$16,(AD56)-(J35))))*(MAX($D$16,(AD56)-(J35))),0.000001))^2)/(2*$I$5)</f>
        <v>640.09788175913297</v>
      </c>
      <c r="U56">
        <f ca="1">((((G31)*(MAX($D$16,(AE56)-(K31)))^2)/2+(I31)*(MAX($D$16,(AE56)-(K31)))^3/3+(ABS(F56)^2)/($I$5*MAX(((G31)+(I31)*(MAX($D$16,(AE56)-(K31))))*(MAX($D$16,(AE56)-(K31))),0.000001)))-(IF(N6="None",((((F32)*(MAX($D$16,(AE56)-(J32)))^2)/2+(H32)*(MAX($D$16,(AE56)-(J32)))^3/3+(ABS(G56)^2)/($I$5*MAX(((F32)+(H32)*(MAX($D$16,(AE56)-(J32))))*(MAX($D$16,(AE56)-(J32))),0.000001)))*0.72785025),(((((F32)*(MAX($D$16,(AE56)-(J32)))^2)/2+(H32)*(MAX($D$16,(AE56)-(J32)))^3/3+(ABS(G56)^2)/($I$5*MAX(((F32)+(H32)*(MAX($D$16,(AE56)-(J32))))*(MAX($D$16,(AE56)-(J32))),0.000001)))*0.72785025)+((((F33)*(MAX($D$16,(AE56)-(J33)))^2)/2+(H33)*(MAX($D$16,(AE56)-(J33)))^3/3+(ABS(H56)^2)/($I$5*MAX(((F33)+(H33)*(MAX($D$16,(AE56)-(J33))))*(MAX($D$16,(AE56)-(J33))),0.000001)))*0.99999971)))))/MAX(((G31)*(MAX($D$16,(AE56)-(K31)))^2)/2+(I31)*(MAX($D$16,(AE56)-(K31)))^3/3+(ABS(F56)^2)/($I$5*MAX(((G31)+(I31)*(MAX($D$16,(AE56)-(K31))))*(MAX($D$16,(AE56)-(K31))),0.000001)),0.000001)</f>
        <v>0.27214975000000002</v>
      </c>
      <c r="V56">
        <f ca="1">((((G32)*(MAX($D$16,(AF56)-(K32)))^2)/2+(I32)*(MAX($D$16,(AF56)-(K32)))^3/3+(ABS(G56)^2)/($I$5*MAX(((G32)+(I32)*(MAX($D$16,(AF56)-(K32))))*(MAX($D$16,(AF56)-(K32))),0.000001)))-(IF(AND(N7="None",N8="None"),0,IF(N8="None",((((F34)*(MAX($D$16,(AF56)-(J34)))^2)/2+(H34)*(MAX($D$16,(AF56)-(J34)))^3/3+(ABS(I56)^2)/($I$5*MAX(((F34)+(H34)*(MAX($D$16,(AF56)-(J34))))*(MAX($D$16,(AF56)-(J34))),0.000001)))*1),IF(N7="None",((((F35)*(MAX($D$16,(AF56)-(J35)))^2)/2+(H35)*(MAX($D$16,(AF56)-(J35)))^3/3+(ABS(J56)^2)/($I$5*MAX(((F35)+(H35)*(MAX($D$16,(AF56)-(J35))))*(MAX($D$16,(AF56)-(J35))),0.000001)))*0.30600918),(((((F34)*(MAX($D$16,(AF56)-(J34)))^2)/2+(H34)*(MAX($D$16,(AF56)-(J34)))^3/3+(ABS(I56)^2)/($I$5*MAX(((F34)+(H34)*(MAX($D$16,(AF56)-(J34))))*(MAX($D$16,(AF56)-(J34))),0.000001)))*1)+((((F35)*(MAX($D$16,(AF56)-(J35)))^2)/2+(H35)*(MAX($D$16,(AF56)-(J35)))^3/3+(ABS(J56)^2)/($I$5*MAX(((F35)+(H35)*(MAX($D$16,(AF56)-(J35))))*(MAX($D$16,(AF56)-(J35))),0.000001)))*0.30600918)))))))/MAX(((G32)*(MAX($D$16,(AF56)-(K32)))^2)/2+(I32)*(MAX($D$16,(AF56)-(K32)))^3/3+(ABS(G56)^2)/($I$5*MAX(((G32)+(I32)*(MAX($D$16,(AF56)-(K32))))*(MAX($D$16,(AF56)-(K32))),0.000001)),0.000001)</f>
        <v>3.9328289256000744E-2</v>
      </c>
      <c r="W56">
        <f ca="1">ABS((IF(N6="None",P56,MAX(P56,Q56)))-D56)</f>
        <v>0.56605477474931831</v>
      </c>
      <c r="X56">
        <f ca="1">ABS((IF(AND(N7="None",N8="None"),E56,IF(N8="None",S56,IF(N7="None",T56,MAX(S56,T56)))))-E56)</f>
        <v>1.7537595913348696</v>
      </c>
      <c r="Y56">
        <f>IF(N6="None",1,MIN(0.98,MAX(0.02,B56+$D$14*((Q56-P56)/MAX(ABS(D56),1)))))</f>
        <v>1</v>
      </c>
      <c r="Z56">
        <f ca="1">IF(AND(N7="None",N8="None"),C56,IF(N8="None",1,IF(N7="None",0,MIN(0.98,MAX(0.02,C56+$D$14*((T56-S56)/MAX(ABS(E56),1)))))))</f>
        <v>0.98</v>
      </c>
      <c r="AA56">
        <f t="shared" ca="1" si="3"/>
        <v>639.8056223805296</v>
      </c>
      <c r="AB56">
        <f t="shared" ca="1" si="4"/>
        <v>641.23806002604647</v>
      </c>
      <c r="AC56">
        <f ca="1">IF($D$20=0,D56,IF(AC56=0,(IF(N6="None",P56,MAX(P56,Q56))),IF(ABS((IF(N6="None",P56,MAX(P56,Q56)))-AC56)&lt;$D$19,AC56,MAX((K31)+$D$16,AC56+$D$13*(((IF(N6="None",P56,MAX(P56,Q56)))-AC56))))))</f>
        <v>640.17407423336886</v>
      </c>
      <c r="AD56">
        <f ca="1">IF($D$20=0,E56,IF(AD56=0,(IF(AND(N7="None",N8="None"),E56,IF(N8="None",S56,IF(N7="None",T56,MAX(S56,T56))))),IF(ABS((IF(AND(N7="None",N8="None"),E56,IF(N8="None",S56,IF(N7="None",T56,MAX(S56,T56)))))-AD56)&lt;$D$19,AD56,MAX((K32)+$D$16,AD56+$D$13*(((IF(AND(N7="None",N8="None"),E56,IF(N8="None",S56,IF(N7="None",T56,MAX(S56,T56)))))-AD56))))))</f>
        <v>640.09855185212098</v>
      </c>
      <c r="AE56">
        <f ca="1">IF($D$20=0,D56,IF(AE56=0,O56,IF(ABS(U56)&lt;$D$19,AE56,MAX((K31)+$D$16,AE56+($D$13*(((O56)-AE56)+(U56*MAX(ABS(AE56-(K31)),1))))))))</f>
        <v>634.34799999999996</v>
      </c>
      <c r="AF56">
        <f ca="1">IF($D$20=0,E56,IF(AF56=0,R56,IF(ABS(V56)&lt;$D$19,AF56,MAX((K32)+$D$16,AF56+($D$13*(((R56)-AF56)+(V56*MAX(ABS(AF56-(K32)),1))))))))</f>
        <v>631.92499999999995</v>
      </c>
      <c r="AG56">
        <f ca="1">((G31)*(MAX($D$16,(AC56)-(K31)))^2)/2+(I31)*(MAX($D$16,(AC56)-(K31)))^3/3+(ABS(F56)^2)/($I$5*MAX(((G31)+(I31)*(MAX($D$16,(AC56)-(K31))))*(MAX($D$16,(AC56)-(K31))),0.000001))</f>
        <v>120.09851019867625</v>
      </c>
      <c r="AH56">
        <f ca="1">((G31)*(MAX($D$16,(AE56)-(K31)))^2)/2+(I31)*(MAX($D$16,(AE56)-(K31)))^3/3+(ABS(F56)^2)/($I$5*MAX(((G31)+(I31)*(MAX($D$16,(AE56)-(K31))))*(MAX($D$16,(AE56)-(K31))),0.000001))</f>
        <v>808.60110594434002</v>
      </c>
      <c r="AI56">
        <f ca="1">((G32)*(MAX($D$16,(AD56)-(K32)))^2)/2+(I32)*(MAX($D$16,(AD56)-(K32)))^3/3+(ABS(G56)^2)/($I$5*MAX(((G32)+(I32)*(MAX($D$16,(AD56)-(K32))))*(MAX($D$16,(AD56)-(K32))),0.000001))</f>
        <v>348.25863512343579</v>
      </c>
      <c r="AJ56">
        <f ca="1">((G32)*(MAX($D$16,(AF56)-(K32)))^2)/2+(I32)*(MAX($D$16,(AF56)-(K32)))^3/3+(ABS(G56)^2)/($I$5*MAX(((G32)+(I32)*(MAX($D$16,(AF56)-(K32))))*(MAX($D$16,(AF56)-(K32))),0.000001))</f>
        <v>519.58480272613974</v>
      </c>
      <c r="AK56" t="str">
        <f t="shared" ca="1" si="5"/>
        <v>Supercritical</v>
      </c>
      <c r="AL56" t="str">
        <f t="shared" ca="1" si="6"/>
        <v>Supercritical</v>
      </c>
      <c r="AM56">
        <f t="shared" ca="1" si="7"/>
        <v>637.76649639885056</v>
      </c>
      <c r="AN56">
        <f t="shared" ca="1" si="8"/>
        <v>638.37731687780411</v>
      </c>
      <c r="AO56">
        <f t="shared" ca="1" si="9"/>
        <v>5.2592252290008901</v>
      </c>
      <c r="AP56">
        <f t="shared" ca="1" si="10"/>
        <v>9.9266413504678894</v>
      </c>
    </row>
    <row r="57" spans="1:42" x14ac:dyDescent="0.35">
      <c r="A57">
        <v>14</v>
      </c>
      <c r="B57">
        <f t="shared" si="11"/>
        <v>1</v>
      </c>
      <c r="C57">
        <f t="shared" ca="1" si="12"/>
        <v>0.98</v>
      </c>
      <c r="D57">
        <f t="shared" ca="1" si="13"/>
        <v>637.76649639885056</v>
      </c>
      <c r="E57">
        <f t="shared" ca="1" si="14"/>
        <v>638.37731687780411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 ca="1">IF(AND(N7="None",N8="None"),0,IF(N8="None",G57,IF(N7="None",0,MAX(0,G57*C57))))</f>
        <v>49.98</v>
      </c>
      <c r="J57">
        <f ca="1">IF(AND(N7="None",N8="None"),0,IF(N8="None",0,IF(N7="None",G57,MAX(0,G57-I57))))</f>
        <v>1.0200000000000031</v>
      </c>
      <c r="K57">
        <f>P5</f>
        <v>637</v>
      </c>
      <c r="L57">
        <f>P6</f>
        <v>634.3119999999999</v>
      </c>
      <c r="M57">
        <f>P7</f>
        <v>635.5</v>
      </c>
      <c r="N57">
        <f>P8</f>
        <v>631.54999999999995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-2091.5872404992097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640.05398017242453</v>
      </c>
      <c r="Q57">
        <f ca="1">L57+((ABS(H57)/MAX(((G33)+(I33)*(MAX($D$16,(L57)-(K33))))*(MAX($D$16,(L57)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AC57)-(J33))))*(MAX($D$16,(AC57)-(J33))),0.000001)),$D$9*((((ABS(H57)/MAX(((G33)+(I33)*(MAX($D$16,(L57)-(K33))))*(MAX($D$16,(L57)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L57)-(K33))))*(MAX($D$16,(L57)-(K33))),0.000001))^2)/(2*$I$5)))))+($D$10*(ABS((X33)-(W33))/90)*MAX(((ABS(H57)/MAX(((F33)+(H33)*(MAX($D$16,(AC57)-(J33))))*(MAX($D$16,(AC57)-(J33))),0.000001))^2)/(2*$I$5),((ABS(H57)/MAX(((G33)+(I33)*(MAX($D$16,(L57)-(K33))))*(MAX($D$16,(L57)-(K33))),0.000001))^2)/(2*$I$5)))+(($D$11*0.00000015*(ABS(G57)/MAX(ABS(F57),0.000001))^2*MAX(((ABS(H57)/MAX(((F33)+(H33)*(MAX($D$16,(AC57)-(J33))))*(MAX($D$16,(AC57)-(J33))),0.000001))^2)/(2*$I$5),((ABS(H57)/MAX(((G33)+(I33)*(MAX($D$16,(L57)-(K33))))*(MAX($D$16,(L57)-(K33))),0.000001))^2)/(2*$I$5))))-((ABS(H57)/MAX(((F33)+(H33)*(MAX($D$16,(AC57)-(J33))))*(MAX($D$16,(AC57)-(J33))),0.000001))^2)/(2*$I$5)</f>
        <v>634.3119999999999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-292118.81246378768</v>
      </c>
      <c r="S57">
        <f ca="1">M57+((ABS(I57)/MAX(((G34)+(I34)*(MAX($D$16,(M57)-(K34))))*(MAX($D$16,(M57)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AD57)-(J34))))*(MAX($D$16,(AD57)-(J34))),0.000001)),$D$9*((((ABS(I57)/MAX(((G34)+(I34)*(MAX($D$16,(M57)-(K34))))*(MAX($D$16,(M57)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M57)-(K34))))*(MAX($D$16,(M57)-(K34))),0.000001))^2)/(2*$I$5)))))+($D$10*(ABS((X34)-(W34))/90)*MAX(((ABS(I57)/MAX(((F34)+(H34)*(MAX($D$16,(AD57)-(J34))))*(MAX($D$16,(AD57)-(J34))),0.000001))^2)/(2*$I$5),((ABS(I57)/MAX(((G34)+(I34)*(MAX($D$16,(M57)-(K34))))*(MAX($D$16,(M57)-(K34))),0.000001))^2)/(2*$I$5)))+(0)-((ABS(I57)/MAX(((F34)+(H34)*(MAX($D$16,(AD57)-(J34))))*(MAX($D$16,(AD57)-(J34))),0.000001))^2)/(2*$I$5)</f>
        <v>635.51128722042438</v>
      </c>
      <c r="T57">
        <f ca="1">N57+((ABS(J57)/MAX(((G35)+(I35)*(MAX($D$16,(N57)-(K35))))*(MAX($D$16,(N57)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AD57)-(J35))))*(MAX($D$16,(AD57)-(J35))),0.000001)),$D$9*((((ABS(J57)/MAX(((G35)+(I35)*(MAX($D$16,(N57)-(K35))))*(MAX($D$16,(N57)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N57)-(K35))))*(MAX($D$16,(N57)-(K35))),0.000001))^2)/(2*$I$5)))))+($D$10*(ABS((X35)-(W35))/90)*MAX(((ABS(J57)/MAX(((F35)+(H35)*(MAX($D$16,(AD57)-(J35))))*(MAX($D$16,(AD57)-(J35))),0.000001))^2)/(2*$I$5),((ABS(J57)/MAX(((G35)+(I35)*(MAX($D$16,(N57)-(K35))))*(MAX($D$16,(N57)-(K35))),0.000001))^2)/(2*$I$5)))+(($D$11*0.34699541*(ABS(I57)/MAX(ABS(G57),0.000001))^2*MAX(((ABS(J57)/MAX(((F35)+(H35)*(MAX($D$16,(AD57)-(J35))))*(MAX($D$16,(AD57)-(J35))),0.000001))^2)/(2*$I$5),((ABS(J57)/MAX(((G35)+(I35)*(MAX($D$16,(N57)-(K35))))*(MAX($D$16,(N57)-(K35))),0.000001))^2)/(2*$I$5))))-((ABS(J57)/MAX(((F35)+(H35)*(MAX($D$16,(AD57)-(J35))))*(MAX($D$16,(AD57)-(J35))),0.000001))^2)/(2*$I$5)</f>
        <v>639.97429104455864</v>
      </c>
      <c r="U57">
        <f ca="1">((((G31)*(MAX($D$16,(AE57)-(K31)))^2)/2+(I31)*(MAX($D$16,(AE57)-(K31)))^3/3+(ABS(F57)^2)/($I$5*MAX(((G31)+(I31)*(MAX($D$16,(AE57)-(K31))))*(MAX($D$16,(AE57)-(K31))),0.000001)))-(IF(N6="None",((((F32)*(MAX($D$16,(AE57)-(J32)))^2)/2+(H32)*(MAX($D$16,(AE57)-(J32)))^3/3+(ABS(G57)^2)/($I$5*MAX(((F32)+(H32)*(MAX($D$16,(AE57)-(J32))))*(MAX($D$16,(AE57)-(J32))),0.000001)))*0.72785025),(((((F32)*(MAX($D$16,(AE57)-(J32)))^2)/2+(H32)*(MAX($D$16,(AE57)-(J32)))^3/3+(ABS(G57)^2)/($I$5*MAX(((F32)+(H32)*(MAX($D$16,(AE57)-(J32))))*(MAX($D$16,(AE57)-(J32))),0.000001)))*0.72785025)+((((F33)*(MAX($D$16,(AE57)-(J33)))^2)/2+(H33)*(MAX($D$16,(AE57)-(J33)))^3/3+(ABS(H57)^2)/($I$5*MAX(((F33)+(H33)*(MAX($D$16,(AE57)-(J33))))*(MAX($D$16,(AE57)-(J33))),0.000001)))*0.99999971)))))/MAX(((G31)*(MAX($D$16,(AE57)-(K31)))^2)/2+(I31)*(MAX($D$16,(AE57)-(K31)))^3/3+(ABS(F57)^2)/($I$5*MAX(((G31)+(I31)*(MAX($D$16,(AE57)-(K31))))*(MAX($D$16,(AE57)-(K31))),0.000001)),0.000001)</f>
        <v>0.27214975000000002</v>
      </c>
      <c r="V57">
        <f ca="1">((((G32)*(MAX($D$16,(AF57)-(K32)))^2)/2+(I32)*(MAX($D$16,(AF57)-(K32)))^3/3+(ABS(G57)^2)/($I$5*MAX(((G32)+(I32)*(MAX($D$16,(AF57)-(K32))))*(MAX($D$16,(AF57)-(K32))),0.000001)))-(IF(AND(N7="None",N8="None"),0,IF(N8="None",((((F34)*(MAX($D$16,(AF57)-(J34)))^2)/2+(H34)*(MAX($D$16,(AF57)-(J34)))^3/3+(ABS(I57)^2)/($I$5*MAX(((F34)+(H34)*(MAX($D$16,(AF57)-(J34))))*(MAX($D$16,(AF57)-(J34))),0.000001)))*1),IF(N7="None",((((F35)*(MAX($D$16,(AF57)-(J35)))^2)/2+(H35)*(MAX($D$16,(AF57)-(J35)))^3/3+(ABS(J57)^2)/($I$5*MAX(((F35)+(H35)*(MAX($D$16,(AF57)-(J35))))*(MAX($D$16,(AF57)-(J35))),0.000001)))*0.30600918),(((((F34)*(MAX($D$16,(AF57)-(J34)))^2)/2+(H34)*(MAX($D$16,(AF57)-(J34)))^3/3+(ABS(I57)^2)/($I$5*MAX(((F34)+(H34)*(MAX($D$16,(AF57)-(J34))))*(MAX($D$16,(AF57)-(J34))),0.000001)))*1)+((((F35)*(MAX($D$16,(AF57)-(J35)))^2)/2+(H35)*(MAX($D$16,(AF57)-(J35)))^3/3+(ABS(J57)^2)/($I$5*MAX(((F35)+(H35)*(MAX($D$16,(AF57)-(J35))))*(MAX($D$16,(AF57)-(J35))),0.000001)))*0.30600918)))))))/MAX(((G32)*(MAX($D$16,(AF57)-(K32)))^2)/2+(I32)*(MAX($D$16,(AF57)-(K32)))^3/3+(ABS(G57)^2)/($I$5*MAX(((G32)+(I32)*(MAX($D$16,(AF57)-(K32))))*(MAX($D$16,(AF57)-(K32))),0.000001)),0.000001)</f>
        <v>3.904177561081449E-2</v>
      </c>
      <c r="W57">
        <f ca="1">ABS((IF(N6="None",P57,MAX(P57,Q57)))-D57)</f>
        <v>2.2874837735739675</v>
      </c>
      <c r="X57">
        <f ca="1">ABS((IF(AND(N7="None",N8="None"),E57,IF(N8="None",S57,IF(N7="None",T57,MAX(S57,T57)))))-E57)</f>
        <v>1.596974166754535</v>
      </c>
      <c r="Y57">
        <f>IF(N6="None",1,MIN(0.98,MAX(0.02,B57+$D$14*((Q57-P57)/MAX(ABS(D57),1)))))</f>
        <v>1</v>
      </c>
      <c r="Z57">
        <f ca="1">IF(AND(N7="None",N8="None"),C57,IF(N8="None",1,IF(N7="None",0,MIN(0.98,MAX(0.02,C57+$D$14*((T57-S57)/MAX(ABS(E57),1)))))))</f>
        <v>0.98</v>
      </c>
      <c r="AA57">
        <f t="shared" ca="1" si="3"/>
        <v>638.56738773217376</v>
      </c>
      <c r="AB57">
        <f t="shared" ca="1" si="4"/>
        <v>638.93659935820017</v>
      </c>
      <c r="AC57">
        <f ca="1">IF($D$20=0,D57,IF(AC57=0,(IF(N6="None",P57,MAX(P57,Q57))),IF(ABS((IF(N6="None",P57,MAX(P57,Q57)))-AC57)&lt;$D$19,AC57,MAX((K31)+$D$16,AC57+$D$13*(((IF(N6="None",P57,MAX(P57,Q57)))-AC57))))))</f>
        <v>640.05475735120262</v>
      </c>
      <c r="AD57">
        <f ca="1">IF($D$20=0,E57,IF(AD57=0,(IF(AND(N7="None",N8="None"),E57,IF(N8="None",S57,IF(N7="None",T57,MAX(S57,T57))))),IF(ABS((IF(AND(N7="None",N8="None"),E57,IF(N8="None",S57,IF(N7="None",T57,MAX(S57,T57)))))-AD57)&lt;$D$19,AD57,MAX((K32)+$D$16,AD57+$D$13*(((IF(AND(N7="None",N8="None"),E57,IF(N8="None",S57,IF(N7="None",T57,MAX(S57,T57)))))-AD57))))))</f>
        <v>639.97526682179273</v>
      </c>
      <c r="AE57">
        <f ca="1">IF($D$20=0,D57,IF(AE57=0,O57,IF(ABS(U57)&lt;$D$19,AE57,MAX((K31)+$D$16,AE57+($D$13*(((O57)-AE57)+(U57*MAX(ABS(AE57-(K31)),1))))))))</f>
        <v>634.34799999999996</v>
      </c>
      <c r="AF57">
        <f ca="1">IF($D$20=0,E57,IF(AF57=0,R57,IF(ABS(V57)&lt;$D$19,AF57,MAX((K32)+$D$16,AF57+($D$13*(((R57)-AF57)+(V57*MAX(ABS(AF57-(K32)),1))))))))</f>
        <v>631.92499999999995</v>
      </c>
      <c r="AG57">
        <f ca="1">((G31)*(MAX($D$16,(AC57)-(K31)))^2)/2+(I31)*(MAX($D$16,(AC57)-(K31)))^3/3+(ABS(F57)^2)/($I$5*MAX(((G31)+(I31)*(MAX($D$16,(AC57)-(K31))))*(MAX($D$16,(AC57)-(K31))),0.000001))</f>
        <v>115.68988612752176</v>
      </c>
      <c r="AH57">
        <f ca="1">((G31)*(MAX($D$16,(AE57)-(K31)))^2)/2+(I31)*(MAX($D$16,(AE57)-(K31)))^3/3+(ABS(F57)^2)/($I$5*MAX(((G31)+(I31)*(MAX($D$16,(AE57)-(K31))))*(MAX($D$16,(AE57)-(K31))),0.000001))</f>
        <v>808.60110594434002</v>
      </c>
      <c r="AI57">
        <f ca="1">((G32)*(MAX($D$16,(AD57)-(K32)))^2)/2+(I32)*(MAX($D$16,(AD57)-(K32)))^3/3+(ABS(G57)^2)/($I$5*MAX(((G32)+(I32)*(MAX($D$16,(AD57)-(K32))))*(MAX($D$16,(AD57)-(K32))),0.000001))</f>
        <v>338.03701734851035</v>
      </c>
      <c r="AJ57">
        <f ca="1">((G32)*(MAX($D$16,(AF57)-(K32)))^2)/2+(I32)*(MAX($D$16,(AF57)-(K32)))^3/3+(ABS(G57)^2)/($I$5*MAX(((G32)+(I32)*(MAX($D$16,(AF57)-(K32))))*(MAX($D$16,(AF57)-(K32))),0.000001))</f>
        <v>519.58480272613974</v>
      </c>
      <c r="AK57" t="str">
        <f t="shared" ca="1" si="5"/>
        <v>Supercritical</v>
      </c>
      <c r="AL57" t="str">
        <f t="shared" ca="1" si="6"/>
        <v>Supercritical</v>
      </c>
      <c r="AM57">
        <f t="shared" ca="1" si="7"/>
        <v>636.5700226592528</v>
      </c>
      <c r="AN57">
        <f t="shared" ca="1" si="8"/>
        <v>636.11900597057263</v>
      </c>
      <c r="AO57">
        <f t="shared" ca="1" si="9"/>
        <v>3.418496398850607</v>
      </c>
      <c r="AP57">
        <f t="shared" ca="1" si="10"/>
        <v>6.4523168778041509</v>
      </c>
    </row>
    <row r="58" spans="1:42" x14ac:dyDescent="0.35">
      <c r="A58">
        <v>15</v>
      </c>
      <c r="B58">
        <f t="shared" si="11"/>
        <v>1</v>
      </c>
      <c r="C58">
        <f t="shared" ca="1" si="12"/>
        <v>0.98</v>
      </c>
      <c r="D58">
        <f t="shared" ca="1" si="13"/>
        <v>636.5700226592528</v>
      </c>
      <c r="E58">
        <f t="shared" ca="1" si="14"/>
        <v>636.11900597057263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 ca="1">IF(AND(N7="None",N8="None"),0,IF(N8="None",G58,IF(N7="None",0,MAX(0,G58*C58))))</f>
        <v>49.98</v>
      </c>
      <c r="J58">
        <f ca="1">IF(AND(N7="None",N8="None"),0,IF(N8="None",0,IF(N7="None",G58,MAX(0,G58-I58))))</f>
        <v>1.0200000000000031</v>
      </c>
      <c r="K58">
        <f>P5</f>
        <v>637</v>
      </c>
      <c r="L58">
        <f>P6</f>
        <v>634.3119999999999</v>
      </c>
      <c r="M58">
        <f>P7</f>
        <v>635.5</v>
      </c>
      <c r="N58">
        <f>P8</f>
        <v>631.54999999999995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-2091.5872404992097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640.05397844984486</v>
      </c>
      <c r="Q58">
        <f ca="1">L58+((ABS(H58)/MAX(((G33)+(I33)*(MAX($D$16,(L58)-(K33))))*(MAX($D$16,(L58)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AC58)-(J33))))*(MAX($D$16,(AC58)-(J33))),0.000001)),$D$9*((((ABS(H58)/MAX(((G33)+(I33)*(MAX($D$16,(L58)-(K33))))*(MAX($D$16,(L58)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L58)-(K33))))*(MAX($D$16,(L58)-(K33))),0.000001))^2)/(2*$I$5)))))+($D$10*(ABS((X33)-(W33))/90)*MAX(((ABS(H58)/MAX(((F33)+(H33)*(MAX($D$16,(AC58)-(J33))))*(MAX($D$16,(AC58)-(J33))),0.000001))^2)/(2*$I$5),((ABS(H58)/MAX(((G33)+(I33)*(MAX($D$16,(L58)-(K33))))*(MAX($D$16,(L58)-(K33))),0.000001))^2)/(2*$I$5)))+(($D$11*0.00000015*(ABS(G58)/MAX(ABS(F58),0.000001))^2*MAX(((ABS(H58)/MAX(((F33)+(H33)*(MAX($D$16,(AC58)-(J33))))*(MAX($D$16,(AC58)-(J33))),0.000001))^2)/(2*$I$5),((ABS(H58)/MAX(((G33)+(I33)*(MAX($D$16,(L58)-(K33))))*(MAX($D$16,(L58)-(K33))),0.000001))^2)/(2*$I$5))))-((ABS(H58)/MAX(((F33)+(H33)*(MAX($D$16,(AC58)-(J33))))*(MAX($D$16,(AC58)-(J33))),0.000001))^2)/(2*$I$5)</f>
        <v>634.3119999999999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-292118.81246378768</v>
      </c>
      <c r="S58">
        <f ca="1">M58+((ABS(I58)/MAX(((G34)+(I34)*(MAX($D$16,(M58)-(K34))))*(MAX($D$16,(M58)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AD58)-(J34))))*(MAX($D$16,(AD58)-(J34))),0.000001)),$D$9*((((ABS(I58)/MAX(((G34)+(I34)*(MAX($D$16,(M58)-(K34))))*(MAX($D$16,(M58)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M58)-(K34))))*(MAX($D$16,(M58)-(K34))),0.000001))^2)/(2*$I$5)))))+($D$10*(ABS((X34)-(W34))/90)*MAX(((ABS(I58)/MAX(((F34)+(H34)*(MAX($D$16,(AD58)-(J34))))*(MAX($D$16,(AD58)-(J34))),0.000001))^2)/(2*$I$5),((ABS(I58)/MAX(((G34)+(I34)*(MAX($D$16,(M58)-(K34))))*(MAX($D$16,(M58)-(K34))),0.000001))^2)/(2*$I$5)))+(0)-((ABS(I58)/MAX(((F34)+(H34)*(MAX($D$16,(AD58)-(J34))))*(MAX($D$16,(AD58)-(J34))),0.000001))^2)/(2*$I$5)</f>
        <v>635.51128721158511</v>
      </c>
      <c r="T58">
        <f ca="1">N58+((ABS(J58)/MAX(((G35)+(I35)*(MAX($D$16,(N58)-(K35))))*(MAX($D$16,(N58)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AD58)-(J35))))*(MAX($D$16,(AD58)-(J35))),0.000001)),$D$9*((((ABS(J58)/MAX(((G35)+(I35)*(MAX($D$16,(N58)-(K35))))*(MAX($D$16,(N58)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N58)-(K35))))*(MAX($D$16,(N58)-(K35))),0.000001))^2)/(2*$I$5)))))+($D$10*(ABS((X35)-(W35))/90)*MAX(((ABS(J58)/MAX(((F35)+(H35)*(MAX($D$16,(AD58)-(J35))))*(MAX($D$16,(AD58)-(J35))),0.000001))^2)/(2*$I$5),((ABS(J58)/MAX(((G35)+(I35)*(MAX($D$16,(N58)-(K35))))*(MAX($D$16,(N58)-(K35))),0.000001))^2)/(2*$I$5)))+(($D$11*0.34699541*(ABS(I58)/MAX(ABS(G58),0.000001))^2*MAX(((ABS(J58)/MAX(((F35)+(H35)*(MAX($D$16,(AD58)-(J35))))*(MAX($D$16,(AD58)-(J35))),0.000001))^2)/(2*$I$5),((ABS(J58)/MAX(((G35)+(I35)*(MAX($D$16,(N58)-(K35))))*(MAX($D$16,(N58)-(K35))),0.000001))^2)/(2*$I$5))))-((ABS(J58)/MAX(((F35)+(H35)*(MAX($D$16,(AD58)-(J35))))*(MAX($D$16,(AD58)-(J35))),0.000001))^2)/(2*$I$5)</f>
        <v>639.97429104455546</v>
      </c>
      <c r="U58">
        <f ca="1">((((G31)*(MAX($D$16,(AE58)-(K31)))^2)/2+(I31)*(MAX($D$16,(AE58)-(K31)))^3/3+(ABS(F58)^2)/($I$5*MAX(((G31)+(I31)*(MAX($D$16,(AE58)-(K31))))*(MAX($D$16,(AE58)-(K31))),0.000001)))-(IF(N6="None",((((F32)*(MAX($D$16,(AE58)-(J32)))^2)/2+(H32)*(MAX($D$16,(AE58)-(J32)))^3/3+(ABS(G58)^2)/($I$5*MAX(((F32)+(H32)*(MAX($D$16,(AE58)-(J32))))*(MAX($D$16,(AE58)-(J32))),0.000001)))*0.72785025),(((((F32)*(MAX($D$16,(AE58)-(J32)))^2)/2+(H32)*(MAX($D$16,(AE58)-(J32)))^3/3+(ABS(G58)^2)/($I$5*MAX(((F32)+(H32)*(MAX($D$16,(AE58)-(J32))))*(MAX($D$16,(AE58)-(J32))),0.000001)))*0.72785025)+((((F33)*(MAX($D$16,(AE58)-(J33)))^2)/2+(H33)*(MAX($D$16,(AE58)-(J33)))^3/3+(ABS(H58)^2)/($I$5*MAX(((F33)+(H33)*(MAX($D$16,(AE58)-(J33))))*(MAX($D$16,(AE58)-(J33))),0.000001)))*0.99999971)))))/MAX(((G31)*(MAX($D$16,(AE58)-(K31)))^2)/2+(I31)*(MAX($D$16,(AE58)-(K31)))^3/3+(ABS(F58)^2)/($I$5*MAX(((G31)+(I31)*(MAX($D$16,(AE58)-(K31))))*(MAX($D$16,(AE58)-(K31))),0.000001)),0.000001)</f>
        <v>0.27214975000000002</v>
      </c>
      <c r="V58">
        <f ca="1">((((G32)*(MAX($D$16,(AF58)-(K32)))^2)/2+(I32)*(MAX($D$16,(AF58)-(K32)))^3/3+(ABS(G58)^2)/($I$5*MAX(((G32)+(I32)*(MAX($D$16,(AF58)-(K32))))*(MAX($D$16,(AF58)-(K32))),0.000001)))-(IF(AND(N7="None",N8="None"),0,IF(N8="None",((((F34)*(MAX($D$16,(AF58)-(J34)))^2)/2+(H34)*(MAX($D$16,(AF58)-(J34)))^3/3+(ABS(I58)^2)/($I$5*MAX(((F34)+(H34)*(MAX($D$16,(AF58)-(J34))))*(MAX($D$16,(AF58)-(J34))),0.000001)))*1),IF(N7="None",((((F35)*(MAX($D$16,(AF58)-(J35)))^2)/2+(H35)*(MAX($D$16,(AF58)-(J35)))^3/3+(ABS(J58)^2)/($I$5*MAX(((F35)+(H35)*(MAX($D$16,(AF58)-(J35))))*(MAX($D$16,(AF58)-(J35))),0.000001)))*0.30600918),(((((F34)*(MAX($D$16,(AF58)-(J34)))^2)/2+(H34)*(MAX($D$16,(AF58)-(J34)))^3/3+(ABS(I58)^2)/($I$5*MAX(((F34)+(H34)*(MAX($D$16,(AF58)-(J34))))*(MAX($D$16,(AF58)-(J34))),0.000001)))*1)+((((F35)*(MAX($D$16,(AF58)-(J35)))^2)/2+(H35)*(MAX($D$16,(AF58)-(J35)))^3/3+(ABS(J58)^2)/($I$5*MAX(((F35)+(H35)*(MAX($D$16,(AF58)-(J35))))*(MAX($D$16,(AF58)-(J35))),0.000001)))*0.30600918)))))))/MAX(((G32)*(MAX($D$16,(AF58)-(K32)))^2)/2+(I32)*(MAX($D$16,(AF58)-(K32)))^3/3+(ABS(G58)^2)/($I$5*MAX(((G32)+(I32)*(MAX($D$16,(AF58)-(K32))))*(MAX($D$16,(AF58)-(K32))),0.000001)),0.000001)</f>
        <v>3.904177561081449E-2</v>
      </c>
      <c r="W58">
        <f ca="1">ABS((IF(N6="None",P58,MAX(P58,Q58)))-D58)</f>
        <v>3.4839557905920628</v>
      </c>
      <c r="X58">
        <f ca="1">ABS((IF(AND(N7="None",N8="None"),E58,IF(N8="None",S58,IF(N7="None",T58,MAX(S58,T58)))))-E58)</f>
        <v>3.8552850739828273</v>
      </c>
      <c r="Y58">
        <f>IF(N6="None",1,MIN(0.98,MAX(0.02,B58+$D$14*((Q58-P58)/MAX(ABS(D58),1)))))</f>
        <v>1</v>
      </c>
      <c r="Z58">
        <f ca="1">IF(AND(N7="None",N8="None"),C58,IF(N8="None",1,IF(N7="None",0,MIN(0.98,MAX(0.02,C58+$D$14*((T58-S58)/MAX(ABS(E58),1)))))))</f>
        <v>0.98</v>
      </c>
      <c r="AA58">
        <f t="shared" ca="1" si="3"/>
        <v>637.78967917188027</v>
      </c>
      <c r="AB58">
        <f t="shared" ca="1" si="4"/>
        <v>637.46869664395354</v>
      </c>
      <c r="AC58">
        <f ca="1">IF($D$20=0,D58,IF(AC58=0,(IF(N6="None",P58,MAX(P58,Q58))),IF(ABS((IF(N6="None",P58,MAX(P58,Q58)))-AC58)&lt;$D$19,AC58,MAX((K31)+$D$16,AC58+$D$13*(((IF(N6="None",P58,MAX(P58,Q58)))-AC58))))))</f>
        <v>640.05475555247415</v>
      </c>
      <c r="AD58">
        <f ca="1">IF($D$20=0,E58,IF(AD58=0,(IF(AND(N7="None",N8="None"),E58,IF(N8="None",S58,IF(N7="None",T58,MAX(S58,T58))))),IF(ABS((IF(AND(N7="None",N8="None"),E58,IF(N8="None",S58,IF(N7="None",T58,MAX(S58,T58)))))-AD58)&lt;$D$19,AD58,MAX((K32)+$D$16,AD58+$D$13*(((IF(AND(N7="None",N8="None"),E58,IF(N8="None",S58,IF(N7="None",T58,MAX(S58,T58)))))-AD58))))))</f>
        <v>639.97526503737538</v>
      </c>
      <c r="AE58">
        <f ca="1">IF($D$20=0,D58,IF(AE58=0,O58,IF(ABS(U58)&lt;$D$19,AE58,MAX((K31)+$D$16,AE58+($D$13*(((O58)-AE58)+(U58*MAX(ABS(AE58-(K31)),1))))))))</f>
        <v>634.34799999999996</v>
      </c>
      <c r="AF58">
        <f ca="1">IF($D$20=0,E58,IF(AF58=0,R58,IF(ABS(V58)&lt;$D$19,AF58,MAX((K32)+$D$16,AF58+($D$13*(((R58)-AF58)+(V58*MAX(ABS(AF58-(K32)),1))))))))</f>
        <v>631.92499999999995</v>
      </c>
      <c r="AG58">
        <f ca="1">((G31)*(MAX($D$16,(AC58)-(K31)))^2)/2+(I31)*(MAX($D$16,(AC58)-(K31)))^3/3+(ABS(F58)^2)/($I$5*MAX(((G31)+(I31)*(MAX($D$16,(AC58)-(K31))))*(MAX($D$16,(AC58)-(K31))),0.000001))</f>
        <v>115.68982041483933</v>
      </c>
      <c r="AH58">
        <f ca="1">((G31)*(MAX($D$16,(AE58)-(K31)))^2)/2+(I31)*(MAX($D$16,(AE58)-(K31)))^3/3+(ABS(F58)^2)/($I$5*MAX(((G31)+(I31)*(MAX($D$16,(AE58)-(K31))))*(MAX($D$16,(AE58)-(K31))),0.000001))</f>
        <v>808.60110594434002</v>
      </c>
      <c r="AI58">
        <f ca="1">((G32)*(MAX($D$16,(AD58)-(K32)))^2)/2+(I32)*(MAX($D$16,(AD58)-(K32)))^3/3+(ABS(G58)^2)/($I$5*MAX(((G32)+(I32)*(MAX($D$16,(AD58)-(K32))))*(MAX($D$16,(AD58)-(K32))),0.000001))</f>
        <v>338.03687053488557</v>
      </c>
      <c r="AJ58">
        <f ca="1">((G32)*(MAX($D$16,(AF58)-(K32)))^2)/2+(I32)*(MAX($D$16,(AF58)-(K32)))^3/3+(ABS(G58)^2)/($I$5*MAX(((G32)+(I32)*(MAX($D$16,(AF58)-(K32))))*(MAX($D$16,(AF58)-(K32))),0.000001))</f>
        <v>519.58480272613974</v>
      </c>
      <c r="AK58" t="str">
        <f t="shared" ca="1" si="5"/>
        <v>Supercritical</v>
      </c>
      <c r="AL58" t="str">
        <f t="shared" ca="1" si="6"/>
        <v>Supercritical</v>
      </c>
      <c r="AM58">
        <f t="shared" ca="1" si="7"/>
        <v>635.79231472851427</v>
      </c>
      <c r="AN58">
        <f t="shared" ca="1" si="8"/>
        <v>634.65110388087214</v>
      </c>
      <c r="AO58">
        <f t="shared" ca="1" si="9"/>
        <v>2.2220226592528434</v>
      </c>
      <c r="AP58">
        <f t="shared" ca="1" si="10"/>
        <v>4.1940059705726753</v>
      </c>
    </row>
    <row r="59" spans="1:42" x14ac:dyDescent="0.35">
      <c r="A59">
        <v>16</v>
      </c>
      <c r="B59">
        <f t="shared" si="11"/>
        <v>1</v>
      </c>
      <c r="C59">
        <f t="shared" ca="1" si="12"/>
        <v>0.98</v>
      </c>
      <c r="D59">
        <f t="shared" ca="1" si="13"/>
        <v>635.79231472851427</v>
      </c>
      <c r="E59">
        <f t="shared" ca="1" si="14"/>
        <v>634.65110388087214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 ca="1">IF(AND(N7="None",N8="None"),0,IF(N8="None",G59,IF(N7="None",0,MAX(0,G59*C59))))</f>
        <v>49.98</v>
      </c>
      <c r="J59">
        <f ca="1">IF(AND(N7="None",N8="None"),0,IF(N8="None",0,IF(N7="None",G59,MAX(0,G59-I59))))</f>
        <v>1.0200000000000031</v>
      </c>
      <c r="K59">
        <f>P5</f>
        <v>637</v>
      </c>
      <c r="L59">
        <f>P6</f>
        <v>634.3119999999999</v>
      </c>
      <c r="M59">
        <f>P7</f>
        <v>635.5</v>
      </c>
      <c r="N59">
        <f>P8</f>
        <v>631.54999999999995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-2091.5872404992097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640.05397805979817</v>
      </c>
      <c r="Q59">
        <f ca="1">L59+((ABS(H59)/MAX(((G33)+(I33)*(MAX($D$16,(L59)-(K33))))*(MAX($D$16,(L59)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AC59)-(J33))))*(MAX($D$16,(AC59)-(J33))),0.000001)),$D$9*((((ABS(H59)/MAX(((G33)+(I33)*(MAX($D$16,(L59)-(K33))))*(MAX($D$16,(L59)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L59)-(K33))))*(MAX($D$16,(L59)-(K33))),0.000001))^2)/(2*$I$5)))))+($D$10*(ABS((X33)-(W33))/90)*MAX(((ABS(H59)/MAX(((F33)+(H33)*(MAX($D$16,(AC59)-(J33))))*(MAX($D$16,(AC59)-(J33))),0.000001))^2)/(2*$I$5),((ABS(H59)/MAX(((G33)+(I33)*(MAX($D$16,(L59)-(K33))))*(MAX($D$16,(L59)-(K33))),0.000001))^2)/(2*$I$5)))+(($D$11*0.00000015*(ABS(G59)/MAX(ABS(F59),0.000001))^2*MAX(((ABS(H59)/MAX(((F33)+(H33)*(MAX($D$16,(AC59)-(J33))))*(MAX($D$16,(AC59)-(J33))),0.000001))^2)/(2*$I$5),((ABS(H59)/MAX(((G33)+(I33)*(MAX($D$16,(L59)-(K33))))*(MAX($D$16,(L59)-(K33))),0.000001))^2)/(2*$I$5))))-((ABS(H59)/MAX(((F33)+(H33)*(MAX($D$16,(AC59)-(J33))))*(MAX($D$16,(AC59)-(J33))),0.000001))^2)/(2*$I$5)</f>
        <v>634.3119999999999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-292118.81246378768</v>
      </c>
      <c r="S59">
        <f ca="1">M59+((ABS(I59)/MAX(((G34)+(I34)*(MAX($D$16,(M59)-(K34))))*(MAX($D$16,(M59)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AD59)-(J34))))*(MAX($D$16,(AD59)-(J34))),0.000001)),$D$9*((((ABS(I59)/MAX(((G34)+(I34)*(MAX($D$16,(M59)-(K34))))*(MAX($D$16,(M59)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M59)-(K34))))*(MAX($D$16,(M59)-(K34))),0.000001))^2)/(2*$I$5)))))+($D$10*(ABS((X34)-(W34))/90)*MAX(((ABS(I59)/MAX(((F34)+(H34)*(MAX($D$16,(AD59)-(J34))))*(MAX($D$16,(AD59)-(J34))),0.000001))^2)/(2*$I$5),((ABS(I59)/MAX(((G34)+(I34)*(MAX($D$16,(M59)-(K34))))*(MAX($D$16,(M59)-(K34))),0.000001))^2)/(2*$I$5)))+(0)-((ABS(I59)/MAX(((F34)+(H34)*(MAX($D$16,(AD59)-(J34))))*(MAX($D$16,(AD59)-(J34))),0.000001))^2)/(2*$I$5)</f>
        <v>635.51128720958343</v>
      </c>
      <c r="T59">
        <f ca="1">N59+((ABS(J59)/MAX(((G35)+(I35)*(MAX($D$16,(N59)-(K35))))*(MAX($D$16,(N59)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AD59)-(J35))))*(MAX($D$16,(AD59)-(J35))),0.000001)),$D$9*((((ABS(J59)/MAX(((G35)+(I35)*(MAX($D$16,(N59)-(K35))))*(MAX($D$16,(N59)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N59)-(K35))))*(MAX($D$16,(N59)-(K35))),0.000001))^2)/(2*$I$5)))))+($D$10*(ABS((X35)-(W35))/90)*MAX(((ABS(J59)/MAX(((F35)+(H35)*(MAX($D$16,(AD59)-(J35))))*(MAX($D$16,(AD59)-(J35))),0.000001))^2)/(2*$I$5),((ABS(J59)/MAX(((G35)+(I35)*(MAX($D$16,(N59)-(K35))))*(MAX($D$16,(N59)-(K35))),0.000001))^2)/(2*$I$5)))+(($D$11*0.34699541*(ABS(I59)/MAX(ABS(G59),0.000001))^2*MAX(((ABS(J59)/MAX(((F35)+(H35)*(MAX($D$16,(AD59)-(J35))))*(MAX($D$16,(AD59)-(J35))),0.000001))^2)/(2*$I$5),((ABS(J59)/MAX(((G35)+(I35)*(MAX($D$16,(N59)-(K35))))*(MAX($D$16,(N59)-(K35))),0.000001))^2)/(2*$I$5))))-((ABS(J59)/MAX(((F35)+(H35)*(MAX($D$16,(AD59)-(J35))))*(MAX($D$16,(AD59)-(J35))),0.000001))^2)/(2*$I$5)</f>
        <v>639.97429104455466</v>
      </c>
      <c r="U59">
        <f ca="1">((((G31)*(MAX($D$16,(AE59)-(K31)))^2)/2+(I31)*(MAX($D$16,(AE59)-(K31)))^3/3+(ABS(F59)^2)/($I$5*MAX(((G31)+(I31)*(MAX($D$16,(AE59)-(K31))))*(MAX($D$16,(AE59)-(K31))),0.000001)))-(IF(N6="None",((((F32)*(MAX($D$16,(AE59)-(J32)))^2)/2+(H32)*(MAX($D$16,(AE59)-(J32)))^3/3+(ABS(G59)^2)/($I$5*MAX(((F32)+(H32)*(MAX($D$16,(AE59)-(J32))))*(MAX($D$16,(AE59)-(J32))),0.000001)))*0.72785025),(((((F32)*(MAX($D$16,(AE59)-(J32)))^2)/2+(H32)*(MAX($D$16,(AE59)-(J32)))^3/3+(ABS(G59)^2)/($I$5*MAX(((F32)+(H32)*(MAX($D$16,(AE59)-(J32))))*(MAX($D$16,(AE59)-(J32))),0.000001)))*0.72785025)+((((F33)*(MAX($D$16,(AE59)-(J33)))^2)/2+(H33)*(MAX($D$16,(AE59)-(J33)))^3/3+(ABS(H59)^2)/($I$5*MAX(((F33)+(H33)*(MAX($D$16,(AE59)-(J33))))*(MAX($D$16,(AE59)-(J33))),0.000001)))*0.99999971)))))/MAX(((G31)*(MAX($D$16,(AE59)-(K31)))^2)/2+(I31)*(MAX($D$16,(AE59)-(K31)))^3/3+(ABS(F59)^2)/($I$5*MAX(((G31)+(I31)*(MAX($D$16,(AE59)-(K31))))*(MAX($D$16,(AE59)-(K31))),0.000001)),0.000001)</f>
        <v>0.27214975000000002</v>
      </c>
      <c r="V59">
        <f ca="1">((((G32)*(MAX($D$16,(AF59)-(K32)))^2)/2+(I32)*(MAX($D$16,(AF59)-(K32)))^3/3+(ABS(G59)^2)/($I$5*MAX(((G32)+(I32)*(MAX($D$16,(AF59)-(K32))))*(MAX($D$16,(AF59)-(K32))),0.000001)))-(IF(AND(N7="None",N8="None"),0,IF(N8="None",((((F34)*(MAX($D$16,(AF59)-(J34)))^2)/2+(H34)*(MAX($D$16,(AF59)-(J34)))^3/3+(ABS(I59)^2)/($I$5*MAX(((F34)+(H34)*(MAX($D$16,(AF59)-(J34))))*(MAX($D$16,(AF59)-(J34))),0.000001)))*1),IF(N7="None",((((F35)*(MAX($D$16,(AF59)-(J35)))^2)/2+(H35)*(MAX($D$16,(AF59)-(J35)))^3/3+(ABS(J59)^2)/($I$5*MAX(((F35)+(H35)*(MAX($D$16,(AF59)-(J35))))*(MAX($D$16,(AF59)-(J35))),0.000001)))*0.30600918),(((((F34)*(MAX($D$16,(AF59)-(J34)))^2)/2+(H34)*(MAX($D$16,(AF59)-(J34)))^3/3+(ABS(I59)^2)/($I$5*MAX(((F34)+(H34)*(MAX($D$16,(AF59)-(J34))))*(MAX($D$16,(AF59)-(J34))),0.000001)))*1)+((((F35)*(MAX($D$16,(AF59)-(J35)))^2)/2+(H35)*(MAX($D$16,(AF59)-(J35)))^3/3+(ABS(J59)^2)/($I$5*MAX(((F35)+(H35)*(MAX($D$16,(AF59)-(J35))))*(MAX($D$16,(AF59)-(J35))),0.000001)))*0.30600918)))))))/MAX(((G32)*(MAX($D$16,(AF59)-(K32)))^2)/2+(I32)*(MAX($D$16,(AF59)-(K32)))^3/3+(ABS(G59)^2)/($I$5*MAX(((G32)+(I32)*(MAX($D$16,(AF59)-(K32))))*(MAX($D$16,(AF59)-(K32))),0.000001)),0.000001)</f>
        <v>3.904177561081449E-2</v>
      </c>
      <c r="W59">
        <f ca="1">ABS((IF(N6="None",P59,MAX(P59,Q59)))-D59)</f>
        <v>4.2616633312838985</v>
      </c>
      <c r="X59">
        <f ca="1">ABS((IF(AND(N7="None",N8="None"),E59,IF(N8="None",S59,IF(N7="None",T59,MAX(S59,T59)))))-E59)</f>
        <v>5.323187163682519</v>
      </c>
      <c r="Y59">
        <f>IF(N6="None",1,MIN(0.98,MAX(0.02,B59+$D$14*((Q59-P59)/MAX(ABS(D59),1)))))</f>
        <v>1</v>
      </c>
      <c r="Z59">
        <f ca="1">IF(AND(N7="None",N8="None"),C59,IF(N8="None",1,IF(N7="None",0,MIN(0.98,MAX(0.02,C59+$D$14*((T59-S59)/MAX(ABS(E59),1)))))))</f>
        <v>0.98</v>
      </c>
      <c r="AA59">
        <f t="shared" ca="1" si="3"/>
        <v>637.28416887412322</v>
      </c>
      <c r="AB59">
        <f t="shared" ca="1" si="4"/>
        <v>636.51456014422513</v>
      </c>
      <c r="AC59">
        <f ca="1">IF($D$20=0,D59,IF(AC59=0,(IF(N6="None",P59,MAX(P59,Q59))),IF(ABS((IF(N6="None",P59,MAX(P59,Q59)))-AC59)&lt;$D$19,AC59,MAX((K31)+$D$16,AC59+$D$13*(((IF(N6="None",P59,MAX(P59,Q59)))-AC59))))))</f>
        <v>640.05475514453997</v>
      </c>
      <c r="AD59">
        <f ca="1">IF($D$20=0,E59,IF(AD59=0,(IF(AND(N7="None",N8="None"),E59,IF(N8="None",S59,IF(N7="None",T59,MAX(S59,T59))))),IF(ABS((IF(AND(N7="None",N8="None"),E59,IF(N8="None",S59,IF(N7="None",T59,MAX(S59,T59)))))-AD59)&lt;$D$19,AD59,MAX((K32)+$D$16,AD59+$D$13*(((IF(AND(N7="None",N8="None"),E59,IF(N8="None",S59,IF(N7="None",T59,MAX(S59,T59)))))-AD59))))))</f>
        <v>639.97526463330917</v>
      </c>
      <c r="AE59">
        <f ca="1">IF($D$20=0,D59,IF(AE59=0,O59,IF(ABS(U59)&lt;$D$19,AE59,MAX((K31)+$D$16,AE59+($D$13*(((O59)-AE59)+(U59*MAX(ABS(AE59-(K31)),1))))))))</f>
        <v>634.34799999999996</v>
      </c>
      <c r="AF59">
        <f ca="1">IF($D$20=0,E59,IF(AF59=0,R59,IF(ABS(V59)&lt;$D$19,AF59,MAX((K32)+$D$16,AF59+($D$13*(((R59)-AF59)+(V59*MAX(ABS(AF59-(K32)),1))))))))</f>
        <v>631.92499999999995</v>
      </c>
      <c r="AG59">
        <f ca="1">((G31)*(MAX($D$16,(AC59)-(K31)))^2)/2+(I31)*(MAX($D$16,(AC59)-(K31)))^3/3+(ABS(F59)^2)/($I$5*MAX(((G31)+(I31)*(MAX($D$16,(AC59)-(K31))))*(MAX($D$16,(AC59)-(K31))),0.000001))</f>
        <v>115.68980551184316</v>
      </c>
      <c r="AH59">
        <f ca="1">((G31)*(MAX($D$16,(AE59)-(K31)))^2)/2+(I31)*(MAX($D$16,(AE59)-(K31)))^3/3+(ABS(F59)^2)/($I$5*MAX(((G31)+(I31)*(MAX($D$16,(AE59)-(K31))))*(MAX($D$16,(AE59)-(K31))),0.000001))</f>
        <v>808.60110594434002</v>
      </c>
      <c r="AI59">
        <f ca="1">((G32)*(MAX($D$16,(AD59)-(K32)))^2)/2+(I32)*(MAX($D$16,(AD59)-(K32)))^3/3+(ABS(G59)^2)/($I$5*MAX(((G32)+(I32)*(MAX($D$16,(AD59)-(K32))))*(MAX($D$16,(AD59)-(K32))),0.000001))</f>
        <v>338.03683729018678</v>
      </c>
      <c r="AJ59">
        <f ca="1">((G32)*(MAX($D$16,(AF59)-(K32)))^2)/2+(I32)*(MAX($D$16,(AF59)-(K32)))^3/3+(ABS(G59)^2)/($I$5*MAX(((G32)+(I32)*(MAX($D$16,(AF59)-(K32))))*(MAX($D$16,(AF59)-(K32))),0.000001))</f>
        <v>519.58480272613974</v>
      </c>
      <c r="AK59" t="str">
        <f t="shared" ca="1" si="5"/>
        <v>Supercritical</v>
      </c>
      <c r="AL59" t="str">
        <f t="shared" ca="1" si="6"/>
        <v>Supercritical</v>
      </c>
      <c r="AM59">
        <f t="shared" ca="1" si="7"/>
        <v>635.28680457353425</v>
      </c>
      <c r="AN59">
        <f t="shared" ca="1" si="8"/>
        <v>633.69696752256687</v>
      </c>
      <c r="AO59">
        <f t="shared" ca="1" si="9"/>
        <v>1.4443147285143141</v>
      </c>
      <c r="AP59">
        <f t="shared" ca="1" si="10"/>
        <v>2.7261038808721878</v>
      </c>
    </row>
    <row r="60" spans="1:42" x14ac:dyDescent="0.35">
      <c r="A60">
        <v>17</v>
      </c>
      <c r="B60">
        <f t="shared" si="11"/>
        <v>1</v>
      </c>
      <c r="C60">
        <f t="shared" ca="1" si="12"/>
        <v>0.98</v>
      </c>
      <c r="D60">
        <f t="shared" ca="1" si="13"/>
        <v>635.28680457353425</v>
      </c>
      <c r="E60">
        <f t="shared" ca="1" si="14"/>
        <v>633.69696752256687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 ca="1">IF(AND(N7="None",N8="None"),0,IF(N8="None",G60,IF(N7="None",0,MAX(0,G60*C60))))</f>
        <v>49.98</v>
      </c>
      <c r="J60">
        <f ca="1">IF(AND(N7="None",N8="None"),0,IF(N8="None",0,IF(N7="None",G60,MAX(0,G60-I60))))</f>
        <v>1.0200000000000031</v>
      </c>
      <c r="K60">
        <f>P5</f>
        <v>637</v>
      </c>
      <c r="L60">
        <f>P6</f>
        <v>634.3119999999999</v>
      </c>
      <c r="M60">
        <f>P7</f>
        <v>635.5</v>
      </c>
      <c r="N60">
        <f>P8</f>
        <v>631.54999999999995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-2091.5872404992097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640.05397805979817</v>
      </c>
      <c r="Q60">
        <f ca="1">L60+((ABS(H60)/MAX(((G33)+(I33)*(MAX($D$16,(L60)-(K33))))*(MAX($D$16,(L60)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AC60)-(J33))))*(MAX($D$16,(AC60)-(J33))),0.000001)),$D$9*((((ABS(H60)/MAX(((G33)+(I33)*(MAX($D$16,(L60)-(K33))))*(MAX($D$16,(L60)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L60)-(K33))))*(MAX($D$16,(L60)-(K33))),0.000001))^2)/(2*$I$5)))))+($D$10*(ABS((X33)-(W33))/90)*MAX(((ABS(H60)/MAX(((F33)+(H33)*(MAX($D$16,(AC60)-(J33))))*(MAX($D$16,(AC60)-(J33))),0.000001))^2)/(2*$I$5),((ABS(H60)/MAX(((G33)+(I33)*(MAX($D$16,(L60)-(K33))))*(MAX($D$16,(L60)-(K33))),0.000001))^2)/(2*$I$5)))+(($D$11*0.00000015*(ABS(G60)/MAX(ABS(F60),0.000001))^2*MAX(((ABS(H60)/MAX(((F33)+(H33)*(MAX($D$16,(AC60)-(J33))))*(MAX($D$16,(AC60)-(J33))),0.000001))^2)/(2*$I$5),((ABS(H60)/MAX(((G33)+(I33)*(MAX($D$16,(L60)-(K33))))*(MAX($D$16,(L60)-(K33))),0.000001))^2)/(2*$I$5))))-((ABS(H60)/MAX(((F33)+(H33)*(MAX($D$16,(AC60)-(J33))))*(MAX($D$16,(AC60)-(J33))),0.000001))^2)/(2*$I$5)</f>
        <v>634.3119999999999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-292118.81246378768</v>
      </c>
      <c r="S60">
        <f ca="1">M60+((ABS(I60)/MAX(((G34)+(I34)*(MAX($D$16,(M60)-(K34))))*(MAX($D$16,(M60)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AD60)-(J34))))*(MAX($D$16,(AD60)-(J34))),0.000001)),$D$9*((((ABS(I60)/MAX(((G34)+(I34)*(MAX($D$16,(M60)-(K34))))*(MAX($D$16,(M60)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M60)-(K34))))*(MAX($D$16,(M60)-(K34))),0.000001))^2)/(2*$I$5)))))+($D$10*(ABS((X34)-(W34))/90)*MAX(((ABS(I60)/MAX(((F34)+(H34)*(MAX($D$16,(AD60)-(J34))))*(MAX($D$16,(AD60)-(J34))),0.000001))^2)/(2*$I$5),((ABS(I60)/MAX(((G34)+(I34)*(MAX($D$16,(M60)-(K34))))*(MAX($D$16,(M60)-(K34))),0.000001))^2)/(2*$I$5)))+(0)-((ABS(I60)/MAX(((F34)+(H34)*(MAX($D$16,(AD60)-(J34))))*(MAX($D$16,(AD60)-(J34))),0.000001))^2)/(2*$I$5)</f>
        <v>635.51128720958343</v>
      </c>
      <c r="T60">
        <f ca="1">N60+((ABS(J60)/MAX(((G35)+(I35)*(MAX($D$16,(N60)-(K35))))*(MAX($D$16,(N60)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AD60)-(J35))))*(MAX($D$16,(AD60)-(J35))),0.000001)),$D$9*((((ABS(J60)/MAX(((G35)+(I35)*(MAX($D$16,(N60)-(K35))))*(MAX($D$16,(N60)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N60)-(K35))))*(MAX($D$16,(N60)-(K35))),0.000001))^2)/(2*$I$5)))))+($D$10*(ABS((X35)-(W35))/90)*MAX(((ABS(J60)/MAX(((F35)+(H35)*(MAX($D$16,(AD60)-(J35))))*(MAX($D$16,(AD60)-(J35))),0.000001))^2)/(2*$I$5),((ABS(J60)/MAX(((G35)+(I35)*(MAX($D$16,(N60)-(K35))))*(MAX($D$16,(N60)-(K35))),0.000001))^2)/(2*$I$5)))+(($D$11*0.34699541*(ABS(I60)/MAX(ABS(G60),0.000001))^2*MAX(((ABS(J60)/MAX(((F35)+(H35)*(MAX($D$16,(AD60)-(J35))))*(MAX($D$16,(AD60)-(J35))),0.000001))^2)/(2*$I$5),((ABS(J60)/MAX(((G35)+(I35)*(MAX($D$16,(N60)-(K35))))*(MAX($D$16,(N60)-(K35))),0.000001))^2)/(2*$I$5))))-((ABS(J60)/MAX(((F35)+(H35)*(MAX($D$16,(AD60)-(J35))))*(MAX($D$16,(AD60)-(J35))),0.000001))^2)/(2*$I$5)</f>
        <v>639.97429104455466</v>
      </c>
      <c r="U60">
        <f ca="1">((((G31)*(MAX($D$16,(AE60)-(K31)))^2)/2+(I31)*(MAX($D$16,(AE60)-(K31)))^3/3+(ABS(F60)^2)/($I$5*MAX(((G31)+(I31)*(MAX($D$16,(AE60)-(K31))))*(MAX($D$16,(AE60)-(K31))),0.000001)))-(IF(N6="None",((((F32)*(MAX($D$16,(AE60)-(J32)))^2)/2+(H32)*(MAX($D$16,(AE60)-(J32)))^3/3+(ABS(G60)^2)/($I$5*MAX(((F32)+(H32)*(MAX($D$16,(AE60)-(J32))))*(MAX($D$16,(AE60)-(J32))),0.000001)))*0.72785025),(((((F32)*(MAX($D$16,(AE60)-(J32)))^2)/2+(H32)*(MAX($D$16,(AE60)-(J32)))^3/3+(ABS(G60)^2)/($I$5*MAX(((F32)+(H32)*(MAX($D$16,(AE60)-(J32))))*(MAX($D$16,(AE60)-(J32))),0.000001)))*0.72785025)+((((F33)*(MAX($D$16,(AE60)-(J33)))^2)/2+(H33)*(MAX($D$16,(AE60)-(J33)))^3/3+(ABS(H60)^2)/($I$5*MAX(((F33)+(H33)*(MAX($D$16,(AE60)-(J33))))*(MAX($D$16,(AE60)-(J33))),0.000001)))*0.99999971)))))/MAX(((G31)*(MAX($D$16,(AE60)-(K31)))^2)/2+(I31)*(MAX($D$16,(AE60)-(K31)))^3/3+(ABS(F60)^2)/($I$5*MAX(((G31)+(I31)*(MAX($D$16,(AE60)-(K31))))*(MAX($D$16,(AE60)-(K31))),0.000001)),0.000001)</f>
        <v>0.27214975000000002</v>
      </c>
      <c r="V60">
        <f ca="1">((((G32)*(MAX($D$16,(AF60)-(K32)))^2)/2+(I32)*(MAX($D$16,(AF60)-(K32)))^3/3+(ABS(G60)^2)/($I$5*MAX(((G32)+(I32)*(MAX($D$16,(AF60)-(K32))))*(MAX($D$16,(AF60)-(K32))),0.000001)))-(IF(AND(N7="None",N8="None"),0,IF(N8="None",((((F34)*(MAX($D$16,(AF60)-(J34)))^2)/2+(H34)*(MAX($D$16,(AF60)-(J34)))^3/3+(ABS(I60)^2)/($I$5*MAX(((F34)+(H34)*(MAX($D$16,(AF60)-(J34))))*(MAX($D$16,(AF60)-(J34))),0.000001)))*1),IF(N7="None",((((F35)*(MAX($D$16,(AF60)-(J35)))^2)/2+(H35)*(MAX($D$16,(AF60)-(J35)))^3/3+(ABS(J60)^2)/($I$5*MAX(((F35)+(H35)*(MAX($D$16,(AF60)-(J35))))*(MAX($D$16,(AF60)-(J35))),0.000001)))*0.30600918),(((((F34)*(MAX($D$16,(AF60)-(J34)))^2)/2+(H34)*(MAX($D$16,(AF60)-(J34)))^3/3+(ABS(I60)^2)/($I$5*MAX(((F34)+(H34)*(MAX($D$16,(AF60)-(J34))))*(MAX($D$16,(AF60)-(J34))),0.000001)))*1)+((((F35)*(MAX($D$16,(AF60)-(J35)))^2)/2+(H35)*(MAX($D$16,(AF60)-(J35)))^3/3+(ABS(J60)^2)/($I$5*MAX(((F35)+(H35)*(MAX($D$16,(AF60)-(J35))))*(MAX($D$16,(AF60)-(J35))),0.000001)))*0.30600918)))))))/MAX(((G32)*(MAX($D$16,(AF60)-(K32)))^2)/2+(I32)*(MAX($D$16,(AF60)-(K32)))^3/3+(ABS(G60)^2)/($I$5*MAX(((G32)+(I32)*(MAX($D$16,(AF60)-(K32))))*(MAX($D$16,(AF60)-(K32))),0.000001)),0.000001)</f>
        <v>3.904177561081449E-2</v>
      </c>
      <c r="W60">
        <f ca="1">ABS((IF(N6="None",P60,MAX(P60,Q60)))-D60)</f>
        <v>4.7671734862639141</v>
      </c>
      <c r="X60">
        <f ca="1">ABS((IF(AND(N7="None",N8="None"),E60,IF(N8="None",S60,IF(N7="None",T60,MAX(S60,T60)))))-E60)</f>
        <v>6.2773235219877961</v>
      </c>
      <c r="Y60">
        <f>IF(N6="None",1,MIN(0.98,MAX(0.02,B60+$D$14*((Q60-P60)/MAX(ABS(D60),1)))))</f>
        <v>1</v>
      </c>
      <c r="Z60">
        <f ca="1">IF(AND(N7="None",N8="None"),C60,IF(N8="None",1,IF(N7="None",0,MIN(0.98,MAX(0.02,C60+$D$14*((T60-S60)/MAX(ABS(E60),1)))))))</f>
        <v>0.98</v>
      </c>
      <c r="AA60">
        <f t="shared" ca="1" si="3"/>
        <v>636.9555872733863</v>
      </c>
      <c r="AB60">
        <f t="shared" ca="1" si="4"/>
        <v>635.89437151132665</v>
      </c>
      <c r="AC60">
        <f ca="1">IF($D$20=0,D60,IF(AC60=0,(IF(N6="None",P60,MAX(P60,Q60))),IF(ABS((IF(N6="None",P60,MAX(P60,Q60)))-AC60)&lt;$D$19,AC60,MAX((K31)+$D$16,AC60+$D$13*(((IF(N6="None",P60,MAX(P60,Q60)))-AC60))))))</f>
        <v>640.05475514453997</v>
      </c>
      <c r="AD60">
        <f ca="1">IF($D$20=0,E60,IF(AD60=0,(IF(AND(N7="None",N8="None"),E60,IF(N8="None",S60,IF(N7="None",T60,MAX(S60,T60))))),IF(ABS((IF(AND(N7="None",N8="None"),E60,IF(N8="None",S60,IF(N7="None",T60,MAX(S60,T60)))))-AD60)&lt;$D$19,AD60,MAX((K32)+$D$16,AD60+$D$13*(((IF(AND(N7="None",N8="None"),E60,IF(N8="None",S60,IF(N7="None",T60,MAX(S60,T60)))))-AD60))))))</f>
        <v>639.97526463330917</v>
      </c>
      <c r="AE60">
        <f ca="1">IF($D$20=0,D60,IF(AE60=0,O60,IF(ABS(U60)&lt;$D$19,AE60,MAX((K31)+$D$16,AE60+($D$13*(((O60)-AE60)+(U60*MAX(ABS(AE60-(K31)),1))))))))</f>
        <v>634.34799999999996</v>
      </c>
      <c r="AF60">
        <f ca="1">IF($D$20=0,E60,IF(AF60=0,R60,IF(ABS(V60)&lt;$D$19,AF60,MAX((K32)+$D$16,AF60+($D$13*(((R60)-AF60)+(V60*MAX(ABS(AF60-(K32)),1))))))))</f>
        <v>631.92499999999995</v>
      </c>
      <c r="AG60">
        <f ca="1">((G31)*(MAX($D$16,(AC60)-(K31)))^2)/2+(I31)*(MAX($D$16,(AC60)-(K31)))^3/3+(ABS(F60)^2)/($I$5*MAX(((G31)+(I31)*(MAX($D$16,(AC60)-(K31))))*(MAX($D$16,(AC60)-(K31))),0.000001))</f>
        <v>115.68980551184316</v>
      </c>
      <c r="AH60">
        <f ca="1">((G31)*(MAX($D$16,(AE60)-(K31)))^2)/2+(I31)*(MAX($D$16,(AE60)-(K31)))^3/3+(ABS(F60)^2)/($I$5*MAX(((G31)+(I31)*(MAX($D$16,(AE60)-(K31))))*(MAX($D$16,(AE60)-(K31))),0.000001))</f>
        <v>808.60110594434002</v>
      </c>
      <c r="AI60">
        <f ca="1">((G32)*(MAX($D$16,(AD60)-(K32)))^2)/2+(I32)*(MAX($D$16,(AD60)-(K32)))^3/3+(ABS(G60)^2)/($I$5*MAX(((G32)+(I32)*(MAX($D$16,(AD60)-(K32))))*(MAX($D$16,(AD60)-(K32))),0.000001))</f>
        <v>338.03683729018678</v>
      </c>
      <c r="AJ60">
        <f ca="1">((G32)*(MAX($D$16,(AF60)-(K32)))^2)/2+(I32)*(MAX($D$16,(AF60)-(K32)))^3/3+(ABS(G60)^2)/($I$5*MAX(((G32)+(I32)*(MAX($D$16,(AF60)-(K32))))*(MAX($D$16,(AF60)-(K32))),0.000001))</f>
        <v>519.58480272613974</v>
      </c>
      <c r="AK60" t="str">
        <f t="shared" ca="1" si="5"/>
        <v>Supercritical</v>
      </c>
      <c r="AL60" t="str">
        <f t="shared" ca="1" si="6"/>
        <v>Supercritical</v>
      </c>
      <c r="AM60">
        <f t="shared" ca="1" si="7"/>
        <v>634.95822297279722</v>
      </c>
      <c r="AN60">
        <f t="shared" ca="1" si="8"/>
        <v>633.0767788896685</v>
      </c>
      <c r="AO60">
        <f t="shared" ca="1" si="9"/>
        <v>0.93880457353429847</v>
      </c>
      <c r="AP60">
        <f t="shared" ca="1" si="10"/>
        <v>1.7719675225669107</v>
      </c>
    </row>
    <row r="61" spans="1:42" x14ac:dyDescent="0.35">
      <c r="A61">
        <v>18</v>
      </c>
      <c r="B61">
        <f t="shared" si="11"/>
        <v>1</v>
      </c>
      <c r="C61">
        <f t="shared" ca="1" si="12"/>
        <v>0.98</v>
      </c>
      <c r="D61">
        <f t="shared" ca="1" si="13"/>
        <v>634.95822297279722</v>
      </c>
      <c r="E61">
        <f t="shared" ca="1" si="14"/>
        <v>633.0767788896685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 ca="1">IF(AND(N7="None",N8="None"),0,IF(N8="None",G61,IF(N7="None",0,MAX(0,G61*C61))))</f>
        <v>49.98</v>
      </c>
      <c r="J61">
        <f ca="1">IF(AND(N7="None",N8="None"),0,IF(N8="None",0,IF(N7="None",G61,MAX(0,G61-I61))))</f>
        <v>1.0200000000000031</v>
      </c>
      <c r="K61">
        <f>P5</f>
        <v>637</v>
      </c>
      <c r="L61">
        <f>P6</f>
        <v>634.3119999999999</v>
      </c>
      <c r="M61">
        <f>P7</f>
        <v>635.5</v>
      </c>
      <c r="N61">
        <f>P8</f>
        <v>631.54999999999995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-2091.5872404992097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640.05397805979817</v>
      </c>
      <c r="Q61">
        <f ca="1">L61+((ABS(H61)/MAX(((G33)+(I33)*(MAX($D$16,(L61)-(K33))))*(MAX($D$16,(L61)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AC61)-(J33))))*(MAX($D$16,(AC61)-(J33))),0.000001)),$D$9*((((ABS(H61)/MAX(((G33)+(I33)*(MAX($D$16,(L61)-(K33))))*(MAX($D$16,(L61)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L61)-(K33))))*(MAX($D$16,(L61)-(K33))),0.000001))^2)/(2*$I$5)))))+($D$10*(ABS((X33)-(W33))/90)*MAX(((ABS(H61)/MAX(((F33)+(H33)*(MAX($D$16,(AC61)-(J33))))*(MAX($D$16,(AC61)-(J33))),0.000001))^2)/(2*$I$5),((ABS(H61)/MAX(((G33)+(I33)*(MAX($D$16,(L61)-(K33))))*(MAX($D$16,(L61)-(K33))),0.000001))^2)/(2*$I$5)))+(($D$11*0.00000015*(ABS(G61)/MAX(ABS(F61),0.000001))^2*MAX(((ABS(H61)/MAX(((F33)+(H33)*(MAX($D$16,(AC61)-(J33))))*(MAX($D$16,(AC61)-(J33))),0.000001))^2)/(2*$I$5),((ABS(H61)/MAX(((G33)+(I33)*(MAX($D$16,(L61)-(K33))))*(MAX($D$16,(L61)-(K33))),0.000001))^2)/(2*$I$5))))-((ABS(H61)/MAX(((F33)+(H33)*(MAX($D$16,(AC61)-(J33))))*(MAX($D$16,(AC61)-(J33))),0.000001))^2)/(2*$I$5)</f>
        <v>634.3119999999999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-292118.81246378768</v>
      </c>
      <c r="S61">
        <f ca="1">M61+((ABS(I61)/MAX(((G34)+(I34)*(MAX($D$16,(M61)-(K34))))*(MAX($D$16,(M61)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AD61)-(J34))))*(MAX($D$16,(AD61)-(J34))),0.000001)),$D$9*((((ABS(I61)/MAX(((G34)+(I34)*(MAX($D$16,(M61)-(K34))))*(MAX($D$16,(M61)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M61)-(K34))))*(MAX($D$16,(M61)-(K34))),0.000001))^2)/(2*$I$5)))))+($D$10*(ABS((X34)-(W34))/90)*MAX(((ABS(I61)/MAX(((F34)+(H34)*(MAX($D$16,(AD61)-(J34))))*(MAX($D$16,(AD61)-(J34))),0.000001))^2)/(2*$I$5),((ABS(I61)/MAX(((G34)+(I34)*(MAX($D$16,(M61)-(K34))))*(MAX($D$16,(M61)-(K34))),0.000001))^2)/(2*$I$5)))+(0)-((ABS(I61)/MAX(((F34)+(H34)*(MAX($D$16,(AD61)-(J34))))*(MAX($D$16,(AD61)-(J34))),0.000001))^2)/(2*$I$5)</f>
        <v>635.51128720958343</v>
      </c>
      <c r="T61">
        <f ca="1">N61+((ABS(J61)/MAX(((G35)+(I35)*(MAX($D$16,(N61)-(K35))))*(MAX($D$16,(N61)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AD61)-(J35))))*(MAX($D$16,(AD61)-(J35))),0.000001)),$D$9*((((ABS(J61)/MAX(((G35)+(I35)*(MAX($D$16,(N61)-(K35))))*(MAX($D$16,(N61)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N61)-(K35))))*(MAX($D$16,(N61)-(K35))),0.000001))^2)/(2*$I$5)))))+($D$10*(ABS((X35)-(W35))/90)*MAX(((ABS(J61)/MAX(((F35)+(H35)*(MAX($D$16,(AD61)-(J35))))*(MAX($D$16,(AD61)-(J35))),0.000001))^2)/(2*$I$5),((ABS(J61)/MAX(((G35)+(I35)*(MAX($D$16,(N61)-(K35))))*(MAX($D$16,(N61)-(K35))),0.000001))^2)/(2*$I$5)))+(($D$11*0.34699541*(ABS(I61)/MAX(ABS(G61),0.000001))^2*MAX(((ABS(J61)/MAX(((F35)+(H35)*(MAX($D$16,(AD61)-(J35))))*(MAX($D$16,(AD61)-(J35))),0.000001))^2)/(2*$I$5),((ABS(J61)/MAX(((G35)+(I35)*(MAX($D$16,(N61)-(K35))))*(MAX($D$16,(N61)-(K35))),0.000001))^2)/(2*$I$5))))-((ABS(J61)/MAX(((F35)+(H35)*(MAX($D$16,(AD61)-(J35))))*(MAX($D$16,(AD61)-(J35))),0.000001))^2)/(2*$I$5)</f>
        <v>639.97429104455466</v>
      </c>
      <c r="U61">
        <f ca="1">((((G31)*(MAX($D$16,(AE61)-(K31)))^2)/2+(I31)*(MAX($D$16,(AE61)-(K31)))^3/3+(ABS(F61)^2)/($I$5*MAX(((G31)+(I31)*(MAX($D$16,(AE61)-(K31))))*(MAX($D$16,(AE61)-(K31))),0.000001)))-(IF(N6="None",((((F32)*(MAX($D$16,(AE61)-(J32)))^2)/2+(H32)*(MAX($D$16,(AE61)-(J32)))^3/3+(ABS(G61)^2)/($I$5*MAX(((F32)+(H32)*(MAX($D$16,(AE61)-(J32))))*(MAX($D$16,(AE61)-(J32))),0.000001)))*0.72785025),(((((F32)*(MAX($D$16,(AE61)-(J32)))^2)/2+(H32)*(MAX($D$16,(AE61)-(J32)))^3/3+(ABS(G61)^2)/($I$5*MAX(((F32)+(H32)*(MAX($D$16,(AE61)-(J32))))*(MAX($D$16,(AE61)-(J32))),0.000001)))*0.72785025)+((((F33)*(MAX($D$16,(AE61)-(J33)))^2)/2+(H33)*(MAX($D$16,(AE61)-(J33)))^3/3+(ABS(H61)^2)/($I$5*MAX(((F33)+(H33)*(MAX($D$16,(AE61)-(J33))))*(MAX($D$16,(AE61)-(J33))),0.000001)))*0.99999971)))))/MAX(((G31)*(MAX($D$16,(AE61)-(K31)))^2)/2+(I31)*(MAX($D$16,(AE61)-(K31)))^3/3+(ABS(F61)^2)/($I$5*MAX(((G31)+(I31)*(MAX($D$16,(AE61)-(K31))))*(MAX($D$16,(AE61)-(K31))),0.000001)),0.000001)</f>
        <v>0.27214975000000002</v>
      </c>
      <c r="V61">
        <f ca="1">((((G32)*(MAX($D$16,(AF61)-(K32)))^2)/2+(I32)*(MAX($D$16,(AF61)-(K32)))^3/3+(ABS(G61)^2)/($I$5*MAX(((G32)+(I32)*(MAX($D$16,(AF61)-(K32))))*(MAX($D$16,(AF61)-(K32))),0.000001)))-(IF(AND(N7="None",N8="None"),0,IF(N8="None",((((F34)*(MAX($D$16,(AF61)-(J34)))^2)/2+(H34)*(MAX($D$16,(AF61)-(J34)))^3/3+(ABS(I61)^2)/($I$5*MAX(((F34)+(H34)*(MAX($D$16,(AF61)-(J34))))*(MAX($D$16,(AF61)-(J34))),0.000001)))*1),IF(N7="None",((((F35)*(MAX($D$16,(AF61)-(J35)))^2)/2+(H35)*(MAX($D$16,(AF61)-(J35)))^3/3+(ABS(J61)^2)/($I$5*MAX(((F35)+(H35)*(MAX($D$16,(AF61)-(J35))))*(MAX($D$16,(AF61)-(J35))),0.000001)))*0.30600918),(((((F34)*(MAX($D$16,(AF61)-(J34)))^2)/2+(H34)*(MAX($D$16,(AF61)-(J34)))^3/3+(ABS(I61)^2)/($I$5*MAX(((F34)+(H34)*(MAX($D$16,(AF61)-(J34))))*(MAX($D$16,(AF61)-(J34))),0.000001)))*1)+((((F35)*(MAX($D$16,(AF61)-(J35)))^2)/2+(H35)*(MAX($D$16,(AF61)-(J35)))^3/3+(ABS(J61)^2)/($I$5*MAX(((F35)+(H35)*(MAX($D$16,(AF61)-(J35))))*(MAX($D$16,(AF61)-(J35))),0.000001)))*0.30600918)))))))/MAX(((G32)*(MAX($D$16,(AF61)-(K32)))^2)/2+(I32)*(MAX($D$16,(AF61)-(K32)))^3/3+(ABS(G61)^2)/($I$5*MAX(((G32)+(I32)*(MAX($D$16,(AF61)-(K32))))*(MAX($D$16,(AF61)-(K32))),0.000001)),0.000001)</f>
        <v>3.904177561081449E-2</v>
      </c>
      <c r="W61">
        <f ca="1">ABS((IF(N6="None",P61,MAX(P61,Q61)))-D61)</f>
        <v>5.0957550870009527</v>
      </c>
      <c r="X61">
        <f ca="1">ABS((IF(AND(N7="None",N8="None"),E61,IF(N8="None",S61,IF(N7="None",T61,MAX(S61,T61)))))-E61)</f>
        <v>6.897512154886158</v>
      </c>
      <c r="Y61">
        <f>IF(N6="None",1,MIN(0.98,MAX(0.02,B61+$D$14*((Q61-P61)/MAX(ABS(D61),1)))))</f>
        <v>1</v>
      </c>
      <c r="Z61">
        <f ca="1">IF(AND(N7="None",N8="None"),C61,IF(N8="None",1,IF(N7="None",0,MIN(0.98,MAX(0.02,C61+$D$14*((T61-S61)/MAX(ABS(E61),1)))))))</f>
        <v>0.98</v>
      </c>
      <c r="AA61">
        <f t="shared" ca="1" si="3"/>
        <v>636.74200923290721</v>
      </c>
      <c r="AB61">
        <f t="shared" ca="1" si="4"/>
        <v>635.49124889994278</v>
      </c>
      <c r="AC61">
        <f ca="1">IF($D$20=0,D61,IF(AC61=0,(IF(N6="None",P61,MAX(P61,Q61))),IF(ABS((IF(N6="None",P61,MAX(P61,Q61)))-AC61)&lt;$D$19,AC61,MAX((K31)+$D$16,AC61+$D$13*(((IF(N6="None",P61,MAX(P61,Q61)))-AC61))))))</f>
        <v>640.05475514453997</v>
      </c>
      <c r="AD61">
        <f ca="1">IF($D$20=0,E61,IF(AD61=0,(IF(AND(N7="None",N8="None"),E61,IF(N8="None",S61,IF(N7="None",T61,MAX(S61,T61))))),IF(ABS((IF(AND(N7="None",N8="None"),E61,IF(N8="None",S61,IF(N7="None",T61,MAX(S61,T61)))))-AD61)&lt;$D$19,AD61,MAX((K32)+$D$16,AD61+$D$13*(((IF(AND(N7="None",N8="None"),E61,IF(N8="None",S61,IF(N7="None",T61,MAX(S61,T61)))))-AD61))))))</f>
        <v>639.97526463330917</v>
      </c>
      <c r="AE61">
        <f ca="1">IF($D$20=0,D61,IF(AE61=0,O61,IF(ABS(U61)&lt;$D$19,AE61,MAX((K31)+$D$16,AE61+($D$13*(((O61)-AE61)+(U61*MAX(ABS(AE61-(K31)),1))))))))</f>
        <v>634.34799999999996</v>
      </c>
      <c r="AF61">
        <f ca="1">IF($D$20=0,E61,IF(AF61=0,R61,IF(ABS(V61)&lt;$D$19,AF61,MAX((K32)+$D$16,AF61+($D$13*(((R61)-AF61)+(V61*MAX(ABS(AF61-(K32)),1))))))))</f>
        <v>631.92499999999995</v>
      </c>
      <c r="AG61">
        <f ca="1">((G31)*(MAX($D$16,(AC61)-(K31)))^2)/2+(I31)*(MAX($D$16,(AC61)-(K31)))^3/3+(ABS(F61)^2)/($I$5*MAX(((G31)+(I31)*(MAX($D$16,(AC61)-(K31))))*(MAX($D$16,(AC61)-(K31))),0.000001))</f>
        <v>115.68980551184316</v>
      </c>
      <c r="AH61">
        <f ca="1">((G31)*(MAX($D$16,(AE61)-(K31)))^2)/2+(I31)*(MAX($D$16,(AE61)-(K31)))^3/3+(ABS(F61)^2)/($I$5*MAX(((G31)+(I31)*(MAX($D$16,(AE61)-(K31))))*(MAX($D$16,(AE61)-(K31))),0.000001))</f>
        <v>808.60110594434002</v>
      </c>
      <c r="AI61">
        <f ca="1">((G32)*(MAX($D$16,(AD61)-(K32)))^2)/2+(I32)*(MAX($D$16,(AD61)-(K32)))^3/3+(ABS(G61)^2)/($I$5*MAX(((G32)+(I32)*(MAX($D$16,(AD61)-(K32))))*(MAX($D$16,(AD61)-(K32))),0.000001))</f>
        <v>338.03683729018678</v>
      </c>
      <c r="AJ61">
        <f ca="1">((G32)*(MAX($D$16,(AF61)-(K32)))^2)/2+(I32)*(MAX($D$16,(AF61)-(K32)))^3/3+(ABS(G61)^2)/($I$5*MAX(((G32)+(I32)*(MAX($D$16,(AF61)-(K32))))*(MAX($D$16,(AF61)-(K32))),0.000001))</f>
        <v>519.58480272613974</v>
      </c>
      <c r="AK61" t="str">
        <f t="shared" ca="1" si="5"/>
        <v>Supercritical</v>
      </c>
      <c r="AL61" t="str">
        <f t="shared" ca="1" si="6"/>
        <v>Supercritical</v>
      </c>
      <c r="AM61">
        <f t="shared" ca="1" si="7"/>
        <v>634.74464493231812</v>
      </c>
      <c r="AN61">
        <f t="shared" ca="1" si="8"/>
        <v>632.67365627828451</v>
      </c>
      <c r="AO61">
        <f t="shared" ca="1" si="9"/>
        <v>0.6102229727972599</v>
      </c>
      <c r="AP61">
        <f t="shared" ca="1" si="10"/>
        <v>1.1517788896685488</v>
      </c>
    </row>
    <row r="62" spans="1:42" x14ac:dyDescent="0.35">
      <c r="A62">
        <v>19</v>
      </c>
      <c r="B62">
        <f t="shared" si="11"/>
        <v>1</v>
      </c>
      <c r="C62">
        <f t="shared" ca="1" si="12"/>
        <v>0.98</v>
      </c>
      <c r="D62">
        <f t="shared" ca="1" si="13"/>
        <v>634.74464493231812</v>
      </c>
      <c r="E62">
        <f t="shared" ca="1" si="14"/>
        <v>632.67365627828451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 ca="1">IF(AND(N7="None",N8="None"),0,IF(N8="None",G62,IF(N7="None",0,MAX(0,G62*C62))))</f>
        <v>49.98</v>
      </c>
      <c r="J62">
        <f ca="1">IF(AND(N7="None",N8="None"),0,IF(N8="None",0,IF(N7="None",G62,MAX(0,G62-I62))))</f>
        <v>1.0200000000000031</v>
      </c>
      <c r="K62">
        <f>P5</f>
        <v>637</v>
      </c>
      <c r="L62">
        <f>P6</f>
        <v>634.3119999999999</v>
      </c>
      <c r="M62">
        <f>P7</f>
        <v>635.5</v>
      </c>
      <c r="N62">
        <f>P8</f>
        <v>631.54999999999995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-2091.5872404992097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640.05397805979817</v>
      </c>
      <c r="Q62">
        <f ca="1">L62+((ABS(H62)/MAX(((G33)+(I33)*(MAX($D$16,(L62)-(K33))))*(MAX($D$16,(L62)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AC62)-(J33))))*(MAX($D$16,(AC62)-(J33))),0.000001)),$D$9*((((ABS(H62)/MAX(((G33)+(I33)*(MAX($D$16,(L62)-(K33))))*(MAX($D$16,(L62)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L62)-(K33))))*(MAX($D$16,(L62)-(K33))),0.000001))^2)/(2*$I$5)))))+($D$10*(ABS((X33)-(W33))/90)*MAX(((ABS(H62)/MAX(((F33)+(H33)*(MAX($D$16,(AC62)-(J33))))*(MAX($D$16,(AC62)-(J33))),0.000001))^2)/(2*$I$5),((ABS(H62)/MAX(((G33)+(I33)*(MAX($D$16,(L62)-(K33))))*(MAX($D$16,(L62)-(K33))),0.000001))^2)/(2*$I$5)))+(($D$11*0.00000015*(ABS(G62)/MAX(ABS(F62),0.000001))^2*MAX(((ABS(H62)/MAX(((F33)+(H33)*(MAX($D$16,(AC62)-(J33))))*(MAX($D$16,(AC62)-(J33))),0.000001))^2)/(2*$I$5),((ABS(H62)/MAX(((G33)+(I33)*(MAX($D$16,(L62)-(K33))))*(MAX($D$16,(L62)-(K33))),0.000001))^2)/(2*$I$5))))-((ABS(H62)/MAX(((F33)+(H33)*(MAX($D$16,(AC62)-(J33))))*(MAX($D$16,(AC62)-(J33))),0.000001))^2)/(2*$I$5)</f>
        <v>634.3119999999999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-292118.81246378768</v>
      </c>
      <c r="S62">
        <f ca="1">M62+((ABS(I62)/MAX(((G34)+(I34)*(MAX($D$16,(M62)-(K34))))*(MAX($D$16,(M62)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AD62)-(J34))))*(MAX($D$16,(AD62)-(J34))),0.000001)),$D$9*((((ABS(I62)/MAX(((G34)+(I34)*(MAX($D$16,(M62)-(K34))))*(MAX($D$16,(M62)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M62)-(K34))))*(MAX($D$16,(M62)-(K34))),0.000001))^2)/(2*$I$5)))))+($D$10*(ABS((X34)-(W34))/90)*MAX(((ABS(I62)/MAX(((F34)+(H34)*(MAX($D$16,(AD62)-(J34))))*(MAX($D$16,(AD62)-(J34))),0.000001))^2)/(2*$I$5),((ABS(I62)/MAX(((G34)+(I34)*(MAX($D$16,(M62)-(K34))))*(MAX($D$16,(M62)-(K34))),0.000001))^2)/(2*$I$5)))+(0)-((ABS(I62)/MAX(((F34)+(H34)*(MAX($D$16,(AD62)-(J34))))*(MAX($D$16,(AD62)-(J34))),0.000001))^2)/(2*$I$5)</f>
        <v>635.51128720958343</v>
      </c>
      <c r="T62">
        <f ca="1">N62+((ABS(J62)/MAX(((G35)+(I35)*(MAX($D$16,(N62)-(K35))))*(MAX($D$16,(N62)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AD62)-(J35))))*(MAX($D$16,(AD62)-(J35))),0.000001)),$D$9*((((ABS(J62)/MAX(((G35)+(I35)*(MAX($D$16,(N62)-(K35))))*(MAX($D$16,(N62)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N62)-(K35))))*(MAX($D$16,(N62)-(K35))),0.000001))^2)/(2*$I$5)))))+($D$10*(ABS((X35)-(W35))/90)*MAX(((ABS(J62)/MAX(((F35)+(H35)*(MAX($D$16,(AD62)-(J35))))*(MAX($D$16,(AD62)-(J35))),0.000001))^2)/(2*$I$5),((ABS(J62)/MAX(((G35)+(I35)*(MAX($D$16,(N62)-(K35))))*(MAX($D$16,(N62)-(K35))),0.000001))^2)/(2*$I$5)))+(($D$11*0.34699541*(ABS(I62)/MAX(ABS(G62),0.000001))^2*MAX(((ABS(J62)/MAX(((F35)+(H35)*(MAX($D$16,(AD62)-(J35))))*(MAX($D$16,(AD62)-(J35))),0.000001))^2)/(2*$I$5),((ABS(J62)/MAX(((G35)+(I35)*(MAX($D$16,(N62)-(K35))))*(MAX($D$16,(N62)-(K35))),0.000001))^2)/(2*$I$5))))-((ABS(J62)/MAX(((F35)+(H35)*(MAX($D$16,(AD62)-(J35))))*(MAX($D$16,(AD62)-(J35))),0.000001))^2)/(2*$I$5)</f>
        <v>639.97429104455466</v>
      </c>
      <c r="U62">
        <f ca="1">((((G31)*(MAX($D$16,(AE62)-(K31)))^2)/2+(I31)*(MAX($D$16,(AE62)-(K31)))^3/3+(ABS(F62)^2)/($I$5*MAX(((G31)+(I31)*(MAX($D$16,(AE62)-(K31))))*(MAX($D$16,(AE62)-(K31))),0.000001)))-(IF(N6="None",((((F32)*(MAX($D$16,(AE62)-(J32)))^2)/2+(H32)*(MAX($D$16,(AE62)-(J32)))^3/3+(ABS(G62)^2)/($I$5*MAX(((F32)+(H32)*(MAX($D$16,(AE62)-(J32))))*(MAX($D$16,(AE62)-(J32))),0.000001)))*0.72785025),(((((F32)*(MAX($D$16,(AE62)-(J32)))^2)/2+(H32)*(MAX($D$16,(AE62)-(J32)))^3/3+(ABS(G62)^2)/($I$5*MAX(((F32)+(H32)*(MAX($D$16,(AE62)-(J32))))*(MAX($D$16,(AE62)-(J32))),0.000001)))*0.72785025)+((((F33)*(MAX($D$16,(AE62)-(J33)))^2)/2+(H33)*(MAX($D$16,(AE62)-(J33)))^3/3+(ABS(H62)^2)/($I$5*MAX(((F33)+(H33)*(MAX($D$16,(AE62)-(J33))))*(MAX($D$16,(AE62)-(J33))),0.000001)))*0.99999971)))))/MAX(((G31)*(MAX($D$16,(AE62)-(K31)))^2)/2+(I31)*(MAX($D$16,(AE62)-(K31)))^3/3+(ABS(F62)^2)/($I$5*MAX(((G31)+(I31)*(MAX($D$16,(AE62)-(K31))))*(MAX($D$16,(AE62)-(K31))),0.000001)),0.000001)</f>
        <v>0.27214975000000002</v>
      </c>
      <c r="V62">
        <f ca="1">((((G32)*(MAX($D$16,(AF62)-(K32)))^2)/2+(I32)*(MAX($D$16,(AF62)-(K32)))^3/3+(ABS(G62)^2)/($I$5*MAX(((G32)+(I32)*(MAX($D$16,(AF62)-(K32))))*(MAX($D$16,(AF62)-(K32))),0.000001)))-(IF(AND(N7="None",N8="None"),0,IF(N8="None",((((F34)*(MAX($D$16,(AF62)-(J34)))^2)/2+(H34)*(MAX($D$16,(AF62)-(J34)))^3/3+(ABS(I62)^2)/($I$5*MAX(((F34)+(H34)*(MAX($D$16,(AF62)-(J34))))*(MAX($D$16,(AF62)-(J34))),0.000001)))*1),IF(N7="None",((((F35)*(MAX($D$16,(AF62)-(J35)))^2)/2+(H35)*(MAX($D$16,(AF62)-(J35)))^3/3+(ABS(J62)^2)/($I$5*MAX(((F35)+(H35)*(MAX($D$16,(AF62)-(J35))))*(MAX($D$16,(AF62)-(J35))),0.000001)))*0.30600918),(((((F34)*(MAX($D$16,(AF62)-(J34)))^2)/2+(H34)*(MAX($D$16,(AF62)-(J34)))^3/3+(ABS(I62)^2)/($I$5*MAX(((F34)+(H34)*(MAX($D$16,(AF62)-(J34))))*(MAX($D$16,(AF62)-(J34))),0.000001)))*1)+((((F35)*(MAX($D$16,(AF62)-(J35)))^2)/2+(H35)*(MAX($D$16,(AF62)-(J35)))^3/3+(ABS(J62)^2)/($I$5*MAX(((F35)+(H35)*(MAX($D$16,(AF62)-(J35))))*(MAX($D$16,(AF62)-(J35))),0.000001)))*0.30600918)))))))/MAX(((G32)*(MAX($D$16,(AF62)-(K32)))^2)/2+(I32)*(MAX($D$16,(AF62)-(K32)))^3/3+(ABS(G62)^2)/($I$5*MAX(((G32)+(I32)*(MAX($D$16,(AF62)-(K32))))*(MAX($D$16,(AF62)-(K32))),0.000001)),0.000001)</f>
        <v>3.904177561081449E-2</v>
      </c>
      <c r="W62">
        <f ca="1">ABS((IF(N6="None",P62,MAX(P62,Q62)))-D62)</f>
        <v>5.3093331274800448</v>
      </c>
      <c r="X62">
        <f ca="1">ABS((IF(AND(N7="None",N8="None"),E62,IF(N8="None",S62,IF(N7="None",T62,MAX(S62,T62)))))-E62)</f>
        <v>7.3006347662701501</v>
      </c>
      <c r="Y62">
        <f>IF(N6="None",1,MIN(0.98,MAX(0.02,B62+$D$14*((Q62-P62)/MAX(ABS(D62),1)))))</f>
        <v>1</v>
      </c>
      <c r="Z62">
        <f ca="1">IF(AND(N7="None",N8="None"),C62,IF(N8="None",1,IF(N7="None",0,MIN(0.98,MAX(0.02,C62+$D$14*((T62-S62)/MAX(ABS(E62),1)))))))</f>
        <v>0.98</v>
      </c>
      <c r="AA62">
        <f t="shared" ca="1" si="3"/>
        <v>636.60318350659577</v>
      </c>
      <c r="AB62">
        <f t="shared" ca="1" si="4"/>
        <v>635.22921920254316</v>
      </c>
      <c r="AC62">
        <f ca="1">IF($D$20=0,D62,IF(AC62=0,(IF(N6="None",P62,MAX(P62,Q62))),IF(ABS((IF(N6="None",P62,MAX(P62,Q62)))-AC62)&lt;$D$19,AC62,MAX((K31)+$D$16,AC62+$D$13*(((IF(N6="None",P62,MAX(P62,Q62)))-AC62))))))</f>
        <v>640.05475514453997</v>
      </c>
      <c r="AD62">
        <f ca="1">IF($D$20=0,E62,IF(AD62=0,(IF(AND(N7="None",N8="None"),E62,IF(N8="None",S62,IF(N7="None",T62,MAX(S62,T62))))),IF(ABS((IF(AND(N7="None",N8="None"),E62,IF(N8="None",S62,IF(N7="None",T62,MAX(S62,T62)))))-AD62)&lt;$D$19,AD62,MAX((K32)+$D$16,AD62+$D$13*(((IF(AND(N7="None",N8="None"),E62,IF(N8="None",S62,IF(N7="None",T62,MAX(S62,T62)))))-AD62))))))</f>
        <v>639.97526463330917</v>
      </c>
      <c r="AE62">
        <f ca="1">IF($D$20=0,D62,IF(AE62=0,O62,IF(ABS(U62)&lt;$D$19,AE62,MAX((K31)+$D$16,AE62+($D$13*(((O62)-AE62)+(U62*MAX(ABS(AE62-(K31)),1))))))))</f>
        <v>634.34799999999996</v>
      </c>
      <c r="AF62">
        <f ca="1">IF($D$20=0,E62,IF(AF62=0,R62,IF(ABS(V62)&lt;$D$19,AF62,MAX((K32)+$D$16,AF62+($D$13*(((R62)-AF62)+(V62*MAX(ABS(AF62-(K32)),1))))))))</f>
        <v>631.92499999999995</v>
      </c>
      <c r="AG62">
        <f ca="1">((G31)*(MAX($D$16,(AC62)-(K31)))^2)/2+(I31)*(MAX($D$16,(AC62)-(K31)))^3/3+(ABS(F62)^2)/($I$5*MAX(((G31)+(I31)*(MAX($D$16,(AC62)-(K31))))*(MAX($D$16,(AC62)-(K31))),0.000001))</f>
        <v>115.68980551184316</v>
      </c>
      <c r="AH62">
        <f ca="1">((G31)*(MAX($D$16,(AE62)-(K31)))^2)/2+(I31)*(MAX($D$16,(AE62)-(K31)))^3/3+(ABS(F62)^2)/($I$5*MAX(((G31)+(I31)*(MAX($D$16,(AE62)-(K31))))*(MAX($D$16,(AE62)-(K31))),0.000001))</f>
        <v>808.60110594434002</v>
      </c>
      <c r="AI62">
        <f ca="1">((G32)*(MAX($D$16,(AD62)-(K32)))^2)/2+(I32)*(MAX($D$16,(AD62)-(K32)))^3/3+(ABS(G62)^2)/($I$5*MAX(((G32)+(I32)*(MAX($D$16,(AD62)-(K32))))*(MAX($D$16,(AD62)-(K32))),0.000001))</f>
        <v>338.03683729018678</v>
      </c>
      <c r="AJ62">
        <f ca="1">((G32)*(MAX($D$16,(AF62)-(K32)))^2)/2+(I32)*(MAX($D$16,(AF62)-(K32)))^3/3+(ABS(G62)^2)/($I$5*MAX(((G32)+(I32)*(MAX($D$16,(AF62)-(K32))))*(MAX($D$16,(AF62)-(K32))),0.000001))</f>
        <v>519.58480272613974</v>
      </c>
      <c r="AK62" t="str">
        <f t="shared" ca="1" si="5"/>
        <v>Supercritical</v>
      </c>
      <c r="AL62" t="str">
        <f t="shared" ca="1" si="6"/>
        <v>Supercritical</v>
      </c>
      <c r="AM62">
        <f t="shared" ca="1" si="7"/>
        <v>634.6058192060068</v>
      </c>
      <c r="AN62">
        <f t="shared" ca="1" si="8"/>
        <v>632.4116265808849</v>
      </c>
      <c r="AO62">
        <f t="shared" ca="1" si="9"/>
        <v>0.39664493231816778</v>
      </c>
      <c r="AP62">
        <f t="shared" ca="1" si="10"/>
        <v>0.74865627828455672</v>
      </c>
    </row>
    <row r="63" spans="1:42" x14ac:dyDescent="0.35">
      <c r="A63">
        <v>20</v>
      </c>
      <c r="B63">
        <f t="shared" si="11"/>
        <v>1</v>
      </c>
      <c r="C63">
        <f t="shared" ca="1" si="12"/>
        <v>0.98</v>
      </c>
      <c r="D63">
        <f t="shared" ca="1" si="13"/>
        <v>634.6058192060068</v>
      </c>
      <c r="E63">
        <f t="shared" ca="1" si="14"/>
        <v>632.4116265808849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 ca="1">IF(AND(N7="None",N8="None"),0,IF(N8="None",G63,IF(N7="None",0,MAX(0,G63*C63))))</f>
        <v>49.98</v>
      </c>
      <c r="J63">
        <f ca="1">IF(AND(N7="None",N8="None"),0,IF(N8="None",0,IF(N7="None",G63,MAX(0,G63-I63))))</f>
        <v>1.0200000000000031</v>
      </c>
      <c r="K63">
        <f>P5</f>
        <v>637</v>
      </c>
      <c r="L63">
        <f>P6</f>
        <v>634.3119999999999</v>
      </c>
      <c r="M63">
        <f>P7</f>
        <v>635.5</v>
      </c>
      <c r="N63">
        <f>P8</f>
        <v>631.54999999999995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-2091.5872404992097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640.05397805979817</v>
      </c>
      <c r="Q63">
        <f ca="1">L63+((ABS(H63)/MAX(((G33)+(I33)*(MAX($D$16,(L63)-(K33))))*(MAX($D$16,(L63)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AC63)-(J33))))*(MAX($D$16,(AC63)-(J33))),0.000001)),$D$9*((((ABS(H63)/MAX(((G33)+(I33)*(MAX($D$16,(L63)-(K33))))*(MAX($D$16,(L63)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L63)-(K33))))*(MAX($D$16,(L63)-(K33))),0.000001))^2)/(2*$I$5)))))+($D$10*(ABS((X33)-(W33))/90)*MAX(((ABS(H63)/MAX(((F33)+(H33)*(MAX($D$16,(AC63)-(J33))))*(MAX($D$16,(AC63)-(J33))),0.000001))^2)/(2*$I$5),((ABS(H63)/MAX(((G33)+(I33)*(MAX($D$16,(L63)-(K33))))*(MAX($D$16,(L63)-(K33))),0.000001))^2)/(2*$I$5)))+(($D$11*0.00000015*(ABS(G63)/MAX(ABS(F63),0.000001))^2*MAX(((ABS(H63)/MAX(((F33)+(H33)*(MAX($D$16,(AC63)-(J33))))*(MAX($D$16,(AC63)-(J33))),0.000001))^2)/(2*$I$5),((ABS(H63)/MAX(((G33)+(I33)*(MAX($D$16,(L63)-(K33))))*(MAX($D$16,(L63)-(K33))),0.000001))^2)/(2*$I$5))))-((ABS(H63)/MAX(((F33)+(H33)*(MAX($D$16,(AC63)-(J33))))*(MAX($D$16,(AC63)-(J33))),0.000001))^2)/(2*$I$5)</f>
        <v>634.3119999999999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-292118.81246378768</v>
      </c>
      <c r="S63">
        <f ca="1">M63+((ABS(I63)/MAX(((G34)+(I34)*(MAX($D$16,(M63)-(K34))))*(MAX($D$16,(M63)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AD63)-(J34))))*(MAX($D$16,(AD63)-(J34))),0.000001)),$D$9*((((ABS(I63)/MAX(((G34)+(I34)*(MAX($D$16,(M63)-(K34))))*(MAX($D$16,(M63)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M63)-(K34))))*(MAX($D$16,(M63)-(K34))),0.000001))^2)/(2*$I$5)))))+($D$10*(ABS((X34)-(W34))/90)*MAX(((ABS(I63)/MAX(((F34)+(H34)*(MAX($D$16,(AD63)-(J34))))*(MAX($D$16,(AD63)-(J34))),0.000001))^2)/(2*$I$5),((ABS(I63)/MAX(((G34)+(I34)*(MAX($D$16,(M63)-(K34))))*(MAX($D$16,(M63)-(K34))),0.000001))^2)/(2*$I$5)))+(0)-((ABS(I63)/MAX(((F34)+(H34)*(MAX($D$16,(AD63)-(J34))))*(MAX($D$16,(AD63)-(J34))),0.000001))^2)/(2*$I$5)</f>
        <v>635.51128720958343</v>
      </c>
      <c r="T63">
        <f ca="1">N63+((ABS(J63)/MAX(((G35)+(I35)*(MAX($D$16,(N63)-(K35))))*(MAX($D$16,(N63)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AD63)-(J35))))*(MAX($D$16,(AD63)-(J35))),0.000001)),$D$9*((((ABS(J63)/MAX(((G35)+(I35)*(MAX($D$16,(N63)-(K35))))*(MAX($D$16,(N63)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N63)-(K35))))*(MAX($D$16,(N63)-(K35))),0.000001))^2)/(2*$I$5)))))+($D$10*(ABS((X35)-(W35))/90)*MAX(((ABS(J63)/MAX(((F35)+(H35)*(MAX($D$16,(AD63)-(J35))))*(MAX($D$16,(AD63)-(J35))),0.000001))^2)/(2*$I$5),((ABS(J63)/MAX(((G35)+(I35)*(MAX($D$16,(N63)-(K35))))*(MAX($D$16,(N63)-(K35))),0.000001))^2)/(2*$I$5)))+(($D$11*0.34699541*(ABS(I63)/MAX(ABS(G63),0.000001))^2*MAX(((ABS(J63)/MAX(((F35)+(H35)*(MAX($D$16,(AD63)-(J35))))*(MAX($D$16,(AD63)-(J35))),0.000001))^2)/(2*$I$5),((ABS(J63)/MAX(((G35)+(I35)*(MAX($D$16,(N63)-(K35))))*(MAX($D$16,(N63)-(K35))),0.000001))^2)/(2*$I$5))))-((ABS(J63)/MAX(((F35)+(H35)*(MAX($D$16,(AD63)-(J35))))*(MAX($D$16,(AD63)-(J35))),0.000001))^2)/(2*$I$5)</f>
        <v>639.97429104455466</v>
      </c>
      <c r="U63">
        <f ca="1">((((G31)*(MAX($D$16,(AE63)-(K31)))^2)/2+(I31)*(MAX($D$16,(AE63)-(K31)))^3/3+(ABS(F63)^2)/($I$5*MAX(((G31)+(I31)*(MAX($D$16,(AE63)-(K31))))*(MAX($D$16,(AE63)-(K31))),0.000001)))-(IF(N6="None",((((F32)*(MAX($D$16,(AE63)-(J32)))^2)/2+(H32)*(MAX($D$16,(AE63)-(J32)))^3/3+(ABS(G63)^2)/($I$5*MAX(((F32)+(H32)*(MAX($D$16,(AE63)-(J32))))*(MAX($D$16,(AE63)-(J32))),0.000001)))*0.72785025),(((((F32)*(MAX($D$16,(AE63)-(J32)))^2)/2+(H32)*(MAX($D$16,(AE63)-(J32)))^3/3+(ABS(G63)^2)/($I$5*MAX(((F32)+(H32)*(MAX($D$16,(AE63)-(J32))))*(MAX($D$16,(AE63)-(J32))),0.000001)))*0.72785025)+((((F33)*(MAX($D$16,(AE63)-(J33)))^2)/2+(H33)*(MAX($D$16,(AE63)-(J33)))^3/3+(ABS(H63)^2)/($I$5*MAX(((F33)+(H33)*(MAX($D$16,(AE63)-(J33))))*(MAX($D$16,(AE63)-(J33))),0.000001)))*0.99999971)))))/MAX(((G31)*(MAX($D$16,(AE63)-(K31)))^2)/2+(I31)*(MAX($D$16,(AE63)-(K31)))^3/3+(ABS(F63)^2)/($I$5*MAX(((G31)+(I31)*(MAX($D$16,(AE63)-(K31))))*(MAX($D$16,(AE63)-(K31))),0.000001)),0.000001)</f>
        <v>0.27214975000000002</v>
      </c>
      <c r="V63">
        <f ca="1">((((G32)*(MAX($D$16,(AF63)-(K32)))^2)/2+(I32)*(MAX($D$16,(AF63)-(K32)))^3/3+(ABS(G63)^2)/($I$5*MAX(((G32)+(I32)*(MAX($D$16,(AF63)-(K32))))*(MAX($D$16,(AF63)-(K32))),0.000001)))-(IF(AND(N7="None",N8="None"),0,IF(N8="None",((((F34)*(MAX($D$16,(AF63)-(J34)))^2)/2+(H34)*(MAX($D$16,(AF63)-(J34)))^3/3+(ABS(I63)^2)/($I$5*MAX(((F34)+(H34)*(MAX($D$16,(AF63)-(J34))))*(MAX($D$16,(AF63)-(J34))),0.000001)))*1),IF(N7="None",((((F35)*(MAX($D$16,(AF63)-(J35)))^2)/2+(H35)*(MAX($D$16,(AF63)-(J35)))^3/3+(ABS(J63)^2)/($I$5*MAX(((F35)+(H35)*(MAX($D$16,(AF63)-(J35))))*(MAX($D$16,(AF63)-(J35))),0.000001)))*0.30600918),(((((F34)*(MAX($D$16,(AF63)-(J34)))^2)/2+(H34)*(MAX($D$16,(AF63)-(J34)))^3/3+(ABS(I63)^2)/($I$5*MAX(((F34)+(H34)*(MAX($D$16,(AF63)-(J34))))*(MAX($D$16,(AF63)-(J34))),0.000001)))*1)+((((F35)*(MAX($D$16,(AF63)-(J35)))^2)/2+(H35)*(MAX($D$16,(AF63)-(J35)))^3/3+(ABS(J63)^2)/($I$5*MAX(((F35)+(H35)*(MAX($D$16,(AF63)-(J35))))*(MAX($D$16,(AF63)-(J35))),0.000001)))*0.30600918)))))))/MAX(((G32)*(MAX($D$16,(AF63)-(K32)))^2)/2+(I32)*(MAX($D$16,(AF63)-(K32)))^3/3+(ABS(G63)^2)/($I$5*MAX(((G32)+(I32)*(MAX($D$16,(AF63)-(K32))))*(MAX($D$16,(AF63)-(K32))),0.000001)),0.000001)</f>
        <v>3.904177561081449E-2</v>
      </c>
      <c r="W63">
        <f ca="1">ABS((IF(N6="None",P63,MAX(P63,Q63)))-D63)</f>
        <v>5.4481588537913694</v>
      </c>
      <c r="X63">
        <f ca="1">ABS((IF(AND(N7="None",N8="None"),E63,IF(N8="None",S63,IF(N7="None",T63,MAX(S63,T63)))))-E63)</f>
        <v>7.562664463669762</v>
      </c>
      <c r="Y63">
        <f>IF(N6="None",1,MIN(0.98,MAX(0.02,B63+$D$14*((Q63-P63)/MAX(ABS(D63),1)))))</f>
        <v>1</v>
      </c>
      <c r="Z63">
        <f ca="1">IF(AND(N7="None",N8="None"),C63,IF(N8="None",1,IF(N7="None",0,MIN(0.98,MAX(0.02,C63+$D$14*((T63-S63)/MAX(ABS(E63),1)))))))</f>
        <v>0.98</v>
      </c>
      <c r="AA63">
        <f t="shared" ca="1" si="3"/>
        <v>636.51294678449335</v>
      </c>
      <c r="AB63">
        <f t="shared" ca="1" si="4"/>
        <v>635.05889989923344</v>
      </c>
      <c r="AC63">
        <f ca="1">IF($D$20=0,D63,IF(AC63=0,(IF(N6="None",P63,MAX(P63,Q63))),IF(ABS((IF(N6="None",P63,MAX(P63,Q63)))-AC63)&lt;$D$19,AC63,MAX((K31)+$D$16,AC63+$D$13*(((IF(N6="None",P63,MAX(P63,Q63)))-AC63))))))</f>
        <v>640.05475514453997</v>
      </c>
      <c r="AD63">
        <f ca="1">IF($D$20=0,E63,IF(AD63=0,(IF(AND(N7="None",N8="None"),E63,IF(N8="None",S63,IF(N7="None",T63,MAX(S63,T63))))),IF(ABS((IF(AND(N7="None",N8="None"),E63,IF(N8="None",S63,IF(N7="None",T63,MAX(S63,T63)))))-AD63)&lt;$D$19,AD63,MAX((K32)+$D$16,AD63+$D$13*(((IF(AND(N7="None",N8="None"),E63,IF(N8="None",S63,IF(N7="None",T63,MAX(S63,T63)))))-AD63))))))</f>
        <v>639.97526463330917</v>
      </c>
      <c r="AE63">
        <f ca="1">IF($D$20=0,D63,IF(AE63=0,O63,IF(ABS(U63)&lt;$D$19,AE63,MAX((K31)+$D$16,AE63+($D$13*(((O63)-AE63)+(U63*MAX(ABS(AE63-(K31)),1))))))))</f>
        <v>634.34799999999996</v>
      </c>
      <c r="AF63">
        <f ca="1">IF($D$20=0,E63,IF(AF63=0,R63,IF(ABS(V63)&lt;$D$19,AF63,MAX((K32)+$D$16,AF63+($D$13*(((R63)-AF63)+(V63*MAX(ABS(AF63-(K32)),1))))))))</f>
        <v>631.92499999999995</v>
      </c>
      <c r="AG63">
        <f ca="1">((G31)*(MAX($D$16,(AC63)-(K31)))^2)/2+(I31)*(MAX($D$16,(AC63)-(K31)))^3/3+(ABS(F63)^2)/($I$5*MAX(((G31)+(I31)*(MAX($D$16,(AC63)-(K31))))*(MAX($D$16,(AC63)-(K31))),0.000001))</f>
        <v>115.68980551184316</v>
      </c>
      <c r="AH63">
        <f ca="1">((G31)*(MAX($D$16,(AE63)-(K31)))^2)/2+(I31)*(MAX($D$16,(AE63)-(K31)))^3/3+(ABS(F63)^2)/($I$5*MAX(((G31)+(I31)*(MAX($D$16,(AE63)-(K31))))*(MAX($D$16,(AE63)-(K31))),0.000001))</f>
        <v>808.60110594434002</v>
      </c>
      <c r="AI63">
        <f ca="1">((G32)*(MAX($D$16,(AD63)-(K32)))^2)/2+(I32)*(MAX($D$16,(AD63)-(K32)))^3/3+(ABS(G63)^2)/($I$5*MAX(((G32)+(I32)*(MAX($D$16,(AD63)-(K32))))*(MAX($D$16,(AD63)-(K32))),0.000001))</f>
        <v>338.03683729018678</v>
      </c>
      <c r="AJ63">
        <f ca="1">((G32)*(MAX($D$16,(AF63)-(K32)))^2)/2+(I32)*(MAX($D$16,(AF63)-(K32)))^3/3+(ABS(G63)^2)/($I$5*MAX(((G32)+(I32)*(MAX($D$16,(AF63)-(K32))))*(MAX($D$16,(AF63)-(K32))),0.000001))</f>
        <v>519.58480272613974</v>
      </c>
      <c r="AK63" t="str">
        <f t="shared" ca="1" si="5"/>
        <v>Supercritical</v>
      </c>
      <c r="AL63" t="str">
        <f t="shared" ca="1" si="6"/>
        <v>Supercritical</v>
      </c>
      <c r="AM63">
        <f t="shared" ca="1" si="7"/>
        <v>634.51558248390438</v>
      </c>
      <c r="AN63">
        <f t="shared" ca="1" si="8"/>
        <v>632.24130727757517</v>
      </c>
      <c r="AO63">
        <f t="shared" ca="1" si="9"/>
        <v>0.25781920600684316</v>
      </c>
      <c r="AP63">
        <f t="shared" ca="1" si="10"/>
        <v>0.48662658088494481</v>
      </c>
    </row>
    <row r="64" spans="1:42" x14ac:dyDescent="0.35">
      <c r="A64">
        <v>21</v>
      </c>
      <c r="B64">
        <f t="shared" si="11"/>
        <v>1</v>
      </c>
      <c r="C64">
        <f t="shared" ca="1" si="12"/>
        <v>0.98</v>
      </c>
      <c r="D64">
        <f t="shared" ca="1" si="13"/>
        <v>634.51558248390438</v>
      </c>
      <c r="E64">
        <f t="shared" ca="1" si="14"/>
        <v>632.24130727757517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 ca="1">IF(AND(N7="None",N8="None"),0,IF(N8="None",G64,IF(N7="None",0,MAX(0,G64*C64))))</f>
        <v>49.98</v>
      </c>
      <c r="J64">
        <f ca="1">IF(AND(N7="None",N8="None"),0,IF(N8="None",0,IF(N7="None",G64,MAX(0,G64-I64))))</f>
        <v>1.0200000000000031</v>
      </c>
      <c r="K64">
        <f>P5</f>
        <v>637</v>
      </c>
      <c r="L64">
        <f>P6</f>
        <v>634.3119999999999</v>
      </c>
      <c r="M64">
        <f>P7</f>
        <v>635.5</v>
      </c>
      <c r="N64">
        <f>P8</f>
        <v>631.54999999999995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-2091.5872404992097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640.05397805979817</v>
      </c>
      <c r="Q64">
        <f ca="1">L64+((ABS(H64)/MAX(((G33)+(I33)*(MAX($D$16,(L64)-(K33))))*(MAX($D$16,(L64)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AC64)-(J33))))*(MAX($D$16,(AC64)-(J33))),0.000001)),$D$9*((((ABS(H64)/MAX(((G33)+(I33)*(MAX($D$16,(L64)-(K33))))*(MAX($D$16,(L64)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L64)-(K33))))*(MAX($D$16,(L64)-(K33))),0.000001))^2)/(2*$I$5)))))+($D$10*(ABS((X33)-(W33))/90)*MAX(((ABS(H64)/MAX(((F33)+(H33)*(MAX($D$16,(AC64)-(J33))))*(MAX($D$16,(AC64)-(J33))),0.000001))^2)/(2*$I$5),((ABS(H64)/MAX(((G33)+(I33)*(MAX($D$16,(L64)-(K33))))*(MAX($D$16,(L64)-(K33))),0.000001))^2)/(2*$I$5)))+(($D$11*0.00000015*(ABS(G64)/MAX(ABS(F64),0.000001))^2*MAX(((ABS(H64)/MAX(((F33)+(H33)*(MAX($D$16,(AC64)-(J33))))*(MAX($D$16,(AC64)-(J33))),0.000001))^2)/(2*$I$5),((ABS(H64)/MAX(((G33)+(I33)*(MAX($D$16,(L64)-(K33))))*(MAX($D$16,(L64)-(K33))),0.000001))^2)/(2*$I$5))))-((ABS(H64)/MAX(((F33)+(H33)*(MAX($D$16,(AC64)-(J33))))*(MAX($D$16,(AC64)-(J33))),0.000001))^2)/(2*$I$5)</f>
        <v>634.3119999999999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-292118.81246378768</v>
      </c>
      <c r="S64">
        <f ca="1">M64+((ABS(I64)/MAX(((G34)+(I34)*(MAX($D$16,(M64)-(K34))))*(MAX($D$16,(M64)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AD64)-(J34))))*(MAX($D$16,(AD64)-(J34))),0.000001)),$D$9*((((ABS(I64)/MAX(((G34)+(I34)*(MAX($D$16,(M64)-(K34))))*(MAX($D$16,(M64)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M64)-(K34))))*(MAX($D$16,(M64)-(K34))),0.000001))^2)/(2*$I$5)))))+($D$10*(ABS((X34)-(W34))/90)*MAX(((ABS(I64)/MAX(((F34)+(H34)*(MAX($D$16,(AD64)-(J34))))*(MAX($D$16,(AD64)-(J34))),0.000001))^2)/(2*$I$5),((ABS(I64)/MAX(((G34)+(I34)*(MAX($D$16,(M64)-(K34))))*(MAX($D$16,(M64)-(K34))),0.000001))^2)/(2*$I$5)))+(0)-((ABS(I64)/MAX(((F34)+(H34)*(MAX($D$16,(AD64)-(J34))))*(MAX($D$16,(AD64)-(J34))),0.000001))^2)/(2*$I$5)</f>
        <v>635.51128720958343</v>
      </c>
      <c r="T64">
        <f ca="1">N64+((ABS(J64)/MAX(((G35)+(I35)*(MAX($D$16,(N64)-(K35))))*(MAX($D$16,(N64)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AD64)-(J35))))*(MAX($D$16,(AD64)-(J35))),0.000001)),$D$9*((((ABS(J64)/MAX(((G35)+(I35)*(MAX($D$16,(N64)-(K35))))*(MAX($D$16,(N64)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N64)-(K35))))*(MAX($D$16,(N64)-(K35))),0.000001))^2)/(2*$I$5)))))+($D$10*(ABS((X35)-(W35))/90)*MAX(((ABS(J64)/MAX(((F35)+(H35)*(MAX($D$16,(AD64)-(J35))))*(MAX($D$16,(AD64)-(J35))),0.000001))^2)/(2*$I$5),((ABS(J64)/MAX(((G35)+(I35)*(MAX($D$16,(N64)-(K35))))*(MAX($D$16,(N64)-(K35))),0.000001))^2)/(2*$I$5)))+(($D$11*0.34699541*(ABS(I64)/MAX(ABS(G64),0.000001))^2*MAX(((ABS(J64)/MAX(((F35)+(H35)*(MAX($D$16,(AD64)-(J35))))*(MAX($D$16,(AD64)-(J35))),0.000001))^2)/(2*$I$5),((ABS(J64)/MAX(((G35)+(I35)*(MAX($D$16,(N64)-(K35))))*(MAX($D$16,(N64)-(K35))),0.000001))^2)/(2*$I$5))))-((ABS(J64)/MAX(((F35)+(H35)*(MAX($D$16,(AD64)-(J35))))*(MAX($D$16,(AD64)-(J35))),0.000001))^2)/(2*$I$5)</f>
        <v>639.97429104455466</v>
      </c>
      <c r="U64">
        <f ca="1">((((G31)*(MAX($D$16,(AE64)-(K31)))^2)/2+(I31)*(MAX($D$16,(AE64)-(K31)))^3/3+(ABS(F64)^2)/($I$5*MAX(((G31)+(I31)*(MAX($D$16,(AE64)-(K31))))*(MAX($D$16,(AE64)-(K31))),0.000001)))-(IF(N6="None",((((F32)*(MAX($D$16,(AE64)-(J32)))^2)/2+(H32)*(MAX($D$16,(AE64)-(J32)))^3/3+(ABS(G64)^2)/($I$5*MAX(((F32)+(H32)*(MAX($D$16,(AE64)-(J32))))*(MAX($D$16,(AE64)-(J32))),0.000001)))*0.72785025),(((((F32)*(MAX($D$16,(AE64)-(J32)))^2)/2+(H32)*(MAX($D$16,(AE64)-(J32)))^3/3+(ABS(G64)^2)/($I$5*MAX(((F32)+(H32)*(MAX($D$16,(AE64)-(J32))))*(MAX($D$16,(AE64)-(J32))),0.000001)))*0.72785025)+((((F33)*(MAX($D$16,(AE64)-(J33)))^2)/2+(H33)*(MAX($D$16,(AE64)-(J33)))^3/3+(ABS(H64)^2)/($I$5*MAX(((F33)+(H33)*(MAX($D$16,(AE64)-(J33))))*(MAX($D$16,(AE64)-(J33))),0.000001)))*0.99999971)))))/MAX(((G31)*(MAX($D$16,(AE64)-(K31)))^2)/2+(I31)*(MAX($D$16,(AE64)-(K31)))^3/3+(ABS(F64)^2)/($I$5*MAX(((G31)+(I31)*(MAX($D$16,(AE64)-(K31))))*(MAX($D$16,(AE64)-(K31))),0.000001)),0.000001)</f>
        <v>0.27214975000000002</v>
      </c>
      <c r="V64">
        <f ca="1">((((G32)*(MAX($D$16,(AF64)-(K32)))^2)/2+(I32)*(MAX($D$16,(AF64)-(K32)))^3/3+(ABS(G64)^2)/($I$5*MAX(((G32)+(I32)*(MAX($D$16,(AF64)-(K32))))*(MAX($D$16,(AF64)-(K32))),0.000001)))-(IF(AND(N7="None",N8="None"),0,IF(N8="None",((((F34)*(MAX($D$16,(AF64)-(J34)))^2)/2+(H34)*(MAX($D$16,(AF64)-(J34)))^3/3+(ABS(I64)^2)/($I$5*MAX(((F34)+(H34)*(MAX($D$16,(AF64)-(J34))))*(MAX($D$16,(AF64)-(J34))),0.000001)))*1),IF(N7="None",((((F35)*(MAX($D$16,(AF64)-(J35)))^2)/2+(H35)*(MAX($D$16,(AF64)-(J35)))^3/3+(ABS(J64)^2)/($I$5*MAX(((F35)+(H35)*(MAX($D$16,(AF64)-(J35))))*(MAX($D$16,(AF64)-(J35))),0.000001)))*0.30600918),(((((F34)*(MAX($D$16,(AF64)-(J34)))^2)/2+(H34)*(MAX($D$16,(AF64)-(J34)))^3/3+(ABS(I64)^2)/($I$5*MAX(((F34)+(H34)*(MAX($D$16,(AF64)-(J34))))*(MAX($D$16,(AF64)-(J34))),0.000001)))*1)+((((F35)*(MAX($D$16,(AF64)-(J35)))^2)/2+(H35)*(MAX($D$16,(AF64)-(J35)))^3/3+(ABS(J64)^2)/($I$5*MAX(((F35)+(H35)*(MAX($D$16,(AF64)-(J35))))*(MAX($D$16,(AF64)-(J35))),0.000001)))*0.30600918)))))))/MAX(((G32)*(MAX($D$16,(AF64)-(K32)))^2)/2+(I32)*(MAX($D$16,(AF64)-(K32)))^3/3+(ABS(G64)^2)/($I$5*MAX(((G32)+(I32)*(MAX($D$16,(AF64)-(K32))))*(MAX($D$16,(AF64)-(K32))),0.000001)),0.000001)</f>
        <v>3.904177561081449E-2</v>
      </c>
      <c r="W64">
        <f ca="1">ABS((IF(N6="None",P64,MAX(P64,Q64)))-D64)</f>
        <v>5.5383955758937873</v>
      </c>
      <c r="X64">
        <f ca="1">ABS((IF(AND(N7="None",N8="None"),E64,IF(N8="None",S64,IF(N7="None",T64,MAX(S64,T64)))))-E64)</f>
        <v>7.732983766979487</v>
      </c>
      <c r="Y64">
        <f>IF(N6="None",1,MIN(0.98,MAX(0.02,B64+$D$14*((Q64-P64)/MAX(ABS(D64),1)))))</f>
        <v>1</v>
      </c>
      <c r="Z64">
        <f ca="1">IF(AND(N7="None",N8="None"),C64,IF(N8="None",1,IF(N7="None",0,MIN(0.98,MAX(0.02,C64+$D$14*((T64-S64)/MAX(ABS(E64),1)))))))</f>
        <v>0.98</v>
      </c>
      <c r="AA64">
        <f t="shared" ca="1" si="3"/>
        <v>636.45429291512687</v>
      </c>
      <c r="AB64">
        <f t="shared" ca="1" si="4"/>
        <v>634.94819235208206</v>
      </c>
      <c r="AC64">
        <f ca="1">IF($D$20=0,D64,IF(AC64=0,(IF(N6="None",P64,MAX(P64,Q64))),IF(ABS((IF(N6="None",P64,MAX(P64,Q64)))-AC64)&lt;$D$19,AC64,MAX((K31)+$D$16,AC64+$D$13*(((IF(N6="None",P64,MAX(P64,Q64)))-AC64))))))</f>
        <v>640.05475514453997</v>
      </c>
      <c r="AD64">
        <f ca="1">IF($D$20=0,E64,IF(AD64=0,(IF(AND(N7="None",N8="None"),E64,IF(N8="None",S64,IF(N7="None",T64,MAX(S64,T64))))),IF(ABS((IF(AND(N7="None",N8="None"),E64,IF(N8="None",S64,IF(N7="None",T64,MAX(S64,T64)))))-AD64)&lt;$D$19,AD64,MAX((K32)+$D$16,AD64+$D$13*(((IF(AND(N7="None",N8="None"),E64,IF(N8="None",S64,IF(N7="None",T64,MAX(S64,T64)))))-AD64))))))</f>
        <v>639.97526463330917</v>
      </c>
      <c r="AE64">
        <f ca="1">IF($D$20=0,D64,IF(AE64=0,O64,IF(ABS(U64)&lt;$D$19,AE64,MAX((K31)+$D$16,AE64+($D$13*(((O64)-AE64)+(U64*MAX(ABS(AE64-(K31)),1))))))))</f>
        <v>634.34799999999996</v>
      </c>
      <c r="AF64">
        <f ca="1">IF($D$20=0,E64,IF(AF64=0,R64,IF(ABS(V64)&lt;$D$19,AF64,MAX((K32)+$D$16,AF64+($D$13*(((R64)-AF64)+(V64*MAX(ABS(AF64-(K32)),1))))))))</f>
        <v>631.92499999999995</v>
      </c>
      <c r="AG64">
        <f ca="1">((G31)*(MAX($D$16,(AC64)-(K31)))^2)/2+(I31)*(MAX($D$16,(AC64)-(K31)))^3/3+(ABS(F64)^2)/($I$5*MAX(((G31)+(I31)*(MAX($D$16,(AC64)-(K31))))*(MAX($D$16,(AC64)-(K31))),0.000001))</f>
        <v>115.68980551184316</v>
      </c>
      <c r="AH64">
        <f ca="1">((G31)*(MAX($D$16,(AE64)-(K31)))^2)/2+(I31)*(MAX($D$16,(AE64)-(K31)))^3/3+(ABS(F64)^2)/($I$5*MAX(((G31)+(I31)*(MAX($D$16,(AE64)-(K31))))*(MAX($D$16,(AE64)-(K31))),0.000001))</f>
        <v>808.60110594434002</v>
      </c>
      <c r="AI64">
        <f ca="1">((G32)*(MAX($D$16,(AD64)-(K32)))^2)/2+(I32)*(MAX($D$16,(AD64)-(K32)))^3/3+(ABS(G64)^2)/($I$5*MAX(((G32)+(I32)*(MAX($D$16,(AD64)-(K32))))*(MAX($D$16,(AD64)-(K32))),0.000001))</f>
        <v>338.03683729018678</v>
      </c>
      <c r="AJ64">
        <f ca="1">((G32)*(MAX($D$16,(AF64)-(K32)))^2)/2+(I32)*(MAX($D$16,(AF64)-(K32)))^3/3+(ABS(G64)^2)/($I$5*MAX(((G32)+(I32)*(MAX($D$16,(AF64)-(K32))))*(MAX($D$16,(AF64)-(K32))),0.000001))</f>
        <v>519.58480272613974</v>
      </c>
      <c r="AK64" t="str">
        <f t="shared" ca="1" si="5"/>
        <v>Supercritical</v>
      </c>
      <c r="AL64" t="str">
        <f t="shared" ca="1" si="6"/>
        <v>Supercritical</v>
      </c>
      <c r="AM64">
        <f t="shared" ca="1" si="7"/>
        <v>634.45692861453779</v>
      </c>
      <c r="AN64">
        <f t="shared" ca="1" si="8"/>
        <v>632.1305997304238</v>
      </c>
      <c r="AO64">
        <f t="shared" ca="1" si="9"/>
        <v>0.16758248390442532</v>
      </c>
      <c r="AP64">
        <f t="shared" ca="1" si="10"/>
        <v>0.31630727757521981</v>
      </c>
    </row>
    <row r="65" spans="1:42" x14ac:dyDescent="0.35">
      <c r="A65">
        <v>22</v>
      </c>
      <c r="B65">
        <f t="shared" si="11"/>
        <v>1</v>
      </c>
      <c r="C65">
        <f t="shared" ca="1" si="12"/>
        <v>0.98</v>
      </c>
      <c r="D65">
        <f t="shared" ca="1" si="13"/>
        <v>634.45692861453779</v>
      </c>
      <c r="E65">
        <f t="shared" ca="1" si="14"/>
        <v>632.1305997304238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 ca="1">IF(AND(N7="None",N8="None"),0,IF(N8="None",G65,IF(N7="None",0,MAX(0,G65*C65))))</f>
        <v>49.98</v>
      </c>
      <c r="J65">
        <f ca="1">IF(AND(N7="None",N8="None"),0,IF(N8="None",0,IF(N7="None",G65,MAX(0,G65-I65))))</f>
        <v>1.0200000000000031</v>
      </c>
      <c r="K65">
        <f>P5</f>
        <v>637</v>
      </c>
      <c r="L65">
        <f>P6</f>
        <v>634.3119999999999</v>
      </c>
      <c r="M65">
        <f>P7</f>
        <v>635.5</v>
      </c>
      <c r="N65">
        <f>P8</f>
        <v>631.54999999999995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-2091.5872404992097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640.05397805979817</v>
      </c>
      <c r="Q65">
        <f ca="1">L65+((ABS(H65)/MAX(((G33)+(I33)*(MAX($D$16,(L65)-(K33))))*(MAX($D$16,(L65)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AC65)-(J33))))*(MAX($D$16,(AC65)-(J33))),0.000001)),$D$9*((((ABS(H65)/MAX(((G33)+(I33)*(MAX($D$16,(L65)-(K33))))*(MAX($D$16,(L65)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L65)-(K33))))*(MAX($D$16,(L65)-(K33))),0.000001))^2)/(2*$I$5)))))+($D$10*(ABS((X33)-(W33))/90)*MAX(((ABS(H65)/MAX(((F33)+(H33)*(MAX($D$16,(AC65)-(J33))))*(MAX($D$16,(AC65)-(J33))),0.000001))^2)/(2*$I$5),((ABS(H65)/MAX(((G33)+(I33)*(MAX($D$16,(L65)-(K33))))*(MAX($D$16,(L65)-(K33))),0.000001))^2)/(2*$I$5)))+(($D$11*0.00000015*(ABS(G65)/MAX(ABS(F65),0.000001))^2*MAX(((ABS(H65)/MAX(((F33)+(H33)*(MAX($D$16,(AC65)-(J33))))*(MAX($D$16,(AC65)-(J33))),0.000001))^2)/(2*$I$5),((ABS(H65)/MAX(((G33)+(I33)*(MAX($D$16,(L65)-(K33))))*(MAX($D$16,(L65)-(K33))),0.000001))^2)/(2*$I$5))))-((ABS(H65)/MAX(((F33)+(H33)*(MAX($D$16,(AC65)-(J33))))*(MAX($D$16,(AC65)-(J33))),0.000001))^2)/(2*$I$5)</f>
        <v>634.3119999999999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-292118.81246378768</v>
      </c>
      <c r="S65">
        <f ca="1">M65+((ABS(I65)/MAX(((G34)+(I34)*(MAX($D$16,(M65)-(K34))))*(MAX($D$16,(M65)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AD65)-(J34))))*(MAX($D$16,(AD65)-(J34))),0.000001)),$D$9*((((ABS(I65)/MAX(((G34)+(I34)*(MAX($D$16,(M65)-(K34))))*(MAX($D$16,(M65)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M65)-(K34))))*(MAX($D$16,(M65)-(K34))),0.000001))^2)/(2*$I$5)))))+($D$10*(ABS((X34)-(W34))/90)*MAX(((ABS(I65)/MAX(((F34)+(H34)*(MAX($D$16,(AD65)-(J34))))*(MAX($D$16,(AD65)-(J34))),0.000001))^2)/(2*$I$5),((ABS(I65)/MAX(((G34)+(I34)*(MAX($D$16,(M65)-(K34))))*(MAX($D$16,(M65)-(K34))),0.000001))^2)/(2*$I$5)))+(0)-((ABS(I65)/MAX(((F34)+(H34)*(MAX($D$16,(AD65)-(J34))))*(MAX($D$16,(AD65)-(J34))),0.000001))^2)/(2*$I$5)</f>
        <v>635.51128720958343</v>
      </c>
      <c r="T65">
        <f ca="1">N65+((ABS(J65)/MAX(((G35)+(I35)*(MAX($D$16,(N65)-(K35))))*(MAX($D$16,(N65)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AD65)-(J35))))*(MAX($D$16,(AD65)-(J35))),0.000001)),$D$9*((((ABS(J65)/MAX(((G35)+(I35)*(MAX($D$16,(N65)-(K35))))*(MAX($D$16,(N65)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N65)-(K35))))*(MAX($D$16,(N65)-(K35))),0.000001))^2)/(2*$I$5)))))+($D$10*(ABS((X35)-(W35))/90)*MAX(((ABS(J65)/MAX(((F35)+(H35)*(MAX($D$16,(AD65)-(J35))))*(MAX($D$16,(AD65)-(J35))),0.000001))^2)/(2*$I$5),((ABS(J65)/MAX(((G35)+(I35)*(MAX($D$16,(N65)-(K35))))*(MAX($D$16,(N65)-(K35))),0.000001))^2)/(2*$I$5)))+(($D$11*0.34699541*(ABS(I65)/MAX(ABS(G65),0.000001))^2*MAX(((ABS(J65)/MAX(((F35)+(H35)*(MAX($D$16,(AD65)-(J35))))*(MAX($D$16,(AD65)-(J35))),0.000001))^2)/(2*$I$5),((ABS(J65)/MAX(((G35)+(I35)*(MAX($D$16,(N65)-(K35))))*(MAX($D$16,(N65)-(K35))),0.000001))^2)/(2*$I$5))))-((ABS(J65)/MAX(((F35)+(H35)*(MAX($D$16,(AD65)-(J35))))*(MAX($D$16,(AD65)-(J35))),0.000001))^2)/(2*$I$5)</f>
        <v>639.97429104455466</v>
      </c>
      <c r="U65">
        <f ca="1">((((G31)*(MAX($D$16,(AE65)-(K31)))^2)/2+(I31)*(MAX($D$16,(AE65)-(K31)))^3/3+(ABS(F65)^2)/($I$5*MAX(((G31)+(I31)*(MAX($D$16,(AE65)-(K31))))*(MAX($D$16,(AE65)-(K31))),0.000001)))-(IF(N6="None",((((F32)*(MAX($D$16,(AE65)-(J32)))^2)/2+(H32)*(MAX($D$16,(AE65)-(J32)))^3/3+(ABS(G65)^2)/($I$5*MAX(((F32)+(H32)*(MAX($D$16,(AE65)-(J32))))*(MAX($D$16,(AE65)-(J32))),0.000001)))*0.72785025),(((((F32)*(MAX($D$16,(AE65)-(J32)))^2)/2+(H32)*(MAX($D$16,(AE65)-(J32)))^3/3+(ABS(G65)^2)/($I$5*MAX(((F32)+(H32)*(MAX($D$16,(AE65)-(J32))))*(MAX($D$16,(AE65)-(J32))),0.000001)))*0.72785025)+((((F33)*(MAX($D$16,(AE65)-(J33)))^2)/2+(H33)*(MAX($D$16,(AE65)-(J33)))^3/3+(ABS(H65)^2)/($I$5*MAX(((F33)+(H33)*(MAX($D$16,(AE65)-(J33))))*(MAX($D$16,(AE65)-(J33))),0.000001)))*0.99999971)))))/MAX(((G31)*(MAX($D$16,(AE65)-(K31)))^2)/2+(I31)*(MAX($D$16,(AE65)-(K31)))^3/3+(ABS(F65)^2)/($I$5*MAX(((G31)+(I31)*(MAX($D$16,(AE65)-(K31))))*(MAX($D$16,(AE65)-(K31))),0.000001)),0.000001)</f>
        <v>0.27214975000000002</v>
      </c>
      <c r="V65">
        <f ca="1">((((G32)*(MAX($D$16,(AF65)-(K32)))^2)/2+(I32)*(MAX($D$16,(AF65)-(K32)))^3/3+(ABS(G65)^2)/($I$5*MAX(((G32)+(I32)*(MAX($D$16,(AF65)-(K32))))*(MAX($D$16,(AF65)-(K32))),0.000001)))-(IF(AND(N7="None",N8="None"),0,IF(N8="None",((((F34)*(MAX($D$16,(AF65)-(J34)))^2)/2+(H34)*(MAX($D$16,(AF65)-(J34)))^3/3+(ABS(I65)^2)/($I$5*MAX(((F34)+(H34)*(MAX($D$16,(AF65)-(J34))))*(MAX($D$16,(AF65)-(J34))),0.000001)))*1),IF(N7="None",((((F35)*(MAX($D$16,(AF65)-(J35)))^2)/2+(H35)*(MAX($D$16,(AF65)-(J35)))^3/3+(ABS(J65)^2)/($I$5*MAX(((F35)+(H35)*(MAX($D$16,(AF65)-(J35))))*(MAX($D$16,(AF65)-(J35))),0.000001)))*0.30600918),(((((F34)*(MAX($D$16,(AF65)-(J34)))^2)/2+(H34)*(MAX($D$16,(AF65)-(J34)))^3/3+(ABS(I65)^2)/($I$5*MAX(((F34)+(H34)*(MAX($D$16,(AF65)-(J34))))*(MAX($D$16,(AF65)-(J34))),0.000001)))*1)+((((F35)*(MAX($D$16,(AF65)-(J35)))^2)/2+(H35)*(MAX($D$16,(AF65)-(J35)))^3/3+(ABS(J65)^2)/($I$5*MAX(((F35)+(H35)*(MAX($D$16,(AF65)-(J35))))*(MAX($D$16,(AF65)-(J35))),0.000001)))*0.30600918)))))))/MAX(((G32)*(MAX($D$16,(AF65)-(K32)))^2)/2+(I32)*(MAX($D$16,(AF65)-(K32)))^3/3+(ABS(G65)^2)/($I$5*MAX(((G32)+(I32)*(MAX($D$16,(AF65)-(K32))))*(MAX($D$16,(AF65)-(K32))),0.000001)),0.000001)</f>
        <v>3.904177561081449E-2</v>
      </c>
      <c r="W65">
        <f ca="1">ABS((IF(N6="None",P65,MAX(P65,Q65)))-D65)</f>
        <v>5.5970494452603816</v>
      </c>
      <c r="X65">
        <f ca="1">ABS((IF(AND(N7="None",N8="None"),E65,IF(N8="None",S65,IF(N7="None",T65,MAX(S65,T65)))))-E65)</f>
        <v>7.8436913141308651</v>
      </c>
      <c r="Y65">
        <f>IF(N6="None",1,MIN(0.98,MAX(0.02,B65+$D$14*((Q65-P65)/MAX(ABS(D65),1)))))</f>
        <v>1</v>
      </c>
      <c r="Z65">
        <f ca="1">IF(AND(N7="None",N8="None"),C65,IF(N8="None",1,IF(N7="None",0,MIN(0.98,MAX(0.02,C65+$D$14*((T65-S65)/MAX(ABS(E65),1)))))))</f>
        <v>0.98</v>
      </c>
      <c r="AA65">
        <f t="shared" ca="1" si="3"/>
        <v>636.41616790003854</v>
      </c>
      <c r="AB65">
        <f t="shared" ca="1" si="4"/>
        <v>634.87623244643373</v>
      </c>
      <c r="AC65">
        <f ca="1">IF($D$20=0,D65,IF(AC65=0,(IF(N6="None",P65,MAX(P65,Q65))),IF(ABS((IF(N6="None",P65,MAX(P65,Q65)))-AC65)&lt;$D$19,AC65,MAX((K31)+$D$16,AC65+$D$13*(((IF(N6="None",P65,MAX(P65,Q65)))-AC65))))))</f>
        <v>640.05475514453997</v>
      </c>
      <c r="AD65">
        <f ca="1">IF($D$20=0,E65,IF(AD65=0,(IF(AND(N7="None",N8="None"),E65,IF(N8="None",S65,IF(N7="None",T65,MAX(S65,T65))))),IF(ABS((IF(AND(N7="None",N8="None"),E65,IF(N8="None",S65,IF(N7="None",T65,MAX(S65,T65)))))-AD65)&lt;$D$19,AD65,MAX((K32)+$D$16,AD65+$D$13*(((IF(AND(N7="None",N8="None"),E65,IF(N8="None",S65,IF(N7="None",T65,MAX(S65,T65)))))-AD65))))))</f>
        <v>639.97526463330917</v>
      </c>
      <c r="AE65">
        <f ca="1">IF($D$20=0,D65,IF(AE65=0,O65,IF(ABS(U65)&lt;$D$19,AE65,MAX((K31)+$D$16,AE65+($D$13*(((O65)-AE65)+(U65*MAX(ABS(AE65-(K31)),1))))))))</f>
        <v>634.34799999999996</v>
      </c>
      <c r="AF65">
        <f ca="1">IF($D$20=0,E65,IF(AF65=0,R65,IF(ABS(V65)&lt;$D$19,AF65,MAX((K32)+$D$16,AF65+($D$13*(((R65)-AF65)+(V65*MAX(ABS(AF65-(K32)),1))))))))</f>
        <v>631.92499999999995</v>
      </c>
      <c r="AG65">
        <f ca="1">((G31)*(MAX($D$16,(AC65)-(K31)))^2)/2+(I31)*(MAX($D$16,(AC65)-(K31)))^3/3+(ABS(F65)^2)/($I$5*MAX(((G31)+(I31)*(MAX($D$16,(AC65)-(K31))))*(MAX($D$16,(AC65)-(K31))),0.000001))</f>
        <v>115.68980551184316</v>
      </c>
      <c r="AH65">
        <f ca="1">((G31)*(MAX($D$16,(AE65)-(K31)))^2)/2+(I31)*(MAX($D$16,(AE65)-(K31)))^3/3+(ABS(F65)^2)/($I$5*MAX(((G31)+(I31)*(MAX($D$16,(AE65)-(K31))))*(MAX($D$16,(AE65)-(K31))),0.000001))</f>
        <v>808.60110594434002</v>
      </c>
      <c r="AI65">
        <f ca="1">((G32)*(MAX($D$16,(AD65)-(K32)))^2)/2+(I32)*(MAX($D$16,(AD65)-(K32)))^3/3+(ABS(G65)^2)/($I$5*MAX(((G32)+(I32)*(MAX($D$16,(AD65)-(K32))))*(MAX($D$16,(AD65)-(K32))),0.000001))</f>
        <v>338.03683729018678</v>
      </c>
      <c r="AJ65">
        <f ca="1">((G32)*(MAX($D$16,(AF65)-(K32)))^2)/2+(I32)*(MAX($D$16,(AF65)-(K32)))^3/3+(ABS(G65)^2)/($I$5*MAX(((G32)+(I32)*(MAX($D$16,(AF65)-(K32))))*(MAX($D$16,(AF65)-(K32))),0.000001))</f>
        <v>519.58480272613974</v>
      </c>
      <c r="AK65" t="str">
        <f t="shared" ca="1" si="5"/>
        <v>Supercritical</v>
      </c>
      <c r="AL65" t="str">
        <f t="shared" ca="1" si="6"/>
        <v>Supercritical</v>
      </c>
      <c r="AM65">
        <f t="shared" ca="1" si="7"/>
        <v>634.41880359944957</v>
      </c>
      <c r="AN65">
        <f t="shared" ca="1" si="8"/>
        <v>632.05863982477547</v>
      </c>
      <c r="AO65">
        <f t="shared" ca="1" si="9"/>
        <v>0.10892861453783098</v>
      </c>
      <c r="AP65">
        <f t="shared" ca="1" si="10"/>
        <v>0.20559973042384172</v>
      </c>
    </row>
    <row r="66" spans="1:42" x14ac:dyDescent="0.35">
      <c r="A66">
        <v>23</v>
      </c>
      <c r="B66">
        <f t="shared" si="11"/>
        <v>1</v>
      </c>
      <c r="C66">
        <f t="shared" ca="1" si="12"/>
        <v>0.98</v>
      </c>
      <c r="D66">
        <f t="shared" ca="1" si="13"/>
        <v>634.41880359944957</v>
      </c>
      <c r="E66">
        <f t="shared" ca="1" si="14"/>
        <v>632.05863982477547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 ca="1">IF(AND(N7="None",N8="None"),0,IF(N8="None",G66,IF(N7="None",0,MAX(0,G66*C66))))</f>
        <v>49.98</v>
      </c>
      <c r="J66">
        <f ca="1">IF(AND(N7="None",N8="None"),0,IF(N8="None",0,IF(N7="None",G66,MAX(0,G66-I66))))</f>
        <v>1.0200000000000031</v>
      </c>
      <c r="K66">
        <f>P5</f>
        <v>637</v>
      </c>
      <c r="L66">
        <f>P6</f>
        <v>634.3119999999999</v>
      </c>
      <c r="M66">
        <f>P7</f>
        <v>635.5</v>
      </c>
      <c r="N66">
        <f>P8</f>
        <v>631.54999999999995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-2091.5872404992097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640.05397805979817</v>
      </c>
      <c r="Q66">
        <f ca="1">L66+((ABS(H66)/MAX(((G33)+(I33)*(MAX($D$16,(L66)-(K33))))*(MAX($D$16,(L66)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AC66)-(J33))))*(MAX($D$16,(AC66)-(J33))),0.000001)),$D$9*((((ABS(H66)/MAX(((G33)+(I33)*(MAX($D$16,(L66)-(K33))))*(MAX($D$16,(L66)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L66)-(K33))))*(MAX($D$16,(L66)-(K33))),0.000001))^2)/(2*$I$5)))))+($D$10*(ABS((X33)-(W33))/90)*MAX(((ABS(H66)/MAX(((F33)+(H33)*(MAX($D$16,(AC66)-(J33))))*(MAX($D$16,(AC66)-(J33))),0.000001))^2)/(2*$I$5),((ABS(H66)/MAX(((G33)+(I33)*(MAX($D$16,(L66)-(K33))))*(MAX($D$16,(L66)-(K33))),0.000001))^2)/(2*$I$5)))+(($D$11*0.00000015*(ABS(G66)/MAX(ABS(F66),0.000001))^2*MAX(((ABS(H66)/MAX(((F33)+(H33)*(MAX($D$16,(AC66)-(J33))))*(MAX($D$16,(AC66)-(J33))),0.000001))^2)/(2*$I$5),((ABS(H66)/MAX(((G33)+(I33)*(MAX($D$16,(L66)-(K33))))*(MAX($D$16,(L66)-(K33))),0.000001))^2)/(2*$I$5))))-((ABS(H66)/MAX(((F33)+(H33)*(MAX($D$16,(AC66)-(J33))))*(MAX($D$16,(AC66)-(J33))),0.000001))^2)/(2*$I$5)</f>
        <v>634.3119999999999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-292118.81246378768</v>
      </c>
      <c r="S66">
        <f ca="1">M66+((ABS(I66)/MAX(((G34)+(I34)*(MAX($D$16,(M66)-(K34))))*(MAX($D$16,(M66)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AD66)-(J34))))*(MAX($D$16,(AD66)-(J34))),0.000001)),$D$9*((((ABS(I66)/MAX(((G34)+(I34)*(MAX($D$16,(M66)-(K34))))*(MAX($D$16,(M66)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M66)-(K34))))*(MAX($D$16,(M66)-(K34))),0.000001))^2)/(2*$I$5)))))+($D$10*(ABS((X34)-(W34))/90)*MAX(((ABS(I66)/MAX(((F34)+(H34)*(MAX($D$16,(AD66)-(J34))))*(MAX($D$16,(AD66)-(J34))),0.000001))^2)/(2*$I$5),((ABS(I66)/MAX(((G34)+(I34)*(MAX($D$16,(M66)-(K34))))*(MAX($D$16,(M66)-(K34))),0.000001))^2)/(2*$I$5)))+(0)-((ABS(I66)/MAX(((F34)+(H34)*(MAX($D$16,(AD66)-(J34))))*(MAX($D$16,(AD66)-(J34))),0.000001))^2)/(2*$I$5)</f>
        <v>635.51128720958343</v>
      </c>
      <c r="T66">
        <f ca="1">N66+((ABS(J66)/MAX(((G35)+(I35)*(MAX($D$16,(N66)-(K35))))*(MAX($D$16,(N66)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AD66)-(J35))))*(MAX($D$16,(AD66)-(J35))),0.000001)),$D$9*((((ABS(J66)/MAX(((G35)+(I35)*(MAX($D$16,(N66)-(K35))))*(MAX($D$16,(N66)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N66)-(K35))))*(MAX($D$16,(N66)-(K35))),0.000001))^2)/(2*$I$5)))))+($D$10*(ABS((X35)-(W35))/90)*MAX(((ABS(J66)/MAX(((F35)+(H35)*(MAX($D$16,(AD66)-(J35))))*(MAX($D$16,(AD66)-(J35))),0.000001))^2)/(2*$I$5),((ABS(J66)/MAX(((G35)+(I35)*(MAX($D$16,(N66)-(K35))))*(MAX($D$16,(N66)-(K35))),0.000001))^2)/(2*$I$5)))+(($D$11*0.34699541*(ABS(I66)/MAX(ABS(G66),0.000001))^2*MAX(((ABS(J66)/MAX(((F35)+(H35)*(MAX($D$16,(AD66)-(J35))))*(MAX($D$16,(AD66)-(J35))),0.000001))^2)/(2*$I$5),((ABS(J66)/MAX(((G35)+(I35)*(MAX($D$16,(N66)-(K35))))*(MAX($D$16,(N66)-(K35))),0.000001))^2)/(2*$I$5))))-((ABS(J66)/MAX(((F35)+(H35)*(MAX($D$16,(AD66)-(J35))))*(MAX($D$16,(AD66)-(J35))),0.000001))^2)/(2*$I$5)</f>
        <v>639.97429104455466</v>
      </c>
      <c r="U66">
        <f ca="1">((((G31)*(MAX($D$16,(AE66)-(K31)))^2)/2+(I31)*(MAX($D$16,(AE66)-(K31)))^3/3+(ABS(F66)^2)/($I$5*MAX(((G31)+(I31)*(MAX($D$16,(AE66)-(K31))))*(MAX($D$16,(AE66)-(K31))),0.000001)))-(IF(N6="None",((((F32)*(MAX($D$16,(AE66)-(J32)))^2)/2+(H32)*(MAX($D$16,(AE66)-(J32)))^3/3+(ABS(G66)^2)/($I$5*MAX(((F32)+(H32)*(MAX($D$16,(AE66)-(J32))))*(MAX($D$16,(AE66)-(J32))),0.000001)))*0.72785025),(((((F32)*(MAX($D$16,(AE66)-(J32)))^2)/2+(H32)*(MAX($D$16,(AE66)-(J32)))^3/3+(ABS(G66)^2)/($I$5*MAX(((F32)+(H32)*(MAX($D$16,(AE66)-(J32))))*(MAX($D$16,(AE66)-(J32))),0.000001)))*0.72785025)+((((F33)*(MAX($D$16,(AE66)-(J33)))^2)/2+(H33)*(MAX($D$16,(AE66)-(J33)))^3/3+(ABS(H66)^2)/($I$5*MAX(((F33)+(H33)*(MAX($D$16,(AE66)-(J33))))*(MAX($D$16,(AE66)-(J33))),0.000001)))*0.99999971)))))/MAX(((G31)*(MAX($D$16,(AE66)-(K31)))^2)/2+(I31)*(MAX($D$16,(AE66)-(K31)))^3/3+(ABS(F66)^2)/($I$5*MAX(((G31)+(I31)*(MAX($D$16,(AE66)-(K31))))*(MAX($D$16,(AE66)-(K31))),0.000001)),0.000001)</f>
        <v>0.27214975000000002</v>
      </c>
      <c r="V66">
        <f ca="1">((((G32)*(MAX($D$16,(AF66)-(K32)))^2)/2+(I32)*(MAX($D$16,(AF66)-(K32)))^3/3+(ABS(G66)^2)/($I$5*MAX(((G32)+(I32)*(MAX($D$16,(AF66)-(K32))))*(MAX($D$16,(AF66)-(K32))),0.000001)))-(IF(AND(N7="None",N8="None"),0,IF(N8="None",((((F34)*(MAX($D$16,(AF66)-(J34)))^2)/2+(H34)*(MAX($D$16,(AF66)-(J34)))^3/3+(ABS(I66)^2)/($I$5*MAX(((F34)+(H34)*(MAX($D$16,(AF66)-(J34))))*(MAX($D$16,(AF66)-(J34))),0.000001)))*1),IF(N7="None",((((F35)*(MAX($D$16,(AF66)-(J35)))^2)/2+(H35)*(MAX($D$16,(AF66)-(J35)))^3/3+(ABS(J66)^2)/($I$5*MAX(((F35)+(H35)*(MAX($D$16,(AF66)-(J35))))*(MAX($D$16,(AF66)-(J35))),0.000001)))*0.30600918),(((((F34)*(MAX($D$16,(AF66)-(J34)))^2)/2+(H34)*(MAX($D$16,(AF66)-(J34)))^3/3+(ABS(I66)^2)/($I$5*MAX(((F34)+(H34)*(MAX($D$16,(AF66)-(J34))))*(MAX($D$16,(AF66)-(J34))),0.000001)))*1)+((((F35)*(MAX($D$16,(AF66)-(J35)))^2)/2+(H35)*(MAX($D$16,(AF66)-(J35)))^3/3+(ABS(J66)^2)/($I$5*MAX(((F35)+(H35)*(MAX($D$16,(AF66)-(J35))))*(MAX($D$16,(AF66)-(J35))),0.000001)))*0.30600918)))))))/MAX(((G32)*(MAX($D$16,(AF66)-(K32)))^2)/2+(I32)*(MAX($D$16,(AF66)-(K32)))^3/3+(ABS(G66)^2)/($I$5*MAX(((G32)+(I32)*(MAX($D$16,(AF66)-(K32))))*(MAX($D$16,(AF66)-(K32))),0.000001)),0.000001)</f>
        <v>3.904177561081449E-2</v>
      </c>
      <c r="W66">
        <f ca="1">ABS((IF(N6="None",P66,MAX(P66,Q66)))-D66)</f>
        <v>5.635174460348594</v>
      </c>
      <c r="X66">
        <f ca="1">ABS((IF(AND(N7="None",N8="None"),E66,IF(N8="None",S66,IF(N7="None",T66,MAX(S66,T66)))))-E66)</f>
        <v>7.9156512197791926</v>
      </c>
      <c r="Y66">
        <f>IF(N6="None",1,MIN(0.98,MAX(0.02,B66+$D$14*((Q66-P66)/MAX(ABS(D66),1)))))</f>
        <v>1</v>
      </c>
      <c r="Z66">
        <f ca="1">IF(AND(N7="None",N8="None"),C66,IF(N8="None",1,IF(N7="None",0,MIN(0.98,MAX(0.02,C66+$D$14*((T66-S66)/MAX(ABS(E66),1)))))))</f>
        <v>0.98</v>
      </c>
      <c r="AA66">
        <f t="shared" ca="1" si="3"/>
        <v>636.39138664023119</v>
      </c>
      <c r="AB66">
        <f t="shared" ca="1" si="4"/>
        <v>634.8294585077623</v>
      </c>
      <c r="AC66">
        <f ca="1">IF($D$20=0,D66,IF(AC66=0,(IF(N6="None",P66,MAX(P66,Q66))),IF(ABS((IF(N6="None",P66,MAX(P66,Q66)))-AC66)&lt;$D$19,AC66,MAX((K31)+$D$16,AC66+$D$13*(((IF(N6="None",P66,MAX(P66,Q66)))-AC66))))))</f>
        <v>640.05475514453997</v>
      </c>
      <c r="AD66">
        <f ca="1">IF($D$20=0,E66,IF(AD66=0,(IF(AND(N7="None",N8="None"),E66,IF(N8="None",S66,IF(N7="None",T66,MAX(S66,T66))))),IF(ABS((IF(AND(N7="None",N8="None"),E66,IF(N8="None",S66,IF(N7="None",T66,MAX(S66,T66)))))-AD66)&lt;$D$19,AD66,MAX((K32)+$D$16,AD66+$D$13*(((IF(AND(N7="None",N8="None"),E66,IF(N8="None",S66,IF(N7="None",T66,MAX(S66,T66)))))-AD66))))))</f>
        <v>639.97526463330917</v>
      </c>
      <c r="AE66">
        <f ca="1">IF($D$20=0,D66,IF(AE66=0,O66,IF(ABS(U66)&lt;$D$19,AE66,MAX((K31)+$D$16,AE66+($D$13*(((O66)-AE66)+(U66*MAX(ABS(AE66-(K31)),1))))))))</f>
        <v>634.34799999999996</v>
      </c>
      <c r="AF66">
        <f ca="1">IF($D$20=0,E66,IF(AF66=0,R66,IF(ABS(V66)&lt;$D$19,AF66,MAX((K32)+$D$16,AF66+($D$13*(((R66)-AF66)+(V66*MAX(ABS(AF66-(K32)),1))))))))</f>
        <v>631.92499999999995</v>
      </c>
      <c r="AG66">
        <f ca="1">((G31)*(MAX($D$16,(AC66)-(K31)))^2)/2+(I31)*(MAX($D$16,(AC66)-(K31)))^3/3+(ABS(F66)^2)/($I$5*MAX(((G31)+(I31)*(MAX($D$16,(AC66)-(K31))))*(MAX($D$16,(AC66)-(K31))),0.000001))</f>
        <v>115.68980551184316</v>
      </c>
      <c r="AH66">
        <f ca="1">((G31)*(MAX($D$16,(AE66)-(K31)))^2)/2+(I31)*(MAX($D$16,(AE66)-(K31)))^3/3+(ABS(F66)^2)/($I$5*MAX(((G31)+(I31)*(MAX($D$16,(AE66)-(K31))))*(MAX($D$16,(AE66)-(K31))),0.000001))</f>
        <v>808.60110594434002</v>
      </c>
      <c r="AI66">
        <f ca="1">((G32)*(MAX($D$16,(AD66)-(K32)))^2)/2+(I32)*(MAX($D$16,(AD66)-(K32)))^3/3+(ABS(G66)^2)/($I$5*MAX(((G32)+(I32)*(MAX($D$16,(AD66)-(K32))))*(MAX($D$16,(AD66)-(K32))),0.000001))</f>
        <v>338.03683729018678</v>
      </c>
      <c r="AJ66">
        <f ca="1">((G32)*(MAX($D$16,(AF66)-(K32)))^2)/2+(I32)*(MAX($D$16,(AF66)-(K32)))^3/3+(ABS(G66)^2)/($I$5*MAX(((G32)+(I32)*(MAX($D$16,(AF66)-(K32))))*(MAX($D$16,(AF66)-(K32))),0.000001))</f>
        <v>519.58480272613974</v>
      </c>
      <c r="AK66" t="str">
        <f t="shared" ca="1" si="5"/>
        <v>Supercritical</v>
      </c>
      <c r="AL66" t="str">
        <f t="shared" ca="1" si="6"/>
        <v>Supercritical</v>
      </c>
      <c r="AM66">
        <f t="shared" ca="1" si="7"/>
        <v>634.39402233964222</v>
      </c>
      <c r="AN66">
        <f t="shared" ca="1" si="8"/>
        <v>632.01186588610403</v>
      </c>
      <c r="AO66">
        <f t="shared" ca="1" si="9"/>
        <v>7.0803599449618559E-2</v>
      </c>
      <c r="AP66">
        <f t="shared" ca="1" si="10"/>
        <v>0.13363982477551417</v>
      </c>
    </row>
    <row r="67" spans="1:42" x14ac:dyDescent="0.35">
      <c r="A67">
        <v>24</v>
      </c>
      <c r="B67">
        <f t="shared" si="11"/>
        <v>1</v>
      </c>
      <c r="C67">
        <f t="shared" ca="1" si="12"/>
        <v>0.98</v>
      </c>
      <c r="D67">
        <f t="shared" ca="1" si="13"/>
        <v>634.39402233964222</v>
      </c>
      <c r="E67">
        <f t="shared" ca="1" si="14"/>
        <v>632.01186588610403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 ca="1">IF(AND(N7="None",N8="None"),0,IF(N8="None",G67,IF(N7="None",0,MAX(0,G67*C67))))</f>
        <v>49.98</v>
      </c>
      <c r="J67">
        <f ca="1">IF(AND(N7="None",N8="None"),0,IF(N8="None",0,IF(N7="None",G67,MAX(0,G67-I67))))</f>
        <v>1.0200000000000031</v>
      </c>
      <c r="K67">
        <f>P5</f>
        <v>637</v>
      </c>
      <c r="L67">
        <f>P6</f>
        <v>634.3119999999999</v>
      </c>
      <c r="M67">
        <f>P7</f>
        <v>635.5</v>
      </c>
      <c r="N67">
        <f>P8</f>
        <v>631.54999999999995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-2091.5872404992097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640.05397805979817</v>
      </c>
      <c r="Q67">
        <f ca="1">L67+((ABS(H67)/MAX(((G33)+(I33)*(MAX($D$16,(L67)-(K33))))*(MAX($D$16,(L67)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AC67)-(J33))))*(MAX($D$16,(AC67)-(J33))),0.000001)),$D$9*((((ABS(H67)/MAX(((G33)+(I33)*(MAX($D$16,(L67)-(K33))))*(MAX($D$16,(L67)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L67)-(K33))))*(MAX($D$16,(L67)-(K33))),0.000001))^2)/(2*$I$5)))))+($D$10*(ABS((X33)-(W33))/90)*MAX(((ABS(H67)/MAX(((F33)+(H33)*(MAX($D$16,(AC67)-(J33))))*(MAX($D$16,(AC67)-(J33))),0.000001))^2)/(2*$I$5),((ABS(H67)/MAX(((G33)+(I33)*(MAX($D$16,(L67)-(K33))))*(MAX($D$16,(L67)-(K33))),0.000001))^2)/(2*$I$5)))+(($D$11*0.00000015*(ABS(G67)/MAX(ABS(F67),0.000001))^2*MAX(((ABS(H67)/MAX(((F33)+(H33)*(MAX($D$16,(AC67)-(J33))))*(MAX($D$16,(AC67)-(J33))),0.000001))^2)/(2*$I$5),((ABS(H67)/MAX(((G33)+(I33)*(MAX($D$16,(L67)-(K33))))*(MAX($D$16,(L67)-(K33))),0.000001))^2)/(2*$I$5))))-((ABS(H67)/MAX(((F33)+(H33)*(MAX($D$16,(AC67)-(J33))))*(MAX($D$16,(AC67)-(J33))),0.000001))^2)/(2*$I$5)</f>
        <v>634.3119999999999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-292118.81246378768</v>
      </c>
      <c r="S67">
        <f ca="1">M67+((ABS(I67)/MAX(((G34)+(I34)*(MAX($D$16,(M67)-(K34))))*(MAX($D$16,(M67)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AD67)-(J34))))*(MAX($D$16,(AD67)-(J34))),0.000001)),$D$9*((((ABS(I67)/MAX(((G34)+(I34)*(MAX($D$16,(M67)-(K34))))*(MAX($D$16,(M67)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M67)-(K34))))*(MAX($D$16,(M67)-(K34))),0.000001))^2)/(2*$I$5)))))+($D$10*(ABS((X34)-(W34))/90)*MAX(((ABS(I67)/MAX(((F34)+(H34)*(MAX($D$16,(AD67)-(J34))))*(MAX($D$16,(AD67)-(J34))),0.000001))^2)/(2*$I$5),((ABS(I67)/MAX(((G34)+(I34)*(MAX($D$16,(M67)-(K34))))*(MAX($D$16,(M67)-(K34))),0.000001))^2)/(2*$I$5)))+(0)-((ABS(I67)/MAX(((F34)+(H34)*(MAX($D$16,(AD67)-(J34))))*(MAX($D$16,(AD67)-(J34))),0.000001))^2)/(2*$I$5)</f>
        <v>635.51128720958343</v>
      </c>
      <c r="T67">
        <f ca="1">N67+((ABS(J67)/MAX(((G35)+(I35)*(MAX($D$16,(N67)-(K35))))*(MAX($D$16,(N67)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AD67)-(J35))))*(MAX($D$16,(AD67)-(J35))),0.000001)),$D$9*((((ABS(J67)/MAX(((G35)+(I35)*(MAX($D$16,(N67)-(K35))))*(MAX($D$16,(N67)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N67)-(K35))))*(MAX($D$16,(N67)-(K35))),0.000001))^2)/(2*$I$5)))))+($D$10*(ABS((X35)-(W35))/90)*MAX(((ABS(J67)/MAX(((F35)+(H35)*(MAX($D$16,(AD67)-(J35))))*(MAX($D$16,(AD67)-(J35))),0.000001))^2)/(2*$I$5),((ABS(J67)/MAX(((G35)+(I35)*(MAX($D$16,(N67)-(K35))))*(MAX($D$16,(N67)-(K35))),0.000001))^2)/(2*$I$5)))+(($D$11*0.34699541*(ABS(I67)/MAX(ABS(G67),0.000001))^2*MAX(((ABS(J67)/MAX(((F35)+(H35)*(MAX($D$16,(AD67)-(J35))))*(MAX($D$16,(AD67)-(J35))),0.000001))^2)/(2*$I$5),((ABS(J67)/MAX(((G35)+(I35)*(MAX($D$16,(N67)-(K35))))*(MAX($D$16,(N67)-(K35))),0.000001))^2)/(2*$I$5))))-((ABS(J67)/MAX(((F35)+(H35)*(MAX($D$16,(AD67)-(J35))))*(MAX($D$16,(AD67)-(J35))),0.000001))^2)/(2*$I$5)</f>
        <v>639.97429104455466</v>
      </c>
      <c r="U67">
        <f ca="1">((((G31)*(MAX($D$16,(AE67)-(K31)))^2)/2+(I31)*(MAX($D$16,(AE67)-(K31)))^3/3+(ABS(F67)^2)/($I$5*MAX(((G31)+(I31)*(MAX($D$16,(AE67)-(K31))))*(MAX($D$16,(AE67)-(K31))),0.000001)))-(IF(N6="None",((((F32)*(MAX($D$16,(AE67)-(J32)))^2)/2+(H32)*(MAX($D$16,(AE67)-(J32)))^3/3+(ABS(G67)^2)/($I$5*MAX(((F32)+(H32)*(MAX($D$16,(AE67)-(J32))))*(MAX($D$16,(AE67)-(J32))),0.000001)))*0.72785025),(((((F32)*(MAX($D$16,(AE67)-(J32)))^2)/2+(H32)*(MAX($D$16,(AE67)-(J32)))^3/3+(ABS(G67)^2)/($I$5*MAX(((F32)+(H32)*(MAX($D$16,(AE67)-(J32))))*(MAX($D$16,(AE67)-(J32))),0.000001)))*0.72785025)+((((F33)*(MAX($D$16,(AE67)-(J33)))^2)/2+(H33)*(MAX($D$16,(AE67)-(J33)))^3/3+(ABS(H67)^2)/($I$5*MAX(((F33)+(H33)*(MAX($D$16,(AE67)-(J33))))*(MAX($D$16,(AE67)-(J33))),0.000001)))*0.99999971)))))/MAX(((G31)*(MAX($D$16,(AE67)-(K31)))^2)/2+(I31)*(MAX($D$16,(AE67)-(K31)))^3/3+(ABS(F67)^2)/($I$5*MAX(((G31)+(I31)*(MAX($D$16,(AE67)-(K31))))*(MAX($D$16,(AE67)-(K31))),0.000001)),0.000001)</f>
        <v>0.27214975000000002</v>
      </c>
      <c r="V67">
        <f ca="1">((((G32)*(MAX($D$16,(AF67)-(K32)))^2)/2+(I32)*(MAX($D$16,(AF67)-(K32)))^3/3+(ABS(G67)^2)/($I$5*MAX(((G32)+(I32)*(MAX($D$16,(AF67)-(K32))))*(MAX($D$16,(AF67)-(K32))),0.000001)))-(IF(AND(N7="None",N8="None"),0,IF(N8="None",((((F34)*(MAX($D$16,(AF67)-(J34)))^2)/2+(H34)*(MAX($D$16,(AF67)-(J34)))^3/3+(ABS(I67)^2)/($I$5*MAX(((F34)+(H34)*(MAX($D$16,(AF67)-(J34))))*(MAX($D$16,(AF67)-(J34))),0.000001)))*1),IF(N7="None",((((F35)*(MAX($D$16,(AF67)-(J35)))^2)/2+(H35)*(MAX($D$16,(AF67)-(J35)))^3/3+(ABS(J67)^2)/($I$5*MAX(((F35)+(H35)*(MAX($D$16,(AF67)-(J35))))*(MAX($D$16,(AF67)-(J35))),0.000001)))*0.30600918),(((((F34)*(MAX($D$16,(AF67)-(J34)))^2)/2+(H34)*(MAX($D$16,(AF67)-(J34)))^3/3+(ABS(I67)^2)/($I$5*MAX(((F34)+(H34)*(MAX($D$16,(AF67)-(J34))))*(MAX($D$16,(AF67)-(J34))),0.000001)))*1)+((((F35)*(MAX($D$16,(AF67)-(J35)))^2)/2+(H35)*(MAX($D$16,(AF67)-(J35)))^3/3+(ABS(J67)^2)/($I$5*MAX(((F35)+(H35)*(MAX($D$16,(AF67)-(J35))))*(MAX($D$16,(AF67)-(J35))),0.000001)))*0.30600918)))))))/MAX(((G32)*(MAX($D$16,(AF67)-(K32)))^2)/2+(I32)*(MAX($D$16,(AF67)-(K32)))^3/3+(ABS(G67)^2)/($I$5*MAX(((G32)+(I32)*(MAX($D$16,(AF67)-(K32))))*(MAX($D$16,(AF67)-(K32))),0.000001)),0.000001)</f>
        <v>3.904177561081449E-2</v>
      </c>
      <c r="W67">
        <f ca="1">ABS((IF(N6="None",P67,MAX(P67,Q67)))-D67)</f>
        <v>5.6599557201559492</v>
      </c>
      <c r="X67">
        <f ca="1">ABS((IF(AND(N7="None",N8="None"),E67,IF(N8="None",S67,IF(N7="None",T67,MAX(S67,T67)))))-E67)</f>
        <v>7.9624251584506283</v>
      </c>
      <c r="Y67">
        <f>IF(N6="None",1,MIN(0.98,MAX(0.02,B67+$D$14*((Q67-P67)/MAX(ABS(D67),1)))))</f>
        <v>1</v>
      </c>
      <c r="Z67">
        <f ca="1">IF(AND(N7="None",N8="None"),C67,IF(N8="None",1,IF(N7="None",0,MIN(0.98,MAX(0.02,C67+$D$14*((T67-S67)/MAX(ABS(E67),1)))))))</f>
        <v>0.98</v>
      </c>
      <c r="AA67">
        <f t="shared" ca="1" si="3"/>
        <v>636.37527882135646</v>
      </c>
      <c r="AB67">
        <f t="shared" ca="1" si="4"/>
        <v>634.79905544762585</v>
      </c>
      <c r="AC67">
        <f ca="1">IF($D$20=0,D67,IF(AC67=0,(IF(N6="None",P67,MAX(P67,Q67))),IF(ABS((IF(N6="None",P67,MAX(P67,Q67)))-AC67)&lt;$D$19,AC67,MAX((K31)+$D$16,AC67+$D$13*(((IF(N6="None",P67,MAX(P67,Q67)))-AC67))))))</f>
        <v>640.05475514453997</v>
      </c>
      <c r="AD67">
        <f ca="1">IF($D$20=0,E67,IF(AD67=0,(IF(AND(N7="None",N8="None"),E67,IF(N8="None",S67,IF(N7="None",T67,MAX(S67,T67))))),IF(ABS((IF(AND(N7="None",N8="None"),E67,IF(N8="None",S67,IF(N7="None",T67,MAX(S67,T67)))))-AD67)&lt;$D$19,AD67,MAX((K32)+$D$16,AD67+$D$13*(((IF(AND(N7="None",N8="None"),E67,IF(N8="None",S67,IF(N7="None",T67,MAX(S67,T67)))))-AD67))))))</f>
        <v>639.97526463330917</v>
      </c>
      <c r="AE67">
        <f ca="1">IF($D$20=0,D67,IF(AE67=0,O67,IF(ABS(U67)&lt;$D$19,AE67,MAX((K31)+$D$16,AE67+($D$13*(((O67)-AE67)+(U67*MAX(ABS(AE67-(K31)),1))))))))</f>
        <v>634.34799999999996</v>
      </c>
      <c r="AF67">
        <f ca="1">IF($D$20=0,E67,IF(AF67=0,R67,IF(ABS(V67)&lt;$D$19,AF67,MAX((K32)+$D$16,AF67+($D$13*(((R67)-AF67)+(V67*MAX(ABS(AF67-(K32)),1))))))))</f>
        <v>631.92499999999995</v>
      </c>
      <c r="AG67">
        <f ca="1">((G31)*(MAX($D$16,(AC67)-(K31)))^2)/2+(I31)*(MAX($D$16,(AC67)-(K31)))^3/3+(ABS(F67)^2)/($I$5*MAX(((G31)+(I31)*(MAX($D$16,(AC67)-(K31))))*(MAX($D$16,(AC67)-(K31))),0.000001))</f>
        <v>115.68980551184316</v>
      </c>
      <c r="AH67">
        <f ca="1">((G31)*(MAX($D$16,(AE67)-(K31)))^2)/2+(I31)*(MAX($D$16,(AE67)-(K31)))^3/3+(ABS(F67)^2)/($I$5*MAX(((G31)+(I31)*(MAX($D$16,(AE67)-(K31))))*(MAX($D$16,(AE67)-(K31))),0.000001))</f>
        <v>808.60110594434002</v>
      </c>
      <c r="AI67">
        <f ca="1">((G32)*(MAX($D$16,(AD67)-(K32)))^2)/2+(I32)*(MAX($D$16,(AD67)-(K32)))^3/3+(ABS(G67)^2)/($I$5*MAX(((G32)+(I32)*(MAX($D$16,(AD67)-(K32))))*(MAX($D$16,(AD67)-(K32))),0.000001))</f>
        <v>338.03683729018678</v>
      </c>
      <c r="AJ67">
        <f ca="1">((G32)*(MAX($D$16,(AF67)-(K32)))^2)/2+(I32)*(MAX($D$16,(AF67)-(K32)))^3/3+(ABS(G67)^2)/($I$5*MAX(((G32)+(I32)*(MAX($D$16,(AF67)-(K32))))*(MAX($D$16,(AF67)-(K32))),0.000001))</f>
        <v>519.58480272613974</v>
      </c>
      <c r="AK67" t="str">
        <f t="shared" ca="1" si="5"/>
        <v>Supercritical</v>
      </c>
      <c r="AL67" t="str">
        <f t="shared" ca="1" si="6"/>
        <v>Supercritical</v>
      </c>
      <c r="AM67">
        <f t="shared" ca="1" si="7"/>
        <v>634.37791452076738</v>
      </c>
      <c r="AN67">
        <f t="shared" ca="1" si="8"/>
        <v>631.98146282596758</v>
      </c>
      <c r="AO67">
        <f t="shared" ca="1" si="9"/>
        <v>4.6022339642263432E-2</v>
      </c>
      <c r="AP67">
        <f t="shared" ca="1" si="10"/>
        <v>8.6865886104078527E-2</v>
      </c>
    </row>
    <row r="68" spans="1:42" x14ac:dyDescent="0.35">
      <c r="A68">
        <v>25</v>
      </c>
      <c r="B68">
        <f t="shared" si="11"/>
        <v>1</v>
      </c>
      <c r="C68">
        <f t="shared" ca="1" si="12"/>
        <v>0.98</v>
      </c>
      <c r="D68">
        <f t="shared" ca="1" si="13"/>
        <v>634.37791452076738</v>
      </c>
      <c r="E68">
        <f t="shared" ca="1" si="14"/>
        <v>631.98146282596758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 ca="1">IF(AND(N7="None",N8="None"),0,IF(N8="None",G68,IF(N7="None",0,MAX(0,G68*C68))))</f>
        <v>49.98</v>
      </c>
      <c r="J68">
        <f ca="1">IF(AND(N7="None",N8="None"),0,IF(N8="None",0,IF(N7="None",G68,MAX(0,G68-I68))))</f>
        <v>1.0200000000000031</v>
      </c>
      <c r="K68">
        <f>P5</f>
        <v>637</v>
      </c>
      <c r="L68">
        <f>P6</f>
        <v>634.3119999999999</v>
      </c>
      <c r="M68">
        <f>P7</f>
        <v>635.5</v>
      </c>
      <c r="N68">
        <f>P8</f>
        <v>631.54999999999995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-2091.5872404992097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640.05397805979817</v>
      </c>
      <c r="Q68">
        <f ca="1">L68+((ABS(H68)/MAX(((G33)+(I33)*(MAX($D$16,(L68)-(K33))))*(MAX($D$16,(L68)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AC68)-(J33))))*(MAX($D$16,(AC68)-(J33))),0.000001)),$D$9*((((ABS(H68)/MAX(((G33)+(I33)*(MAX($D$16,(L68)-(K33))))*(MAX($D$16,(L68)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L68)-(K33))))*(MAX($D$16,(L68)-(K33))),0.000001))^2)/(2*$I$5)))))+($D$10*(ABS((X33)-(W33))/90)*MAX(((ABS(H68)/MAX(((F33)+(H33)*(MAX($D$16,(AC68)-(J33))))*(MAX($D$16,(AC68)-(J33))),0.000001))^2)/(2*$I$5),((ABS(H68)/MAX(((G33)+(I33)*(MAX($D$16,(L68)-(K33))))*(MAX($D$16,(L68)-(K33))),0.000001))^2)/(2*$I$5)))+(($D$11*0.00000015*(ABS(G68)/MAX(ABS(F68),0.000001))^2*MAX(((ABS(H68)/MAX(((F33)+(H33)*(MAX($D$16,(AC68)-(J33))))*(MAX($D$16,(AC68)-(J33))),0.000001))^2)/(2*$I$5),((ABS(H68)/MAX(((G33)+(I33)*(MAX($D$16,(L68)-(K33))))*(MAX($D$16,(L68)-(K33))),0.000001))^2)/(2*$I$5))))-((ABS(H68)/MAX(((F33)+(H33)*(MAX($D$16,(AC68)-(J33))))*(MAX($D$16,(AC68)-(J33))),0.000001))^2)/(2*$I$5)</f>
        <v>634.3119999999999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-292118.81246378768</v>
      </c>
      <c r="S68">
        <f ca="1">M68+((ABS(I68)/MAX(((G34)+(I34)*(MAX($D$16,(M68)-(K34))))*(MAX($D$16,(M68)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AD68)-(J34))))*(MAX($D$16,(AD68)-(J34))),0.000001)),$D$9*((((ABS(I68)/MAX(((G34)+(I34)*(MAX($D$16,(M68)-(K34))))*(MAX($D$16,(M68)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M68)-(K34))))*(MAX($D$16,(M68)-(K34))),0.000001))^2)/(2*$I$5)))))+($D$10*(ABS((X34)-(W34))/90)*MAX(((ABS(I68)/MAX(((F34)+(H34)*(MAX($D$16,(AD68)-(J34))))*(MAX($D$16,(AD68)-(J34))),0.000001))^2)/(2*$I$5),((ABS(I68)/MAX(((G34)+(I34)*(MAX($D$16,(M68)-(K34))))*(MAX($D$16,(M68)-(K34))),0.000001))^2)/(2*$I$5)))+(0)-((ABS(I68)/MAX(((F34)+(H34)*(MAX($D$16,(AD68)-(J34))))*(MAX($D$16,(AD68)-(J34))),0.000001))^2)/(2*$I$5)</f>
        <v>635.51128720958343</v>
      </c>
      <c r="T68">
        <f ca="1">N68+((ABS(J68)/MAX(((G35)+(I35)*(MAX($D$16,(N68)-(K35))))*(MAX($D$16,(N68)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AD68)-(J35))))*(MAX($D$16,(AD68)-(J35))),0.000001)),$D$9*((((ABS(J68)/MAX(((G35)+(I35)*(MAX($D$16,(N68)-(K35))))*(MAX($D$16,(N68)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N68)-(K35))))*(MAX($D$16,(N68)-(K35))),0.000001))^2)/(2*$I$5)))))+($D$10*(ABS((X35)-(W35))/90)*MAX(((ABS(J68)/MAX(((F35)+(H35)*(MAX($D$16,(AD68)-(J35))))*(MAX($D$16,(AD68)-(J35))),0.000001))^2)/(2*$I$5),((ABS(J68)/MAX(((G35)+(I35)*(MAX($D$16,(N68)-(K35))))*(MAX($D$16,(N68)-(K35))),0.000001))^2)/(2*$I$5)))+(($D$11*0.34699541*(ABS(I68)/MAX(ABS(G68),0.000001))^2*MAX(((ABS(J68)/MAX(((F35)+(H35)*(MAX($D$16,(AD68)-(J35))))*(MAX($D$16,(AD68)-(J35))),0.000001))^2)/(2*$I$5),((ABS(J68)/MAX(((G35)+(I35)*(MAX($D$16,(N68)-(K35))))*(MAX($D$16,(N68)-(K35))),0.000001))^2)/(2*$I$5))))-((ABS(J68)/MAX(((F35)+(H35)*(MAX($D$16,(AD68)-(J35))))*(MAX($D$16,(AD68)-(J35))),0.000001))^2)/(2*$I$5)</f>
        <v>639.97429104455466</v>
      </c>
      <c r="U68">
        <f ca="1">((((G31)*(MAX($D$16,(AE68)-(K31)))^2)/2+(I31)*(MAX($D$16,(AE68)-(K31)))^3/3+(ABS(F68)^2)/($I$5*MAX(((G31)+(I31)*(MAX($D$16,(AE68)-(K31))))*(MAX($D$16,(AE68)-(K31))),0.000001)))-(IF(N6="None",((((F32)*(MAX($D$16,(AE68)-(J32)))^2)/2+(H32)*(MAX($D$16,(AE68)-(J32)))^3/3+(ABS(G68)^2)/($I$5*MAX(((F32)+(H32)*(MAX($D$16,(AE68)-(J32))))*(MAX($D$16,(AE68)-(J32))),0.000001)))*0.72785025),(((((F32)*(MAX($D$16,(AE68)-(J32)))^2)/2+(H32)*(MAX($D$16,(AE68)-(J32)))^3/3+(ABS(G68)^2)/($I$5*MAX(((F32)+(H32)*(MAX($D$16,(AE68)-(J32))))*(MAX($D$16,(AE68)-(J32))),0.000001)))*0.72785025)+((((F33)*(MAX($D$16,(AE68)-(J33)))^2)/2+(H33)*(MAX($D$16,(AE68)-(J33)))^3/3+(ABS(H68)^2)/($I$5*MAX(((F33)+(H33)*(MAX($D$16,(AE68)-(J33))))*(MAX($D$16,(AE68)-(J33))),0.000001)))*0.99999971)))))/MAX(((G31)*(MAX($D$16,(AE68)-(K31)))^2)/2+(I31)*(MAX($D$16,(AE68)-(K31)))^3/3+(ABS(F68)^2)/($I$5*MAX(((G31)+(I31)*(MAX($D$16,(AE68)-(K31))))*(MAX($D$16,(AE68)-(K31))),0.000001)),0.000001)</f>
        <v>0.27214975000000002</v>
      </c>
      <c r="V68">
        <f ca="1">((((G32)*(MAX($D$16,(AF68)-(K32)))^2)/2+(I32)*(MAX($D$16,(AF68)-(K32)))^3/3+(ABS(G68)^2)/($I$5*MAX(((G32)+(I32)*(MAX($D$16,(AF68)-(K32))))*(MAX($D$16,(AF68)-(K32))),0.000001)))-(IF(AND(N7="None",N8="None"),0,IF(N8="None",((((F34)*(MAX($D$16,(AF68)-(J34)))^2)/2+(H34)*(MAX($D$16,(AF68)-(J34)))^3/3+(ABS(I68)^2)/($I$5*MAX(((F34)+(H34)*(MAX($D$16,(AF68)-(J34))))*(MAX($D$16,(AF68)-(J34))),0.000001)))*1),IF(N7="None",((((F35)*(MAX($D$16,(AF68)-(J35)))^2)/2+(H35)*(MAX($D$16,(AF68)-(J35)))^3/3+(ABS(J68)^2)/($I$5*MAX(((F35)+(H35)*(MAX($D$16,(AF68)-(J35))))*(MAX($D$16,(AF68)-(J35))),0.000001)))*0.30600918),(((((F34)*(MAX($D$16,(AF68)-(J34)))^2)/2+(H34)*(MAX($D$16,(AF68)-(J34)))^3/3+(ABS(I68)^2)/($I$5*MAX(((F34)+(H34)*(MAX($D$16,(AF68)-(J34))))*(MAX($D$16,(AF68)-(J34))),0.000001)))*1)+((((F35)*(MAX($D$16,(AF68)-(J35)))^2)/2+(H35)*(MAX($D$16,(AF68)-(J35)))^3/3+(ABS(J68)^2)/($I$5*MAX(((F35)+(H35)*(MAX($D$16,(AF68)-(J35))))*(MAX($D$16,(AF68)-(J35))),0.000001)))*0.30600918)))))))/MAX(((G32)*(MAX($D$16,(AF68)-(K32)))^2)/2+(I32)*(MAX($D$16,(AF68)-(K32)))^3/3+(ABS(G68)^2)/($I$5*MAX(((G32)+(I32)*(MAX($D$16,(AF68)-(K32))))*(MAX($D$16,(AF68)-(K32))),0.000001)),0.000001)</f>
        <v>3.904177561081449E-2</v>
      </c>
      <c r="W68">
        <f ca="1">ABS((IF(N6="None",P68,MAX(P68,Q68)))-D68)</f>
        <v>5.6760635390307925</v>
      </c>
      <c r="X68">
        <f ca="1">ABS((IF(AND(N7="None",N8="None"),E68,IF(N8="None",S68,IF(N7="None",T68,MAX(S68,T68)))))-E68)</f>
        <v>7.9928282185870785</v>
      </c>
      <c r="Y68">
        <f>IF(N6="None",1,MIN(0.98,MAX(0.02,B68+$D$14*((Q68-P68)/MAX(ABS(D68),1)))))</f>
        <v>1</v>
      </c>
      <c r="Z68">
        <f ca="1">IF(AND(N7="None",N8="None"),C68,IF(N8="None",1,IF(N7="None",0,MIN(0.98,MAX(0.02,C68+$D$14*((T68-S68)/MAX(ABS(E68),1)))))))</f>
        <v>0.98</v>
      </c>
      <c r="AA68">
        <f t="shared" ca="1" si="3"/>
        <v>636.36480873908783</v>
      </c>
      <c r="AB68">
        <f t="shared" ca="1" si="4"/>
        <v>634.77929345853715</v>
      </c>
      <c r="AC68">
        <f ca="1">IF($D$20=0,D68,IF(AC68=0,(IF(N6="None",P68,MAX(P68,Q68))),IF(ABS((IF(N6="None",P68,MAX(P68,Q68)))-AC68)&lt;$D$19,AC68,MAX((K31)+$D$16,AC68+$D$13*(((IF(N6="None",P68,MAX(P68,Q68)))-AC68))))))</f>
        <v>640.05475514453997</v>
      </c>
      <c r="AD68">
        <f ca="1">IF($D$20=0,E68,IF(AD68=0,(IF(AND(N7="None",N8="None"),E68,IF(N8="None",S68,IF(N7="None",T68,MAX(S68,T68))))),IF(ABS((IF(AND(N7="None",N8="None"),E68,IF(N8="None",S68,IF(N7="None",T68,MAX(S68,T68)))))-AD68)&lt;$D$19,AD68,MAX((K32)+$D$16,AD68+$D$13*(((IF(AND(N7="None",N8="None"),E68,IF(N8="None",S68,IF(N7="None",T68,MAX(S68,T68)))))-AD68))))))</f>
        <v>639.97526463330917</v>
      </c>
      <c r="AE68">
        <f ca="1">IF($D$20=0,D68,IF(AE68=0,O68,IF(ABS(U68)&lt;$D$19,AE68,MAX((K31)+$D$16,AE68+($D$13*(((O68)-AE68)+(U68*MAX(ABS(AE68-(K31)),1))))))))</f>
        <v>634.34799999999996</v>
      </c>
      <c r="AF68">
        <f ca="1">IF($D$20=0,E68,IF(AF68=0,R68,IF(ABS(V68)&lt;$D$19,AF68,MAX((K32)+$D$16,AF68+($D$13*(((R68)-AF68)+(V68*MAX(ABS(AF68-(K32)),1))))))))</f>
        <v>631.92499999999995</v>
      </c>
      <c r="AG68">
        <f ca="1">((G31)*(MAX($D$16,(AC68)-(K31)))^2)/2+(I31)*(MAX($D$16,(AC68)-(K31)))^3/3+(ABS(F68)^2)/($I$5*MAX(((G31)+(I31)*(MAX($D$16,(AC68)-(K31))))*(MAX($D$16,(AC68)-(K31))),0.000001))</f>
        <v>115.68980551184316</v>
      </c>
      <c r="AH68">
        <f ca="1">((G31)*(MAX($D$16,(AE68)-(K31)))^2)/2+(I31)*(MAX($D$16,(AE68)-(K31)))^3/3+(ABS(F68)^2)/($I$5*MAX(((G31)+(I31)*(MAX($D$16,(AE68)-(K31))))*(MAX($D$16,(AE68)-(K31))),0.000001))</f>
        <v>808.60110594434002</v>
      </c>
      <c r="AI68">
        <f ca="1">((G32)*(MAX($D$16,(AD68)-(K32)))^2)/2+(I32)*(MAX($D$16,(AD68)-(K32)))^3/3+(ABS(G68)^2)/($I$5*MAX(((G32)+(I32)*(MAX($D$16,(AD68)-(K32))))*(MAX($D$16,(AD68)-(K32))),0.000001))</f>
        <v>338.03683729018678</v>
      </c>
      <c r="AJ68">
        <f ca="1">((G32)*(MAX($D$16,(AF68)-(K32)))^2)/2+(I32)*(MAX($D$16,(AF68)-(K32)))^3/3+(ABS(G68)^2)/($I$5*MAX(((G32)+(I32)*(MAX($D$16,(AF68)-(K32))))*(MAX($D$16,(AF68)-(K32))),0.000001))</f>
        <v>519.58480272613974</v>
      </c>
      <c r="AK68" t="str">
        <f t="shared" ca="1" si="5"/>
        <v>Supercritical</v>
      </c>
      <c r="AL68" t="str">
        <f t="shared" ca="1" si="6"/>
        <v>Supercritical</v>
      </c>
      <c r="AM68">
        <f t="shared" ca="1" si="7"/>
        <v>634.36744443849875</v>
      </c>
      <c r="AN68">
        <f t="shared" ca="1" si="8"/>
        <v>631.96170083687889</v>
      </c>
      <c r="AO68">
        <f t="shared" ca="1" si="9"/>
        <v>2.9914520767420072E-2</v>
      </c>
      <c r="AP68">
        <f t="shared" ca="1" si="10"/>
        <v>5.6462825967628305E-2</v>
      </c>
    </row>
    <row r="69" spans="1:42" x14ac:dyDescent="0.35">
      <c r="A69">
        <v>26</v>
      </c>
      <c r="B69">
        <f t="shared" si="11"/>
        <v>1</v>
      </c>
      <c r="C69">
        <f t="shared" ca="1" si="12"/>
        <v>0.98</v>
      </c>
      <c r="D69">
        <f t="shared" ca="1" si="13"/>
        <v>634.36744443849875</v>
      </c>
      <c r="E69">
        <f t="shared" ca="1" si="14"/>
        <v>631.96170083687889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 ca="1">IF(AND(N7="None",N8="None"),0,IF(N8="None",G69,IF(N7="None",0,MAX(0,G69*C69))))</f>
        <v>49.98</v>
      </c>
      <c r="J69">
        <f ca="1">IF(AND(N7="None",N8="None"),0,IF(N8="None",0,IF(N7="None",G69,MAX(0,G69-I69))))</f>
        <v>1.0200000000000031</v>
      </c>
      <c r="K69">
        <f>P5</f>
        <v>637</v>
      </c>
      <c r="L69">
        <f>P6</f>
        <v>634.3119999999999</v>
      </c>
      <c r="M69">
        <f>P7</f>
        <v>635.5</v>
      </c>
      <c r="N69">
        <f>P8</f>
        <v>631.54999999999995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-2091.5872404992097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640.05397805979817</v>
      </c>
      <c r="Q69">
        <f ca="1">L69+((ABS(H69)/MAX(((G33)+(I33)*(MAX($D$16,(L69)-(K33))))*(MAX($D$16,(L69)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AC69)-(J33))))*(MAX($D$16,(AC69)-(J33))),0.000001)),$D$9*((((ABS(H69)/MAX(((G33)+(I33)*(MAX($D$16,(L69)-(K33))))*(MAX($D$16,(L69)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L69)-(K33))))*(MAX($D$16,(L69)-(K33))),0.000001))^2)/(2*$I$5)))))+($D$10*(ABS((X33)-(W33))/90)*MAX(((ABS(H69)/MAX(((F33)+(H33)*(MAX($D$16,(AC69)-(J33))))*(MAX($D$16,(AC69)-(J33))),0.000001))^2)/(2*$I$5),((ABS(H69)/MAX(((G33)+(I33)*(MAX($D$16,(L69)-(K33))))*(MAX($D$16,(L69)-(K33))),0.000001))^2)/(2*$I$5)))+(($D$11*0.00000015*(ABS(G69)/MAX(ABS(F69),0.000001))^2*MAX(((ABS(H69)/MAX(((F33)+(H33)*(MAX($D$16,(AC69)-(J33))))*(MAX($D$16,(AC69)-(J33))),0.000001))^2)/(2*$I$5),((ABS(H69)/MAX(((G33)+(I33)*(MAX($D$16,(L69)-(K33))))*(MAX($D$16,(L69)-(K33))),0.000001))^2)/(2*$I$5))))-((ABS(H69)/MAX(((F33)+(H33)*(MAX($D$16,(AC69)-(J33))))*(MAX($D$16,(AC69)-(J33))),0.000001))^2)/(2*$I$5)</f>
        <v>634.3119999999999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-292118.81246378768</v>
      </c>
      <c r="S69">
        <f ca="1">M69+((ABS(I69)/MAX(((G34)+(I34)*(MAX($D$16,(M69)-(K34))))*(MAX($D$16,(M69)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AD69)-(J34))))*(MAX($D$16,(AD69)-(J34))),0.000001)),$D$9*((((ABS(I69)/MAX(((G34)+(I34)*(MAX($D$16,(M69)-(K34))))*(MAX($D$16,(M69)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M69)-(K34))))*(MAX($D$16,(M69)-(K34))),0.000001))^2)/(2*$I$5)))))+($D$10*(ABS((X34)-(W34))/90)*MAX(((ABS(I69)/MAX(((F34)+(H34)*(MAX($D$16,(AD69)-(J34))))*(MAX($D$16,(AD69)-(J34))),0.000001))^2)/(2*$I$5),((ABS(I69)/MAX(((G34)+(I34)*(MAX($D$16,(M69)-(K34))))*(MAX($D$16,(M69)-(K34))),0.000001))^2)/(2*$I$5)))+(0)-((ABS(I69)/MAX(((F34)+(H34)*(MAX($D$16,(AD69)-(J34))))*(MAX($D$16,(AD69)-(J34))),0.000001))^2)/(2*$I$5)</f>
        <v>635.51128720958343</v>
      </c>
      <c r="T69">
        <f ca="1">N69+((ABS(J69)/MAX(((G35)+(I35)*(MAX($D$16,(N69)-(K35))))*(MAX($D$16,(N69)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AD69)-(J35))))*(MAX($D$16,(AD69)-(J35))),0.000001)),$D$9*((((ABS(J69)/MAX(((G35)+(I35)*(MAX($D$16,(N69)-(K35))))*(MAX($D$16,(N69)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N69)-(K35))))*(MAX($D$16,(N69)-(K35))),0.000001))^2)/(2*$I$5)))))+($D$10*(ABS((X35)-(W35))/90)*MAX(((ABS(J69)/MAX(((F35)+(H35)*(MAX($D$16,(AD69)-(J35))))*(MAX($D$16,(AD69)-(J35))),0.000001))^2)/(2*$I$5),((ABS(J69)/MAX(((G35)+(I35)*(MAX($D$16,(N69)-(K35))))*(MAX($D$16,(N69)-(K35))),0.000001))^2)/(2*$I$5)))+(($D$11*0.34699541*(ABS(I69)/MAX(ABS(G69),0.000001))^2*MAX(((ABS(J69)/MAX(((F35)+(H35)*(MAX($D$16,(AD69)-(J35))))*(MAX($D$16,(AD69)-(J35))),0.000001))^2)/(2*$I$5),((ABS(J69)/MAX(((G35)+(I35)*(MAX($D$16,(N69)-(K35))))*(MAX($D$16,(N69)-(K35))),0.000001))^2)/(2*$I$5))))-((ABS(J69)/MAX(((F35)+(H35)*(MAX($D$16,(AD69)-(J35))))*(MAX($D$16,(AD69)-(J35))),0.000001))^2)/(2*$I$5)</f>
        <v>639.97429104455466</v>
      </c>
      <c r="U69">
        <f ca="1">((((G31)*(MAX($D$16,(AE69)-(K31)))^2)/2+(I31)*(MAX($D$16,(AE69)-(K31)))^3/3+(ABS(F69)^2)/($I$5*MAX(((G31)+(I31)*(MAX($D$16,(AE69)-(K31))))*(MAX($D$16,(AE69)-(K31))),0.000001)))-(IF(N6="None",((((F32)*(MAX($D$16,(AE69)-(J32)))^2)/2+(H32)*(MAX($D$16,(AE69)-(J32)))^3/3+(ABS(G69)^2)/($I$5*MAX(((F32)+(H32)*(MAX($D$16,(AE69)-(J32))))*(MAX($D$16,(AE69)-(J32))),0.000001)))*0.72785025),(((((F32)*(MAX($D$16,(AE69)-(J32)))^2)/2+(H32)*(MAX($D$16,(AE69)-(J32)))^3/3+(ABS(G69)^2)/($I$5*MAX(((F32)+(H32)*(MAX($D$16,(AE69)-(J32))))*(MAX($D$16,(AE69)-(J32))),0.000001)))*0.72785025)+((((F33)*(MAX($D$16,(AE69)-(J33)))^2)/2+(H33)*(MAX($D$16,(AE69)-(J33)))^3/3+(ABS(H69)^2)/($I$5*MAX(((F33)+(H33)*(MAX($D$16,(AE69)-(J33))))*(MAX($D$16,(AE69)-(J33))),0.000001)))*0.99999971)))))/MAX(((G31)*(MAX($D$16,(AE69)-(K31)))^2)/2+(I31)*(MAX($D$16,(AE69)-(K31)))^3/3+(ABS(F69)^2)/($I$5*MAX(((G31)+(I31)*(MAX($D$16,(AE69)-(K31))))*(MAX($D$16,(AE69)-(K31))),0.000001)),0.000001)</f>
        <v>0.27214975000000002</v>
      </c>
      <c r="V69">
        <f ca="1">((((G32)*(MAX($D$16,(AF69)-(K32)))^2)/2+(I32)*(MAX($D$16,(AF69)-(K32)))^3/3+(ABS(G69)^2)/($I$5*MAX(((G32)+(I32)*(MAX($D$16,(AF69)-(K32))))*(MAX($D$16,(AF69)-(K32))),0.000001)))-(IF(AND(N7="None",N8="None"),0,IF(N8="None",((((F34)*(MAX($D$16,(AF69)-(J34)))^2)/2+(H34)*(MAX($D$16,(AF69)-(J34)))^3/3+(ABS(I69)^2)/($I$5*MAX(((F34)+(H34)*(MAX($D$16,(AF69)-(J34))))*(MAX($D$16,(AF69)-(J34))),0.000001)))*1),IF(N7="None",((((F35)*(MAX($D$16,(AF69)-(J35)))^2)/2+(H35)*(MAX($D$16,(AF69)-(J35)))^3/3+(ABS(J69)^2)/($I$5*MAX(((F35)+(H35)*(MAX($D$16,(AF69)-(J35))))*(MAX($D$16,(AF69)-(J35))),0.000001)))*0.30600918),(((((F34)*(MAX($D$16,(AF69)-(J34)))^2)/2+(H34)*(MAX($D$16,(AF69)-(J34)))^3/3+(ABS(I69)^2)/($I$5*MAX(((F34)+(H34)*(MAX($D$16,(AF69)-(J34))))*(MAX($D$16,(AF69)-(J34))),0.000001)))*1)+((((F35)*(MAX($D$16,(AF69)-(J35)))^2)/2+(H35)*(MAX($D$16,(AF69)-(J35)))^3/3+(ABS(J69)^2)/($I$5*MAX(((F35)+(H35)*(MAX($D$16,(AF69)-(J35))))*(MAX($D$16,(AF69)-(J35))),0.000001)))*0.30600918)))))))/MAX(((G32)*(MAX($D$16,(AF69)-(K32)))^2)/2+(I32)*(MAX($D$16,(AF69)-(K32)))^3/3+(ABS(G69)^2)/($I$5*MAX(((G32)+(I32)*(MAX($D$16,(AF69)-(K32))))*(MAX($D$16,(AF69)-(K32))),0.000001)),0.000001)</f>
        <v>3.904177561081449E-2</v>
      </c>
      <c r="W69">
        <f ca="1">ABS((IF(N6="None",P69,MAX(P69,Q69)))-D69)</f>
        <v>5.686533621299418</v>
      </c>
      <c r="X69">
        <f ca="1">ABS((IF(AND(N7="None",N8="None"),E69,IF(N8="None",S69,IF(N7="None",T69,MAX(S69,T69)))))-E69)</f>
        <v>8.0125902076757711</v>
      </c>
      <c r="Y69">
        <f>IF(N6="None",1,MIN(0.98,MAX(0.02,B69+$D$14*((Q69-P69)/MAX(ABS(D69),1)))))</f>
        <v>1</v>
      </c>
      <c r="Z69">
        <f ca="1">IF(AND(N7="None",N8="None"),C69,IF(N8="None",1,IF(N7="None",0,MIN(0.98,MAX(0.02,C69+$D$14*((T69-S69)/MAX(ABS(E69),1)))))))</f>
        <v>0.98</v>
      </c>
      <c r="AA69">
        <f t="shared" ca="1" si="3"/>
        <v>636.35800318561314</v>
      </c>
      <c r="AB69">
        <f t="shared" ca="1" si="4"/>
        <v>634.76644816562953</v>
      </c>
      <c r="AC69">
        <f ca="1">IF($D$20=0,D69,IF(AC69=0,(IF(N6="None",P69,MAX(P69,Q69))),IF(ABS((IF(N6="None",P69,MAX(P69,Q69)))-AC69)&lt;$D$19,AC69,MAX((K31)+$D$16,AC69+$D$13*(((IF(N6="None",P69,MAX(P69,Q69)))-AC69))))))</f>
        <v>640.05475514453997</v>
      </c>
      <c r="AD69">
        <f ca="1">IF($D$20=0,E69,IF(AD69=0,(IF(AND(N7="None",N8="None"),E69,IF(N8="None",S69,IF(N7="None",T69,MAX(S69,T69))))),IF(ABS((IF(AND(N7="None",N8="None"),E69,IF(N8="None",S69,IF(N7="None",T69,MAX(S69,T69)))))-AD69)&lt;$D$19,AD69,MAX((K32)+$D$16,AD69+$D$13*(((IF(AND(N7="None",N8="None"),E69,IF(N8="None",S69,IF(N7="None",T69,MAX(S69,T69)))))-AD69))))))</f>
        <v>639.97526463330917</v>
      </c>
      <c r="AE69">
        <f ca="1">IF($D$20=0,D69,IF(AE69=0,O69,IF(ABS(U69)&lt;$D$19,AE69,MAX((K31)+$D$16,AE69+($D$13*(((O69)-AE69)+(U69*MAX(ABS(AE69-(K31)),1))))))))</f>
        <v>634.34799999999996</v>
      </c>
      <c r="AF69">
        <f ca="1">IF($D$20=0,E69,IF(AF69=0,R69,IF(ABS(V69)&lt;$D$19,AF69,MAX((K32)+$D$16,AF69+($D$13*(((R69)-AF69)+(V69*MAX(ABS(AF69-(K32)),1))))))))</f>
        <v>631.92499999999995</v>
      </c>
      <c r="AG69">
        <f ca="1">((G31)*(MAX($D$16,(AC69)-(K31)))^2)/2+(I31)*(MAX($D$16,(AC69)-(K31)))^3/3+(ABS(F69)^2)/($I$5*MAX(((G31)+(I31)*(MAX($D$16,(AC69)-(K31))))*(MAX($D$16,(AC69)-(K31))),0.000001))</f>
        <v>115.68980551184316</v>
      </c>
      <c r="AH69">
        <f ca="1">((G31)*(MAX($D$16,(AE69)-(K31)))^2)/2+(I31)*(MAX($D$16,(AE69)-(K31)))^3/3+(ABS(F69)^2)/($I$5*MAX(((G31)+(I31)*(MAX($D$16,(AE69)-(K31))))*(MAX($D$16,(AE69)-(K31))),0.000001))</f>
        <v>808.60110594434002</v>
      </c>
      <c r="AI69">
        <f ca="1">((G32)*(MAX($D$16,(AD69)-(K32)))^2)/2+(I32)*(MAX($D$16,(AD69)-(K32)))^3/3+(ABS(G69)^2)/($I$5*MAX(((G32)+(I32)*(MAX($D$16,(AD69)-(K32))))*(MAX($D$16,(AD69)-(K32))),0.000001))</f>
        <v>338.03683729018678</v>
      </c>
      <c r="AJ69">
        <f ca="1">((G32)*(MAX($D$16,(AF69)-(K32)))^2)/2+(I32)*(MAX($D$16,(AF69)-(K32)))^3/3+(ABS(G69)^2)/($I$5*MAX(((G32)+(I32)*(MAX($D$16,(AF69)-(K32))))*(MAX($D$16,(AF69)-(K32))),0.000001))</f>
        <v>519.58480272613974</v>
      </c>
      <c r="AK69" t="str">
        <f t="shared" ca="1" si="5"/>
        <v>Supercritical</v>
      </c>
      <c r="AL69" t="str">
        <f t="shared" ca="1" si="6"/>
        <v>Supercritical</v>
      </c>
      <c r="AM69">
        <f t="shared" ca="1" si="7"/>
        <v>634.36063888502417</v>
      </c>
      <c r="AN69">
        <f t="shared" ca="1" si="8"/>
        <v>631.94885554397126</v>
      </c>
      <c r="AO69">
        <f t="shared" ca="1" si="9"/>
        <v>1.9444438498794625E-2</v>
      </c>
      <c r="AP69">
        <f t="shared" ca="1" si="10"/>
        <v>3.6700836878935661E-2</v>
      </c>
    </row>
    <row r="70" spans="1:42" x14ac:dyDescent="0.35">
      <c r="A70">
        <v>27</v>
      </c>
      <c r="B70">
        <f t="shared" si="11"/>
        <v>1</v>
      </c>
      <c r="C70">
        <f t="shared" ca="1" si="12"/>
        <v>0.98</v>
      </c>
      <c r="D70">
        <f t="shared" ca="1" si="13"/>
        <v>634.36063888502417</v>
      </c>
      <c r="E70">
        <f t="shared" ca="1" si="14"/>
        <v>631.94885554397126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 ca="1">IF(AND(N7="None",N8="None"),0,IF(N8="None",G70,IF(N7="None",0,MAX(0,G70*C70))))</f>
        <v>49.98</v>
      </c>
      <c r="J70">
        <f ca="1">IF(AND(N7="None",N8="None"),0,IF(N8="None",0,IF(N7="None",G70,MAX(0,G70-I70))))</f>
        <v>1.0200000000000031</v>
      </c>
      <c r="K70">
        <f>P5</f>
        <v>637</v>
      </c>
      <c r="L70">
        <f>P6</f>
        <v>634.3119999999999</v>
      </c>
      <c r="M70">
        <f>P7</f>
        <v>635.5</v>
      </c>
      <c r="N70">
        <f>P8</f>
        <v>631.54999999999995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-2091.5872404992097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640.05397805979817</v>
      </c>
      <c r="Q70">
        <f ca="1">L70+((ABS(H70)/MAX(((G33)+(I33)*(MAX($D$16,(L70)-(K33))))*(MAX($D$16,(L70)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AC70)-(J33))))*(MAX($D$16,(AC70)-(J33))),0.000001)),$D$9*((((ABS(H70)/MAX(((G33)+(I33)*(MAX($D$16,(L70)-(K33))))*(MAX($D$16,(L70)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L70)-(K33))))*(MAX($D$16,(L70)-(K33))),0.000001))^2)/(2*$I$5)))))+($D$10*(ABS((X33)-(W33))/90)*MAX(((ABS(H70)/MAX(((F33)+(H33)*(MAX($D$16,(AC70)-(J33))))*(MAX($D$16,(AC70)-(J33))),0.000001))^2)/(2*$I$5),((ABS(H70)/MAX(((G33)+(I33)*(MAX($D$16,(L70)-(K33))))*(MAX($D$16,(L70)-(K33))),0.000001))^2)/(2*$I$5)))+(($D$11*0.00000015*(ABS(G70)/MAX(ABS(F70),0.000001))^2*MAX(((ABS(H70)/MAX(((F33)+(H33)*(MAX($D$16,(AC70)-(J33))))*(MAX($D$16,(AC70)-(J33))),0.000001))^2)/(2*$I$5),((ABS(H70)/MAX(((G33)+(I33)*(MAX($D$16,(L70)-(K33))))*(MAX($D$16,(L70)-(K33))),0.000001))^2)/(2*$I$5))))-((ABS(H70)/MAX(((F33)+(H33)*(MAX($D$16,(AC70)-(J33))))*(MAX($D$16,(AC70)-(J33))),0.000001))^2)/(2*$I$5)</f>
        <v>634.3119999999999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-292118.81246378768</v>
      </c>
      <c r="S70">
        <f ca="1">M70+((ABS(I70)/MAX(((G34)+(I34)*(MAX($D$16,(M70)-(K34))))*(MAX($D$16,(M70)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AD70)-(J34))))*(MAX($D$16,(AD70)-(J34))),0.000001)),$D$9*((((ABS(I70)/MAX(((G34)+(I34)*(MAX($D$16,(M70)-(K34))))*(MAX($D$16,(M70)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M70)-(K34))))*(MAX($D$16,(M70)-(K34))),0.000001))^2)/(2*$I$5)))))+($D$10*(ABS((X34)-(W34))/90)*MAX(((ABS(I70)/MAX(((F34)+(H34)*(MAX($D$16,(AD70)-(J34))))*(MAX($D$16,(AD70)-(J34))),0.000001))^2)/(2*$I$5),((ABS(I70)/MAX(((G34)+(I34)*(MAX($D$16,(M70)-(K34))))*(MAX($D$16,(M70)-(K34))),0.000001))^2)/(2*$I$5)))+(0)-((ABS(I70)/MAX(((F34)+(H34)*(MAX($D$16,(AD70)-(J34))))*(MAX($D$16,(AD70)-(J34))),0.000001))^2)/(2*$I$5)</f>
        <v>635.51128720958343</v>
      </c>
      <c r="T70">
        <f ca="1">N70+((ABS(J70)/MAX(((G35)+(I35)*(MAX($D$16,(N70)-(K35))))*(MAX($D$16,(N70)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AD70)-(J35))))*(MAX($D$16,(AD70)-(J35))),0.000001)),$D$9*((((ABS(J70)/MAX(((G35)+(I35)*(MAX($D$16,(N70)-(K35))))*(MAX($D$16,(N70)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N70)-(K35))))*(MAX($D$16,(N70)-(K35))),0.000001))^2)/(2*$I$5)))))+($D$10*(ABS((X35)-(W35))/90)*MAX(((ABS(J70)/MAX(((F35)+(H35)*(MAX($D$16,(AD70)-(J35))))*(MAX($D$16,(AD70)-(J35))),0.000001))^2)/(2*$I$5),((ABS(J70)/MAX(((G35)+(I35)*(MAX($D$16,(N70)-(K35))))*(MAX($D$16,(N70)-(K35))),0.000001))^2)/(2*$I$5)))+(($D$11*0.34699541*(ABS(I70)/MAX(ABS(G70),0.000001))^2*MAX(((ABS(J70)/MAX(((F35)+(H35)*(MAX($D$16,(AD70)-(J35))))*(MAX($D$16,(AD70)-(J35))),0.000001))^2)/(2*$I$5),((ABS(J70)/MAX(((G35)+(I35)*(MAX($D$16,(N70)-(K35))))*(MAX($D$16,(N70)-(K35))),0.000001))^2)/(2*$I$5))))-((ABS(J70)/MAX(((F35)+(H35)*(MAX($D$16,(AD70)-(J35))))*(MAX($D$16,(AD70)-(J35))),0.000001))^2)/(2*$I$5)</f>
        <v>639.97429104455466</v>
      </c>
      <c r="U70">
        <f ca="1">((((G31)*(MAX($D$16,(AE70)-(K31)))^2)/2+(I31)*(MAX($D$16,(AE70)-(K31)))^3/3+(ABS(F70)^2)/($I$5*MAX(((G31)+(I31)*(MAX($D$16,(AE70)-(K31))))*(MAX($D$16,(AE70)-(K31))),0.000001)))-(IF(N6="None",((((F32)*(MAX($D$16,(AE70)-(J32)))^2)/2+(H32)*(MAX($D$16,(AE70)-(J32)))^3/3+(ABS(G70)^2)/($I$5*MAX(((F32)+(H32)*(MAX($D$16,(AE70)-(J32))))*(MAX($D$16,(AE70)-(J32))),0.000001)))*0.72785025),(((((F32)*(MAX($D$16,(AE70)-(J32)))^2)/2+(H32)*(MAX($D$16,(AE70)-(J32)))^3/3+(ABS(G70)^2)/($I$5*MAX(((F32)+(H32)*(MAX($D$16,(AE70)-(J32))))*(MAX($D$16,(AE70)-(J32))),0.000001)))*0.72785025)+((((F33)*(MAX($D$16,(AE70)-(J33)))^2)/2+(H33)*(MAX($D$16,(AE70)-(J33)))^3/3+(ABS(H70)^2)/($I$5*MAX(((F33)+(H33)*(MAX($D$16,(AE70)-(J33))))*(MAX($D$16,(AE70)-(J33))),0.000001)))*0.99999971)))))/MAX(((G31)*(MAX($D$16,(AE70)-(K31)))^2)/2+(I31)*(MAX($D$16,(AE70)-(K31)))^3/3+(ABS(F70)^2)/($I$5*MAX(((G31)+(I31)*(MAX($D$16,(AE70)-(K31))))*(MAX($D$16,(AE70)-(K31))),0.000001)),0.000001)</f>
        <v>0.27214975000000002</v>
      </c>
      <c r="V70">
        <f ca="1">((((G32)*(MAX($D$16,(AF70)-(K32)))^2)/2+(I32)*(MAX($D$16,(AF70)-(K32)))^3/3+(ABS(G70)^2)/($I$5*MAX(((G32)+(I32)*(MAX($D$16,(AF70)-(K32))))*(MAX($D$16,(AF70)-(K32))),0.000001)))-(IF(AND(N7="None",N8="None"),0,IF(N8="None",((((F34)*(MAX($D$16,(AF70)-(J34)))^2)/2+(H34)*(MAX($D$16,(AF70)-(J34)))^3/3+(ABS(I70)^2)/($I$5*MAX(((F34)+(H34)*(MAX($D$16,(AF70)-(J34))))*(MAX($D$16,(AF70)-(J34))),0.000001)))*1),IF(N7="None",((((F35)*(MAX($D$16,(AF70)-(J35)))^2)/2+(H35)*(MAX($D$16,(AF70)-(J35)))^3/3+(ABS(J70)^2)/($I$5*MAX(((F35)+(H35)*(MAX($D$16,(AF70)-(J35))))*(MAX($D$16,(AF70)-(J35))),0.000001)))*0.30600918),(((((F34)*(MAX($D$16,(AF70)-(J34)))^2)/2+(H34)*(MAX($D$16,(AF70)-(J34)))^3/3+(ABS(I70)^2)/($I$5*MAX(((F34)+(H34)*(MAX($D$16,(AF70)-(J34))))*(MAX($D$16,(AF70)-(J34))),0.000001)))*1)+((((F35)*(MAX($D$16,(AF70)-(J35)))^2)/2+(H35)*(MAX($D$16,(AF70)-(J35)))^3/3+(ABS(J70)^2)/($I$5*MAX(((F35)+(H35)*(MAX($D$16,(AF70)-(J35))))*(MAX($D$16,(AF70)-(J35))),0.000001)))*0.30600918)))))))/MAX(((G32)*(MAX($D$16,(AF70)-(K32)))^2)/2+(I32)*(MAX($D$16,(AF70)-(K32)))^3/3+(ABS(G70)^2)/($I$5*MAX(((G32)+(I32)*(MAX($D$16,(AF70)-(K32))))*(MAX($D$16,(AF70)-(K32))),0.000001)),0.000001)</f>
        <v>3.904177561081449E-2</v>
      </c>
      <c r="W70">
        <f ca="1">ABS((IF(N6="None",P70,MAX(P70,Q70)))-D70)</f>
        <v>5.6933391747739961</v>
      </c>
      <c r="X70">
        <f ca="1">ABS((IF(AND(N7="None",N8="None"),E70,IF(N8="None",S70,IF(N7="None",T70,MAX(S70,T70)))))-E70)</f>
        <v>8.0254355005833986</v>
      </c>
      <c r="Y70">
        <f>IF(N6="None",1,MIN(0.98,MAX(0.02,B70+$D$14*((Q70-P70)/MAX(ABS(D70),1)))))</f>
        <v>1</v>
      </c>
      <c r="Z70">
        <f ca="1">IF(AND(N7="None",N8="None"),C70,IF(N8="None",1,IF(N7="None",0,MIN(0.98,MAX(0.02,C70+$D$14*((T70-S70)/MAX(ABS(E70),1)))))))</f>
        <v>0.98</v>
      </c>
      <c r="AA70">
        <f t="shared" ca="1" si="3"/>
        <v>636.35357957585472</v>
      </c>
      <c r="AB70">
        <f t="shared" ca="1" si="4"/>
        <v>634.75809872523951</v>
      </c>
      <c r="AC70">
        <f ca="1">IF($D$20=0,D70,IF(AC70=0,(IF(N6="None",P70,MAX(P70,Q70))),IF(ABS((IF(N6="None",P70,MAX(P70,Q70)))-AC70)&lt;$D$19,AC70,MAX((K31)+$D$16,AC70+$D$13*(((IF(N6="None",P70,MAX(P70,Q70)))-AC70))))))</f>
        <v>640.05475514453997</v>
      </c>
      <c r="AD70">
        <f ca="1">IF($D$20=0,E70,IF(AD70=0,(IF(AND(N7="None",N8="None"),E70,IF(N8="None",S70,IF(N7="None",T70,MAX(S70,T70))))),IF(ABS((IF(AND(N7="None",N8="None"),E70,IF(N8="None",S70,IF(N7="None",T70,MAX(S70,T70)))))-AD70)&lt;$D$19,AD70,MAX((K32)+$D$16,AD70+$D$13*(((IF(AND(N7="None",N8="None"),E70,IF(N8="None",S70,IF(N7="None",T70,MAX(S70,T70)))))-AD70))))))</f>
        <v>639.97526463330917</v>
      </c>
      <c r="AE70">
        <f ca="1">IF($D$20=0,D70,IF(AE70=0,O70,IF(ABS(U70)&lt;$D$19,AE70,MAX((K31)+$D$16,AE70+($D$13*(((O70)-AE70)+(U70*MAX(ABS(AE70-(K31)),1))))))))</f>
        <v>634.34799999999996</v>
      </c>
      <c r="AF70">
        <f ca="1">IF($D$20=0,E70,IF(AF70=0,R70,IF(ABS(V70)&lt;$D$19,AF70,MAX((K32)+$D$16,AF70+($D$13*(((R70)-AF70)+(V70*MAX(ABS(AF70-(K32)),1))))))))</f>
        <v>631.92499999999995</v>
      </c>
      <c r="AG70">
        <f ca="1">((G31)*(MAX($D$16,(AC70)-(K31)))^2)/2+(I31)*(MAX($D$16,(AC70)-(K31)))^3/3+(ABS(F70)^2)/($I$5*MAX(((G31)+(I31)*(MAX($D$16,(AC70)-(K31))))*(MAX($D$16,(AC70)-(K31))),0.000001))</f>
        <v>115.68980551184316</v>
      </c>
      <c r="AH70">
        <f ca="1">((G31)*(MAX($D$16,(AE70)-(K31)))^2)/2+(I31)*(MAX($D$16,(AE70)-(K31)))^3/3+(ABS(F70)^2)/($I$5*MAX(((G31)+(I31)*(MAX($D$16,(AE70)-(K31))))*(MAX($D$16,(AE70)-(K31))),0.000001))</f>
        <v>808.60110594434002</v>
      </c>
      <c r="AI70">
        <f ca="1">((G32)*(MAX($D$16,(AD70)-(K32)))^2)/2+(I32)*(MAX($D$16,(AD70)-(K32)))^3/3+(ABS(G70)^2)/($I$5*MAX(((G32)+(I32)*(MAX($D$16,(AD70)-(K32))))*(MAX($D$16,(AD70)-(K32))),0.000001))</f>
        <v>338.03683729018678</v>
      </c>
      <c r="AJ70">
        <f ca="1">((G32)*(MAX($D$16,(AF70)-(K32)))^2)/2+(I32)*(MAX($D$16,(AF70)-(K32)))^3/3+(ABS(G70)^2)/($I$5*MAX(((G32)+(I32)*(MAX($D$16,(AF70)-(K32))))*(MAX($D$16,(AF70)-(K32))),0.000001))</f>
        <v>519.58480272613974</v>
      </c>
      <c r="AK70" t="str">
        <f t="shared" ca="1" si="5"/>
        <v>Supercritical</v>
      </c>
      <c r="AL70" t="str">
        <f t="shared" ca="1" si="6"/>
        <v>Supercritical</v>
      </c>
      <c r="AM70">
        <f t="shared" ca="1" si="7"/>
        <v>634.35621527526564</v>
      </c>
      <c r="AN70">
        <f t="shared" ca="1" si="8"/>
        <v>631.94050610358136</v>
      </c>
      <c r="AO70">
        <f t="shared" ca="1" si="9"/>
        <v>1.2638885024216506E-2</v>
      </c>
      <c r="AP70">
        <f t="shared" ca="1" si="10"/>
        <v>2.385554397130818E-2</v>
      </c>
    </row>
    <row r="71" spans="1:42" x14ac:dyDescent="0.35">
      <c r="A71">
        <v>28</v>
      </c>
      <c r="B71">
        <f t="shared" si="11"/>
        <v>1</v>
      </c>
      <c r="C71">
        <f t="shared" ca="1" si="12"/>
        <v>0.98</v>
      </c>
      <c r="D71">
        <f t="shared" ca="1" si="13"/>
        <v>634.35621527526564</v>
      </c>
      <c r="E71">
        <f t="shared" ca="1" si="14"/>
        <v>631.94050610358136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 ca="1">IF(AND(N7="None",N8="None"),0,IF(N8="None",G71,IF(N7="None",0,MAX(0,G71*C71))))</f>
        <v>49.98</v>
      </c>
      <c r="J71">
        <f ca="1">IF(AND(N7="None",N8="None"),0,IF(N8="None",0,IF(N7="None",G71,MAX(0,G71-I71))))</f>
        <v>1.0200000000000031</v>
      </c>
      <c r="K71">
        <f>P5</f>
        <v>637</v>
      </c>
      <c r="L71">
        <f>P6</f>
        <v>634.3119999999999</v>
      </c>
      <c r="M71">
        <f>P7</f>
        <v>635.5</v>
      </c>
      <c r="N71">
        <f>P8</f>
        <v>631.54999999999995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-2091.5872404992097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640.05397805979817</v>
      </c>
      <c r="Q71">
        <f ca="1">L71+((ABS(H71)/MAX(((G33)+(I33)*(MAX($D$16,(L71)-(K33))))*(MAX($D$16,(L71)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AC71)-(J33))))*(MAX($D$16,(AC71)-(J33))),0.000001)),$D$9*((((ABS(H71)/MAX(((G33)+(I33)*(MAX($D$16,(L71)-(K33))))*(MAX($D$16,(L71)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L71)-(K33))))*(MAX($D$16,(L71)-(K33))),0.000001))^2)/(2*$I$5)))))+($D$10*(ABS((X33)-(W33))/90)*MAX(((ABS(H71)/MAX(((F33)+(H33)*(MAX($D$16,(AC71)-(J33))))*(MAX($D$16,(AC71)-(J33))),0.000001))^2)/(2*$I$5),((ABS(H71)/MAX(((G33)+(I33)*(MAX($D$16,(L71)-(K33))))*(MAX($D$16,(L71)-(K33))),0.000001))^2)/(2*$I$5)))+(($D$11*0.00000015*(ABS(G71)/MAX(ABS(F71),0.000001))^2*MAX(((ABS(H71)/MAX(((F33)+(H33)*(MAX($D$16,(AC71)-(J33))))*(MAX($D$16,(AC71)-(J33))),0.000001))^2)/(2*$I$5),((ABS(H71)/MAX(((G33)+(I33)*(MAX($D$16,(L71)-(K33))))*(MAX($D$16,(L71)-(K33))),0.000001))^2)/(2*$I$5))))-((ABS(H71)/MAX(((F33)+(H33)*(MAX($D$16,(AC71)-(J33))))*(MAX($D$16,(AC71)-(J33))),0.000001))^2)/(2*$I$5)</f>
        <v>634.3119999999999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-292118.81246378768</v>
      </c>
      <c r="S71">
        <f ca="1">M71+((ABS(I71)/MAX(((G34)+(I34)*(MAX($D$16,(M71)-(K34))))*(MAX($D$16,(M71)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AD71)-(J34))))*(MAX($D$16,(AD71)-(J34))),0.000001)),$D$9*((((ABS(I71)/MAX(((G34)+(I34)*(MAX($D$16,(M71)-(K34))))*(MAX($D$16,(M71)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M71)-(K34))))*(MAX($D$16,(M71)-(K34))),0.000001))^2)/(2*$I$5)))))+($D$10*(ABS((X34)-(W34))/90)*MAX(((ABS(I71)/MAX(((F34)+(H34)*(MAX($D$16,(AD71)-(J34))))*(MAX($D$16,(AD71)-(J34))),0.000001))^2)/(2*$I$5),((ABS(I71)/MAX(((G34)+(I34)*(MAX($D$16,(M71)-(K34))))*(MAX($D$16,(M71)-(K34))),0.000001))^2)/(2*$I$5)))+(0)-((ABS(I71)/MAX(((F34)+(H34)*(MAX($D$16,(AD71)-(J34))))*(MAX($D$16,(AD71)-(J34))),0.000001))^2)/(2*$I$5)</f>
        <v>635.51128720958343</v>
      </c>
      <c r="T71">
        <f ca="1">N71+((ABS(J71)/MAX(((G35)+(I35)*(MAX($D$16,(N71)-(K35))))*(MAX($D$16,(N71)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AD71)-(J35))))*(MAX($D$16,(AD71)-(J35))),0.000001)),$D$9*((((ABS(J71)/MAX(((G35)+(I35)*(MAX($D$16,(N71)-(K35))))*(MAX($D$16,(N71)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N71)-(K35))))*(MAX($D$16,(N71)-(K35))),0.000001))^2)/(2*$I$5)))))+($D$10*(ABS((X35)-(W35))/90)*MAX(((ABS(J71)/MAX(((F35)+(H35)*(MAX($D$16,(AD71)-(J35))))*(MAX($D$16,(AD71)-(J35))),0.000001))^2)/(2*$I$5),((ABS(J71)/MAX(((G35)+(I35)*(MAX($D$16,(N71)-(K35))))*(MAX($D$16,(N71)-(K35))),0.000001))^2)/(2*$I$5)))+(($D$11*0.34699541*(ABS(I71)/MAX(ABS(G71),0.000001))^2*MAX(((ABS(J71)/MAX(((F35)+(H35)*(MAX($D$16,(AD71)-(J35))))*(MAX($D$16,(AD71)-(J35))),0.000001))^2)/(2*$I$5),((ABS(J71)/MAX(((G35)+(I35)*(MAX($D$16,(N71)-(K35))))*(MAX($D$16,(N71)-(K35))),0.000001))^2)/(2*$I$5))))-((ABS(J71)/MAX(((F35)+(H35)*(MAX($D$16,(AD71)-(J35))))*(MAX($D$16,(AD71)-(J35))),0.000001))^2)/(2*$I$5)</f>
        <v>639.97429104455466</v>
      </c>
      <c r="U71">
        <f ca="1">((((G31)*(MAX($D$16,(AE71)-(K31)))^2)/2+(I31)*(MAX($D$16,(AE71)-(K31)))^3/3+(ABS(F71)^2)/($I$5*MAX(((G31)+(I31)*(MAX($D$16,(AE71)-(K31))))*(MAX($D$16,(AE71)-(K31))),0.000001)))-(IF(N6="None",((((F32)*(MAX($D$16,(AE71)-(J32)))^2)/2+(H32)*(MAX($D$16,(AE71)-(J32)))^3/3+(ABS(G71)^2)/($I$5*MAX(((F32)+(H32)*(MAX($D$16,(AE71)-(J32))))*(MAX($D$16,(AE71)-(J32))),0.000001)))*0.72785025),(((((F32)*(MAX($D$16,(AE71)-(J32)))^2)/2+(H32)*(MAX($D$16,(AE71)-(J32)))^3/3+(ABS(G71)^2)/($I$5*MAX(((F32)+(H32)*(MAX($D$16,(AE71)-(J32))))*(MAX($D$16,(AE71)-(J32))),0.000001)))*0.72785025)+((((F33)*(MAX($D$16,(AE71)-(J33)))^2)/2+(H33)*(MAX($D$16,(AE71)-(J33)))^3/3+(ABS(H71)^2)/($I$5*MAX(((F33)+(H33)*(MAX($D$16,(AE71)-(J33))))*(MAX($D$16,(AE71)-(J33))),0.000001)))*0.99999971)))))/MAX(((G31)*(MAX($D$16,(AE71)-(K31)))^2)/2+(I31)*(MAX($D$16,(AE71)-(K31)))^3/3+(ABS(F71)^2)/($I$5*MAX(((G31)+(I31)*(MAX($D$16,(AE71)-(K31))))*(MAX($D$16,(AE71)-(K31))),0.000001)),0.000001)</f>
        <v>0.27214975000000002</v>
      </c>
      <c r="V71">
        <f ca="1">((((G32)*(MAX($D$16,(AF71)-(K32)))^2)/2+(I32)*(MAX($D$16,(AF71)-(K32)))^3/3+(ABS(G71)^2)/($I$5*MAX(((G32)+(I32)*(MAX($D$16,(AF71)-(K32))))*(MAX($D$16,(AF71)-(K32))),0.000001)))-(IF(AND(N7="None",N8="None"),0,IF(N8="None",((((F34)*(MAX($D$16,(AF71)-(J34)))^2)/2+(H34)*(MAX($D$16,(AF71)-(J34)))^3/3+(ABS(I71)^2)/($I$5*MAX(((F34)+(H34)*(MAX($D$16,(AF71)-(J34))))*(MAX($D$16,(AF71)-(J34))),0.000001)))*1),IF(N7="None",((((F35)*(MAX($D$16,(AF71)-(J35)))^2)/2+(H35)*(MAX($D$16,(AF71)-(J35)))^3/3+(ABS(J71)^2)/($I$5*MAX(((F35)+(H35)*(MAX($D$16,(AF71)-(J35))))*(MAX($D$16,(AF71)-(J35))),0.000001)))*0.30600918),(((((F34)*(MAX($D$16,(AF71)-(J34)))^2)/2+(H34)*(MAX($D$16,(AF71)-(J34)))^3/3+(ABS(I71)^2)/($I$5*MAX(((F34)+(H34)*(MAX($D$16,(AF71)-(J34))))*(MAX($D$16,(AF71)-(J34))),0.000001)))*1)+((((F35)*(MAX($D$16,(AF71)-(J35)))^2)/2+(H35)*(MAX($D$16,(AF71)-(J35)))^3/3+(ABS(J71)^2)/($I$5*MAX(((F35)+(H35)*(MAX($D$16,(AF71)-(J35))))*(MAX($D$16,(AF71)-(J35))),0.000001)))*0.30600918)))))))/MAX(((G32)*(MAX($D$16,(AF71)-(K32)))^2)/2+(I32)*(MAX($D$16,(AF71)-(K32)))^3/3+(ABS(G71)^2)/($I$5*MAX(((G32)+(I32)*(MAX($D$16,(AF71)-(K32))))*(MAX($D$16,(AF71)-(K32))),0.000001)),0.000001)</f>
        <v>3.904177561081449E-2</v>
      </c>
      <c r="W71">
        <f ca="1">ABS((IF(N6="None",P71,MAX(P71,Q71)))-D71)</f>
        <v>5.6977627845325287</v>
      </c>
      <c r="X71">
        <f ca="1">ABS((IF(AND(N7="None",N8="None"),E71,IF(N8="None",S71,IF(N7="None",T71,MAX(S71,T71)))))-E71)</f>
        <v>8.0337849409733053</v>
      </c>
      <c r="Y71">
        <f>IF(N6="None",1,MIN(0.98,MAX(0.02,B71+$D$14*((Q71-P71)/MAX(ABS(D71),1)))))</f>
        <v>1</v>
      </c>
      <c r="Z71">
        <f ca="1">IF(AND(N7="None",N8="None"),C71,IF(N8="None",1,IF(N7="None",0,MIN(0.98,MAX(0.02,C71+$D$14*((T71-S71)/MAX(ABS(E71),1)))))))</f>
        <v>0.98</v>
      </c>
      <c r="AA71">
        <f t="shared" ca="1" si="3"/>
        <v>636.35070422951162</v>
      </c>
      <c r="AB71">
        <f t="shared" ca="1" si="4"/>
        <v>634.75267158898612</v>
      </c>
      <c r="AC71">
        <f ca="1">IF($D$20=0,D71,IF(AC71=0,(IF(N6="None",P71,MAX(P71,Q71))),IF(ABS((IF(N6="None",P71,MAX(P71,Q71)))-AC71)&lt;$D$19,AC71,MAX((K31)+$D$16,AC71+$D$13*(((IF(N6="None",P71,MAX(P71,Q71)))-AC71))))))</f>
        <v>640.05475514453997</v>
      </c>
      <c r="AD71">
        <f ca="1">IF($D$20=0,E71,IF(AD71=0,(IF(AND(N7="None",N8="None"),E71,IF(N8="None",S71,IF(N7="None",T71,MAX(S71,T71))))),IF(ABS((IF(AND(N7="None",N8="None"),E71,IF(N8="None",S71,IF(N7="None",T71,MAX(S71,T71)))))-AD71)&lt;$D$19,AD71,MAX((K32)+$D$16,AD71+$D$13*(((IF(AND(N7="None",N8="None"),E71,IF(N8="None",S71,IF(N7="None",T71,MAX(S71,T71)))))-AD71))))))</f>
        <v>639.97526463330917</v>
      </c>
      <c r="AE71">
        <f ca="1">IF($D$20=0,D71,IF(AE71=0,O71,IF(ABS(U71)&lt;$D$19,AE71,MAX((K31)+$D$16,AE71+($D$13*(((O71)-AE71)+(U71*MAX(ABS(AE71-(K31)),1))))))))</f>
        <v>634.34799999999996</v>
      </c>
      <c r="AF71">
        <f ca="1">IF($D$20=0,E71,IF(AF71=0,R71,IF(ABS(V71)&lt;$D$19,AF71,MAX((K32)+$D$16,AF71+($D$13*(((R71)-AF71)+(V71*MAX(ABS(AF71-(K32)),1))))))))</f>
        <v>631.92499999999995</v>
      </c>
      <c r="AG71">
        <f ca="1">((G31)*(MAX($D$16,(AC71)-(K31)))^2)/2+(I31)*(MAX($D$16,(AC71)-(K31)))^3/3+(ABS(F71)^2)/($I$5*MAX(((G31)+(I31)*(MAX($D$16,(AC71)-(K31))))*(MAX($D$16,(AC71)-(K31))),0.000001))</f>
        <v>115.68980551184316</v>
      </c>
      <c r="AH71">
        <f ca="1">((G31)*(MAX($D$16,(AE71)-(K31)))^2)/2+(I31)*(MAX($D$16,(AE71)-(K31)))^3/3+(ABS(F71)^2)/($I$5*MAX(((G31)+(I31)*(MAX($D$16,(AE71)-(K31))))*(MAX($D$16,(AE71)-(K31))),0.000001))</f>
        <v>808.60110594434002</v>
      </c>
      <c r="AI71">
        <f ca="1">((G32)*(MAX($D$16,(AD71)-(K32)))^2)/2+(I32)*(MAX($D$16,(AD71)-(K32)))^3/3+(ABS(G71)^2)/($I$5*MAX(((G32)+(I32)*(MAX($D$16,(AD71)-(K32))))*(MAX($D$16,(AD71)-(K32))),0.000001))</f>
        <v>338.03683729018678</v>
      </c>
      <c r="AJ71">
        <f ca="1">((G32)*(MAX($D$16,(AF71)-(K32)))^2)/2+(I32)*(MAX($D$16,(AF71)-(K32)))^3/3+(ABS(G71)^2)/($I$5*MAX(((G32)+(I32)*(MAX($D$16,(AF71)-(K32))))*(MAX($D$16,(AF71)-(K32))),0.000001))</f>
        <v>519.58480272613974</v>
      </c>
      <c r="AK71" t="str">
        <f t="shared" ca="1" si="5"/>
        <v>Supercritical</v>
      </c>
      <c r="AL71" t="str">
        <f t="shared" ca="1" si="6"/>
        <v>Supercritical</v>
      </c>
      <c r="AM71">
        <f t="shared" ca="1" si="7"/>
        <v>634.35333992892265</v>
      </c>
      <c r="AN71">
        <f t="shared" ca="1" si="8"/>
        <v>631.93507896732785</v>
      </c>
      <c r="AO71">
        <f t="shared" ca="1" si="9"/>
        <v>8.2152752656838857E-3</v>
      </c>
      <c r="AP71">
        <f t="shared" ca="1" si="10"/>
        <v>1.5506103581401476E-2</v>
      </c>
    </row>
    <row r="72" spans="1:42" x14ac:dyDescent="0.35">
      <c r="A72">
        <v>29</v>
      </c>
      <c r="B72">
        <f t="shared" si="11"/>
        <v>1</v>
      </c>
      <c r="C72">
        <f t="shared" ca="1" si="12"/>
        <v>0.98</v>
      </c>
      <c r="D72">
        <f t="shared" ca="1" si="13"/>
        <v>634.35333992892265</v>
      </c>
      <c r="E72">
        <f t="shared" ca="1" si="14"/>
        <v>631.93507896732785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 ca="1">IF(AND(N7="None",N8="None"),0,IF(N8="None",G72,IF(N7="None",0,MAX(0,G72*C72))))</f>
        <v>49.98</v>
      </c>
      <c r="J72">
        <f ca="1">IF(AND(N7="None",N8="None"),0,IF(N8="None",0,IF(N7="None",G72,MAX(0,G72-I72))))</f>
        <v>1.0200000000000031</v>
      </c>
      <c r="K72">
        <f>P5</f>
        <v>637</v>
      </c>
      <c r="L72">
        <f>P6</f>
        <v>634.3119999999999</v>
      </c>
      <c r="M72">
        <f>P7</f>
        <v>635.5</v>
      </c>
      <c r="N72">
        <f>P8</f>
        <v>631.54999999999995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-2091.5872404992097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640.05397805979817</v>
      </c>
      <c r="Q72">
        <f ca="1">L72+((ABS(H72)/MAX(((G33)+(I33)*(MAX($D$16,(L72)-(K33))))*(MAX($D$16,(L72)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AC72)-(J33))))*(MAX($D$16,(AC72)-(J33))),0.000001)),$D$9*((((ABS(H72)/MAX(((G33)+(I33)*(MAX($D$16,(L72)-(K33))))*(MAX($D$16,(L72)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L72)-(K33))))*(MAX($D$16,(L72)-(K33))),0.000001))^2)/(2*$I$5)))))+($D$10*(ABS((X33)-(W33))/90)*MAX(((ABS(H72)/MAX(((F33)+(H33)*(MAX($D$16,(AC72)-(J33))))*(MAX($D$16,(AC72)-(J33))),0.000001))^2)/(2*$I$5),((ABS(H72)/MAX(((G33)+(I33)*(MAX($D$16,(L72)-(K33))))*(MAX($D$16,(L72)-(K33))),0.000001))^2)/(2*$I$5)))+(($D$11*0.00000015*(ABS(G72)/MAX(ABS(F72),0.000001))^2*MAX(((ABS(H72)/MAX(((F33)+(H33)*(MAX($D$16,(AC72)-(J33))))*(MAX($D$16,(AC72)-(J33))),0.000001))^2)/(2*$I$5),((ABS(H72)/MAX(((G33)+(I33)*(MAX($D$16,(L72)-(K33))))*(MAX($D$16,(L72)-(K33))),0.000001))^2)/(2*$I$5))))-((ABS(H72)/MAX(((F33)+(H33)*(MAX($D$16,(AC72)-(J33))))*(MAX($D$16,(AC72)-(J33))),0.000001))^2)/(2*$I$5)</f>
        <v>634.3119999999999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-292118.81246378768</v>
      </c>
      <c r="S72">
        <f ca="1">M72+((ABS(I72)/MAX(((G34)+(I34)*(MAX($D$16,(M72)-(K34))))*(MAX($D$16,(M72)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AD72)-(J34))))*(MAX($D$16,(AD72)-(J34))),0.000001)),$D$9*((((ABS(I72)/MAX(((G34)+(I34)*(MAX($D$16,(M72)-(K34))))*(MAX($D$16,(M72)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M72)-(K34))))*(MAX($D$16,(M72)-(K34))),0.000001))^2)/(2*$I$5)))))+($D$10*(ABS((X34)-(W34))/90)*MAX(((ABS(I72)/MAX(((F34)+(H34)*(MAX($D$16,(AD72)-(J34))))*(MAX($D$16,(AD72)-(J34))),0.000001))^2)/(2*$I$5),((ABS(I72)/MAX(((G34)+(I34)*(MAX($D$16,(M72)-(K34))))*(MAX($D$16,(M72)-(K34))),0.000001))^2)/(2*$I$5)))+(0)-((ABS(I72)/MAX(((F34)+(H34)*(MAX($D$16,(AD72)-(J34))))*(MAX($D$16,(AD72)-(J34))),0.000001))^2)/(2*$I$5)</f>
        <v>635.51128720958343</v>
      </c>
      <c r="T72">
        <f ca="1">N72+((ABS(J72)/MAX(((G35)+(I35)*(MAX($D$16,(N72)-(K35))))*(MAX($D$16,(N72)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AD72)-(J35))))*(MAX($D$16,(AD72)-(J35))),0.000001)),$D$9*((((ABS(J72)/MAX(((G35)+(I35)*(MAX($D$16,(N72)-(K35))))*(MAX($D$16,(N72)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N72)-(K35))))*(MAX($D$16,(N72)-(K35))),0.000001))^2)/(2*$I$5)))))+($D$10*(ABS((X35)-(W35))/90)*MAX(((ABS(J72)/MAX(((F35)+(H35)*(MAX($D$16,(AD72)-(J35))))*(MAX($D$16,(AD72)-(J35))),0.000001))^2)/(2*$I$5),((ABS(J72)/MAX(((G35)+(I35)*(MAX($D$16,(N72)-(K35))))*(MAX($D$16,(N72)-(K35))),0.000001))^2)/(2*$I$5)))+(($D$11*0.34699541*(ABS(I72)/MAX(ABS(G72),0.000001))^2*MAX(((ABS(J72)/MAX(((F35)+(H35)*(MAX($D$16,(AD72)-(J35))))*(MAX($D$16,(AD72)-(J35))),0.000001))^2)/(2*$I$5),((ABS(J72)/MAX(((G35)+(I35)*(MAX($D$16,(N72)-(K35))))*(MAX($D$16,(N72)-(K35))),0.000001))^2)/(2*$I$5))))-((ABS(J72)/MAX(((F35)+(H35)*(MAX($D$16,(AD72)-(J35))))*(MAX($D$16,(AD72)-(J35))),0.000001))^2)/(2*$I$5)</f>
        <v>639.97429104455466</v>
      </c>
      <c r="U72">
        <f ca="1">((((G31)*(MAX($D$16,(AE72)-(K31)))^2)/2+(I31)*(MAX($D$16,(AE72)-(K31)))^3/3+(ABS(F72)^2)/($I$5*MAX(((G31)+(I31)*(MAX($D$16,(AE72)-(K31))))*(MAX($D$16,(AE72)-(K31))),0.000001)))-(IF(N6="None",((((F32)*(MAX($D$16,(AE72)-(J32)))^2)/2+(H32)*(MAX($D$16,(AE72)-(J32)))^3/3+(ABS(G72)^2)/($I$5*MAX(((F32)+(H32)*(MAX($D$16,(AE72)-(J32))))*(MAX($D$16,(AE72)-(J32))),0.000001)))*0.72785025),(((((F32)*(MAX($D$16,(AE72)-(J32)))^2)/2+(H32)*(MAX($D$16,(AE72)-(J32)))^3/3+(ABS(G72)^2)/($I$5*MAX(((F32)+(H32)*(MAX($D$16,(AE72)-(J32))))*(MAX($D$16,(AE72)-(J32))),0.000001)))*0.72785025)+((((F33)*(MAX($D$16,(AE72)-(J33)))^2)/2+(H33)*(MAX($D$16,(AE72)-(J33)))^3/3+(ABS(H72)^2)/($I$5*MAX(((F33)+(H33)*(MAX($D$16,(AE72)-(J33))))*(MAX($D$16,(AE72)-(J33))),0.000001)))*0.99999971)))))/MAX(((G31)*(MAX($D$16,(AE72)-(K31)))^2)/2+(I31)*(MAX($D$16,(AE72)-(K31)))^3/3+(ABS(F72)^2)/($I$5*MAX(((G31)+(I31)*(MAX($D$16,(AE72)-(K31))))*(MAX($D$16,(AE72)-(K31))),0.000001)),0.000001)</f>
        <v>0.27214975000000002</v>
      </c>
      <c r="V72">
        <f ca="1">((((G32)*(MAX($D$16,(AF72)-(K32)))^2)/2+(I32)*(MAX($D$16,(AF72)-(K32)))^3/3+(ABS(G72)^2)/($I$5*MAX(((G32)+(I32)*(MAX($D$16,(AF72)-(K32))))*(MAX($D$16,(AF72)-(K32))),0.000001)))-(IF(AND(N7="None",N8="None"),0,IF(N8="None",((((F34)*(MAX($D$16,(AF72)-(J34)))^2)/2+(H34)*(MAX($D$16,(AF72)-(J34)))^3/3+(ABS(I72)^2)/($I$5*MAX(((F34)+(H34)*(MAX($D$16,(AF72)-(J34))))*(MAX($D$16,(AF72)-(J34))),0.000001)))*1),IF(N7="None",((((F35)*(MAX($D$16,(AF72)-(J35)))^2)/2+(H35)*(MAX($D$16,(AF72)-(J35)))^3/3+(ABS(J72)^2)/($I$5*MAX(((F35)+(H35)*(MAX($D$16,(AF72)-(J35))))*(MAX($D$16,(AF72)-(J35))),0.000001)))*0.30600918),(((((F34)*(MAX($D$16,(AF72)-(J34)))^2)/2+(H34)*(MAX($D$16,(AF72)-(J34)))^3/3+(ABS(I72)^2)/($I$5*MAX(((F34)+(H34)*(MAX($D$16,(AF72)-(J34))))*(MAX($D$16,(AF72)-(J34))),0.000001)))*1)+((((F35)*(MAX($D$16,(AF72)-(J35)))^2)/2+(H35)*(MAX($D$16,(AF72)-(J35)))^3/3+(ABS(J72)^2)/($I$5*MAX(((F35)+(H35)*(MAX($D$16,(AF72)-(J35))))*(MAX($D$16,(AF72)-(J35))),0.000001)))*0.30600918)))))))/MAX(((G32)*(MAX($D$16,(AF72)-(K32)))^2)/2+(I32)*(MAX($D$16,(AF72)-(K32)))^3/3+(ABS(G72)^2)/($I$5*MAX(((G32)+(I32)*(MAX($D$16,(AF72)-(K32))))*(MAX($D$16,(AF72)-(K32))),0.000001)),0.000001)</f>
        <v>3.904177561081449E-2</v>
      </c>
      <c r="W72">
        <f ca="1">ABS((IF(N6="None",P72,MAX(P72,Q72)))-D72)</f>
        <v>5.7006381308755181</v>
      </c>
      <c r="X72">
        <f ca="1">ABS((IF(AND(N7="None",N8="None"),E72,IF(N8="None",S72,IF(N7="None",T72,MAX(S72,T72)))))-E72)</f>
        <v>8.0392120772268072</v>
      </c>
      <c r="Y72">
        <f>IF(N6="None",1,MIN(0.98,MAX(0.02,B72+$D$14*((Q72-P72)/MAX(ABS(D72),1)))))</f>
        <v>1</v>
      </c>
      <c r="Z72">
        <f ca="1">IF(AND(N7="None",N8="None"),C72,IF(N8="None",1,IF(N7="None",0,MIN(0.98,MAX(0.02,C72+$D$14*((T72-S72)/MAX(ABS(E72),1)))))))</f>
        <v>0.98</v>
      </c>
      <c r="AA72">
        <f t="shared" ca="1" si="3"/>
        <v>636.34883525438875</v>
      </c>
      <c r="AB72">
        <f t="shared" ca="1" si="4"/>
        <v>634.74914395042128</v>
      </c>
      <c r="AC72">
        <f ca="1">IF($D$20=0,D72,IF(AC72=0,(IF(N6="None",P72,MAX(P72,Q72))),IF(ABS((IF(N6="None",P72,MAX(P72,Q72)))-AC72)&lt;$D$19,AC72,MAX((K31)+$D$16,AC72+$D$13*(((IF(N6="None",P72,MAX(P72,Q72)))-AC72))))))</f>
        <v>640.05475514453997</v>
      </c>
      <c r="AD72">
        <f ca="1">IF($D$20=0,E72,IF(AD72=0,(IF(AND(N7="None",N8="None"),E72,IF(N8="None",S72,IF(N7="None",T72,MAX(S72,T72))))),IF(ABS((IF(AND(N7="None",N8="None"),E72,IF(N8="None",S72,IF(N7="None",T72,MAX(S72,T72)))))-AD72)&lt;$D$19,AD72,MAX((K32)+$D$16,AD72+$D$13*(((IF(AND(N7="None",N8="None"),E72,IF(N8="None",S72,IF(N7="None",T72,MAX(S72,T72)))))-AD72))))))</f>
        <v>639.97526463330917</v>
      </c>
      <c r="AE72">
        <f ca="1">IF($D$20=0,D72,IF(AE72=0,O72,IF(ABS(U72)&lt;$D$19,AE72,MAX((K31)+$D$16,AE72+($D$13*(((O72)-AE72)+(U72*MAX(ABS(AE72-(K31)),1))))))))</f>
        <v>634.34799999999996</v>
      </c>
      <c r="AF72">
        <f ca="1">IF($D$20=0,E72,IF(AF72=0,R72,IF(ABS(V72)&lt;$D$19,AF72,MAX((K32)+$D$16,AF72+($D$13*(((R72)-AF72)+(V72*MAX(ABS(AF72-(K32)),1))))))))</f>
        <v>631.92499999999995</v>
      </c>
      <c r="AG72">
        <f ca="1">((G31)*(MAX($D$16,(AC72)-(K31)))^2)/2+(I31)*(MAX($D$16,(AC72)-(K31)))^3/3+(ABS(F72)^2)/($I$5*MAX(((G31)+(I31)*(MAX($D$16,(AC72)-(K31))))*(MAX($D$16,(AC72)-(K31))),0.000001))</f>
        <v>115.68980551184316</v>
      </c>
      <c r="AH72">
        <f ca="1">((G31)*(MAX($D$16,(AE72)-(K31)))^2)/2+(I31)*(MAX($D$16,(AE72)-(K31)))^3/3+(ABS(F72)^2)/($I$5*MAX(((G31)+(I31)*(MAX($D$16,(AE72)-(K31))))*(MAX($D$16,(AE72)-(K31))),0.000001))</f>
        <v>808.60110594434002</v>
      </c>
      <c r="AI72">
        <f ca="1">((G32)*(MAX($D$16,(AD72)-(K32)))^2)/2+(I32)*(MAX($D$16,(AD72)-(K32)))^3/3+(ABS(G72)^2)/($I$5*MAX(((G32)+(I32)*(MAX($D$16,(AD72)-(K32))))*(MAX($D$16,(AD72)-(K32))),0.000001))</f>
        <v>338.03683729018678</v>
      </c>
      <c r="AJ72">
        <f ca="1">((G32)*(MAX($D$16,(AF72)-(K32)))^2)/2+(I32)*(MAX($D$16,(AF72)-(K32)))^3/3+(ABS(G72)^2)/($I$5*MAX(((G32)+(I32)*(MAX($D$16,(AF72)-(K32))))*(MAX($D$16,(AF72)-(K32))),0.000001))</f>
        <v>519.58480272613974</v>
      </c>
      <c r="AK72" t="str">
        <f t="shared" ca="1" si="5"/>
        <v>Supercritical</v>
      </c>
      <c r="AL72" t="str">
        <f t="shared" ca="1" si="6"/>
        <v>Supercritical</v>
      </c>
      <c r="AM72">
        <f t="shared" ca="1" si="7"/>
        <v>634.35147095379966</v>
      </c>
      <c r="AN72">
        <f t="shared" ca="1" si="8"/>
        <v>631.93155132876313</v>
      </c>
      <c r="AO72">
        <f t="shared" ca="1" si="9"/>
        <v>5.3399289226945257E-3</v>
      </c>
      <c r="AP72">
        <f t="shared" ca="1" si="10"/>
        <v>1.0078967327899591E-2</v>
      </c>
    </row>
    <row r="73" spans="1:42" x14ac:dyDescent="0.35">
      <c r="A73">
        <v>30</v>
      </c>
      <c r="B73">
        <f t="shared" si="11"/>
        <v>1</v>
      </c>
      <c r="C73">
        <f t="shared" ca="1" si="12"/>
        <v>0.98</v>
      </c>
      <c r="D73">
        <f t="shared" ca="1" si="13"/>
        <v>634.35147095379966</v>
      </c>
      <c r="E73">
        <f t="shared" ca="1" si="14"/>
        <v>631.93155132876313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 ca="1">IF(AND(N7="None",N8="None"),0,IF(N8="None",G73,IF(N7="None",0,MAX(0,G73*C73))))</f>
        <v>49.98</v>
      </c>
      <c r="J73">
        <f ca="1">IF(AND(N7="None",N8="None"),0,IF(N8="None",0,IF(N7="None",G73,MAX(0,G73-I73))))</f>
        <v>1.0200000000000031</v>
      </c>
      <c r="K73">
        <f>P5</f>
        <v>637</v>
      </c>
      <c r="L73">
        <f>P6</f>
        <v>634.3119999999999</v>
      </c>
      <c r="M73">
        <f>P7</f>
        <v>635.5</v>
      </c>
      <c r="N73">
        <f>P8</f>
        <v>631.54999999999995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-2091.5872404992097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640.05397805979817</v>
      </c>
      <c r="Q73">
        <f ca="1">L73+((ABS(H73)/MAX(((G33)+(I33)*(MAX($D$16,(L73)-(K33))))*(MAX($D$16,(L73)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AC73)-(J33))))*(MAX($D$16,(AC73)-(J33))),0.000001)),$D$9*((((ABS(H73)/MAX(((G33)+(I33)*(MAX($D$16,(L73)-(K33))))*(MAX($D$16,(L73)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L73)-(K33))))*(MAX($D$16,(L73)-(K33))),0.000001))^2)/(2*$I$5)))))+($D$10*(ABS((X33)-(W33))/90)*MAX(((ABS(H73)/MAX(((F33)+(H33)*(MAX($D$16,(AC73)-(J33))))*(MAX($D$16,(AC73)-(J33))),0.000001))^2)/(2*$I$5),((ABS(H73)/MAX(((G33)+(I33)*(MAX($D$16,(L73)-(K33))))*(MAX($D$16,(L73)-(K33))),0.000001))^2)/(2*$I$5)))+(($D$11*0.00000015*(ABS(G73)/MAX(ABS(F73),0.000001))^2*MAX(((ABS(H73)/MAX(((F33)+(H33)*(MAX($D$16,(AC73)-(J33))))*(MAX($D$16,(AC73)-(J33))),0.000001))^2)/(2*$I$5),((ABS(H73)/MAX(((G33)+(I33)*(MAX($D$16,(L73)-(K33))))*(MAX($D$16,(L73)-(K33))),0.000001))^2)/(2*$I$5))))-((ABS(H73)/MAX(((F33)+(H33)*(MAX($D$16,(AC73)-(J33))))*(MAX($D$16,(AC73)-(J33))),0.000001))^2)/(2*$I$5)</f>
        <v>634.3119999999999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-292118.81246378768</v>
      </c>
      <c r="S73">
        <f ca="1">M73+((ABS(I73)/MAX(((G34)+(I34)*(MAX($D$16,(M73)-(K34))))*(MAX($D$16,(M73)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AD73)-(J34))))*(MAX($D$16,(AD73)-(J34))),0.000001)),$D$9*((((ABS(I73)/MAX(((G34)+(I34)*(MAX($D$16,(M73)-(K34))))*(MAX($D$16,(M73)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M73)-(K34))))*(MAX($D$16,(M73)-(K34))),0.000001))^2)/(2*$I$5)))))+($D$10*(ABS((X34)-(W34))/90)*MAX(((ABS(I73)/MAX(((F34)+(H34)*(MAX($D$16,(AD73)-(J34))))*(MAX($D$16,(AD73)-(J34))),0.000001))^2)/(2*$I$5),((ABS(I73)/MAX(((G34)+(I34)*(MAX($D$16,(M73)-(K34))))*(MAX($D$16,(M73)-(K34))),0.000001))^2)/(2*$I$5)))+(0)-((ABS(I73)/MAX(((F34)+(H34)*(MAX($D$16,(AD73)-(J34))))*(MAX($D$16,(AD73)-(J34))),0.000001))^2)/(2*$I$5)</f>
        <v>635.51128720958343</v>
      </c>
      <c r="T73">
        <f ca="1">N73+((ABS(J73)/MAX(((G35)+(I35)*(MAX($D$16,(N73)-(K35))))*(MAX($D$16,(N73)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AD73)-(J35))))*(MAX($D$16,(AD73)-(J35))),0.000001)),$D$9*((((ABS(J73)/MAX(((G35)+(I35)*(MAX($D$16,(N73)-(K35))))*(MAX($D$16,(N73)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N73)-(K35))))*(MAX($D$16,(N73)-(K35))),0.000001))^2)/(2*$I$5)))))+($D$10*(ABS((X35)-(W35))/90)*MAX(((ABS(J73)/MAX(((F35)+(H35)*(MAX($D$16,(AD73)-(J35))))*(MAX($D$16,(AD73)-(J35))),0.000001))^2)/(2*$I$5),((ABS(J73)/MAX(((G35)+(I35)*(MAX($D$16,(N73)-(K35))))*(MAX($D$16,(N73)-(K35))),0.000001))^2)/(2*$I$5)))+(($D$11*0.34699541*(ABS(I73)/MAX(ABS(G73),0.000001))^2*MAX(((ABS(J73)/MAX(((F35)+(H35)*(MAX($D$16,(AD73)-(J35))))*(MAX($D$16,(AD73)-(J35))),0.000001))^2)/(2*$I$5),((ABS(J73)/MAX(((G35)+(I35)*(MAX($D$16,(N73)-(K35))))*(MAX($D$16,(N73)-(K35))),0.000001))^2)/(2*$I$5))))-((ABS(J73)/MAX(((F35)+(H35)*(MAX($D$16,(AD73)-(J35))))*(MAX($D$16,(AD73)-(J35))),0.000001))^2)/(2*$I$5)</f>
        <v>639.97429104455466</v>
      </c>
      <c r="U73">
        <f ca="1">((((G31)*(MAX($D$16,(AE73)-(K31)))^2)/2+(I31)*(MAX($D$16,(AE73)-(K31)))^3/3+(ABS(F73)^2)/($I$5*MAX(((G31)+(I31)*(MAX($D$16,(AE73)-(K31))))*(MAX($D$16,(AE73)-(K31))),0.000001)))-(IF(N6="None",((((F32)*(MAX($D$16,(AE73)-(J32)))^2)/2+(H32)*(MAX($D$16,(AE73)-(J32)))^3/3+(ABS(G73)^2)/($I$5*MAX(((F32)+(H32)*(MAX($D$16,(AE73)-(J32))))*(MAX($D$16,(AE73)-(J32))),0.000001)))*0.72785025),(((((F32)*(MAX($D$16,(AE73)-(J32)))^2)/2+(H32)*(MAX($D$16,(AE73)-(J32)))^3/3+(ABS(G73)^2)/($I$5*MAX(((F32)+(H32)*(MAX($D$16,(AE73)-(J32))))*(MAX($D$16,(AE73)-(J32))),0.000001)))*0.72785025)+((((F33)*(MAX($D$16,(AE73)-(J33)))^2)/2+(H33)*(MAX($D$16,(AE73)-(J33)))^3/3+(ABS(H73)^2)/($I$5*MAX(((F33)+(H33)*(MAX($D$16,(AE73)-(J33))))*(MAX($D$16,(AE73)-(J33))),0.000001)))*0.99999971)))))/MAX(((G31)*(MAX($D$16,(AE73)-(K31)))^2)/2+(I31)*(MAX($D$16,(AE73)-(K31)))^3/3+(ABS(F73)^2)/($I$5*MAX(((G31)+(I31)*(MAX($D$16,(AE73)-(K31))))*(MAX($D$16,(AE73)-(K31))),0.000001)),0.000001)</f>
        <v>0.27214975000000002</v>
      </c>
      <c r="V73">
        <f ca="1">((((G32)*(MAX($D$16,(AF73)-(K32)))^2)/2+(I32)*(MAX($D$16,(AF73)-(K32)))^3/3+(ABS(G73)^2)/($I$5*MAX(((G32)+(I32)*(MAX($D$16,(AF73)-(K32))))*(MAX($D$16,(AF73)-(K32))),0.000001)))-(IF(AND(N7="None",N8="None"),0,IF(N8="None",((((F34)*(MAX($D$16,(AF73)-(J34)))^2)/2+(H34)*(MAX($D$16,(AF73)-(J34)))^3/3+(ABS(I73)^2)/($I$5*MAX(((F34)+(H34)*(MAX($D$16,(AF73)-(J34))))*(MAX($D$16,(AF73)-(J34))),0.000001)))*1),IF(N7="None",((((F35)*(MAX($D$16,(AF73)-(J35)))^2)/2+(H35)*(MAX($D$16,(AF73)-(J35)))^3/3+(ABS(J73)^2)/($I$5*MAX(((F35)+(H35)*(MAX($D$16,(AF73)-(J35))))*(MAX($D$16,(AF73)-(J35))),0.000001)))*0.30600918),(((((F34)*(MAX($D$16,(AF73)-(J34)))^2)/2+(H34)*(MAX($D$16,(AF73)-(J34)))^3/3+(ABS(I73)^2)/($I$5*MAX(((F34)+(H34)*(MAX($D$16,(AF73)-(J34))))*(MAX($D$16,(AF73)-(J34))),0.000001)))*1)+((((F35)*(MAX($D$16,(AF73)-(J35)))^2)/2+(H35)*(MAX($D$16,(AF73)-(J35)))^3/3+(ABS(J73)^2)/($I$5*MAX(((F35)+(H35)*(MAX($D$16,(AF73)-(J35))))*(MAX($D$16,(AF73)-(J35))),0.000001)))*0.30600918)))))))/MAX(((G32)*(MAX($D$16,(AF73)-(K32)))^2)/2+(I32)*(MAX($D$16,(AF73)-(K32)))^3/3+(ABS(G73)^2)/($I$5*MAX(((G32)+(I32)*(MAX($D$16,(AF73)-(K32))))*(MAX($D$16,(AF73)-(K32))),0.000001)),0.000001)</f>
        <v>3.904177561081449E-2</v>
      </c>
      <c r="W73">
        <f ca="1">ABS((IF(N6="None",P73,MAX(P73,Q73)))-D73)</f>
        <v>5.7025071059985066</v>
      </c>
      <c r="X73">
        <f ca="1">ABS((IF(AND(N7="None",N8="None"),E73,IF(N8="None",S73,IF(N7="None",T73,MAX(S73,T73)))))-E73)</f>
        <v>8.0427397157915266</v>
      </c>
      <c r="Y73">
        <f>IF(N6="None",1,MIN(0.98,MAX(0.02,B73+$D$14*((Q73-P73)/MAX(ABS(D73),1)))))</f>
        <v>1</v>
      </c>
      <c r="Z73">
        <f ca="1">IF(AND(N7="None",N8="None"),C73,IF(N8="None",1,IF(N7="None",0,MIN(0.98,MAX(0.02,C73+$D$14*((T73-S73)/MAX(ABS(E73),1)))))))</f>
        <v>0.98</v>
      </c>
      <c r="AA73">
        <f t="shared" ca="1" si="3"/>
        <v>636.34762042055877</v>
      </c>
      <c r="AB73">
        <f t="shared" ca="1" si="4"/>
        <v>634.74685098535429</v>
      </c>
      <c r="AC73">
        <f ca="1">IF($D$20=0,D73,IF(AC73=0,(IF(N6="None",P73,MAX(P73,Q73))),IF(ABS((IF(N6="None",P73,MAX(P73,Q73)))-AC73)&lt;$D$19,AC73,MAX((K31)+$D$16,AC73+$D$13*(((IF(N6="None",P73,MAX(P73,Q73)))-AC73))))))</f>
        <v>640.05475514453997</v>
      </c>
      <c r="AD73">
        <f ca="1">IF($D$20=0,E73,IF(AD73=0,(IF(AND(N7="None",N8="None"),E73,IF(N8="None",S73,IF(N7="None",T73,MAX(S73,T73))))),IF(ABS((IF(AND(N7="None",N8="None"),E73,IF(N8="None",S73,IF(N7="None",T73,MAX(S73,T73)))))-AD73)&lt;$D$19,AD73,MAX((K32)+$D$16,AD73+$D$13*(((IF(AND(N7="None",N8="None"),E73,IF(N8="None",S73,IF(N7="None",T73,MAX(S73,T73)))))-AD73))))))</f>
        <v>639.97526463330917</v>
      </c>
      <c r="AE73">
        <f ca="1">IF($D$20=0,D73,IF(AE73=0,O73,IF(ABS(U73)&lt;$D$19,AE73,MAX((K31)+$D$16,AE73+($D$13*(((O73)-AE73)+(U73*MAX(ABS(AE73-(K31)),1))))))))</f>
        <v>634.34799999999996</v>
      </c>
      <c r="AF73">
        <f ca="1">IF($D$20=0,E73,IF(AF73=0,R73,IF(ABS(V73)&lt;$D$19,AF73,MAX((K32)+$D$16,AF73+($D$13*(((R73)-AF73)+(V73*MAX(ABS(AF73-(K32)),1))))))))</f>
        <v>631.92499999999995</v>
      </c>
      <c r="AG73">
        <f ca="1">((G31)*(MAX($D$16,(AC73)-(K31)))^2)/2+(I31)*(MAX($D$16,(AC73)-(K31)))^3/3+(ABS(F73)^2)/($I$5*MAX(((G31)+(I31)*(MAX($D$16,(AC73)-(K31))))*(MAX($D$16,(AC73)-(K31))),0.000001))</f>
        <v>115.68980551184316</v>
      </c>
      <c r="AH73">
        <f ca="1">((G31)*(MAX($D$16,(AE73)-(K31)))^2)/2+(I31)*(MAX($D$16,(AE73)-(K31)))^3/3+(ABS(F73)^2)/($I$5*MAX(((G31)+(I31)*(MAX($D$16,(AE73)-(K31))))*(MAX($D$16,(AE73)-(K31))),0.000001))</f>
        <v>808.60110594434002</v>
      </c>
      <c r="AI73">
        <f ca="1">((G32)*(MAX($D$16,(AD73)-(K32)))^2)/2+(I32)*(MAX($D$16,(AD73)-(K32)))^3/3+(ABS(G73)^2)/($I$5*MAX(((G32)+(I32)*(MAX($D$16,(AD73)-(K32))))*(MAX($D$16,(AD73)-(K32))),0.000001))</f>
        <v>338.03683729018678</v>
      </c>
      <c r="AJ73">
        <f ca="1">((G32)*(MAX($D$16,(AF73)-(K32)))^2)/2+(I32)*(MAX($D$16,(AF73)-(K32)))^3/3+(ABS(G73)^2)/($I$5*MAX(((G32)+(I32)*(MAX($D$16,(AF73)-(K32))))*(MAX($D$16,(AF73)-(K32))),0.000001))</f>
        <v>519.58480272613974</v>
      </c>
      <c r="AK73" t="str">
        <f t="shared" ca="1" si="5"/>
        <v>Supercritical</v>
      </c>
      <c r="AL73" t="str">
        <f t="shared" ca="1" si="6"/>
        <v>Supercritical</v>
      </c>
      <c r="AM73">
        <f t="shared" ca="1" si="7"/>
        <v>634.3502561199698</v>
      </c>
      <c r="AN73">
        <f t="shared" ca="1" si="8"/>
        <v>631.92925836369602</v>
      </c>
      <c r="AO73">
        <f t="shared" ca="1" si="9"/>
        <v>3.470953799705967E-3</v>
      </c>
      <c r="AP73">
        <f t="shared" ca="1" si="10"/>
        <v>6.5513287631802086E-3</v>
      </c>
    </row>
    <row r="74" spans="1:42" x14ac:dyDescent="0.35">
      <c r="A74">
        <v>31</v>
      </c>
      <c r="B74">
        <f t="shared" si="11"/>
        <v>1</v>
      </c>
      <c r="C74">
        <f t="shared" ca="1" si="12"/>
        <v>0.98</v>
      </c>
      <c r="D74">
        <f t="shared" ca="1" si="13"/>
        <v>634.3502561199698</v>
      </c>
      <c r="E74">
        <f t="shared" ca="1" si="14"/>
        <v>631.92925836369602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 ca="1">IF(AND(N7="None",N8="None"),0,IF(N8="None",G74,IF(N7="None",0,MAX(0,G74*C74))))</f>
        <v>49.98</v>
      </c>
      <c r="J74">
        <f ca="1">IF(AND(N7="None",N8="None"),0,IF(N8="None",0,IF(N7="None",G74,MAX(0,G74-I74))))</f>
        <v>1.0200000000000031</v>
      </c>
      <c r="K74">
        <f>P5</f>
        <v>637</v>
      </c>
      <c r="L74">
        <f>P6</f>
        <v>634.3119999999999</v>
      </c>
      <c r="M74">
        <f>P7</f>
        <v>635.5</v>
      </c>
      <c r="N74">
        <f>P8</f>
        <v>631.54999999999995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-2091.5872404992097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640.05397805979817</v>
      </c>
      <c r="Q74">
        <f ca="1">L74+((ABS(H74)/MAX(((G33)+(I33)*(MAX($D$16,(L74)-(K33))))*(MAX($D$16,(L74)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AC74)-(J33))))*(MAX($D$16,(AC74)-(J33))),0.000001)),$D$9*((((ABS(H74)/MAX(((G33)+(I33)*(MAX($D$16,(L74)-(K33))))*(MAX($D$16,(L74)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L74)-(K33))))*(MAX($D$16,(L74)-(K33))),0.000001))^2)/(2*$I$5)))))+($D$10*(ABS((X33)-(W33))/90)*MAX(((ABS(H74)/MAX(((F33)+(H33)*(MAX($D$16,(AC74)-(J33))))*(MAX($D$16,(AC74)-(J33))),0.000001))^2)/(2*$I$5),((ABS(H74)/MAX(((G33)+(I33)*(MAX($D$16,(L74)-(K33))))*(MAX($D$16,(L74)-(K33))),0.000001))^2)/(2*$I$5)))+(($D$11*0.00000015*(ABS(G74)/MAX(ABS(F74),0.000001))^2*MAX(((ABS(H74)/MAX(((F33)+(H33)*(MAX($D$16,(AC74)-(J33))))*(MAX($D$16,(AC74)-(J33))),0.000001))^2)/(2*$I$5),((ABS(H74)/MAX(((G33)+(I33)*(MAX($D$16,(L74)-(K33))))*(MAX($D$16,(L74)-(K33))),0.000001))^2)/(2*$I$5))))-((ABS(H74)/MAX(((F33)+(H33)*(MAX($D$16,(AC74)-(J33))))*(MAX($D$16,(AC74)-(J33))),0.000001))^2)/(2*$I$5)</f>
        <v>634.3119999999999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-292118.81246378768</v>
      </c>
      <c r="S74">
        <f ca="1">M74+((ABS(I74)/MAX(((G34)+(I34)*(MAX($D$16,(M74)-(K34))))*(MAX($D$16,(M74)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AD74)-(J34))))*(MAX($D$16,(AD74)-(J34))),0.000001)),$D$9*((((ABS(I74)/MAX(((G34)+(I34)*(MAX($D$16,(M74)-(K34))))*(MAX($D$16,(M74)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M74)-(K34))))*(MAX($D$16,(M74)-(K34))),0.000001))^2)/(2*$I$5)))))+($D$10*(ABS((X34)-(W34))/90)*MAX(((ABS(I74)/MAX(((F34)+(H34)*(MAX($D$16,(AD74)-(J34))))*(MAX($D$16,(AD74)-(J34))),0.000001))^2)/(2*$I$5),((ABS(I74)/MAX(((G34)+(I34)*(MAX($D$16,(M74)-(K34))))*(MAX($D$16,(M74)-(K34))),0.000001))^2)/(2*$I$5)))+(0)-((ABS(I74)/MAX(((F34)+(H34)*(MAX($D$16,(AD74)-(J34))))*(MAX($D$16,(AD74)-(J34))),0.000001))^2)/(2*$I$5)</f>
        <v>635.51128720958343</v>
      </c>
      <c r="T74">
        <f ca="1">N74+((ABS(J74)/MAX(((G35)+(I35)*(MAX($D$16,(N74)-(K35))))*(MAX($D$16,(N74)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AD74)-(J35))))*(MAX($D$16,(AD74)-(J35))),0.000001)),$D$9*((((ABS(J74)/MAX(((G35)+(I35)*(MAX($D$16,(N74)-(K35))))*(MAX($D$16,(N74)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N74)-(K35))))*(MAX($D$16,(N74)-(K35))),0.000001))^2)/(2*$I$5)))))+($D$10*(ABS((X35)-(W35))/90)*MAX(((ABS(J74)/MAX(((F35)+(H35)*(MAX($D$16,(AD74)-(J35))))*(MAX($D$16,(AD74)-(J35))),0.000001))^2)/(2*$I$5),((ABS(J74)/MAX(((G35)+(I35)*(MAX($D$16,(N74)-(K35))))*(MAX($D$16,(N74)-(K35))),0.000001))^2)/(2*$I$5)))+(($D$11*0.34699541*(ABS(I74)/MAX(ABS(G74),0.000001))^2*MAX(((ABS(J74)/MAX(((F35)+(H35)*(MAX($D$16,(AD74)-(J35))))*(MAX($D$16,(AD74)-(J35))),0.000001))^2)/(2*$I$5),((ABS(J74)/MAX(((G35)+(I35)*(MAX($D$16,(N74)-(K35))))*(MAX($D$16,(N74)-(K35))),0.000001))^2)/(2*$I$5))))-((ABS(J74)/MAX(((F35)+(H35)*(MAX($D$16,(AD74)-(J35))))*(MAX($D$16,(AD74)-(J35))),0.000001))^2)/(2*$I$5)</f>
        <v>639.97429104455466</v>
      </c>
      <c r="U74">
        <f ca="1">((((G31)*(MAX($D$16,(AE74)-(K31)))^2)/2+(I31)*(MAX($D$16,(AE74)-(K31)))^3/3+(ABS(F74)^2)/($I$5*MAX(((G31)+(I31)*(MAX($D$16,(AE74)-(K31))))*(MAX($D$16,(AE74)-(K31))),0.000001)))-(IF(N6="None",((((F32)*(MAX($D$16,(AE74)-(J32)))^2)/2+(H32)*(MAX($D$16,(AE74)-(J32)))^3/3+(ABS(G74)^2)/($I$5*MAX(((F32)+(H32)*(MAX($D$16,(AE74)-(J32))))*(MAX($D$16,(AE74)-(J32))),0.000001)))*0.72785025),(((((F32)*(MAX($D$16,(AE74)-(J32)))^2)/2+(H32)*(MAX($D$16,(AE74)-(J32)))^3/3+(ABS(G74)^2)/($I$5*MAX(((F32)+(H32)*(MAX($D$16,(AE74)-(J32))))*(MAX($D$16,(AE74)-(J32))),0.000001)))*0.72785025)+((((F33)*(MAX($D$16,(AE74)-(J33)))^2)/2+(H33)*(MAX($D$16,(AE74)-(J33)))^3/3+(ABS(H74)^2)/($I$5*MAX(((F33)+(H33)*(MAX($D$16,(AE74)-(J33))))*(MAX($D$16,(AE74)-(J33))),0.000001)))*0.99999971)))))/MAX(((G31)*(MAX($D$16,(AE74)-(K31)))^2)/2+(I31)*(MAX($D$16,(AE74)-(K31)))^3/3+(ABS(F74)^2)/($I$5*MAX(((G31)+(I31)*(MAX($D$16,(AE74)-(K31))))*(MAX($D$16,(AE74)-(K31))),0.000001)),0.000001)</f>
        <v>0.27214975000000002</v>
      </c>
      <c r="V74">
        <f ca="1">((((G32)*(MAX($D$16,(AF74)-(K32)))^2)/2+(I32)*(MAX($D$16,(AF74)-(K32)))^3/3+(ABS(G74)^2)/($I$5*MAX(((G32)+(I32)*(MAX($D$16,(AF74)-(K32))))*(MAX($D$16,(AF74)-(K32))),0.000001)))-(IF(AND(N7="None",N8="None"),0,IF(N8="None",((((F34)*(MAX($D$16,(AF74)-(J34)))^2)/2+(H34)*(MAX($D$16,(AF74)-(J34)))^3/3+(ABS(I74)^2)/($I$5*MAX(((F34)+(H34)*(MAX($D$16,(AF74)-(J34))))*(MAX($D$16,(AF74)-(J34))),0.000001)))*1),IF(N7="None",((((F35)*(MAX($D$16,(AF74)-(J35)))^2)/2+(H35)*(MAX($D$16,(AF74)-(J35)))^3/3+(ABS(J74)^2)/($I$5*MAX(((F35)+(H35)*(MAX($D$16,(AF74)-(J35))))*(MAX($D$16,(AF74)-(J35))),0.000001)))*0.30600918),(((((F34)*(MAX($D$16,(AF74)-(J34)))^2)/2+(H34)*(MAX($D$16,(AF74)-(J34)))^3/3+(ABS(I74)^2)/($I$5*MAX(((F34)+(H34)*(MAX($D$16,(AF74)-(J34))))*(MAX($D$16,(AF74)-(J34))),0.000001)))*1)+((((F35)*(MAX($D$16,(AF74)-(J35)))^2)/2+(H35)*(MAX($D$16,(AF74)-(J35)))^3/3+(ABS(J74)^2)/($I$5*MAX(((F35)+(H35)*(MAX($D$16,(AF74)-(J35))))*(MAX($D$16,(AF74)-(J35))),0.000001)))*0.30600918)))))))/MAX(((G32)*(MAX($D$16,(AF74)-(K32)))^2)/2+(I32)*(MAX($D$16,(AF74)-(K32)))^3/3+(ABS(G74)^2)/($I$5*MAX(((G32)+(I32)*(MAX($D$16,(AF74)-(K32))))*(MAX($D$16,(AF74)-(K32))),0.000001)),0.000001)</f>
        <v>3.904177561081449E-2</v>
      </c>
      <c r="W74">
        <f ca="1">ABS((IF(N6="None",P74,MAX(P74,Q74)))-D74)</f>
        <v>5.7037219398283696</v>
      </c>
      <c r="X74">
        <f ca="1">ABS((IF(AND(N7="None",N8="None"),E74,IF(N8="None",S74,IF(N7="None",T74,MAX(S74,T74)))))-E74)</f>
        <v>8.0450326808586397</v>
      </c>
      <c r="Y74">
        <f>IF(N6="None",1,MIN(0.98,MAX(0.02,B74+$D$14*((Q74-P74)/MAX(ABS(D74),1)))))</f>
        <v>1</v>
      </c>
      <c r="Z74">
        <f ca="1">IF(AND(N7="None",N8="None"),C74,IF(N8="None",1,IF(N7="None",0,MIN(0.98,MAX(0.02,C74+$D$14*((T74-S74)/MAX(ABS(E74),1)))))))</f>
        <v>0.98</v>
      </c>
      <c r="AA74">
        <f t="shared" ca="1" si="3"/>
        <v>636.34683077856937</v>
      </c>
      <c r="AB74">
        <f t="shared" ca="1" si="4"/>
        <v>634.74536055806061</v>
      </c>
      <c r="AC74">
        <f ca="1">IF($D$20=0,D74,IF(AC74=0,(IF(N6="None",P74,MAX(P74,Q74))),IF(ABS((IF(N6="None",P74,MAX(P74,Q74)))-AC74)&lt;$D$19,AC74,MAX((K31)+$D$16,AC74+$D$13*(((IF(N6="None",P74,MAX(P74,Q74)))-AC74))))))</f>
        <v>640.05475514453997</v>
      </c>
      <c r="AD74">
        <f ca="1">IF($D$20=0,E74,IF(AD74=0,(IF(AND(N7="None",N8="None"),E74,IF(N8="None",S74,IF(N7="None",T74,MAX(S74,T74))))),IF(ABS((IF(AND(N7="None",N8="None"),E74,IF(N8="None",S74,IF(N7="None",T74,MAX(S74,T74)))))-AD74)&lt;$D$19,AD74,MAX((K32)+$D$16,AD74+$D$13*(((IF(AND(N7="None",N8="None"),E74,IF(N8="None",S74,IF(N7="None",T74,MAX(S74,T74)))))-AD74))))))</f>
        <v>639.97526463330917</v>
      </c>
      <c r="AE74">
        <f ca="1">IF($D$20=0,D74,IF(AE74=0,O74,IF(ABS(U74)&lt;$D$19,AE74,MAX((K31)+$D$16,AE74+($D$13*(((O74)-AE74)+(U74*MAX(ABS(AE74-(K31)),1))))))))</f>
        <v>634.34799999999996</v>
      </c>
      <c r="AF74">
        <f ca="1">IF($D$20=0,E74,IF(AF74=0,R74,IF(ABS(V74)&lt;$D$19,AF74,MAX((K32)+$D$16,AF74+($D$13*(((R74)-AF74)+(V74*MAX(ABS(AF74-(K32)),1))))))))</f>
        <v>631.92499999999995</v>
      </c>
      <c r="AG74">
        <f ca="1">((G31)*(MAX($D$16,(AC74)-(K31)))^2)/2+(I31)*(MAX($D$16,(AC74)-(K31)))^3/3+(ABS(F74)^2)/($I$5*MAX(((G31)+(I31)*(MAX($D$16,(AC74)-(K31))))*(MAX($D$16,(AC74)-(K31))),0.000001))</f>
        <v>115.68980551184316</v>
      </c>
      <c r="AH74">
        <f ca="1">((G31)*(MAX($D$16,(AE74)-(K31)))^2)/2+(I31)*(MAX($D$16,(AE74)-(K31)))^3/3+(ABS(F74)^2)/($I$5*MAX(((G31)+(I31)*(MAX($D$16,(AE74)-(K31))))*(MAX($D$16,(AE74)-(K31))),0.000001))</f>
        <v>808.60110594434002</v>
      </c>
      <c r="AI74">
        <f ca="1">((G32)*(MAX($D$16,(AD74)-(K32)))^2)/2+(I32)*(MAX($D$16,(AD74)-(K32)))^3/3+(ABS(G74)^2)/($I$5*MAX(((G32)+(I32)*(MAX($D$16,(AD74)-(K32))))*(MAX($D$16,(AD74)-(K32))),0.000001))</f>
        <v>338.03683729018678</v>
      </c>
      <c r="AJ74">
        <f ca="1">((G32)*(MAX($D$16,(AF74)-(K32)))^2)/2+(I32)*(MAX($D$16,(AF74)-(K32)))^3/3+(ABS(G74)^2)/($I$5*MAX(((G32)+(I32)*(MAX($D$16,(AF74)-(K32))))*(MAX($D$16,(AF74)-(K32))),0.000001))</f>
        <v>519.58480272613974</v>
      </c>
      <c r="AK74" t="str">
        <f t="shared" ca="1" si="5"/>
        <v>Supercritical</v>
      </c>
      <c r="AL74" t="str">
        <f t="shared" ca="1" si="6"/>
        <v>Supercritical</v>
      </c>
      <c r="AM74">
        <f t="shared" ca="1" si="7"/>
        <v>634.3494664779804</v>
      </c>
      <c r="AN74">
        <f t="shared" ca="1" si="8"/>
        <v>631.92776793640235</v>
      </c>
      <c r="AO74">
        <f t="shared" ca="1" si="9"/>
        <v>2.2561199698429846E-3</v>
      </c>
      <c r="AP74">
        <f t="shared" ca="1" si="10"/>
        <v>4.2583636960671356E-3</v>
      </c>
    </row>
    <row r="75" spans="1:42" x14ac:dyDescent="0.35">
      <c r="A75">
        <v>32</v>
      </c>
      <c r="B75">
        <f t="shared" si="11"/>
        <v>1</v>
      </c>
      <c r="C75">
        <f t="shared" ca="1" si="12"/>
        <v>0.98</v>
      </c>
      <c r="D75">
        <f t="shared" ca="1" si="13"/>
        <v>634.3494664779804</v>
      </c>
      <c r="E75">
        <f t="shared" ca="1" si="14"/>
        <v>631.92776793640235</v>
      </c>
      <c r="F75">
        <f t="shared" ref="F75:F106" si="15">$D$5</f>
        <v>51</v>
      </c>
      <c r="G75">
        <f>IF(N6="None",F75,MAX(0,F75*B75))</f>
        <v>51</v>
      </c>
      <c r="H75">
        <f>IF(N6="None",0,MAX(0,F75-G75))</f>
        <v>0</v>
      </c>
      <c r="I75">
        <f ca="1">IF(AND(N7="None",N8="None"),0,IF(N8="None",G75,IF(N7="None",0,MAX(0,G75*C75))))</f>
        <v>49.98</v>
      </c>
      <c r="J75">
        <f ca="1">IF(AND(N7="None",N8="None"),0,IF(N8="None",0,IF(N7="None",G75,MAX(0,G75-I75))))</f>
        <v>1.0200000000000031</v>
      </c>
      <c r="K75">
        <f>P5</f>
        <v>637</v>
      </c>
      <c r="L75">
        <f>P6</f>
        <v>634.3119999999999</v>
      </c>
      <c r="M75">
        <f>P7</f>
        <v>635.5</v>
      </c>
      <c r="N75">
        <f>P8</f>
        <v>631.54999999999995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-2091.5872404992097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640.05397805979817</v>
      </c>
      <c r="Q75">
        <f ca="1">L75+((ABS(H75)/MAX(((G33)+(I33)*(MAX($D$16,(L75)-(K33))))*(MAX($D$16,(L75)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AC75)-(J33))))*(MAX($D$16,(AC75)-(J33))),0.000001)),$D$9*((((ABS(H75)/MAX(((G33)+(I33)*(MAX($D$16,(L75)-(K33))))*(MAX($D$16,(L75)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L75)-(K33))))*(MAX($D$16,(L75)-(K33))),0.000001))^2)/(2*$I$5)))))+($D$10*(ABS((X33)-(W33))/90)*MAX(((ABS(H75)/MAX(((F33)+(H33)*(MAX($D$16,(AC75)-(J33))))*(MAX($D$16,(AC75)-(J33))),0.000001))^2)/(2*$I$5),((ABS(H75)/MAX(((G33)+(I33)*(MAX($D$16,(L75)-(K33))))*(MAX($D$16,(L75)-(K33))),0.000001))^2)/(2*$I$5)))+(($D$11*0.00000015*(ABS(G75)/MAX(ABS(F75),0.000001))^2*MAX(((ABS(H75)/MAX(((F33)+(H33)*(MAX($D$16,(AC75)-(J33))))*(MAX($D$16,(AC75)-(J33))),0.000001))^2)/(2*$I$5),((ABS(H75)/MAX(((G33)+(I33)*(MAX($D$16,(L75)-(K33))))*(MAX($D$16,(L75)-(K33))),0.000001))^2)/(2*$I$5))))-((ABS(H75)/MAX(((F33)+(H33)*(MAX($D$16,(AC75)-(J33))))*(MAX($D$16,(AC75)-(J33))),0.000001))^2)/(2*$I$5)</f>
        <v>634.3119999999999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-292118.81246378768</v>
      </c>
      <c r="S75">
        <f ca="1">M75+((ABS(I75)/MAX(((G34)+(I34)*(MAX($D$16,(M75)-(K34))))*(MAX($D$16,(M75)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AD75)-(J34))))*(MAX($D$16,(AD75)-(J34))),0.000001)),$D$9*((((ABS(I75)/MAX(((G34)+(I34)*(MAX($D$16,(M75)-(K34))))*(MAX($D$16,(M75)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M75)-(K34))))*(MAX($D$16,(M75)-(K34))),0.000001))^2)/(2*$I$5)))))+($D$10*(ABS((X34)-(W34))/90)*MAX(((ABS(I75)/MAX(((F34)+(H34)*(MAX($D$16,(AD75)-(J34))))*(MAX($D$16,(AD75)-(J34))),0.000001))^2)/(2*$I$5),((ABS(I75)/MAX(((G34)+(I34)*(MAX($D$16,(M75)-(K34))))*(MAX($D$16,(M75)-(K34))),0.000001))^2)/(2*$I$5)))+(0)-((ABS(I75)/MAX(((F34)+(H34)*(MAX($D$16,(AD75)-(J34))))*(MAX($D$16,(AD75)-(J34))),0.000001))^2)/(2*$I$5)</f>
        <v>635.51128720958343</v>
      </c>
      <c r="T75">
        <f ca="1">N75+((ABS(J75)/MAX(((G35)+(I35)*(MAX($D$16,(N75)-(K35))))*(MAX($D$16,(N75)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AD75)-(J35))))*(MAX($D$16,(AD75)-(J35))),0.000001)),$D$9*((((ABS(J75)/MAX(((G35)+(I35)*(MAX($D$16,(N75)-(K35))))*(MAX($D$16,(N75)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N75)-(K35))))*(MAX($D$16,(N75)-(K35))),0.000001))^2)/(2*$I$5)))))+($D$10*(ABS((X35)-(W35))/90)*MAX(((ABS(J75)/MAX(((F35)+(H35)*(MAX($D$16,(AD75)-(J35))))*(MAX($D$16,(AD75)-(J35))),0.000001))^2)/(2*$I$5),((ABS(J75)/MAX(((G35)+(I35)*(MAX($D$16,(N75)-(K35))))*(MAX($D$16,(N75)-(K35))),0.000001))^2)/(2*$I$5)))+(($D$11*0.34699541*(ABS(I75)/MAX(ABS(G75),0.000001))^2*MAX(((ABS(J75)/MAX(((F35)+(H35)*(MAX($D$16,(AD75)-(J35))))*(MAX($D$16,(AD75)-(J35))),0.000001))^2)/(2*$I$5),((ABS(J75)/MAX(((G35)+(I35)*(MAX($D$16,(N75)-(K35))))*(MAX($D$16,(N75)-(K35))),0.000001))^2)/(2*$I$5))))-((ABS(J75)/MAX(((F35)+(H35)*(MAX($D$16,(AD75)-(J35))))*(MAX($D$16,(AD75)-(J35))),0.000001))^2)/(2*$I$5)</f>
        <v>639.97429104455466</v>
      </c>
      <c r="U75">
        <f ca="1">((((G31)*(MAX($D$16,(AE75)-(K31)))^2)/2+(I31)*(MAX($D$16,(AE75)-(K31)))^3/3+(ABS(F75)^2)/($I$5*MAX(((G31)+(I31)*(MAX($D$16,(AE75)-(K31))))*(MAX($D$16,(AE75)-(K31))),0.000001)))-(IF(N6="None",((((F32)*(MAX($D$16,(AE75)-(J32)))^2)/2+(H32)*(MAX($D$16,(AE75)-(J32)))^3/3+(ABS(G75)^2)/($I$5*MAX(((F32)+(H32)*(MAX($D$16,(AE75)-(J32))))*(MAX($D$16,(AE75)-(J32))),0.000001)))*0.72785025),(((((F32)*(MAX($D$16,(AE75)-(J32)))^2)/2+(H32)*(MAX($D$16,(AE75)-(J32)))^3/3+(ABS(G75)^2)/($I$5*MAX(((F32)+(H32)*(MAX($D$16,(AE75)-(J32))))*(MAX($D$16,(AE75)-(J32))),0.000001)))*0.72785025)+((((F33)*(MAX($D$16,(AE75)-(J33)))^2)/2+(H33)*(MAX($D$16,(AE75)-(J33)))^3/3+(ABS(H75)^2)/($I$5*MAX(((F33)+(H33)*(MAX($D$16,(AE75)-(J33))))*(MAX($D$16,(AE75)-(J33))),0.000001)))*0.99999971)))))/MAX(((G31)*(MAX($D$16,(AE75)-(K31)))^2)/2+(I31)*(MAX($D$16,(AE75)-(K31)))^3/3+(ABS(F75)^2)/($I$5*MAX(((G31)+(I31)*(MAX($D$16,(AE75)-(K31))))*(MAX($D$16,(AE75)-(K31))),0.000001)),0.000001)</f>
        <v>0.27214975000000002</v>
      </c>
      <c r="V75">
        <f ca="1">((((G32)*(MAX($D$16,(AF75)-(K32)))^2)/2+(I32)*(MAX($D$16,(AF75)-(K32)))^3/3+(ABS(G75)^2)/($I$5*MAX(((G32)+(I32)*(MAX($D$16,(AF75)-(K32))))*(MAX($D$16,(AF75)-(K32))),0.000001)))-(IF(AND(N7="None",N8="None"),0,IF(N8="None",((((F34)*(MAX($D$16,(AF75)-(J34)))^2)/2+(H34)*(MAX($D$16,(AF75)-(J34)))^3/3+(ABS(I75)^2)/($I$5*MAX(((F34)+(H34)*(MAX($D$16,(AF75)-(J34))))*(MAX($D$16,(AF75)-(J34))),0.000001)))*1),IF(N7="None",((((F35)*(MAX($D$16,(AF75)-(J35)))^2)/2+(H35)*(MAX($D$16,(AF75)-(J35)))^3/3+(ABS(J75)^2)/($I$5*MAX(((F35)+(H35)*(MAX($D$16,(AF75)-(J35))))*(MAX($D$16,(AF75)-(J35))),0.000001)))*0.30600918),(((((F34)*(MAX($D$16,(AF75)-(J34)))^2)/2+(H34)*(MAX($D$16,(AF75)-(J34)))^3/3+(ABS(I75)^2)/($I$5*MAX(((F34)+(H34)*(MAX($D$16,(AF75)-(J34))))*(MAX($D$16,(AF75)-(J34))),0.000001)))*1)+((((F35)*(MAX($D$16,(AF75)-(J35)))^2)/2+(H35)*(MAX($D$16,(AF75)-(J35)))^3/3+(ABS(J75)^2)/($I$5*MAX(((F35)+(H35)*(MAX($D$16,(AF75)-(J35))))*(MAX($D$16,(AF75)-(J35))),0.000001)))*0.30600918)))))))/MAX(((G32)*(MAX($D$16,(AF75)-(K32)))^2)/2+(I32)*(MAX($D$16,(AF75)-(K32)))^3/3+(ABS(G75)^2)/($I$5*MAX(((G32)+(I32)*(MAX($D$16,(AF75)-(K32))))*(MAX($D$16,(AF75)-(K32))),0.000001)),0.000001)</f>
        <v>3.904177561081449E-2</v>
      </c>
      <c r="W75">
        <f ca="1">ABS((IF(N6="None",P75,MAX(P75,Q75)))-D75)</f>
        <v>5.7045115818177692</v>
      </c>
      <c r="X75">
        <f ca="1">ABS((IF(AND(N7="None",N8="None"),E75,IF(N8="None",S75,IF(N7="None",T75,MAX(S75,T75)))))-E75)</f>
        <v>8.0465231081523143</v>
      </c>
      <c r="Y75">
        <f>IF(N6="None",1,MIN(0.98,MAX(0.02,B75+$D$14*((Q75-P75)/MAX(ABS(D75),1)))))</f>
        <v>1</v>
      </c>
      <c r="Z75">
        <f ca="1">IF(AND(N7="None",N8="None"),C75,IF(N8="None",1,IF(N7="None",0,MIN(0.98,MAX(0.02,C75+$D$14*((T75-S75)/MAX(ABS(E75),1)))))))</f>
        <v>0.98</v>
      </c>
      <c r="AA75">
        <f t="shared" ref="AA75:AA106" ca="1" si="16">D75+$D$13*(AC75-D75)</f>
        <v>636.3463175112762</v>
      </c>
      <c r="AB75">
        <f t="shared" ref="AB75:AB106" ca="1" si="17">E75+$D$13*(AD75-E75)</f>
        <v>634.74439178031969</v>
      </c>
      <c r="AC75">
        <f ca="1">IF($D$20=0,D75,IF(AC75=0,(IF(N6="None",P75,MAX(P75,Q75))),IF(ABS((IF(N6="None",P75,MAX(P75,Q75)))-AC75)&lt;$D$19,AC75,MAX((K31)+$D$16,AC75+$D$13*(((IF(N6="None",P75,MAX(P75,Q75)))-AC75))))))</f>
        <v>640.05475514453997</v>
      </c>
      <c r="AD75">
        <f ca="1">IF($D$20=0,E75,IF(AD75=0,(IF(AND(N7="None",N8="None"),E75,IF(N8="None",S75,IF(N7="None",T75,MAX(S75,T75))))),IF(ABS((IF(AND(N7="None",N8="None"),E75,IF(N8="None",S75,IF(N7="None",T75,MAX(S75,T75)))))-AD75)&lt;$D$19,AD75,MAX((K32)+$D$16,AD75+$D$13*(((IF(AND(N7="None",N8="None"),E75,IF(N8="None",S75,IF(N7="None",T75,MAX(S75,T75)))))-AD75))))))</f>
        <v>639.97526463330917</v>
      </c>
      <c r="AE75">
        <f ca="1">IF($D$20=0,D75,IF(AE75=0,O75,IF(ABS(U75)&lt;$D$19,AE75,MAX((K31)+$D$16,AE75+($D$13*(((O75)-AE75)+(U75*MAX(ABS(AE75-(K31)),1))))))))</f>
        <v>634.34799999999996</v>
      </c>
      <c r="AF75">
        <f ca="1">IF($D$20=0,E75,IF(AF75=0,R75,IF(ABS(V75)&lt;$D$19,AF75,MAX((K32)+$D$16,AF75+($D$13*(((R75)-AF75)+(V75*MAX(ABS(AF75-(K32)),1))))))))</f>
        <v>631.92499999999995</v>
      </c>
      <c r="AG75">
        <f ca="1">((G31)*(MAX($D$16,(AC75)-(K31)))^2)/2+(I31)*(MAX($D$16,(AC75)-(K31)))^3/3+(ABS(F75)^2)/($I$5*MAX(((G31)+(I31)*(MAX($D$16,(AC75)-(K31))))*(MAX($D$16,(AC75)-(K31))),0.000001))</f>
        <v>115.68980551184316</v>
      </c>
      <c r="AH75">
        <f ca="1">((G31)*(MAX($D$16,(AE75)-(K31)))^2)/2+(I31)*(MAX($D$16,(AE75)-(K31)))^3/3+(ABS(F75)^2)/($I$5*MAX(((G31)+(I31)*(MAX($D$16,(AE75)-(K31))))*(MAX($D$16,(AE75)-(K31))),0.000001))</f>
        <v>808.60110594434002</v>
      </c>
      <c r="AI75">
        <f ca="1">((G32)*(MAX($D$16,(AD75)-(K32)))^2)/2+(I32)*(MAX($D$16,(AD75)-(K32)))^3/3+(ABS(G75)^2)/($I$5*MAX(((G32)+(I32)*(MAX($D$16,(AD75)-(K32))))*(MAX($D$16,(AD75)-(K32))),0.000001))</f>
        <v>338.03683729018678</v>
      </c>
      <c r="AJ75">
        <f ca="1">((G32)*(MAX($D$16,(AF75)-(K32)))^2)/2+(I32)*(MAX($D$16,(AF75)-(K32)))^3/3+(ABS(G75)^2)/($I$5*MAX(((G32)+(I32)*(MAX($D$16,(AF75)-(K32))))*(MAX($D$16,(AF75)-(K32))),0.000001))</f>
        <v>519.58480272613974</v>
      </c>
      <c r="AK75" t="str">
        <f t="shared" ref="AK75:AK106" ca="1" si="18">IF(AH75&gt;=AG75,"Supercritical","Subcritical")</f>
        <v>Supercritical</v>
      </c>
      <c r="AL75" t="str">
        <f t="shared" ref="AL75:AL106" ca="1" si="19">IF(AJ75&gt;=AI75,"Supercritical","Subcritical")</f>
        <v>Supercritical</v>
      </c>
      <c r="AM75">
        <f t="shared" ref="AM75:AM106" ca="1" si="20">D75+$D$13*(IF(AK75="Supercritical",AE75,AC75)-D75)</f>
        <v>634.34895321068723</v>
      </c>
      <c r="AN75">
        <f t="shared" ref="AN75:AN106" ca="1" si="21">E75+$D$13*(IF(AL75="Supercritical",AF75,AD75)-E75)</f>
        <v>631.92679915866154</v>
      </c>
      <c r="AO75">
        <f t="shared" ref="AO75:AO106" ca="1" si="22">ABS(IF(AK75="Supercritical",AE75,AC75)-D75)</f>
        <v>1.4664779804434147E-3</v>
      </c>
      <c r="AP75">
        <f t="shared" ref="AP75:AP106" ca="1" si="23">ABS(IF(AL75="Supercritical",AF75,AD75)-E75)</f>
        <v>2.7679364023924791E-3</v>
      </c>
    </row>
    <row r="76" spans="1:42" x14ac:dyDescent="0.35">
      <c r="A76">
        <v>33</v>
      </c>
      <c r="B76">
        <f t="shared" ref="B76:B107" si="24">Y75</f>
        <v>1</v>
      </c>
      <c r="C76">
        <f t="shared" ref="C76:C107" ca="1" si="25">Z75</f>
        <v>0.98</v>
      </c>
      <c r="D76">
        <f t="shared" ref="D76:D107" ca="1" si="26">AM75</f>
        <v>634.34895321068723</v>
      </c>
      <c r="E76">
        <f t="shared" ref="E76:E107" ca="1" si="27">AN75</f>
        <v>631.92679915866154</v>
      </c>
      <c r="F76">
        <f t="shared" si="15"/>
        <v>51</v>
      </c>
      <c r="G76">
        <f>IF(N6="None",F76,MAX(0,F76*B76))</f>
        <v>51</v>
      </c>
      <c r="H76">
        <f>IF(N6="None",0,MAX(0,F76-G76))</f>
        <v>0</v>
      </c>
      <c r="I76">
        <f ca="1">IF(AND(N7="None",N8="None"),0,IF(N8="None",G76,IF(N7="None",0,MAX(0,G76*C76))))</f>
        <v>49.98</v>
      </c>
      <c r="J76">
        <f ca="1">IF(AND(N7="None",N8="None"),0,IF(N8="None",0,IF(N7="None",G76,MAX(0,G76-I76))))</f>
        <v>1.0200000000000031</v>
      </c>
      <c r="K76">
        <f>P5</f>
        <v>637</v>
      </c>
      <c r="L76">
        <f>P6</f>
        <v>634.3119999999999</v>
      </c>
      <c r="M76">
        <f>P7</f>
        <v>635.5</v>
      </c>
      <c r="N76">
        <f>P8</f>
        <v>631.54999999999995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-2091.5872404992097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640.05397805979817</v>
      </c>
      <c r="Q76">
        <f ca="1">L76+((ABS(H76)/MAX(((G33)+(I33)*(MAX($D$16,(L76)-(K33))))*(MAX($D$16,(L76)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AC76)-(J33))))*(MAX($D$16,(AC76)-(J33))),0.000001)),$D$9*((((ABS(H76)/MAX(((G33)+(I33)*(MAX($D$16,(L76)-(K33))))*(MAX($D$16,(L76)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L76)-(K33))))*(MAX($D$16,(L76)-(K33))),0.000001))^2)/(2*$I$5)))))+($D$10*(ABS((X33)-(W33))/90)*MAX(((ABS(H76)/MAX(((F33)+(H33)*(MAX($D$16,(AC76)-(J33))))*(MAX($D$16,(AC76)-(J33))),0.000001))^2)/(2*$I$5),((ABS(H76)/MAX(((G33)+(I33)*(MAX($D$16,(L76)-(K33))))*(MAX($D$16,(L76)-(K33))),0.000001))^2)/(2*$I$5)))+(($D$11*0.00000015*(ABS(G76)/MAX(ABS(F76),0.000001))^2*MAX(((ABS(H76)/MAX(((F33)+(H33)*(MAX($D$16,(AC76)-(J33))))*(MAX($D$16,(AC76)-(J33))),0.000001))^2)/(2*$I$5),((ABS(H76)/MAX(((G33)+(I33)*(MAX($D$16,(L76)-(K33))))*(MAX($D$16,(L76)-(K33))),0.000001))^2)/(2*$I$5))))-((ABS(H76)/MAX(((F33)+(H33)*(MAX($D$16,(AC76)-(J33))))*(MAX($D$16,(AC76)-(J33))),0.000001))^2)/(2*$I$5)</f>
        <v>634.3119999999999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-292118.81246378768</v>
      </c>
      <c r="S76">
        <f ca="1">M76+((ABS(I76)/MAX(((G34)+(I34)*(MAX($D$16,(M76)-(K34))))*(MAX($D$16,(M76)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AD76)-(J34))))*(MAX($D$16,(AD76)-(J34))),0.000001)),$D$9*((((ABS(I76)/MAX(((G34)+(I34)*(MAX($D$16,(M76)-(K34))))*(MAX($D$16,(M76)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M76)-(K34))))*(MAX($D$16,(M76)-(K34))),0.000001))^2)/(2*$I$5)))))+($D$10*(ABS((X34)-(W34))/90)*MAX(((ABS(I76)/MAX(((F34)+(H34)*(MAX($D$16,(AD76)-(J34))))*(MAX($D$16,(AD76)-(J34))),0.000001))^2)/(2*$I$5),((ABS(I76)/MAX(((G34)+(I34)*(MAX($D$16,(M76)-(K34))))*(MAX($D$16,(M76)-(K34))),0.000001))^2)/(2*$I$5)))+(0)-((ABS(I76)/MAX(((F34)+(H34)*(MAX($D$16,(AD76)-(J34))))*(MAX($D$16,(AD76)-(J34))),0.000001))^2)/(2*$I$5)</f>
        <v>635.51128720958343</v>
      </c>
      <c r="T76">
        <f ca="1">N76+((ABS(J76)/MAX(((G35)+(I35)*(MAX($D$16,(N76)-(K35))))*(MAX($D$16,(N76)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AD76)-(J35))))*(MAX($D$16,(AD76)-(J35))),0.000001)),$D$9*((((ABS(J76)/MAX(((G35)+(I35)*(MAX($D$16,(N76)-(K35))))*(MAX($D$16,(N76)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N76)-(K35))))*(MAX($D$16,(N76)-(K35))),0.000001))^2)/(2*$I$5)))))+($D$10*(ABS((X35)-(W35))/90)*MAX(((ABS(J76)/MAX(((F35)+(H35)*(MAX($D$16,(AD76)-(J35))))*(MAX($D$16,(AD76)-(J35))),0.000001))^2)/(2*$I$5),((ABS(J76)/MAX(((G35)+(I35)*(MAX($D$16,(N76)-(K35))))*(MAX($D$16,(N76)-(K35))),0.000001))^2)/(2*$I$5)))+(($D$11*0.34699541*(ABS(I76)/MAX(ABS(G76),0.000001))^2*MAX(((ABS(J76)/MAX(((F35)+(H35)*(MAX($D$16,(AD76)-(J35))))*(MAX($D$16,(AD76)-(J35))),0.000001))^2)/(2*$I$5),((ABS(J76)/MAX(((G35)+(I35)*(MAX($D$16,(N76)-(K35))))*(MAX($D$16,(N76)-(K35))),0.000001))^2)/(2*$I$5))))-((ABS(J76)/MAX(((F35)+(H35)*(MAX($D$16,(AD76)-(J35))))*(MAX($D$16,(AD76)-(J35))),0.000001))^2)/(2*$I$5)</f>
        <v>639.97429104455466</v>
      </c>
      <c r="U76">
        <f ca="1">((((G31)*(MAX($D$16,(AE76)-(K31)))^2)/2+(I31)*(MAX($D$16,(AE76)-(K31)))^3/3+(ABS(F76)^2)/($I$5*MAX(((G31)+(I31)*(MAX($D$16,(AE76)-(K31))))*(MAX($D$16,(AE76)-(K31))),0.000001)))-(IF(N6="None",((((F32)*(MAX($D$16,(AE76)-(J32)))^2)/2+(H32)*(MAX($D$16,(AE76)-(J32)))^3/3+(ABS(G76)^2)/($I$5*MAX(((F32)+(H32)*(MAX($D$16,(AE76)-(J32))))*(MAX($D$16,(AE76)-(J32))),0.000001)))*0.72785025),(((((F32)*(MAX($D$16,(AE76)-(J32)))^2)/2+(H32)*(MAX($D$16,(AE76)-(J32)))^3/3+(ABS(G76)^2)/($I$5*MAX(((F32)+(H32)*(MAX($D$16,(AE76)-(J32))))*(MAX($D$16,(AE76)-(J32))),0.000001)))*0.72785025)+((((F33)*(MAX($D$16,(AE76)-(J33)))^2)/2+(H33)*(MAX($D$16,(AE76)-(J33)))^3/3+(ABS(H76)^2)/($I$5*MAX(((F33)+(H33)*(MAX($D$16,(AE76)-(J33))))*(MAX($D$16,(AE76)-(J33))),0.000001)))*0.99999971)))))/MAX(((G31)*(MAX($D$16,(AE76)-(K31)))^2)/2+(I31)*(MAX($D$16,(AE76)-(K31)))^3/3+(ABS(F76)^2)/($I$5*MAX(((G31)+(I31)*(MAX($D$16,(AE76)-(K31))))*(MAX($D$16,(AE76)-(K31))),0.000001)),0.000001)</f>
        <v>0.27214975000000002</v>
      </c>
      <c r="V76">
        <f ca="1">((((G32)*(MAX($D$16,(AF76)-(K32)))^2)/2+(I32)*(MAX($D$16,(AF76)-(K32)))^3/3+(ABS(G76)^2)/($I$5*MAX(((G32)+(I32)*(MAX($D$16,(AF76)-(K32))))*(MAX($D$16,(AF76)-(K32))),0.000001)))-(IF(AND(N7="None",N8="None"),0,IF(N8="None",((((F34)*(MAX($D$16,(AF76)-(J34)))^2)/2+(H34)*(MAX($D$16,(AF76)-(J34)))^3/3+(ABS(I76)^2)/($I$5*MAX(((F34)+(H34)*(MAX($D$16,(AF76)-(J34))))*(MAX($D$16,(AF76)-(J34))),0.000001)))*1),IF(N7="None",((((F35)*(MAX($D$16,(AF76)-(J35)))^2)/2+(H35)*(MAX($D$16,(AF76)-(J35)))^3/3+(ABS(J76)^2)/($I$5*MAX(((F35)+(H35)*(MAX($D$16,(AF76)-(J35))))*(MAX($D$16,(AF76)-(J35))),0.000001)))*0.30600918),(((((F34)*(MAX($D$16,(AF76)-(J34)))^2)/2+(H34)*(MAX($D$16,(AF76)-(J34)))^3/3+(ABS(I76)^2)/($I$5*MAX(((F34)+(H34)*(MAX($D$16,(AF76)-(J34))))*(MAX($D$16,(AF76)-(J34))),0.000001)))*1)+((((F35)*(MAX($D$16,(AF76)-(J35)))^2)/2+(H35)*(MAX($D$16,(AF76)-(J35)))^3/3+(ABS(J76)^2)/($I$5*MAX(((F35)+(H35)*(MAX($D$16,(AF76)-(J35))))*(MAX($D$16,(AF76)-(J35))),0.000001)))*0.30600918)))))))/MAX(((G32)*(MAX($D$16,(AF76)-(K32)))^2)/2+(I32)*(MAX($D$16,(AF76)-(K32)))^3/3+(ABS(G76)^2)/($I$5*MAX(((G32)+(I32)*(MAX($D$16,(AF76)-(K32))))*(MAX($D$16,(AF76)-(K32))),0.000001)),0.000001)</f>
        <v>3.904177561081449E-2</v>
      </c>
      <c r="W76">
        <f ca="1">ABS((IF(N6="None",P76,MAX(P76,Q76)))-D76)</f>
        <v>5.7050248491109414</v>
      </c>
      <c r="X76">
        <f ca="1">ABS((IF(AND(N7="None",N8="None"),E76,IF(N8="None",S76,IF(N7="None",T76,MAX(S76,T76)))))-E76)</f>
        <v>8.0474918858931233</v>
      </c>
      <c r="Y76">
        <f>IF(N6="None",1,MIN(0.98,MAX(0.02,B76+$D$14*((Q76-P76)/MAX(ABS(D76),1)))))</f>
        <v>1</v>
      </c>
      <c r="Z76">
        <f ca="1">IF(AND(N7="None",N8="None"),C76,IF(N8="None",1,IF(N7="None",0,MIN(0.98,MAX(0.02,C76+$D$14*((T76-S76)/MAX(ABS(E76),1)))))))</f>
        <v>0.98</v>
      </c>
      <c r="AA76">
        <f t="shared" ca="1" si="16"/>
        <v>636.34598388753568</v>
      </c>
      <c r="AB76">
        <f t="shared" ca="1" si="17"/>
        <v>634.74376207478826</v>
      </c>
      <c r="AC76">
        <f ca="1">IF($D$20=0,D76,IF(AC76=0,(IF(N6="None",P76,MAX(P76,Q76))),IF(ABS((IF(N6="None",P76,MAX(P76,Q76)))-AC76)&lt;$D$19,AC76,MAX((K31)+$D$16,AC76+$D$13*(((IF(N6="None",P76,MAX(P76,Q76)))-AC76))))))</f>
        <v>640.05475514453997</v>
      </c>
      <c r="AD76">
        <f ca="1">IF($D$20=0,E76,IF(AD76=0,(IF(AND(N7="None",N8="None"),E76,IF(N8="None",S76,IF(N7="None",T76,MAX(S76,T76))))),IF(ABS((IF(AND(N7="None",N8="None"),E76,IF(N8="None",S76,IF(N7="None",T76,MAX(S76,T76)))))-AD76)&lt;$D$19,AD76,MAX((K32)+$D$16,AD76+$D$13*(((IF(AND(N7="None",N8="None"),E76,IF(N8="None",S76,IF(N7="None",T76,MAX(S76,T76)))))-AD76))))))</f>
        <v>639.97526463330917</v>
      </c>
      <c r="AE76">
        <f ca="1">IF($D$20=0,D76,IF(AE76=0,O76,IF(ABS(U76)&lt;$D$19,AE76,MAX((K31)+$D$16,AE76+($D$13*(((O76)-AE76)+(U76*MAX(ABS(AE76-(K31)),1))))))))</f>
        <v>634.34799999999996</v>
      </c>
      <c r="AF76">
        <f ca="1">IF($D$20=0,E76,IF(AF76=0,R76,IF(ABS(V76)&lt;$D$19,AF76,MAX((K32)+$D$16,AF76+($D$13*(((R76)-AF76)+(V76*MAX(ABS(AF76-(K32)),1))))))))</f>
        <v>631.92499999999995</v>
      </c>
      <c r="AG76">
        <f ca="1">((G31)*(MAX($D$16,(AC76)-(K31)))^2)/2+(I31)*(MAX($D$16,(AC76)-(K31)))^3/3+(ABS(F76)^2)/($I$5*MAX(((G31)+(I31)*(MAX($D$16,(AC76)-(K31))))*(MAX($D$16,(AC76)-(K31))),0.000001))</f>
        <v>115.68980551184316</v>
      </c>
      <c r="AH76">
        <f ca="1">((G31)*(MAX($D$16,(AE76)-(K31)))^2)/2+(I31)*(MAX($D$16,(AE76)-(K31)))^3/3+(ABS(F76)^2)/($I$5*MAX(((G31)+(I31)*(MAX($D$16,(AE76)-(K31))))*(MAX($D$16,(AE76)-(K31))),0.000001))</f>
        <v>808.60110594434002</v>
      </c>
      <c r="AI76">
        <f ca="1">((G32)*(MAX($D$16,(AD76)-(K32)))^2)/2+(I32)*(MAX($D$16,(AD76)-(K32)))^3/3+(ABS(G76)^2)/($I$5*MAX(((G32)+(I32)*(MAX($D$16,(AD76)-(K32))))*(MAX($D$16,(AD76)-(K32))),0.000001))</f>
        <v>338.03683729018678</v>
      </c>
      <c r="AJ76">
        <f ca="1">((G32)*(MAX($D$16,(AF76)-(K32)))^2)/2+(I32)*(MAX($D$16,(AF76)-(K32)))^3/3+(ABS(G76)^2)/($I$5*MAX(((G32)+(I32)*(MAX($D$16,(AF76)-(K32))))*(MAX($D$16,(AF76)-(K32))),0.000001))</f>
        <v>519.58480272613974</v>
      </c>
      <c r="AK76" t="str">
        <f t="shared" ca="1" si="18"/>
        <v>Supercritical</v>
      </c>
      <c r="AL76" t="str">
        <f t="shared" ca="1" si="19"/>
        <v>Supercritical</v>
      </c>
      <c r="AM76">
        <f t="shared" ca="1" si="20"/>
        <v>634.34861958694671</v>
      </c>
      <c r="AN76">
        <f t="shared" ca="1" si="21"/>
        <v>631.92616945313</v>
      </c>
      <c r="AO76">
        <f t="shared" ca="1" si="22"/>
        <v>9.5321068727116653E-4</v>
      </c>
      <c r="AP76">
        <f t="shared" ca="1" si="23"/>
        <v>1.7991586615835331E-3</v>
      </c>
    </row>
    <row r="77" spans="1:42" x14ac:dyDescent="0.35">
      <c r="A77">
        <v>34</v>
      </c>
      <c r="B77">
        <f t="shared" si="24"/>
        <v>1</v>
      </c>
      <c r="C77">
        <f t="shared" ca="1" si="25"/>
        <v>0.98</v>
      </c>
      <c r="D77">
        <f t="shared" ca="1" si="26"/>
        <v>634.34861958694671</v>
      </c>
      <c r="E77">
        <f t="shared" ca="1" si="27"/>
        <v>631.92616945313</v>
      </c>
      <c r="F77">
        <f t="shared" si="15"/>
        <v>51</v>
      </c>
      <c r="G77">
        <f>IF(N6="None",F77,MAX(0,F77*B77))</f>
        <v>51</v>
      </c>
      <c r="H77">
        <f>IF(N6="None",0,MAX(0,F77-G77))</f>
        <v>0</v>
      </c>
      <c r="I77">
        <f ca="1">IF(AND(N7="None",N8="None"),0,IF(N8="None",G77,IF(N7="None",0,MAX(0,G77*C77))))</f>
        <v>49.98</v>
      </c>
      <c r="J77">
        <f ca="1">IF(AND(N7="None",N8="None"),0,IF(N8="None",0,IF(N7="None",G77,MAX(0,G77-I77))))</f>
        <v>1.0200000000000031</v>
      </c>
      <c r="K77">
        <f>P5</f>
        <v>637</v>
      </c>
      <c r="L77">
        <f>P6</f>
        <v>634.3119999999999</v>
      </c>
      <c r="M77">
        <f>P7</f>
        <v>635.5</v>
      </c>
      <c r="N77">
        <f>P8</f>
        <v>631.54999999999995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-2091.5872404992097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640.05397805979817</v>
      </c>
      <c r="Q77">
        <f ca="1">L77+((ABS(H77)/MAX(((G33)+(I33)*(MAX($D$16,(L77)-(K33))))*(MAX($D$16,(L77)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AC77)-(J33))))*(MAX($D$16,(AC77)-(J33))),0.000001)),$D$9*((((ABS(H77)/MAX(((G33)+(I33)*(MAX($D$16,(L77)-(K33))))*(MAX($D$16,(L77)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L77)-(K33))))*(MAX($D$16,(L77)-(K33))),0.000001))^2)/(2*$I$5)))))+($D$10*(ABS((X33)-(W33))/90)*MAX(((ABS(H77)/MAX(((F33)+(H33)*(MAX($D$16,(AC77)-(J33))))*(MAX($D$16,(AC77)-(J33))),0.000001))^2)/(2*$I$5),((ABS(H77)/MAX(((G33)+(I33)*(MAX($D$16,(L77)-(K33))))*(MAX($D$16,(L77)-(K33))),0.000001))^2)/(2*$I$5)))+(($D$11*0.00000015*(ABS(G77)/MAX(ABS(F77),0.000001))^2*MAX(((ABS(H77)/MAX(((F33)+(H33)*(MAX($D$16,(AC77)-(J33))))*(MAX($D$16,(AC77)-(J33))),0.000001))^2)/(2*$I$5),((ABS(H77)/MAX(((G33)+(I33)*(MAX($D$16,(L77)-(K33))))*(MAX($D$16,(L77)-(K33))),0.000001))^2)/(2*$I$5))))-((ABS(H77)/MAX(((F33)+(H33)*(MAX($D$16,(AC77)-(J33))))*(MAX($D$16,(AC77)-(J33))),0.000001))^2)/(2*$I$5)</f>
        <v>634.3119999999999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-292118.81246378768</v>
      </c>
      <c r="S77">
        <f ca="1">M77+((ABS(I77)/MAX(((G34)+(I34)*(MAX($D$16,(M77)-(K34))))*(MAX($D$16,(M77)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AD77)-(J34))))*(MAX($D$16,(AD77)-(J34))),0.000001)),$D$9*((((ABS(I77)/MAX(((G34)+(I34)*(MAX($D$16,(M77)-(K34))))*(MAX($D$16,(M77)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M77)-(K34))))*(MAX($D$16,(M77)-(K34))),0.000001))^2)/(2*$I$5)))))+($D$10*(ABS((X34)-(W34))/90)*MAX(((ABS(I77)/MAX(((F34)+(H34)*(MAX($D$16,(AD77)-(J34))))*(MAX($D$16,(AD77)-(J34))),0.000001))^2)/(2*$I$5),((ABS(I77)/MAX(((G34)+(I34)*(MAX($D$16,(M77)-(K34))))*(MAX($D$16,(M77)-(K34))),0.000001))^2)/(2*$I$5)))+(0)-((ABS(I77)/MAX(((F34)+(H34)*(MAX($D$16,(AD77)-(J34))))*(MAX($D$16,(AD77)-(J34))),0.000001))^2)/(2*$I$5)</f>
        <v>635.51128720958343</v>
      </c>
      <c r="T77">
        <f ca="1">N77+((ABS(J77)/MAX(((G35)+(I35)*(MAX($D$16,(N77)-(K35))))*(MAX($D$16,(N77)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AD77)-(J35))))*(MAX($D$16,(AD77)-(J35))),0.000001)),$D$9*((((ABS(J77)/MAX(((G35)+(I35)*(MAX($D$16,(N77)-(K35))))*(MAX($D$16,(N77)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N77)-(K35))))*(MAX($D$16,(N77)-(K35))),0.000001))^2)/(2*$I$5)))))+($D$10*(ABS((X35)-(W35))/90)*MAX(((ABS(J77)/MAX(((F35)+(H35)*(MAX($D$16,(AD77)-(J35))))*(MAX($D$16,(AD77)-(J35))),0.000001))^2)/(2*$I$5),((ABS(J77)/MAX(((G35)+(I35)*(MAX($D$16,(N77)-(K35))))*(MAX($D$16,(N77)-(K35))),0.000001))^2)/(2*$I$5)))+(($D$11*0.34699541*(ABS(I77)/MAX(ABS(G77),0.000001))^2*MAX(((ABS(J77)/MAX(((F35)+(H35)*(MAX($D$16,(AD77)-(J35))))*(MAX($D$16,(AD77)-(J35))),0.000001))^2)/(2*$I$5),((ABS(J77)/MAX(((G35)+(I35)*(MAX($D$16,(N77)-(K35))))*(MAX($D$16,(N77)-(K35))),0.000001))^2)/(2*$I$5))))-((ABS(J77)/MAX(((F35)+(H35)*(MAX($D$16,(AD77)-(J35))))*(MAX($D$16,(AD77)-(J35))),0.000001))^2)/(2*$I$5)</f>
        <v>639.97429104455466</v>
      </c>
      <c r="U77">
        <f ca="1">((((G31)*(MAX($D$16,(AE77)-(K31)))^2)/2+(I31)*(MAX($D$16,(AE77)-(K31)))^3/3+(ABS(F77)^2)/($I$5*MAX(((G31)+(I31)*(MAX($D$16,(AE77)-(K31))))*(MAX($D$16,(AE77)-(K31))),0.000001)))-(IF(N6="None",((((F32)*(MAX($D$16,(AE77)-(J32)))^2)/2+(H32)*(MAX($D$16,(AE77)-(J32)))^3/3+(ABS(G77)^2)/($I$5*MAX(((F32)+(H32)*(MAX($D$16,(AE77)-(J32))))*(MAX($D$16,(AE77)-(J32))),0.000001)))*0.72785025),(((((F32)*(MAX($D$16,(AE77)-(J32)))^2)/2+(H32)*(MAX($D$16,(AE77)-(J32)))^3/3+(ABS(G77)^2)/($I$5*MAX(((F32)+(H32)*(MAX($D$16,(AE77)-(J32))))*(MAX($D$16,(AE77)-(J32))),0.000001)))*0.72785025)+((((F33)*(MAX($D$16,(AE77)-(J33)))^2)/2+(H33)*(MAX($D$16,(AE77)-(J33)))^3/3+(ABS(H77)^2)/($I$5*MAX(((F33)+(H33)*(MAX($D$16,(AE77)-(J33))))*(MAX($D$16,(AE77)-(J33))),0.000001)))*0.99999971)))))/MAX(((G31)*(MAX($D$16,(AE77)-(K31)))^2)/2+(I31)*(MAX($D$16,(AE77)-(K31)))^3/3+(ABS(F77)^2)/($I$5*MAX(((G31)+(I31)*(MAX($D$16,(AE77)-(K31))))*(MAX($D$16,(AE77)-(K31))),0.000001)),0.000001)</f>
        <v>0.27214975000000002</v>
      </c>
      <c r="V77">
        <f ca="1">((((G32)*(MAX($D$16,(AF77)-(K32)))^2)/2+(I32)*(MAX($D$16,(AF77)-(K32)))^3/3+(ABS(G77)^2)/($I$5*MAX(((G32)+(I32)*(MAX($D$16,(AF77)-(K32))))*(MAX($D$16,(AF77)-(K32))),0.000001)))-(IF(AND(N7="None",N8="None"),0,IF(N8="None",((((F34)*(MAX($D$16,(AF77)-(J34)))^2)/2+(H34)*(MAX($D$16,(AF77)-(J34)))^3/3+(ABS(I77)^2)/($I$5*MAX(((F34)+(H34)*(MAX($D$16,(AF77)-(J34))))*(MAX($D$16,(AF77)-(J34))),0.000001)))*1),IF(N7="None",((((F35)*(MAX($D$16,(AF77)-(J35)))^2)/2+(H35)*(MAX($D$16,(AF77)-(J35)))^3/3+(ABS(J77)^2)/($I$5*MAX(((F35)+(H35)*(MAX($D$16,(AF77)-(J35))))*(MAX($D$16,(AF77)-(J35))),0.000001)))*0.30600918),(((((F34)*(MAX($D$16,(AF77)-(J34)))^2)/2+(H34)*(MAX($D$16,(AF77)-(J34)))^3/3+(ABS(I77)^2)/($I$5*MAX(((F34)+(H34)*(MAX($D$16,(AF77)-(J34))))*(MAX($D$16,(AF77)-(J34))),0.000001)))*1)+((((F35)*(MAX($D$16,(AF77)-(J35)))^2)/2+(H35)*(MAX($D$16,(AF77)-(J35)))^3/3+(ABS(J77)^2)/($I$5*MAX(((F35)+(H35)*(MAX($D$16,(AF77)-(J35))))*(MAX($D$16,(AF77)-(J35))),0.000001)))*0.30600918)))))))/MAX(((G32)*(MAX($D$16,(AF77)-(K32)))^2)/2+(I32)*(MAX($D$16,(AF77)-(K32)))^3/3+(ABS(G77)^2)/($I$5*MAX(((G32)+(I32)*(MAX($D$16,(AF77)-(K32))))*(MAX($D$16,(AF77)-(K32))),0.000001)),0.000001)</f>
        <v>3.904177561081449E-2</v>
      </c>
      <c r="W77">
        <f ca="1">ABS((IF(N6="None",P77,MAX(P77,Q77)))-D77)</f>
        <v>5.7053584728514579</v>
      </c>
      <c r="X77">
        <f ca="1">ABS((IF(AND(N7="None",N8="None"),E77,IF(N8="None",S77,IF(N7="None",T77,MAX(S77,T77)))))-E77)</f>
        <v>8.0481215914246604</v>
      </c>
      <c r="Y77">
        <f>IF(N6="None",1,MIN(0.98,MAX(0.02,B77+$D$14*((Q77-P77)/MAX(ABS(D77),1)))))</f>
        <v>1</v>
      </c>
      <c r="Z77">
        <f ca="1">IF(AND(N7="None",N8="None"),C77,IF(N8="None",1,IF(N7="None",0,MIN(0.98,MAX(0.02,C77+$D$14*((T77-S77)/MAX(ABS(E77),1)))))))</f>
        <v>0.98</v>
      </c>
      <c r="AA77">
        <f t="shared" ca="1" si="16"/>
        <v>636.34576703210439</v>
      </c>
      <c r="AB77">
        <f t="shared" ca="1" si="17"/>
        <v>634.74335276619274</v>
      </c>
      <c r="AC77">
        <f ca="1">IF($D$20=0,D77,IF(AC77=0,(IF(N6="None",P77,MAX(P77,Q77))),IF(ABS((IF(N6="None",P77,MAX(P77,Q77)))-AC77)&lt;$D$19,AC77,MAX((K31)+$D$16,AC77+$D$13*(((IF(N6="None",P77,MAX(P77,Q77)))-AC77))))))</f>
        <v>640.05475514453997</v>
      </c>
      <c r="AD77">
        <f ca="1">IF($D$20=0,E77,IF(AD77=0,(IF(AND(N7="None",N8="None"),E77,IF(N8="None",S77,IF(N7="None",T77,MAX(S77,T77))))),IF(ABS((IF(AND(N7="None",N8="None"),E77,IF(N8="None",S77,IF(N7="None",T77,MAX(S77,T77)))))-AD77)&lt;$D$19,AD77,MAX((K32)+$D$16,AD77+$D$13*(((IF(AND(N7="None",N8="None"),E77,IF(N8="None",S77,IF(N7="None",T77,MAX(S77,T77)))))-AD77))))))</f>
        <v>639.97526463330917</v>
      </c>
      <c r="AE77">
        <f ca="1">IF($D$20=0,D77,IF(AE77=0,O77,IF(ABS(U77)&lt;$D$19,AE77,MAX((K31)+$D$16,AE77+($D$13*(((O77)-AE77)+(U77*MAX(ABS(AE77-(K31)),1))))))))</f>
        <v>634.34799999999996</v>
      </c>
      <c r="AF77">
        <f ca="1">IF($D$20=0,E77,IF(AF77=0,R77,IF(ABS(V77)&lt;$D$19,AF77,MAX((K32)+$D$16,AF77+($D$13*(((R77)-AF77)+(V77*MAX(ABS(AF77-(K32)),1))))))))</f>
        <v>631.92499999999995</v>
      </c>
      <c r="AG77">
        <f ca="1">((G31)*(MAX($D$16,(AC77)-(K31)))^2)/2+(I31)*(MAX($D$16,(AC77)-(K31)))^3/3+(ABS(F77)^2)/($I$5*MAX(((G31)+(I31)*(MAX($D$16,(AC77)-(K31))))*(MAX($D$16,(AC77)-(K31))),0.000001))</f>
        <v>115.68980551184316</v>
      </c>
      <c r="AH77">
        <f ca="1">((G31)*(MAX($D$16,(AE77)-(K31)))^2)/2+(I31)*(MAX($D$16,(AE77)-(K31)))^3/3+(ABS(F77)^2)/($I$5*MAX(((G31)+(I31)*(MAX($D$16,(AE77)-(K31))))*(MAX($D$16,(AE77)-(K31))),0.000001))</f>
        <v>808.60110594434002</v>
      </c>
      <c r="AI77">
        <f ca="1">((G32)*(MAX($D$16,(AD77)-(K32)))^2)/2+(I32)*(MAX($D$16,(AD77)-(K32)))^3/3+(ABS(G77)^2)/($I$5*MAX(((G32)+(I32)*(MAX($D$16,(AD77)-(K32))))*(MAX($D$16,(AD77)-(K32))),0.000001))</f>
        <v>338.03683729018678</v>
      </c>
      <c r="AJ77">
        <f ca="1">((G32)*(MAX($D$16,(AF77)-(K32)))^2)/2+(I32)*(MAX($D$16,(AF77)-(K32)))^3/3+(ABS(G77)^2)/($I$5*MAX(((G32)+(I32)*(MAX($D$16,(AF77)-(K32))))*(MAX($D$16,(AF77)-(K32))),0.000001))</f>
        <v>519.58480272613974</v>
      </c>
      <c r="AK77" t="str">
        <f t="shared" ca="1" si="18"/>
        <v>Supercritical</v>
      </c>
      <c r="AL77" t="str">
        <f t="shared" ca="1" si="19"/>
        <v>Supercritical</v>
      </c>
      <c r="AM77">
        <f t="shared" ca="1" si="20"/>
        <v>634.34840273151531</v>
      </c>
      <c r="AN77">
        <f t="shared" ca="1" si="21"/>
        <v>631.92576014453448</v>
      </c>
      <c r="AO77">
        <f t="shared" ca="1" si="22"/>
        <v>6.1958694675467996E-4</v>
      </c>
      <c r="AP77">
        <f t="shared" ca="1" si="23"/>
        <v>1.1694531300463495E-3</v>
      </c>
    </row>
    <row r="78" spans="1:42" x14ac:dyDescent="0.35">
      <c r="A78">
        <v>35</v>
      </c>
      <c r="B78">
        <f t="shared" si="24"/>
        <v>1</v>
      </c>
      <c r="C78">
        <f t="shared" ca="1" si="25"/>
        <v>0.98</v>
      </c>
      <c r="D78">
        <f t="shared" ca="1" si="26"/>
        <v>634.34840273151531</v>
      </c>
      <c r="E78">
        <f t="shared" ca="1" si="27"/>
        <v>631.92576014453448</v>
      </c>
      <c r="F78">
        <f t="shared" si="15"/>
        <v>51</v>
      </c>
      <c r="G78">
        <f>IF(N6="None",F78,MAX(0,F78*B78))</f>
        <v>51</v>
      </c>
      <c r="H78">
        <f>IF(N6="None",0,MAX(0,F78-G78))</f>
        <v>0</v>
      </c>
      <c r="I78">
        <f ca="1">IF(AND(N7="None",N8="None"),0,IF(N8="None",G78,IF(N7="None",0,MAX(0,G78*C78))))</f>
        <v>49.98</v>
      </c>
      <c r="J78">
        <f ca="1">IF(AND(N7="None",N8="None"),0,IF(N8="None",0,IF(N7="None",G78,MAX(0,G78-I78))))</f>
        <v>1.0200000000000031</v>
      </c>
      <c r="K78">
        <f>P5</f>
        <v>637</v>
      </c>
      <c r="L78">
        <f>P6</f>
        <v>634.3119999999999</v>
      </c>
      <c r="M78">
        <f>P7</f>
        <v>635.5</v>
      </c>
      <c r="N78">
        <f>P8</f>
        <v>631.54999999999995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-2091.5872404992097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640.05397805979817</v>
      </c>
      <c r="Q78">
        <f ca="1">L78+((ABS(H78)/MAX(((G33)+(I33)*(MAX($D$16,(L78)-(K33))))*(MAX($D$16,(L78)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AC78)-(J33))))*(MAX($D$16,(AC78)-(J33))),0.000001)),$D$9*((((ABS(H78)/MAX(((G33)+(I33)*(MAX($D$16,(L78)-(K33))))*(MAX($D$16,(L78)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L78)-(K33))))*(MAX($D$16,(L78)-(K33))),0.000001))^2)/(2*$I$5)))))+($D$10*(ABS((X33)-(W33))/90)*MAX(((ABS(H78)/MAX(((F33)+(H33)*(MAX($D$16,(AC78)-(J33))))*(MAX($D$16,(AC78)-(J33))),0.000001))^2)/(2*$I$5),((ABS(H78)/MAX(((G33)+(I33)*(MAX($D$16,(L78)-(K33))))*(MAX($D$16,(L78)-(K33))),0.000001))^2)/(2*$I$5)))+(($D$11*0.00000015*(ABS(G78)/MAX(ABS(F78),0.000001))^2*MAX(((ABS(H78)/MAX(((F33)+(H33)*(MAX($D$16,(AC78)-(J33))))*(MAX($D$16,(AC78)-(J33))),0.000001))^2)/(2*$I$5),((ABS(H78)/MAX(((G33)+(I33)*(MAX($D$16,(L78)-(K33))))*(MAX($D$16,(L78)-(K33))),0.000001))^2)/(2*$I$5))))-((ABS(H78)/MAX(((F33)+(H33)*(MAX($D$16,(AC78)-(J33))))*(MAX($D$16,(AC78)-(J33))),0.000001))^2)/(2*$I$5)</f>
        <v>634.3119999999999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-292118.81246378768</v>
      </c>
      <c r="S78">
        <f ca="1">M78+((ABS(I78)/MAX(((G34)+(I34)*(MAX($D$16,(M78)-(K34))))*(MAX($D$16,(M78)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AD78)-(J34))))*(MAX($D$16,(AD78)-(J34))),0.000001)),$D$9*((((ABS(I78)/MAX(((G34)+(I34)*(MAX($D$16,(M78)-(K34))))*(MAX($D$16,(M78)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M78)-(K34))))*(MAX($D$16,(M78)-(K34))),0.000001))^2)/(2*$I$5)))))+($D$10*(ABS((X34)-(W34))/90)*MAX(((ABS(I78)/MAX(((F34)+(H34)*(MAX($D$16,(AD78)-(J34))))*(MAX($D$16,(AD78)-(J34))),0.000001))^2)/(2*$I$5),((ABS(I78)/MAX(((G34)+(I34)*(MAX($D$16,(M78)-(K34))))*(MAX($D$16,(M78)-(K34))),0.000001))^2)/(2*$I$5)))+(0)-((ABS(I78)/MAX(((F34)+(H34)*(MAX($D$16,(AD78)-(J34))))*(MAX($D$16,(AD78)-(J34))),0.000001))^2)/(2*$I$5)</f>
        <v>635.51128720958343</v>
      </c>
      <c r="T78">
        <f ca="1">N78+((ABS(J78)/MAX(((G35)+(I35)*(MAX($D$16,(N78)-(K35))))*(MAX($D$16,(N78)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AD78)-(J35))))*(MAX($D$16,(AD78)-(J35))),0.000001)),$D$9*((((ABS(J78)/MAX(((G35)+(I35)*(MAX($D$16,(N78)-(K35))))*(MAX($D$16,(N78)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N78)-(K35))))*(MAX($D$16,(N78)-(K35))),0.000001))^2)/(2*$I$5)))))+($D$10*(ABS((X35)-(W35))/90)*MAX(((ABS(J78)/MAX(((F35)+(H35)*(MAX($D$16,(AD78)-(J35))))*(MAX($D$16,(AD78)-(J35))),0.000001))^2)/(2*$I$5),((ABS(J78)/MAX(((G35)+(I35)*(MAX($D$16,(N78)-(K35))))*(MAX($D$16,(N78)-(K35))),0.000001))^2)/(2*$I$5)))+(($D$11*0.34699541*(ABS(I78)/MAX(ABS(G78),0.000001))^2*MAX(((ABS(J78)/MAX(((F35)+(H35)*(MAX($D$16,(AD78)-(J35))))*(MAX($D$16,(AD78)-(J35))),0.000001))^2)/(2*$I$5),((ABS(J78)/MAX(((G35)+(I35)*(MAX($D$16,(N78)-(K35))))*(MAX($D$16,(N78)-(K35))),0.000001))^2)/(2*$I$5))))-((ABS(J78)/MAX(((F35)+(H35)*(MAX($D$16,(AD78)-(J35))))*(MAX($D$16,(AD78)-(J35))),0.000001))^2)/(2*$I$5)</f>
        <v>639.97429104455466</v>
      </c>
      <c r="U78">
        <f ca="1">((((G31)*(MAX($D$16,(AE78)-(K31)))^2)/2+(I31)*(MAX($D$16,(AE78)-(K31)))^3/3+(ABS(F78)^2)/($I$5*MAX(((G31)+(I31)*(MAX($D$16,(AE78)-(K31))))*(MAX($D$16,(AE78)-(K31))),0.000001)))-(IF(N6="None",((((F32)*(MAX($D$16,(AE78)-(J32)))^2)/2+(H32)*(MAX($D$16,(AE78)-(J32)))^3/3+(ABS(G78)^2)/($I$5*MAX(((F32)+(H32)*(MAX($D$16,(AE78)-(J32))))*(MAX($D$16,(AE78)-(J32))),0.000001)))*0.72785025),(((((F32)*(MAX($D$16,(AE78)-(J32)))^2)/2+(H32)*(MAX($D$16,(AE78)-(J32)))^3/3+(ABS(G78)^2)/($I$5*MAX(((F32)+(H32)*(MAX($D$16,(AE78)-(J32))))*(MAX($D$16,(AE78)-(J32))),0.000001)))*0.72785025)+((((F33)*(MAX($D$16,(AE78)-(J33)))^2)/2+(H33)*(MAX($D$16,(AE78)-(J33)))^3/3+(ABS(H78)^2)/($I$5*MAX(((F33)+(H33)*(MAX($D$16,(AE78)-(J33))))*(MAX($D$16,(AE78)-(J33))),0.000001)))*0.99999971)))))/MAX(((G31)*(MAX($D$16,(AE78)-(K31)))^2)/2+(I31)*(MAX($D$16,(AE78)-(K31)))^3/3+(ABS(F78)^2)/($I$5*MAX(((G31)+(I31)*(MAX($D$16,(AE78)-(K31))))*(MAX($D$16,(AE78)-(K31))),0.000001)),0.000001)</f>
        <v>0.27214975000000002</v>
      </c>
      <c r="V78">
        <f ca="1">((((G32)*(MAX($D$16,(AF78)-(K32)))^2)/2+(I32)*(MAX($D$16,(AF78)-(K32)))^3/3+(ABS(G78)^2)/($I$5*MAX(((G32)+(I32)*(MAX($D$16,(AF78)-(K32))))*(MAX($D$16,(AF78)-(K32))),0.000001)))-(IF(AND(N7="None",N8="None"),0,IF(N8="None",((((F34)*(MAX($D$16,(AF78)-(J34)))^2)/2+(H34)*(MAX($D$16,(AF78)-(J34)))^3/3+(ABS(I78)^2)/($I$5*MAX(((F34)+(H34)*(MAX($D$16,(AF78)-(J34))))*(MAX($D$16,(AF78)-(J34))),0.000001)))*1),IF(N7="None",((((F35)*(MAX($D$16,(AF78)-(J35)))^2)/2+(H35)*(MAX($D$16,(AF78)-(J35)))^3/3+(ABS(J78)^2)/($I$5*MAX(((F35)+(H35)*(MAX($D$16,(AF78)-(J35))))*(MAX($D$16,(AF78)-(J35))),0.000001)))*0.30600918),(((((F34)*(MAX($D$16,(AF78)-(J34)))^2)/2+(H34)*(MAX($D$16,(AF78)-(J34)))^3/3+(ABS(I78)^2)/($I$5*MAX(((F34)+(H34)*(MAX($D$16,(AF78)-(J34))))*(MAX($D$16,(AF78)-(J34))),0.000001)))*1)+((((F35)*(MAX($D$16,(AF78)-(J35)))^2)/2+(H35)*(MAX($D$16,(AF78)-(J35)))^3/3+(ABS(J78)^2)/($I$5*MAX(((F35)+(H35)*(MAX($D$16,(AF78)-(J35))))*(MAX($D$16,(AF78)-(J35))),0.000001)))*0.30600918)))))))/MAX(((G32)*(MAX($D$16,(AF78)-(K32)))^2)/2+(I32)*(MAX($D$16,(AF78)-(K32)))^3/3+(ABS(G78)^2)/($I$5*MAX(((G32)+(I32)*(MAX($D$16,(AF78)-(K32))))*(MAX($D$16,(AF78)-(K32))),0.000001)),0.000001)</f>
        <v>3.904177561081449E-2</v>
      </c>
      <c r="W78">
        <f ca="1">ABS((IF(N6="None",P78,MAX(P78,Q78)))-D78)</f>
        <v>5.7055753282828618</v>
      </c>
      <c r="X78">
        <f ca="1">ABS((IF(AND(N7="None",N8="None"),E78,IF(N8="None",S78,IF(N7="None",T78,MAX(S78,T78)))))-E78)</f>
        <v>8.0485309000201823</v>
      </c>
      <c r="Y78">
        <f>IF(N6="None",1,MIN(0.98,MAX(0.02,B78+$D$14*((Q78-P78)/MAX(ABS(D78),1)))))</f>
        <v>1</v>
      </c>
      <c r="Z78">
        <f ca="1">IF(AND(N7="None",N8="None"),C78,IF(N8="None",1,IF(N7="None",0,MIN(0.98,MAX(0.02,C78+$D$14*((T78-S78)/MAX(ABS(E78),1)))))))</f>
        <v>0.98</v>
      </c>
      <c r="AA78">
        <f t="shared" ca="1" si="16"/>
        <v>636.34562607607393</v>
      </c>
      <c r="AB78">
        <f t="shared" ca="1" si="17"/>
        <v>634.74308671560561</v>
      </c>
      <c r="AC78">
        <f ca="1">IF($D$20=0,D78,IF(AC78=0,(IF(N6="None",P78,MAX(P78,Q78))),IF(ABS((IF(N6="None",P78,MAX(P78,Q78)))-AC78)&lt;$D$19,AC78,MAX((K31)+$D$16,AC78+$D$13*(((IF(N6="None",P78,MAX(P78,Q78)))-AC78))))))</f>
        <v>640.05475514453997</v>
      </c>
      <c r="AD78">
        <f ca="1">IF($D$20=0,E78,IF(AD78=0,(IF(AND(N7="None",N8="None"),E78,IF(N8="None",S78,IF(N7="None",T78,MAX(S78,T78))))),IF(ABS((IF(AND(N7="None",N8="None"),E78,IF(N8="None",S78,IF(N7="None",T78,MAX(S78,T78)))))-AD78)&lt;$D$19,AD78,MAX((K32)+$D$16,AD78+$D$13*(((IF(AND(N7="None",N8="None"),E78,IF(N8="None",S78,IF(N7="None",T78,MAX(S78,T78)))))-AD78))))))</f>
        <v>639.97526463330917</v>
      </c>
      <c r="AE78">
        <f ca="1">IF($D$20=0,D78,IF(AE78=0,O78,IF(ABS(U78)&lt;$D$19,AE78,MAX((K31)+$D$16,AE78+($D$13*(((O78)-AE78)+(U78*MAX(ABS(AE78-(K31)),1))))))))</f>
        <v>634.34799999999996</v>
      </c>
      <c r="AF78">
        <f ca="1">IF($D$20=0,E78,IF(AF78=0,R78,IF(ABS(V78)&lt;$D$19,AF78,MAX((K32)+$D$16,AF78+($D$13*(((R78)-AF78)+(V78*MAX(ABS(AF78-(K32)),1))))))))</f>
        <v>631.92499999999995</v>
      </c>
      <c r="AG78">
        <f ca="1">((G31)*(MAX($D$16,(AC78)-(K31)))^2)/2+(I31)*(MAX($D$16,(AC78)-(K31)))^3/3+(ABS(F78)^2)/($I$5*MAX(((G31)+(I31)*(MAX($D$16,(AC78)-(K31))))*(MAX($D$16,(AC78)-(K31))),0.000001))</f>
        <v>115.68980551184316</v>
      </c>
      <c r="AH78">
        <f ca="1">((G31)*(MAX($D$16,(AE78)-(K31)))^2)/2+(I31)*(MAX($D$16,(AE78)-(K31)))^3/3+(ABS(F78)^2)/($I$5*MAX(((G31)+(I31)*(MAX($D$16,(AE78)-(K31))))*(MAX($D$16,(AE78)-(K31))),0.000001))</f>
        <v>808.60110594434002</v>
      </c>
      <c r="AI78">
        <f ca="1">((G32)*(MAX($D$16,(AD78)-(K32)))^2)/2+(I32)*(MAX($D$16,(AD78)-(K32)))^3/3+(ABS(G78)^2)/($I$5*MAX(((G32)+(I32)*(MAX($D$16,(AD78)-(K32))))*(MAX($D$16,(AD78)-(K32))),0.000001))</f>
        <v>338.03683729018678</v>
      </c>
      <c r="AJ78">
        <f ca="1">((G32)*(MAX($D$16,(AF78)-(K32)))^2)/2+(I32)*(MAX($D$16,(AF78)-(K32)))^3/3+(ABS(G78)^2)/($I$5*MAX(((G32)+(I32)*(MAX($D$16,(AF78)-(K32))))*(MAX($D$16,(AF78)-(K32))),0.000001))</f>
        <v>519.58480272613974</v>
      </c>
      <c r="AK78" t="str">
        <f t="shared" ca="1" si="18"/>
        <v>Supercritical</v>
      </c>
      <c r="AL78" t="str">
        <f t="shared" ca="1" si="19"/>
        <v>Supercritical</v>
      </c>
      <c r="AM78">
        <f t="shared" ca="1" si="20"/>
        <v>634.34826177548496</v>
      </c>
      <c r="AN78">
        <f t="shared" ca="1" si="21"/>
        <v>631.92549409394735</v>
      </c>
      <c r="AO78">
        <f t="shared" ca="1" si="22"/>
        <v>4.0273151535075158E-4</v>
      </c>
      <c r="AP78">
        <f t="shared" ca="1" si="23"/>
        <v>7.6014453452444286E-4</v>
      </c>
    </row>
    <row r="79" spans="1:42" x14ac:dyDescent="0.35">
      <c r="A79">
        <v>36</v>
      </c>
      <c r="B79">
        <f t="shared" si="24"/>
        <v>1</v>
      </c>
      <c r="C79">
        <f t="shared" ca="1" si="25"/>
        <v>0.98</v>
      </c>
      <c r="D79">
        <f t="shared" ca="1" si="26"/>
        <v>634.34826177548496</v>
      </c>
      <c r="E79">
        <f t="shared" ca="1" si="27"/>
        <v>631.92549409394735</v>
      </c>
      <c r="F79">
        <f t="shared" si="15"/>
        <v>51</v>
      </c>
      <c r="G79">
        <f>IF(N6="None",F79,MAX(0,F79*B79))</f>
        <v>51</v>
      </c>
      <c r="H79">
        <f>IF(N6="None",0,MAX(0,F79-G79))</f>
        <v>0</v>
      </c>
      <c r="I79">
        <f ca="1">IF(AND(N7="None",N8="None"),0,IF(N8="None",G79,IF(N7="None",0,MAX(0,G79*C79))))</f>
        <v>49.98</v>
      </c>
      <c r="J79">
        <f ca="1">IF(AND(N7="None",N8="None"),0,IF(N8="None",0,IF(N7="None",G79,MAX(0,G79-I79))))</f>
        <v>1.0200000000000031</v>
      </c>
      <c r="K79">
        <f>P5</f>
        <v>637</v>
      </c>
      <c r="L79">
        <f>P6</f>
        <v>634.3119999999999</v>
      </c>
      <c r="M79">
        <f>P7</f>
        <v>635.5</v>
      </c>
      <c r="N79">
        <f>P8</f>
        <v>631.54999999999995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-2091.5872404992097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640.05397805979817</v>
      </c>
      <c r="Q79">
        <f ca="1">L79+((ABS(H79)/MAX(((G33)+(I33)*(MAX($D$16,(L79)-(K33))))*(MAX($D$16,(L79)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AC79)-(J33))))*(MAX($D$16,(AC79)-(J33))),0.000001)),$D$9*((((ABS(H79)/MAX(((G33)+(I33)*(MAX($D$16,(L79)-(K33))))*(MAX($D$16,(L79)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L79)-(K33))))*(MAX($D$16,(L79)-(K33))),0.000001))^2)/(2*$I$5)))))+($D$10*(ABS((X33)-(W33))/90)*MAX(((ABS(H79)/MAX(((F33)+(H33)*(MAX($D$16,(AC79)-(J33))))*(MAX($D$16,(AC79)-(J33))),0.000001))^2)/(2*$I$5),((ABS(H79)/MAX(((G33)+(I33)*(MAX($D$16,(L79)-(K33))))*(MAX($D$16,(L79)-(K33))),0.000001))^2)/(2*$I$5)))+(($D$11*0.00000015*(ABS(G79)/MAX(ABS(F79),0.000001))^2*MAX(((ABS(H79)/MAX(((F33)+(H33)*(MAX($D$16,(AC79)-(J33))))*(MAX($D$16,(AC79)-(J33))),0.000001))^2)/(2*$I$5),((ABS(H79)/MAX(((G33)+(I33)*(MAX($D$16,(L79)-(K33))))*(MAX($D$16,(L79)-(K33))),0.000001))^2)/(2*$I$5))))-((ABS(H79)/MAX(((F33)+(H33)*(MAX($D$16,(AC79)-(J33))))*(MAX($D$16,(AC79)-(J33))),0.000001))^2)/(2*$I$5)</f>
        <v>634.3119999999999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-292118.81246378768</v>
      </c>
      <c r="S79">
        <f ca="1">M79+((ABS(I79)/MAX(((G34)+(I34)*(MAX($D$16,(M79)-(K34))))*(MAX($D$16,(M79)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AD79)-(J34))))*(MAX($D$16,(AD79)-(J34))),0.000001)),$D$9*((((ABS(I79)/MAX(((G34)+(I34)*(MAX($D$16,(M79)-(K34))))*(MAX($D$16,(M79)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M79)-(K34))))*(MAX($D$16,(M79)-(K34))),0.000001))^2)/(2*$I$5)))))+($D$10*(ABS((X34)-(W34))/90)*MAX(((ABS(I79)/MAX(((F34)+(H34)*(MAX($D$16,(AD79)-(J34))))*(MAX($D$16,(AD79)-(J34))),0.000001))^2)/(2*$I$5),((ABS(I79)/MAX(((G34)+(I34)*(MAX($D$16,(M79)-(K34))))*(MAX($D$16,(M79)-(K34))),0.000001))^2)/(2*$I$5)))+(0)-((ABS(I79)/MAX(((F34)+(H34)*(MAX($D$16,(AD79)-(J34))))*(MAX($D$16,(AD79)-(J34))),0.000001))^2)/(2*$I$5)</f>
        <v>635.51128720958343</v>
      </c>
      <c r="T79">
        <f ca="1">N79+((ABS(J79)/MAX(((G35)+(I35)*(MAX($D$16,(N79)-(K35))))*(MAX($D$16,(N79)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AD79)-(J35))))*(MAX($D$16,(AD79)-(J35))),0.000001)),$D$9*((((ABS(J79)/MAX(((G35)+(I35)*(MAX($D$16,(N79)-(K35))))*(MAX($D$16,(N79)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N79)-(K35))))*(MAX($D$16,(N79)-(K35))),0.000001))^2)/(2*$I$5)))))+($D$10*(ABS((X35)-(W35))/90)*MAX(((ABS(J79)/MAX(((F35)+(H35)*(MAX($D$16,(AD79)-(J35))))*(MAX($D$16,(AD79)-(J35))),0.000001))^2)/(2*$I$5),((ABS(J79)/MAX(((G35)+(I35)*(MAX($D$16,(N79)-(K35))))*(MAX($D$16,(N79)-(K35))),0.000001))^2)/(2*$I$5)))+(($D$11*0.34699541*(ABS(I79)/MAX(ABS(G79),0.000001))^2*MAX(((ABS(J79)/MAX(((F35)+(H35)*(MAX($D$16,(AD79)-(J35))))*(MAX($D$16,(AD79)-(J35))),0.000001))^2)/(2*$I$5),((ABS(J79)/MAX(((G35)+(I35)*(MAX($D$16,(N79)-(K35))))*(MAX($D$16,(N79)-(K35))),0.000001))^2)/(2*$I$5))))-((ABS(J79)/MAX(((F35)+(H35)*(MAX($D$16,(AD79)-(J35))))*(MAX($D$16,(AD79)-(J35))),0.000001))^2)/(2*$I$5)</f>
        <v>639.97429104455466</v>
      </c>
      <c r="U79">
        <f ca="1">((((G31)*(MAX($D$16,(AE79)-(K31)))^2)/2+(I31)*(MAX($D$16,(AE79)-(K31)))^3/3+(ABS(F79)^2)/($I$5*MAX(((G31)+(I31)*(MAX($D$16,(AE79)-(K31))))*(MAX($D$16,(AE79)-(K31))),0.000001)))-(IF(N6="None",((((F32)*(MAX($D$16,(AE79)-(J32)))^2)/2+(H32)*(MAX($D$16,(AE79)-(J32)))^3/3+(ABS(G79)^2)/($I$5*MAX(((F32)+(H32)*(MAX($D$16,(AE79)-(J32))))*(MAX($D$16,(AE79)-(J32))),0.000001)))*0.72785025),(((((F32)*(MAX($D$16,(AE79)-(J32)))^2)/2+(H32)*(MAX($D$16,(AE79)-(J32)))^3/3+(ABS(G79)^2)/($I$5*MAX(((F32)+(H32)*(MAX($D$16,(AE79)-(J32))))*(MAX($D$16,(AE79)-(J32))),0.000001)))*0.72785025)+((((F33)*(MAX($D$16,(AE79)-(J33)))^2)/2+(H33)*(MAX($D$16,(AE79)-(J33)))^3/3+(ABS(H79)^2)/($I$5*MAX(((F33)+(H33)*(MAX($D$16,(AE79)-(J33))))*(MAX($D$16,(AE79)-(J33))),0.000001)))*0.99999971)))))/MAX(((G31)*(MAX($D$16,(AE79)-(K31)))^2)/2+(I31)*(MAX($D$16,(AE79)-(K31)))^3/3+(ABS(F79)^2)/($I$5*MAX(((G31)+(I31)*(MAX($D$16,(AE79)-(K31))))*(MAX($D$16,(AE79)-(K31))),0.000001)),0.000001)</f>
        <v>0.27214975000000002</v>
      </c>
      <c r="V79">
        <f ca="1">((((G32)*(MAX($D$16,(AF79)-(K32)))^2)/2+(I32)*(MAX($D$16,(AF79)-(K32)))^3/3+(ABS(G79)^2)/($I$5*MAX(((G32)+(I32)*(MAX($D$16,(AF79)-(K32))))*(MAX($D$16,(AF79)-(K32))),0.000001)))-(IF(AND(N7="None",N8="None"),0,IF(N8="None",((((F34)*(MAX($D$16,(AF79)-(J34)))^2)/2+(H34)*(MAX($D$16,(AF79)-(J34)))^3/3+(ABS(I79)^2)/($I$5*MAX(((F34)+(H34)*(MAX($D$16,(AF79)-(J34))))*(MAX($D$16,(AF79)-(J34))),0.000001)))*1),IF(N7="None",((((F35)*(MAX($D$16,(AF79)-(J35)))^2)/2+(H35)*(MAX($D$16,(AF79)-(J35)))^3/3+(ABS(J79)^2)/($I$5*MAX(((F35)+(H35)*(MAX($D$16,(AF79)-(J35))))*(MAX($D$16,(AF79)-(J35))),0.000001)))*0.30600918),(((((F34)*(MAX($D$16,(AF79)-(J34)))^2)/2+(H34)*(MAX($D$16,(AF79)-(J34)))^3/3+(ABS(I79)^2)/($I$5*MAX(((F34)+(H34)*(MAX($D$16,(AF79)-(J34))))*(MAX($D$16,(AF79)-(J34))),0.000001)))*1)+((((F35)*(MAX($D$16,(AF79)-(J35)))^2)/2+(H35)*(MAX($D$16,(AF79)-(J35)))^3/3+(ABS(J79)^2)/($I$5*MAX(((F35)+(H35)*(MAX($D$16,(AF79)-(J35))))*(MAX($D$16,(AF79)-(J35))),0.000001)))*0.30600918)))))))/MAX(((G32)*(MAX($D$16,(AF79)-(K32)))^2)/2+(I32)*(MAX($D$16,(AF79)-(K32)))^3/3+(ABS(G79)^2)/($I$5*MAX(((G32)+(I32)*(MAX($D$16,(AF79)-(K32))))*(MAX($D$16,(AF79)-(K32))),0.000001)),0.000001)</f>
        <v>3.904177561081449E-2</v>
      </c>
      <c r="W79">
        <f ca="1">ABS((IF(N6="None",P79,MAX(P79,Q79)))-D79)</f>
        <v>5.7057162843132119</v>
      </c>
      <c r="X79">
        <f ca="1">ABS((IF(AND(N7="None",N8="None"),E79,IF(N8="None",S79,IF(N7="None",T79,MAX(S79,T79)))))-E79)</f>
        <v>8.0487969506073114</v>
      </c>
      <c r="Y79">
        <f>IF(N6="None",1,MIN(0.98,MAX(0.02,B79+$D$14*((Q79-P79)/MAX(ABS(D79),1)))))</f>
        <v>1</v>
      </c>
      <c r="Z79">
        <f ca="1">IF(AND(N7="None",N8="None"),C79,IF(N8="None",1,IF(N7="None",0,MIN(0.98,MAX(0.02,C79+$D$14*((T79-S79)/MAX(ABS(E79),1)))))))</f>
        <v>0.98</v>
      </c>
      <c r="AA79">
        <f t="shared" ca="1" si="16"/>
        <v>636.34553445465417</v>
      </c>
      <c r="AB79">
        <f t="shared" ca="1" si="17"/>
        <v>634.74291378272403</v>
      </c>
      <c r="AC79">
        <f ca="1">IF($D$20=0,D79,IF(AC79=0,(IF(N6="None",P79,MAX(P79,Q79))),IF(ABS((IF(N6="None",P79,MAX(P79,Q79)))-AC79)&lt;$D$19,AC79,MAX((K31)+$D$16,AC79+$D$13*(((IF(N6="None",P79,MAX(P79,Q79)))-AC79))))))</f>
        <v>640.05475514453997</v>
      </c>
      <c r="AD79">
        <f ca="1">IF($D$20=0,E79,IF(AD79=0,(IF(AND(N7="None",N8="None"),E79,IF(N8="None",S79,IF(N7="None",T79,MAX(S79,T79))))),IF(ABS((IF(AND(N7="None",N8="None"),E79,IF(N8="None",S79,IF(N7="None",T79,MAX(S79,T79)))))-AD79)&lt;$D$19,AD79,MAX((K32)+$D$16,AD79+$D$13*(((IF(AND(N7="None",N8="None"),E79,IF(N8="None",S79,IF(N7="None",T79,MAX(S79,T79)))))-AD79))))))</f>
        <v>639.97526463330917</v>
      </c>
      <c r="AE79">
        <f ca="1">IF($D$20=0,D79,IF(AE79=0,O79,IF(ABS(U79)&lt;$D$19,AE79,MAX((K31)+$D$16,AE79+($D$13*(((O79)-AE79)+(U79*MAX(ABS(AE79-(K31)),1))))))))</f>
        <v>634.34799999999996</v>
      </c>
      <c r="AF79">
        <f ca="1">IF($D$20=0,E79,IF(AF79=0,R79,IF(ABS(V79)&lt;$D$19,AF79,MAX((K32)+$D$16,AF79+($D$13*(((R79)-AF79)+(V79*MAX(ABS(AF79-(K32)),1))))))))</f>
        <v>631.92499999999995</v>
      </c>
      <c r="AG79">
        <f ca="1">((G31)*(MAX($D$16,(AC79)-(K31)))^2)/2+(I31)*(MAX($D$16,(AC79)-(K31)))^3/3+(ABS(F79)^2)/($I$5*MAX(((G31)+(I31)*(MAX($D$16,(AC79)-(K31))))*(MAX($D$16,(AC79)-(K31))),0.000001))</f>
        <v>115.68980551184316</v>
      </c>
      <c r="AH79">
        <f ca="1">((G31)*(MAX($D$16,(AE79)-(K31)))^2)/2+(I31)*(MAX($D$16,(AE79)-(K31)))^3/3+(ABS(F79)^2)/($I$5*MAX(((G31)+(I31)*(MAX($D$16,(AE79)-(K31))))*(MAX($D$16,(AE79)-(K31))),0.000001))</f>
        <v>808.60110594434002</v>
      </c>
      <c r="AI79">
        <f ca="1">((G32)*(MAX($D$16,(AD79)-(K32)))^2)/2+(I32)*(MAX($D$16,(AD79)-(K32)))^3/3+(ABS(G79)^2)/($I$5*MAX(((G32)+(I32)*(MAX($D$16,(AD79)-(K32))))*(MAX($D$16,(AD79)-(K32))),0.000001))</f>
        <v>338.03683729018678</v>
      </c>
      <c r="AJ79">
        <f ca="1">((G32)*(MAX($D$16,(AF79)-(K32)))^2)/2+(I32)*(MAX($D$16,(AF79)-(K32)))^3/3+(ABS(G79)^2)/($I$5*MAX(((G32)+(I32)*(MAX($D$16,(AF79)-(K32))))*(MAX($D$16,(AF79)-(K32))),0.000001))</f>
        <v>519.58480272613974</v>
      </c>
      <c r="AK79" t="str">
        <f t="shared" ca="1" si="18"/>
        <v>Supercritical</v>
      </c>
      <c r="AL79" t="str">
        <f t="shared" ca="1" si="19"/>
        <v>Supercritical</v>
      </c>
      <c r="AM79">
        <f t="shared" ca="1" si="20"/>
        <v>634.3481701540652</v>
      </c>
      <c r="AN79">
        <f t="shared" ca="1" si="21"/>
        <v>631.92532116106577</v>
      </c>
      <c r="AO79">
        <f t="shared" ca="1" si="22"/>
        <v>2.6177548500072589E-4</v>
      </c>
      <c r="AP79">
        <f t="shared" ca="1" si="23"/>
        <v>4.9409394739541312E-4</v>
      </c>
    </row>
    <row r="80" spans="1:42" x14ac:dyDescent="0.35">
      <c r="A80">
        <v>37</v>
      </c>
      <c r="B80">
        <f t="shared" si="24"/>
        <v>1</v>
      </c>
      <c r="C80">
        <f t="shared" ca="1" si="25"/>
        <v>0.98</v>
      </c>
      <c r="D80">
        <f t="shared" ca="1" si="26"/>
        <v>634.3481701540652</v>
      </c>
      <c r="E80">
        <f t="shared" ca="1" si="27"/>
        <v>631.92532116106577</v>
      </c>
      <c r="F80">
        <f t="shared" si="15"/>
        <v>51</v>
      </c>
      <c r="G80">
        <f>IF(N6="None",F80,MAX(0,F80*B80))</f>
        <v>51</v>
      </c>
      <c r="H80">
        <f>IF(N6="None",0,MAX(0,F80-G80))</f>
        <v>0</v>
      </c>
      <c r="I80">
        <f ca="1">IF(AND(N7="None",N8="None"),0,IF(N8="None",G80,IF(N7="None",0,MAX(0,G80*C80))))</f>
        <v>49.98</v>
      </c>
      <c r="J80">
        <f ca="1">IF(AND(N7="None",N8="None"),0,IF(N8="None",0,IF(N7="None",G80,MAX(0,G80-I80))))</f>
        <v>1.0200000000000031</v>
      </c>
      <c r="K80">
        <f>P5</f>
        <v>637</v>
      </c>
      <c r="L80">
        <f>P6</f>
        <v>634.3119999999999</v>
      </c>
      <c r="M80">
        <f>P7</f>
        <v>635.5</v>
      </c>
      <c r="N80">
        <f>P8</f>
        <v>631.54999999999995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-2091.5872404992097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640.05397805979817</v>
      </c>
      <c r="Q80">
        <f ca="1">L80+((ABS(H80)/MAX(((G33)+(I33)*(MAX($D$16,(L80)-(K33))))*(MAX($D$16,(L80)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AC80)-(J33))))*(MAX($D$16,(AC80)-(J33))),0.000001)),$D$9*((((ABS(H80)/MAX(((G33)+(I33)*(MAX($D$16,(L80)-(K33))))*(MAX($D$16,(L80)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L80)-(K33))))*(MAX($D$16,(L80)-(K33))),0.000001))^2)/(2*$I$5)))))+($D$10*(ABS((X33)-(W33))/90)*MAX(((ABS(H80)/MAX(((F33)+(H33)*(MAX($D$16,(AC80)-(J33))))*(MAX($D$16,(AC80)-(J33))),0.000001))^2)/(2*$I$5),((ABS(H80)/MAX(((G33)+(I33)*(MAX($D$16,(L80)-(K33))))*(MAX($D$16,(L80)-(K33))),0.000001))^2)/(2*$I$5)))+(($D$11*0.00000015*(ABS(G80)/MAX(ABS(F80),0.000001))^2*MAX(((ABS(H80)/MAX(((F33)+(H33)*(MAX($D$16,(AC80)-(J33))))*(MAX($D$16,(AC80)-(J33))),0.000001))^2)/(2*$I$5),((ABS(H80)/MAX(((G33)+(I33)*(MAX($D$16,(L80)-(K33))))*(MAX($D$16,(L80)-(K33))),0.000001))^2)/(2*$I$5))))-((ABS(H80)/MAX(((F33)+(H33)*(MAX($D$16,(AC80)-(J33))))*(MAX($D$16,(AC80)-(J33))),0.000001))^2)/(2*$I$5)</f>
        <v>634.3119999999999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-292118.81246378768</v>
      </c>
      <c r="S80">
        <f ca="1">M80+((ABS(I80)/MAX(((G34)+(I34)*(MAX($D$16,(M80)-(K34))))*(MAX($D$16,(M80)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AD80)-(J34))))*(MAX($D$16,(AD80)-(J34))),0.000001)),$D$9*((((ABS(I80)/MAX(((G34)+(I34)*(MAX($D$16,(M80)-(K34))))*(MAX($D$16,(M80)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M80)-(K34))))*(MAX($D$16,(M80)-(K34))),0.000001))^2)/(2*$I$5)))))+($D$10*(ABS((X34)-(W34))/90)*MAX(((ABS(I80)/MAX(((F34)+(H34)*(MAX($D$16,(AD80)-(J34))))*(MAX($D$16,(AD80)-(J34))),0.000001))^2)/(2*$I$5),((ABS(I80)/MAX(((G34)+(I34)*(MAX($D$16,(M80)-(K34))))*(MAX($D$16,(M80)-(K34))),0.000001))^2)/(2*$I$5)))+(0)-((ABS(I80)/MAX(((F34)+(H34)*(MAX($D$16,(AD80)-(J34))))*(MAX($D$16,(AD80)-(J34))),0.000001))^2)/(2*$I$5)</f>
        <v>635.51128720958343</v>
      </c>
      <c r="T80">
        <f ca="1">N80+((ABS(J80)/MAX(((G35)+(I35)*(MAX($D$16,(N80)-(K35))))*(MAX($D$16,(N80)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AD80)-(J35))))*(MAX($D$16,(AD80)-(J35))),0.000001)),$D$9*((((ABS(J80)/MAX(((G35)+(I35)*(MAX($D$16,(N80)-(K35))))*(MAX($D$16,(N80)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N80)-(K35))))*(MAX($D$16,(N80)-(K35))),0.000001))^2)/(2*$I$5)))))+($D$10*(ABS((X35)-(W35))/90)*MAX(((ABS(J80)/MAX(((F35)+(H35)*(MAX($D$16,(AD80)-(J35))))*(MAX($D$16,(AD80)-(J35))),0.000001))^2)/(2*$I$5),((ABS(J80)/MAX(((G35)+(I35)*(MAX($D$16,(N80)-(K35))))*(MAX($D$16,(N80)-(K35))),0.000001))^2)/(2*$I$5)))+(($D$11*0.34699541*(ABS(I80)/MAX(ABS(G80),0.000001))^2*MAX(((ABS(J80)/MAX(((F35)+(H35)*(MAX($D$16,(AD80)-(J35))))*(MAX($D$16,(AD80)-(J35))),0.000001))^2)/(2*$I$5),((ABS(J80)/MAX(((G35)+(I35)*(MAX($D$16,(N80)-(K35))))*(MAX($D$16,(N80)-(K35))),0.000001))^2)/(2*$I$5))))-((ABS(J80)/MAX(((F35)+(H35)*(MAX($D$16,(AD80)-(J35))))*(MAX($D$16,(AD80)-(J35))),0.000001))^2)/(2*$I$5)</f>
        <v>639.97429104455466</v>
      </c>
      <c r="U80">
        <f ca="1">((((G31)*(MAX($D$16,(AE80)-(K31)))^2)/2+(I31)*(MAX($D$16,(AE80)-(K31)))^3/3+(ABS(F80)^2)/($I$5*MAX(((G31)+(I31)*(MAX($D$16,(AE80)-(K31))))*(MAX($D$16,(AE80)-(K31))),0.000001)))-(IF(N6="None",((((F32)*(MAX($D$16,(AE80)-(J32)))^2)/2+(H32)*(MAX($D$16,(AE80)-(J32)))^3/3+(ABS(G80)^2)/($I$5*MAX(((F32)+(H32)*(MAX($D$16,(AE80)-(J32))))*(MAX($D$16,(AE80)-(J32))),0.000001)))*0.72785025),(((((F32)*(MAX($D$16,(AE80)-(J32)))^2)/2+(H32)*(MAX($D$16,(AE80)-(J32)))^3/3+(ABS(G80)^2)/($I$5*MAX(((F32)+(H32)*(MAX($D$16,(AE80)-(J32))))*(MAX($D$16,(AE80)-(J32))),0.000001)))*0.72785025)+((((F33)*(MAX($D$16,(AE80)-(J33)))^2)/2+(H33)*(MAX($D$16,(AE80)-(J33)))^3/3+(ABS(H80)^2)/($I$5*MAX(((F33)+(H33)*(MAX($D$16,(AE80)-(J33))))*(MAX($D$16,(AE80)-(J33))),0.000001)))*0.99999971)))))/MAX(((G31)*(MAX($D$16,(AE80)-(K31)))^2)/2+(I31)*(MAX($D$16,(AE80)-(K31)))^3/3+(ABS(F80)^2)/($I$5*MAX(((G31)+(I31)*(MAX($D$16,(AE80)-(K31))))*(MAX($D$16,(AE80)-(K31))),0.000001)),0.000001)</f>
        <v>0.27214975000000002</v>
      </c>
      <c r="V80">
        <f ca="1">((((G32)*(MAX($D$16,(AF80)-(K32)))^2)/2+(I32)*(MAX($D$16,(AF80)-(K32)))^3/3+(ABS(G80)^2)/($I$5*MAX(((G32)+(I32)*(MAX($D$16,(AF80)-(K32))))*(MAX($D$16,(AF80)-(K32))),0.000001)))-(IF(AND(N7="None",N8="None"),0,IF(N8="None",((((F34)*(MAX($D$16,(AF80)-(J34)))^2)/2+(H34)*(MAX($D$16,(AF80)-(J34)))^3/3+(ABS(I80)^2)/($I$5*MAX(((F34)+(H34)*(MAX($D$16,(AF80)-(J34))))*(MAX($D$16,(AF80)-(J34))),0.000001)))*1),IF(N7="None",((((F35)*(MAX($D$16,(AF80)-(J35)))^2)/2+(H35)*(MAX($D$16,(AF80)-(J35)))^3/3+(ABS(J80)^2)/($I$5*MAX(((F35)+(H35)*(MAX($D$16,(AF80)-(J35))))*(MAX($D$16,(AF80)-(J35))),0.000001)))*0.30600918),(((((F34)*(MAX($D$16,(AF80)-(J34)))^2)/2+(H34)*(MAX($D$16,(AF80)-(J34)))^3/3+(ABS(I80)^2)/($I$5*MAX(((F34)+(H34)*(MAX($D$16,(AF80)-(J34))))*(MAX($D$16,(AF80)-(J34))),0.000001)))*1)+((((F35)*(MAX($D$16,(AF80)-(J35)))^2)/2+(H35)*(MAX($D$16,(AF80)-(J35)))^3/3+(ABS(J80)^2)/($I$5*MAX(((F35)+(H35)*(MAX($D$16,(AF80)-(J35))))*(MAX($D$16,(AF80)-(J35))),0.000001)))*0.30600918)))))))/MAX(((G32)*(MAX($D$16,(AF80)-(K32)))^2)/2+(I32)*(MAX($D$16,(AF80)-(K32)))^3/3+(ABS(G80)^2)/($I$5*MAX(((G32)+(I32)*(MAX($D$16,(AF80)-(K32))))*(MAX($D$16,(AF80)-(K32))),0.000001)),0.000001)</f>
        <v>3.904177561081449E-2</v>
      </c>
      <c r="W80">
        <f ca="1">ABS((IF(N6="None",P80,MAX(P80,Q80)))-D80)</f>
        <v>5.7058079057329678</v>
      </c>
      <c r="X80">
        <f ca="1">ABS((IF(AND(N7="None",N8="None"),E80,IF(N8="None",S80,IF(N7="None",T80,MAX(S80,T80)))))-E80)</f>
        <v>8.0489698834888941</v>
      </c>
      <c r="Y80">
        <f>IF(N6="None",1,MIN(0.98,MAX(0.02,B80+$D$14*((Q80-P80)/MAX(ABS(D80),1)))))</f>
        <v>1</v>
      </c>
      <c r="Z80">
        <f ca="1">IF(AND(N7="None",N8="None"),C80,IF(N8="None",1,IF(N7="None",0,MIN(0.98,MAX(0.02,C80+$D$14*((T80-S80)/MAX(ABS(E80),1)))))))</f>
        <v>0.98</v>
      </c>
      <c r="AA80">
        <f t="shared" ca="1" si="16"/>
        <v>636.34547490073135</v>
      </c>
      <c r="AB80">
        <f t="shared" ca="1" si="17"/>
        <v>634.74280137635094</v>
      </c>
      <c r="AC80">
        <f ca="1">IF($D$20=0,D80,IF(AC80=0,(IF(N6="None",P80,MAX(P80,Q80))),IF(ABS((IF(N6="None",P80,MAX(P80,Q80)))-AC80)&lt;$D$19,AC80,MAX((K31)+$D$16,AC80+$D$13*(((IF(N6="None",P80,MAX(P80,Q80)))-AC80))))))</f>
        <v>640.05475514453997</v>
      </c>
      <c r="AD80">
        <f ca="1">IF($D$20=0,E80,IF(AD80=0,(IF(AND(N7="None",N8="None"),E80,IF(N8="None",S80,IF(N7="None",T80,MAX(S80,T80))))),IF(ABS((IF(AND(N7="None",N8="None"),E80,IF(N8="None",S80,IF(N7="None",T80,MAX(S80,T80)))))-AD80)&lt;$D$19,AD80,MAX((K32)+$D$16,AD80+$D$13*(((IF(AND(N7="None",N8="None"),E80,IF(N8="None",S80,IF(N7="None",T80,MAX(S80,T80)))))-AD80))))))</f>
        <v>639.97526463330917</v>
      </c>
      <c r="AE80">
        <f ca="1">IF($D$20=0,D80,IF(AE80=0,O80,IF(ABS(U80)&lt;$D$19,AE80,MAX((K31)+$D$16,AE80+($D$13*(((O80)-AE80)+(U80*MAX(ABS(AE80-(K31)),1))))))))</f>
        <v>634.34799999999996</v>
      </c>
      <c r="AF80">
        <f ca="1">IF($D$20=0,E80,IF(AF80=0,R80,IF(ABS(V80)&lt;$D$19,AF80,MAX((K32)+$D$16,AF80+($D$13*(((R80)-AF80)+(V80*MAX(ABS(AF80-(K32)),1))))))))</f>
        <v>631.92499999999995</v>
      </c>
      <c r="AG80">
        <f ca="1">((G31)*(MAX($D$16,(AC80)-(K31)))^2)/2+(I31)*(MAX($D$16,(AC80)-(K31)))^3/3+(ABS(F80)^2)/($I$5*MAX(((G31)+(I31)*(MAX($D$16,(AC80)-(K31))))*(MAX($D$16,(AC80)-(K31))),0.000001))</f>
        <v>115.68980551184316</v>
      </c>
      <c r="AH80">
        <f ca="1">((G31)*(MAX($D$16,(AE80)-(K31)))^2)/2+(I31)*(MAX($D$16,(AE80)-(K31)))^3/3+(ABS(F80)^2)/($I$5*MAX(((G31)+(I31)*(MAX($D$16,(AE80)-(K31))))*(MAX($D$16,(AE80)-(K31))),0.000001))</f>
        <v>808.60110594434002</v>
      </c>
      <c r="AI80">
        <f ca="1">((G32)*(MAX($D$16,(AD80)-(K32)))^2)/2+(I32)*(MAX($D$16,(AD80)-(K32)))^3/3+(ABS(G80)^2)/($I$5*MAX(((G32)+(I32)*(MAX($D$16,(AD80)-(K32))))*(MAX($D$16,(AD80)-(K32))),0.000001))</f>
        <v>338.03683729018678</v>
      </c>
      <c r="AJ80">
        <f ca="1">((G32)*(MAX($D$16,(AF80)-(K32)))^2)/2+(I32)*(MAX($D$16,(AF80)-(K32)))^3/3+(ABS(G80)^2)/($I$5*MAX(((G32)+(I32)*(MAX($D$16,(AF80)-(K32))))*(MAX($D$16,(AF80)-(K32))),0.000001))</f>
        <v>519.58480272613974</v>
      </c>
      <c r="AK80" t="str">
        <f t="shared" ca="1" si="18"/>
        <v>Supercritical</v>
      </c>
      <c r="AL80" t="str">
        <f t="shared" ca="1" si="19"/>
        <v>Supercritical</v>
      </c>
      <c r="AM80">
        <f t="shared" ca="1" si="20"/>
        <v>634.34811060014238</v>
      </c>
      <c r="AN80">
        <f t="shared" ca="1" si="21"/>
        <v>631.92520875469268</v>
      </c>
      <c r="AO80">
        <f t="shared" ca="1" si="22"/>
        <v>1.7015406524478749E-4</v>
      </c>
      <c r="AP80">
        <f t="shared" ca="1" si="23"/>
        <v>3.2116106581270287E-4</v>
      </c>
    </row>
    <row r="81" spans="1:42" x14ac:dyDescent="0.35">
      <c r="A81">
        <v>38</v>
      </c>
      <c r="B81">
        <f t="shared" si="24"/>
        <v>1</v>
      </c>
      <c r="C81">
        <f t="shared" ca="1" si="25"/>
        <v>0.98</v>
      </c>
      <c r="D81">
        <f t="shared" ca="1" si="26"/>
        <v>634.34811060014238</v>
      </c>
      <c r="E81">
        <f t="shared" ca="1" si="27"/>
        <v>631.92520875469268</v>
      </c>
      <c r="F81">
        <f t="shared" si="15"/>
        <v>51</v>
      </c>
      <c r="G81">
        <f>IF(N6="None",F81,MAX(0,F81*B81))</f>
        <v>51</v>
      </c>
      <c r="H81">
        <f>IF(N6="None",0,MAX(0,F81-G81))</f>
        <v>0</v>
      </c>
      <c r="I81">
        <f ca="1">IF(AND(N7="None",N8="None"),0,IF(N8="None",G81,IF(N7="None",0,MAX(0,G81*C81))))</f>
        <v>49.98</v>
      </c>
      <c r="J81">
        <f ca="1">IF(AND(N7="None",N8="None"),0,IF(N8="None",0,IF(N7="None",G81,MAX(0,G81-I81))))</f>
        <v>1.0200000000000031</v>
      </c>
      <c r="K81">
        <f>P5</f>
        <v>637</v>
      </c>
      <c r="L81">
        <f>P6</f>
        <v>634.3119999999999</v>
      </c>
      <c r="M81">
        <f>P7</f>
        <v>635.5</v>
      </c>
      <c r="N81">
        <f>P8</f>
        <v>631.54999999999995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-2091.5872404992097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640.05397805979817</v>
      </c>
      <c r="Q81">
        <f ca="1">L81+((ABS(H81)/MAX(((G33)+(I33)*(MAX($D$16,(L81)-(K33))))*(MAX($D$16,(L81)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AC81)-(J33))))*(MAX($D$16,(AC81)-(J33))),0.000001)),$D$9*((((ABS(H81)/MAX(((G33)+(I33)*(MAX($D$16,(L81)-(K33))))*(MAX($D$16,(L81)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L81)-(K33))))*(MAX($D$16,(L81)-(K33))),0.000001))^2)/(2*$I$5)))))+($D$10*(ABS((X33)-(W33))/90)*MAX(((ABS(H81)/MAX(((F33)+(H33)*(MAX($D$16,(AC81)-(J33))))*(MAX($D$16,(AC81)-(J33))),0.000001))^2)/(2*$I$5),((ABS(H81)/MAX(((G33)+(I33)*(MAX($D$16,(L81)-(K33))))*(MAX($D$16,(L81)-(K33))),0.000001))^2)/(2*$I$5)))+(($D$11*0.00000015*(ABS(G81)/MAX(ABS(F81),0.000001))^2*MAX(((ABS(H81)/MAX(((F33)+(H33)*(MAX($D$16,(AC81)-(J33))))*(MAX($D$16,(AC81)-(J33))),0.000001))^2)/(2*$I$5),((ABS(H81)/MAX(((G33)+(I33)*(MAX($D$16,(L81)-(K33))))*(MAX($D$16,(L81)-(K33))),0.000001))^2)/(2*$I$5))))-((ABS(H81)/MAX(((F33)+(H33)*(MAX($D$16,(AC81)-(J33))))*(MAX($D$16,(AC81)-(J33))),0.000001))^2)/(2*$I$5)</f>
        <v>634.3119999999999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-292118.81246378768</v>
      </c>
      <c r="S81">
        <f ca="1">M81+((ABS(I81)/MAX(((G34)+(I34)*(MAX($D$16,(M81)-(K34))))*(MAX($D$16,(M81)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AD81)-(J34))))*(MAX($D$16,(AD81)-(J34))),0.000001)),$D$9*((((ABS(I81)/MAX(((G34)+(I34)*(MAX($D$16,(M81)-(K34))))*(MAX($D$16,(M81)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M81)-(K34))))*(MAX($D$16,(M81)-(K34))),0.000001))^2)/(2*$I$5)))))+($D$10*(ABS((X34)-(W34))/90)*MAX(((ABS(I81)/MAX(((F34)+(H34)*(MAX($D$16,(AD81)-(J34))))*(MAX($D$16,(AD81)-(J34))),0.000001))^2)/(2*$I$5),((ABS(I81)/MAX(((G34)+(I34)*(MAX($D$16,(M81)-(K34))))*(MAX($D$16,(M81)-(K34))),0.000001))^2)/(2*$I$5)))+(0)-((ABS(I81)/MAX(((F34)+(H34)*(MAX($D$16,(AD81)-(J34))))*(MAX($D$16,(AD81)-(J34))),0.000001))^2)/(2*$I$5)</f>
        <v>635.51128720958343</v>
      </c>
      <c r="T81">
        <f ca="1">N81+((ABS(J81)/MAX(((G35)+(I35)*(MAX($D$16,(N81)-(K35))))*(MAX($D$16,(N81)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AD81)-(J35))))*(MAX($D$16,(AD81)-(J35))),0.000001)),$D$9*((((ABS(J81)/MAX(((G35)+(I35)*(MAX($D$16,(N81)-(K35))))*(MAX($D$16,(N81)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N81)-(K35))))*(MAX($D$16,(N81)-(K35))),0.000001))^2)/(2*$I$5)))))+($D$10*(ABS((X35)-(W35))/90)*MAX(((ABS(J81)/MAX(((F35)+(H35)*(MAX($D$16,(AD81)-(J35))))*(MAX($D$16,(AD81)-(J35))),0.000001))^2)/(2*$I$5),((ABS(J81)/MAX(((G35)+(I35)*(MAX($D$16,(N81)-(K35))))*(MAX($D$16,(N81)-(K35))),0.000001))^2)/(2*$I$5)))+(($D$11*0.34699541*(ABS(I81)/MAX(ABS(G81),0.000001))^2*MAX(((ABS(J81)/MAX(((F35)+(H35)*(MAX($D$16,(AD81)-(J35))))*(MAX($D$16,(AD81)-(J35))),0.000001))^2)/(2*$I$5),((ABS(J81)/MAX(((G35)+(I35)*(MAX($D$16,(N81)-(K35))))*(MAX($D$16,(N81)-(K35))),0.000001))^2)/(2*$I$5))))-((ABS(J81)/MAX(((F35)+(H35)*(MAX($D$16,(AD81)-(J35))))*(MAX($D$16,(AD81)-(J35))),0.000001))^2)/(2*$I$5)</f>
        <v>639.97429104455466</v>
      </c>
      <c r="U81">
        <f ca="1">((((G31)*(MAX($D$16,(AE81)-(K31)))^2)/2+(I31)*(MAX($D$16,(AE81)-(K31)))^3/3+(ABS(F81)^2)/($I$5*MAX(((G31)+(I31)*(MAX($D$16,(AE81)-(K31))))*(MAX($D$16,(AE81)-(K31))),0.000001)))-(IF(N6="None",((((F32)*(MAX($D$16,(AE81)-(J32)))^2)/2+(H32)*(MAX($D$16,(AE81)-(J32)))^3/3+(ABS(G81)^2)/($I$5*MAX(((F32)+(H32)*(MAX($D$16,(AE81)-(J32))))*(MAX($D$16,(AE81)-(J32))),0.000001)))*0.72785025),(((((F32)*(MAX($D$16,(AE81)-(J32)))^2)/2+(H32)*(MAX($D$16,(AE81)-(J32)))^3/3+(ABS(G81)^2)/($I$5*MAX(((F32)+(H32)*(MAX($D$16,(AE81)-(J32))))*(MAX($D$16,(AE81)-(J32))),0.000001)))*0.72785025)+((((F33)*(MAX($D$16,(AE81)-(J33)))^2)/2+(H33)*(MAX($D$16,(AE81)-(J33)))^3/3+(ABS(H81)^2)/($I$5*MAX(((F33)+(H33)*(MAX($D$16,(AE81)-(J33))))*(MAX($D$16,(AE81)-(J33))),0.000001)))*0.99999971)))))/MAX(((G31)*(MAX($D$16,(AE81)-(K31)))^2)/2+(I31)*(MAX($D$16,(AE81)-(K31)))^3/3+(ABS(F81)^2)/($I$5*MAX(((G31)+(I31)*(MAX($D$16,(AE81)-(K31))))*(MAX($D$16,(AE81)-(K31))),0.000001)),0.000001)</f>
        <v>0.27214975000000002</v>
      </c>
      <c r="V81">
        <f ca="1">((((G32)*(MAX($D$16,(AF81)-(K32)))^2)/2+(I32)*(MAX($D$16,(AF81)-(K32)))^3/3+(ABS(G81)^2)/($I$5*MAX(((G32)+(I32)*(MAX($D$16,(AF81)-(K32))))*(MAX($D$16,(AF81)-(K32))),0.000001)))-(IF(AND(N7="None",N8="None"),0,IF(N8="None",((((F34)*(MAX($D$16,(AF81)-(J34)))^2)/2+(H34)*(MAX($D$16,(AF81)-(J34)))^3/3+(ABS(I81)^2)/($I$5*MAX(((F34)+(H34)*(MAX($D$16,(AF81)-(J34))))*(MAX($D$16,(AF81)-(J34))),0.000001)))*1),IF(N7="None",((((F35)*(MAX($D$16,(AF81)-(J35)))^2)/2+(H35)*(MAX($D$16,(AF81)-(J35)))^3/3+(ABS(J81)^2)/($I$5*MAX(((F35)+(H35)*(MAX($D$16,(AF81)-(J35))))*(MAX($D$16,(AF81)-(J35))),0.000001)))*0.30600918),(((((F34)*(MAX($D$16,(AF81)-(J34)))^2)/2+(H34)*(MAX($D$16,(AF81)-(J34)))^3/3+(ABS(I81)^2)/($I$5*MAX(((F34)+(H34)*(MAX($D$16,(AF81)-(J34))))*(MAX($D$16,(AF81)-(J34))),0.000001)))*1)+((((F35)*(MAX($D$16,(AF81)-(J35)))^2)/2+(H35)*(MAX($D$16,(AF81)-(J35)))^3/3+(ABS(J81)^2)/($I$5*MAX(((F35)+(H35)*(MAX($D$16,(AF81)-(J35))))*(MAX($D$16,(AF81)-(J35))),0.000001)))*0.30600918)))))))/MAX(((G32)*(MAX($D$16,(AF81)-(K32)))^2)/2+(I32)*(MAX($D$16,(AF81)-(K32)))^3/3+(ABS(G81)^2)/($I$5*MAX(((G32)+(I32)*(MAX($D$16,(AF81)-(K32))))*(MAX($D$16,(AF81)-(K32))),0.000001)),0.000001)</f>
        <v>3.904177561081449E-2</v>
      </c>
      <c r="W81">
        <f ca="1">ABS((IF(N6="None",P81,MAX(P81,Q81)))-D81)</f>
        <v>5.7058674596557921</v>
      </c>
      <c r="X81">
        <f ca="1">ABS((IF(AND(N7="None",N8="None"),E81,IF(N8="None",S81,IF(N7="None",T81,MAX(S81,T81)))))-E81)</f>
        <v>8.0490822898619854</v>
      </c>
      <c r="Y81">
        <f>IF(N6="None",1,MIN(0.98,MAX(0.02,B81+$D$14*((Q81-P81)/MAX(ABS(D81),1)))))</f>
        <v>1</v>
      </c>
      <c r="Z81">
        <f ca="1">IF(AND(N7="None",N8="None"),C81,IF(N8="None",1,IF(N7="None",0,MIN(0.98,MAX(0.02,C81+$D$14*((T81-S81)/MAX(ABS(E81),1)))))))</f>
        <v>0.98</v>
      </c>
      <c r="AA81">
        <f t="shared" ca="1" si="16"/>
        <v>636.34543619068154</v>
      </c>
      <c r="AB81">
        <f t="shared" ca="1" si="17"/>
        <v>634.74272831220844</v>
      </c>
      <c r="AC81">
        <f ca="1">IF($D$20=0,D81,IF(AC81=0,(IF(N6="None",P81,MAX(P81,Q81))),IF(ABS((IF(N6="None",P81,MAX(P81,Q81)))-AC81)&lt;$D$19,AC81,MAX((K31)+$D$16,AC81+$D$13*(((IF(N6="None",P81,MAX(P81,Q81)))-AC81))))))</f>
        <v>640.05475514453997</v>
      </c>
      <c r="AD81">
        <f ca="1">IF($D$20=0,E81,IF(AD81=0,(IF(AND(N7="None",N8="None"),E81,IF(N8="None",S81,IF(N7="None",T81,MAX(S81,T81))))),IF(ABS((IF(AND(N7="None",N8="None"),E81,IF(N8="None",S81,IF(N7="None",T81,MAX(S81,T81)))))-AD81)&lt;$D$19,AD81,MAX((K32)+$D$16,AD81+$D$13*(((IF(AND(N7="None",N8="None"),E81,IF(N8="None",S81,IF(N7="None",T81,MAX(S81,T81)))))-AD81))))))</f>
        <v>639.97526463330917</v>
      </c>
      <c r="AE81">
        <f ca="1">IF($D$20=0,D81,IF(AE81=0,O81,IF(ABS(U81)&lt;$D$19,AE81,MAX((K31)+$D$16,AE81+($D$13*(((O81)-AE81)+(U81*MAX(ABS(AE81-(K31)),1))))))))</f>
        <v>634.34799999999996</v>
      </c>
      <c r="AF81">
        <f ca="1">IF($D$20=0,E81,IF(AF81=0,R81,IF(ABS(V81)&lt;$D$19,AF81,MAX((K32)+$D$16,AF81+($D$13*(((R81)-AF81)+(V81*MAX(ABS(AF81-(K32)),1))))))))</f>
        <v>631.92499999999995</v>
      </c>
      <c r="AG81">
        <f ca="1">((G31)*(MAX($D$16,(AC81)-(K31)))^2)/2+(I31)*(MAX($D$16,(AC81)-(K31)))^3/3+(ABS(F81)^2)/($I$5*MAX(((G31)+(I31)*(MAX($D$16,(AC81)-(K31))))*(MAX($D$16,(AC81)-(K31))),0.000001))</f>
        <v>115.68980551184316</v>
      </c>
      <c r="AH81">
        <f ca="1">((G31)*(MAX($D$16,(AE81)-(K31)))^2)/2+(I31)*(MAX($D$16,(AE81)-(K31)))^3/3+(ABS(F81)^2)/($I$5*MAX(((G31)+(I31)*(MAX($D$16,(AE81)-(K31))))*(MAX($D$16,(AE81)-(K31))),0.000001))</f>
        <v>808.60110594434002</v>
      </c>
      <c r="AI81">
        <f ca="1">((G32)*(MAX($D$16,(AD81)-(K32)))^2)/2+(I32)*(MAX($D$16,(AD81)-(K32)))^3/3+(ABS(G81)^2)/($I$5*MAX(((G32)+(I32)*(MAX($D$16,(AD81)-(K32))))*(MAX($D$16,(AD81)-(K32))),0.000001))</f>
        <v>338.03683729018678</v>
      </c>
      <c r="AJ81">
        <f ca="1">((G32)*(MAX($D$16,(AF81)-(K32)))^2)/2+(I32)*(MAX($D$16,(AF81)-(K32)))^3/3+(ABS(G81)^2)/($I$5*MAX(((G32)+(I32)*(MAX($D$16,(AF81)-(K32))))*(MAX($D$16,(AF81)-(K32))),0.000001))</f>
        <v>519.58480272613974</v>
      </c>
      <c r="AK81" t="str">
        <f t="shared" ca="1" si="18"/>
        <v>Supercritical</v>
      </c>
      <c r="AL81" t="str">
        <f t="shared" ca="1" si="19"/>
        <v>Supercritical</v>
      </c>
      <c r="AM81">
        <f t="shared" ca="1" si="20"/>
        <v>634.34807189009257</v>
      </c>
      <c r="AN81">
        <f t="shared" ca="1" si="21"/>
        <v>631.92513569055018</v>
      </c>
      <c r="AO81">
        <f t="shared" ca="1" si="22"/>
        <v>1.1060014242048055E-4</v>
      </c>
      <c r="AP81">
        <f t="shared" ca="1" si="23"/>
        <v>2.0875469272141345E-4</v>
      </c>
    </row>
    <row r="82" spans="1:42" x14ac:dyDescent="0.35">
      <c r="A82">
        <v>39</v>
      </c>
      <c r="B82">
        <f t="shared" si="24"/>
        <v>1</v>
      </c>
      <c r="C82">
        <f t="shared" ca="1" si="25"/>
        <v>0.98</v>
      </c>
      <c r="D82">
        <f t="shared" ca="1" si="26"/>
        <v>634.34807189009257</v>
      </c>
      <c r="E82">
        <f t="shared" ca="1" si="27"/>
        <v>631.92513569055018</v>
      </c>
      <c r="F82">
        <f t="shared" si="15"/>
        <v>51</v>
      </c>
      <c r="G82">
        <f>IF(N6="None",F82,MAX(0,F82*B82))</f>
        <v>51</v>
      </c>
      <c r="H82">
        <f>IF(N6="None",0,MAX(0,F82-G82))</f>
        <v>0</v>
      </c>
      <c r="I82">
        <f ca="1">IF(AND(N7="None",N8="None"),0,IF(N8="None",G82,IF(N7="None",0,MAX(0,G82*C82))))</f>
        <v>49.98</v>
      </c>
      <c r="J82">
        <f ca="1">IF(AND(N7="None",N8="None"),0,IF(N8="None",0,IF(N7="None",G82,MAX(0,G82-I82))))</f>
        <v>1.0200000000000031</v>
      </c>
      <c r="K82">
        <f>P5</f>
        <v>637</v>
      </c>
      <c r="L82">
        <f>P6</f>
        <v>634.3119999999999</v>
      </c>
      <c r="M82">
        <f>P7</f>
        <v>635.5</v>
      </c>
      <c r="N82">
        <f>P8</f>
        <v>631.54999999999995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-2091.5872404992097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640.05397805979817</v>
      </c>
      <c r="Q82">
        <f ca="1">L82+((ABS(H82)/MAX(((G33)+(I33)*(MAX($D$16,(L82)-(K33))))*(MAX($D$16,(L82)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AC82)-(J33))))*(MAX($D$16,(AC82)-(J33))),0.000001)),$D$9*((((ABS(H82)/MAX(((G33)+(I33)*(MAX($D$16,(L82)-(K33))))*(MAX($D$16,(L82)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L82)-(K33))))*(MAX($D$16,(L82)-(K33))),0.000001))^2)/(2*$I$5)))))+($D$10*(ABS((X33)-(W33))/90)*MAX(((ABS(H82)/MAX(((F33)+(H33)*(MAX($D$16,(AC82)-(J33))))*(MAX($D$16,(AC82)-(J33))),0.000001))^2)/(2*$I$5),((ABS(H82)/MAX(((G33)+(I33)*(MAX($D$16,(L82)-(K33))))*(MAX($D$16,(L82)-(K33))),0.000001))^2)/(2*$I$5)))+(($D$11*0.00000015*(ABS(G82)/MAX(ABS(F82),0.000001))^2*MAX(((ABS(H82)/MAX(((F33)+(H33)*(MAX($D$16,(AC82)-(J33))))*(MAX($D$16,(AC82)-(J33))),0.000001))^2)/(2*$I$5),((ABS(H82)/MAX(((G33)+(I33)*(MAX($D$16,(L82)-(K33))))*(MAX($D$16,(L82)-(K33))),0.000001))^2)/(2*$I$5))))-((ABS(H82)/MAX(((F33)+(H33)*(MAX($D$16,(AC82)-(J33))))*(MAX($D$16,(AC82)-(J33))),0.000001))^2)/(2*$I$5)</f>
        <v>634.3119999999999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-292118.81246378768</v>
      </c>
      <c r="S82">
        <f ca="1">M82+((ABS(I82)/MAX(((G34)+(I34)*(MAX($D$16,(M82)-(K34))))*(MAX($D$16,(M82)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AD82)-(J34))))*(MAX($D$16,(AD82)-(J34))),0.000001)),$D$9*((((ABS(I82)/MAX(((G34)+(I34)*(MAX($D$16,(M82)-(K34))))*(MAX($D$16,(M82)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M82)-(K34))))*(MAX($D$16,(M82)-(K34))),0.000001))^2)/(2*$I$5)))))+($D$10*(ABS((X34)-(W34))/90)*MAX(((ABS(I82)/MAX(((F34)+(H34)*(MAX($D$16,(AD82)-(J34))))*(MAX($D$16,(AD82)-(J34))),0.000001))^2)/(2*$I$5),((ABS(I82)/MAX(((G34)+(I34)*(MAX($D$16,(M82)-(K34))))*(MAX($D$16,(M82)-(K34))),0.000001))^2)/(2*$I$5)))+(0)-((ABS(I82)/MAX(((F34)+(H34)*(MAX($D$16,(AD82)-(J34))))*(MAX($D$16,(AD82)-(J34))),0.000001))^2)/(2*$I$5)</f>
        <v>635.51128720958343</v>
      </c>
      <c r="T82">
        <f ca="1">N82+((ABS(J82)/MAX(((G35)+(I35)*(MAX($D$16,(N82)-(K35))))*(MAX($D$16,(N82)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AD82)-(J35))))*(MAX($D$16,(AD82)-(J35))),0.000001)),$D$9*((((ABS(J82)/MAX(((G35)+(I35)*(MAX($D$16,(N82)-(K35))))*(MAX($D$16,(N82)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N82)-(K35))))*(MAX($D$16,(N82)-(K35))),0.000001))^2)/(2*$I$5)))))+($D$10*(ABS((X35)-(W35))/90)*MAX(((ABS(J82)/MAX(((F35)+(H35)*(MAX($D$16,(AD82)-(J35))))*(MAX($D$16,(AD82)-(J35))),0.000001))^2)/(2*$I$5),((ABS(J82)/MAX(((G35)+(I35)*(MAX($D$16,(N82)-(K35))))*(MAX($D$16,(N82)-(K35))),0.000001))^2)/(2*$I$5)))+(($D$11*0.34699541*(ABS(I82)/MAX(ABS(G82),0.000001))^2*MAX(((ABS(J82)/MAX(((F35)+(H35)*(MAX($D$16,(AD82)-(J35))))*(MAX($D$16,(AD82)-(J35))),0.000001))^2)/(2*$I$5),((ABS(J82)/MAX(((G35)+(I35)*(MAX($D$16,(N82)-(K35))))*(MAX($D$16,(N82)-(K35))),0.000001))^2)/(2*$I$5))))-((ABS(J82)/MAX(((F35)+(H35)*(MAX($D$16,(AD82)-(J35))))*(MAX($D$16,(AD82)-(J35))),0.000001))^2)/(2*$I$5)</f>
        <v>639.97429104455466</v>
      </c>
      <c r="U82">
        <f ca="1">((((G31)*(MAX($D$16,(AE82)-(K31)))^2)/2+(I31)*(MAX($D$16,(AE82)-(K31)))^3/3+(ABS(F82)^2)/($I$5*MAX(((G31)+(I31)*(MAX($D$16,(AE82)-(K31))))*(MAX($D$16,(AE82)-(K31))),0.000001)))-(IF(N6="None",((((F32)*(MAX($D$16,(AE82)-(J32)))^2)/2+(H32)*(MAX($D$16,(AE82)-(J32)))^3/3+(ABS(G82)^2)/($I$5*MAX(((F32)+(H32)*(MAX($D$16,(AE82)-(J32))))*(MAX($D$16,(AE82)-(J32))),0.000001)))*0.72785025),(((((F32)*(MAX($D$16,(AE82)-(J32)))^2)/2+(H32)*(MAX($D$16,(AE82)-(J32)))^3/3+(ABS(G82)^2)/($I$5*MAX(((F32)+(H32)*(MAX($D$16,(AE82)-(J32))))*(MAX($D$16,(AE82)-(J32))),0.000001)))*0.72785025)+((((F33)*(MAX($D$16,(AE82)-(J33)))^2)/2+(H33)*(MAX($D$16,(AE82)-(J33)))^3/3+(ABS(H82)^2)/($I$5*MAX(((F33)+(H33)*(MAX($D$16,(AE82)-(J33))))*(MAX($D$16,(AE82)-(J33))),0.000001)))*0.99999971)))))/MAX(((G31)*(MAX($D$16,(AE82)-(K31)))^2)/2+(I31)*(MAX($D$16,(AE82)-(K31)))^3/3+(ABS(F82)^2)/($I$5*MAX(((G31)+(I31)*(MAX($D$16,(AE82)-(K31))))*(MAX($D$16,(AE82)-(K31))),0.000001)),0.000001)</f>
        <v>0.27214975000000002</v>
      </c>
      <c r="V82">
        <f ca="1">((((G32)*(MAX($D$16,(AF82)-(K32)))^2)/2+(I32)*(MAX($D$16,(AF82)-(K32)))^3/3+(ABS(G82)^2)/($I$5*MAX(((G32)+(I32)*(MAX($D$16,(AF82)-(K32))))*(MAX($D$16,(AF82)-(K32))),0.000001)))-(IF(AND(N7="None",N8="None"),0,IF(N8="None",((((F34)*(MAX($D$16,(AF82)-(J34)))^2)/2+(H34)*(MAX($D$16,(AF82)-(J34)))^3/3+(ABS(I82)^2)/($I$5*MAX(((F34)+(H34)*(MAX($D$16,(AF82)-(J34))))*(MAX($D$16,(AF82)-(J34))),0.000001)))*1),IF(N7="None",((((F35)*(MAX($D$16,(AF82)-(J35)))^2)/2+(H35)*(MAX($D$16,(AF82)-(J35)))^3/3+(ABS(J82)^2)/($I$5*MAX(((F35)+(H35)*(MAX($D$16,(AF82)-(J35))))*(MAX($D$16,(AF82)-(J35))),0.000001)))*0.30600918),(((((F34)*(MAX($D$16,(AF82)-(J34)))^2)/2+(H34)*(MAX($D$16,(AF82)-(J34)))^3/3+(ABS(I82)^2)/($I$5*MAX(((F34)+(H34)*(MAX($D$16,(AF82)-(J34))))*(MAX($D$16,(AF82)-(J34))),0.000001)))*1)+((((F35)*(MAX($D$16,(AF82)-(J35)))^2)/2+(H35)*(MAX($D$16,(AF82)-(J35)))^3/3+(ABS(J82)^2)/($I$5*MAX(((F35)+(H35)*(MAX($D$16,(AF82)-(J35))))*(MAX($D$16,(AF82)-(J35))),0.000001)))*0.30600918)))))))/MAX(((G32)*(MAX($D$16,(AF82)-(K32)))^2)/2+(I32)*(MAX($D$16,(AF82)-(K32)))^3/3+(ABS(G82)^2)/($I$5*MAX(((G32)+(I32)*(MAX($D$16,(AF82)-(K32))))*(MAX($D$16,(AF82)-(K32))),0.000001)),0.000001)</f>
        <v>3.904177561081449E-2</v>
      </c>
      <c r="W82">
        <f ca="1">ABS((IF(N6="None",P82,MAX(P82,Q82)))-D82)</f>
        <v>5.7059061697055995</v>
      </c>
      <c r="X82">
        <f ca="1">ABS((IF(AND(N7="None",N8="None"),E82,IF(N8="None",S82,IF(N7="None",T82,MAX(S82,T82)))))-E82)</f>
        <v>8.0491553540044833</v>
      </c>
      <c r="Y82">
        <f>IF(N6="None",1,MIN(0.98,MAX(0.02,B82+$D$14*((Q82-P82)/MAX(ABS(D82),1)))))</f>
        <v>1</v>
      </c>
      <c r="Z82">
        <f ca="1">IF(AND(N7="None",N8="None"),C82,IF(N8="None",1,IF(N7="None",0,MIN(0.98,MAX(0.02,C82+$D$14*((T82-S82)/MAX(ABS(E82),1)))))))</f>
        <v>0.98</v>
      </c>
      <c r="AA82">
        <f t="shared" ca="1" si="16"/>
        <v>636.3454110291492</v>
      </c>
      <c r="AB82">
        <f t="shared" ca="1" si="17"/>
        <v>634.74268082051583</v>
      </c>
      <c r="AC82">
        <f ca="1">IF($D$20=0,D82,IF(AC82=0,(IF(N6="None",P82,MAX(P82,Q82))),IF(ABS((IF(N6="None",P82,MAX(P82,Q82)))-AC82)&lt;$D$19,AC82,MAX((K31)+$D$16,AC82+$D$13*(((IF(N6="None",P82,MAX(P82,Q82)))-AC82))))))</f>
        <v>640.05475514453997</v>
      </c>
      <c r="AD82">
        <f ca="1">IF($D$20=0,E82,IF(AD82=0,(IF(AND(N7="None",N8="None"),E82,IF(N8="None",S82,IF(N7="None",T82,MAX(S82,T82))))),IF(ABS((IF(AND(N7="None",N8="None"),E82,IF(N8="None",S82,IF(N7="None",T82,MAX(S82,T82)))))-AD82)&lt;$D$19,AD82,MAX((K32)+$D$16,AD82+$D$13*(((IF(AND(N7="None",N8="None"),E82,IF(N8="None",S82,IF(N7="None",T82,MAX(S82,T82)))))-AD82))))))</f>
        <v>639.97526463330917</v>
      </c>
      <c r="AE82">
        <f ca="1">IF($D$20=0,D82,IF(AE82=0,O82,IF(ABS(U82)&lt;$D$19,AE82,MAX((K31)+$D$16,AE82+($D$13*(((O82)-AE82)+(U82*MAX(ABS(AE82-(K31)),1))))))))</f>
        <v>634.34799999999996</v>
      </c>
      <c r="AF82">
        <f ca="1">IF($D$20=0,E82,IF(AF82=0,R82,IF(ABS(V82)&lt;$D$19,AF82,MAX((K32)+$D$16,AF82+($D$13*(((R82)-AF82)+(V82*MAX(ABS(AF82-(K32)),1))))))))</f>
        <v>631.92499999999995</v>
      </c>
      <c r="AG82">
        <f ca="1">((G31)*(MAX($D$16,(AC82)-(K31)))^2)/2+(I31)*(MAX($D$16,(AC82)-(K31)))^3/3+(ABS(F82)^2)/($I$5*MAX(((G31)+(I31)*(MAX($D$16,(AC82)-(K31))))*(MAX($D$16,(AC82)-(K31))),0.000001))</f>
        <v>115.68980551184316</v>
      </c>
      <c r="AH82">
        <f ca="1">((G31)*(MAX($D$16,(AE82)-(K31)))^2)/2+(I31)*(MAX($D$16,(AE82)-(K31)))^3/3+(ABS(F82)^2)/($I$5*MAX(((G31)+(I31)*(MAX($D$16,(AE82)-(K31))))*(MAX($D$16,(AE82)-(K31))),0.000001))</f>
        <v>808.60110594434002</v>
      </c>
      <c r="AI82">
        <f ca="1">((G32)*(MAX($D$16,(AD82)-(K32)))^2)/2+(I32)*(MAX($D$16,(AD82)-(K32)))^3/3+(ABS(G82)^2)/($I$5*MAX(((G32)+(I32)*(MAX($D$16,(AD82)-(K32))))*(MAX($D$16,(AD82)-(K32))),0.000001))</f>
        <v>338.03683729018678</v>
      </c>
      <c r="AJ82">
        <f ca="1">((G32)*(MAX($D$16,(AF82)-(K32)))^2)/2+(I32)*(MAX($D$16,(AF82)-(K32)))^3/3+(ABS(G82)^2)/($I$5*MAX(((G32)+(I32)*(MAX($D$16,(AF82)-(K32))))*(MAX($D$16,(AF82)-(K32))),0.000001))</f>
        <v>519.58480272613974</v>
      </c>
      <c r="AK82" t="str">
        <f t="shared" ca="1" si="18"/>
        <v>Supercritical</v>
      </c>
      <c r="AL82" t="str">
        <f t="shared" ca="1" si="19"/>
        <v>Supercritical</v>
      </c>
      <c r="AM82">
        <f t="shared" ca="1" si="20"/>
        <v>634.34804672856012</v>
      </c>
      <c r="AN82">
        <f t="shared" ca="1" si="21"/>
        <v>631.92508819885757</v>
      </c>
      <c r="AO82">
        <f t="shared" ca="1" si="22"/>
        <v>7.1890092613102752E-5</v>
      </c>
      <c r="AP82">
        <f t="shared" ca="1" si="23"/>
        <v>1.3569055022344401E-4</v>
      </c>
    </row>
    <row r="83" spans="1:42" x14ac:dyDescent="0.35">
      <c r="A83">
        <v>40</v>
      </c>
      <c r="B83">
        <f t="shared" si="24"/>
        <v>1</v>
      </c>
      <c r="C83">
        <f t="shared" ca="1" si="25"/>
        <v>0.98</v>
      </c>
      <c r="D83">
        <f t="shared" ca="1" si="26"/>
        <v>634.34804672856012</v>
      </c>
      <c r="E83">
        <f t="shared" ca="1" si="27"/>
        <v>631.92508819885757</v>
      </c>
      <c r="F83">
        <f t="shared" si="15"/>
        <v>51</v>
      </c>
      <c r="G83">
        <f>IF(N6="None",F83,MAX(0,F83*B83))</f>
        <v>51</v>
      </c>
      <c r="H83">
        <f>IF(N6="None",0,MAX(0,F83-G83))</f>
        <v>0</v>
      </c>
      <c r="I83">
        <f ca="1">IF(AND(N7="None",N8="None"),0,IF(N8="None",G83,IF(N7="None",0,MAX(0,G83*C83))))</f>
        <v>49.98</v>
      </c>
      <c r="J83">
        <f ca="1">IF(AND(N7="None",N8="None"),0,IF(N8="None",0,IF(N7="None",G83,MAX(0,G83-I83))))</f>
        <v>1.0200000000000031</v>
      </c>
      <c r="K83">
        <f>P5</f>
        <v>637</v>
      </c>
      <c r="L83">
        <f>P6</f>
        <v>634.3119999999999</v>
      </c>
      <c r="M83">
        <f>P7</f>
        <v>635.5</v>
      </c>
      <c r="N83">
        <f>P8</f>
        <v>631.54999999999995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-2091.5872404992097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640.05397805979817</v>
      </c>
      <c r="Q83">
        <f ca="1">L83+((ABS(H83)/MAX(((G33)+(I33)*(MAX($D$16,(L83)-(K33))))*(MAX($D$16,(L83)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AC83)-(J33))))*(MAX($D$16,(AC83)-(J33))),0.000001)),$D$9*((((ABS(H83)/MAX(((G33)+(I33)*(MAX($D$16,(L83)-(K33))))*(MAX($D$16,(L83)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L83)-(K33))))*(MAX($D$16,(L83)-(K33))),0.000001))^2)/(2*$I$5)))))+($D$10*(ABS((X33)-(W33))/90)*MAX(((ABS(H83)/MAX(((F33)+(H33)*(MAX($D$16,(AC83)-(J33))))*(MAX($D$16,(AC83)-(J33))),0.000001))^2)/(2*$I$5),((ABS(H83)/MAX(((G33)+(I33)*(MAX($D$16,(L83)-(K33))))*(MAX($D$16,(L83)-(K33))),0.000001))^2)/(2*$I$5)))+(($D$11*0.00000015*(ABS(G83)/MAX(ABS(F83),0.000001))^2*MAX(((ABS(H83)/MAX(((F33)+(H33)*(MAX($D$16,(AC83)-(J33))))*(MAX($D$16,(AC83)-(J33))),0.000001))^2)/(2*$I$5),((ABS(H83)/MAX(((G33)+(I33)*(MAX($D$16,(L83)-(K33))))*(MAX($D$16,(L83)-(K33))),0.000001))^2)/(2*$I$5))))-((ABS(H83)/MAX(((F33)+(H33)*(MAX($D$16,(AC83)-(J33))))*(MAX($D$16,(AC83)-(J33))),0.000001))^2)/(2*$I$5)</f>
        <v>634.3119999999999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-292118.81246378768</v>
      </c>
      <c r="S83">
        <f ca="1">M83+((ABS(I83)/MAX(((G34)+(I34)*(MAX($D$16,(M83)-(K34))))*(MAX($D$16,(M83)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AD83)-(J34))))*(MAX($D$16,(AD83)-(J34))),0.000001)),$D$9*((((ABS(I83)/MAX(((G34)+(I34)*(MAX($D$16,(M83)-(K34))))*(MAX($D$16,(M83)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M83)-(K34))))*(MAX($D$16,(M83)-(K34))),0.000001))^2)/(2*$I$5)))))+($D$10*(ABS((X34)-(W34))/90)*MAX(((ABS(I83)/MAX(((F34)+(H34)*(MAX($D$16,(AD83)-(J34))))*(MAX($D$16,(AD83)-(J34))),0.000001))^2)/(2*$I$5),((ABS(I83)/MAX(((G34)+(I34)*(MAX($D$16,(M83)-(K34))))*(MAX($D$16,(M83)-(K34))),0.000001))^2)/(2*$I$5)))+(0)-((ABS(I83)/MAX(((F34)+(H34)*(MAX($D$16,(AD83)-(J34))))*(MAX($D$16,(AD83)-(J34))),0.000001))^2)/(2*$I$5)</f>
        <v>635.51128720958343</v>
      </c>
      <c r="T83">
        <f ca="1">N83+((ABS(J83)/MAX(((G35)+(I35)*(MAX($D$16,(N83)-(K35))))*(MAX($D$16,(N83)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AD83)-(J35))))*(MAX($D$16,(AD83)-(J35))),0.000001)),$D$9*((((ABS(J83)/MAX(((G35)+(I35)*(MAX($D$16,(N83)-(K35))))*(MAX($D$16,(N83)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N83)-(K35))))*(MAX($D$16,(N83)-(K35))),0.000001))^2)/(2*$I$5)))))+($D$10*(ABS((X35)-(W35))/90)*MAX(((ABS(J83)/MAX(((F35)+(H35)*(MAX($D$16,(AD83)-(J35))))*(MAX($D$16,(AD83)-(J35))),0.000001))^2)/(2*$I$5),((ABS(J83)/MAX(((G35)+(I35)*(MAX($D$16,(N83)-(K35))))*(MAX($D$16,(N83)-(K35))),0.000001))^2)/(2*$I$5)))+(($D$11*0.34699541*(ABS(I83)/MAX(ABS(G83),0.000001))^2*MAX(((ABS(J83)/MAX(((F35)+(H35)*(MAX($D$16,(AD83)-(J35))))*(MAX($D$16,(AD83)-(J35))),0.000001))^2)/(2*$I$5),((ABS(J83)/MAX(((G35)+(I35)*(MAX($D$16,(N83)-(K35))))*(MAX($D$16,(N83)-(K35))),0.000001))^2)/(2*$I$5))))-((ABS(J83)/MAX(((F35)+(H35)*(MAX($D$16,(AD83)-(J35))))*(MAX($D$16,(AD83)-(J35))),0.000001))^2)/(2*$I$5)</f>
        <v>639.97429104455466</v>
      </c>
      <c r="U83">
        <f ca="1">((((G31)*(MAX($D$16,(AE83)-(K31)))^2)/2+(I31)*(MAX($D$16,(AE83)-(K31)))^3/3+(ABS(F83)^2)/($I$5*MAX(((G31)+(I31)*(MAX($D$16,(AE83)-(K31))))*(MAX($D$16,(AE83)-(K31))),0.000001)))-(IF(N6="None",((((F32)*(MAX($D$16,(AE83)-(J32)))^2)/2+(H32)*(MAX($D$16,(AE83)-(J32)))^3/3+(ABS(G83)^2)/($I$5*MAX(((F32)+(H32)*(MAX($D$16,(AE83)-(J32))))*(MAX($D$16,(AE83)-(J32))),0.000001)))*0.72785025),(((((F32)*(MAX($D$16,(AE83)-(J32)))^2)/2+(H32)*(MAX($D$16,(AE83)-(J32)))^3/3+(ABS(G83)^2)/($I$5*MAX(((F32)+(H32)*(MAX($D$16,(AE83)-(J32))))*(MAX($D$16,(AE83)-(J32))),0.000001)))*0.72785025)+((((F33)*(MAX($D$16,(AE83)-(J33)))^2)/2+(H33)*(MAX($D$16,(AE83)-(J33)))^3/3+(ABS(H83)^2)/($I$5*MAX(((F33)+(H33)*(MAX($D$16,(AE83)-(J33))))*(MAX($D$16,(AE83)-(J33))),0.000001)))*0.99999971)))))/MAX(((G31)*(MAX($D$16,(AE83)-(K31)))^2)/2+(I31)*(MAX($D$16,(AE83)-(K31)))^3/3+(ABS(F83)^2)/($I$5*MAX(((G31)+(I31)*(MAX($D$16,(AE83)-(K31))))*(MAX($D$16,(AE83)-(K31))),0.000001)),0.000001)</f>
        <v>0.27214975000000002</v>
      </c>
      <c r="V83">
        <f ca="1">((((G32)*(MAX($D$16,(AF83)-(K32)))^2)/2+(I32)*(MAX($D$16,(AF83)-(K32)))^3/3+(ABS(G83)^2)/($I$5*MAX(((G32)+(I32)*(MAX($D$16,(AF83)-(K32))))*(MAX($D$16,(AF83)-(K32))),0.000001)))-(IF(AND(N7="None",N8="None"),0,IF(N8="None",((((F34)*(MAX($D$16,(AF83)-(J34)))^2)/2+(H34)*(MAX($D$16,(AF83)-(J34)))^3/3+(ABS(I83)^2)/($I$5*MAX(((F34)+(H34)*(MAX($D$16,(AF83)-(J34))))*(MAX($D$16,(AF83)-(J34))),0.000001)))*1),IF(N7="None",((((F35)*(MAX($D$16,(AF83)-(J35)))^2)/2+(H35)*(MAX($D$16,(AF83)-(J35)))^3/3+(ABS(J83)^2)/($I$5*MAX(((F35)+(H35)*(MAX($D$16,(AF83)-(J35))))*(MAX($D$16,(AF83)-(J35))),0.000001)))*0.30600918),(((((F34)*(MAX($D$16,(AF83)-(J34)))^2)/2+(H34)*(MAX($D$16,(AF83)-(J34)))^3/3+(ABS(I83)^2)/($I$5*MAX(((F34)+(H34)*(MAX($D$16,(AF83)-(J34))))*(MAX($D$16,(AF83)-(J34))),0.000001)))*1)+((((F35)*(MAX($D$16,(AF83)-(J35)))^2)/2+(H35)*(MAX($D$16,(AF83)-(J35)))^3/3+(ABS(J83)^2)/($I$5*MAX(((F35)+(H35)*(MAX($D$16,(AF83)-(J35))))*(MAX($D$16,(AF83)-(J35))),0.000001)))*0.30600918)))))))/MAX(((G32)*(MAX($D$16,(AF83)-(K32)))^2)/2+(I32)*(MAX($D$16,(AF83)-(K32)))^3/3+(ABS(G83)^2)/($I$5*MAX(((G32)+(I32)*(MAX($D$16,(AF83)-(K32))))*(MAX($D$16,(AF83)-(K32))),0.000001)),0.000001)</f>
        <v>3.904177561081449E-2</v>
      </c>
      <c r="W83">
        <f ca="1">ABS((IF(N6="None",P83,MAX(P83,Q83)))-D83)</f>
        <v>5.7059313312380482</v>
      </c>
      <c r="X83">
        <f ca="1">ABS((IF(AND(N7="None",N8="None"),E83,IF(N8="None",S83,IF(N7="None",T83,MAX(S83,T83)))))-E83)</f>
        <v>8.0492028456970957</v>
      </c>
      <c r="Y83">
        <f>IF(N6="None",1,MIN(0.98,MAX(0.02,B83+$D$14*((Q83-P83)/MAX(ABS(D83),1)))))</f>
        <v>1</v>
      </c>
      <c r="Z83">
        <f ca="1">IF(AND(N7="None",N8="None"),C83,IF(N8="None",1,IF(N7="None",0,MIN(0.98,MAX(0.02,C83+$D$14*((T83-S83)/MAX(ABS(E83),1)))))))</f>
        <v>0.98</v>
      </c>
      <c r="AA83">
        <f t="shared" ca="1" si="16"/>
        <v>636.34539467415311</v>
      </c>
      <c r="AB83">
        <f t="shared" ca="1" si="17"/>
        <v>634.74264995091562</v>
      </c>
      <c r="AC83">
        <f ca="1">IF($D$20=0,D83,IF(AC83=0,(IF(N6="None",P83,MAX(P83,Q83))),IF(ABS((IF(N6="None",P83,MAX(P83,Q83)))-AC83)&lt;$D$19,AC83,MAX((K31)+$D$16,AC83+$D$13*(((IF(N6="None",P83,MAX(P83,Q83)))-AC83))))))</f>
        <v>640.05475514453997</v>
      </c>
      <c r="AD83">
        <f ca="1">IF($D$20=0,E83,IF(AD83=0,(IF(AND(N7="None",N8="None"),E83,IF(N8="None",S83,IF(N7="None",T83,MAX(S83,T83))))),IF(ABS((IF(AND(N7="None",N8="None"),E83,IF(N8="None",S83,IF(N7="None",T83,MAX(S83,T83)))))-AD83)&lt;$D$19,AD83,MAX((K32)+$D$16,AD83+$D$13*(((IF(AND(N7="None",N8="None"),E83,IF(N8="None",S83,IF(N7="None",T83,MAX(S83,T83)))))-AD83))))))</f>
        <v>639.97526463330917</v>
      </c>
      <c r="AE83">
        <f ca="1">IF($D$20=0,D83,IF(AE83=0,O83,IF(ABS(U83)&lt;$D$19,AE83,MAX((K31)+$D$16,AE83+($D$13*(((O83)-AE83)+(U83*MAX(ABS(AE83-(K31)),1))))))))</f>
        <v>634.34799999999996</v>
      </c>
      <c r="AF83">
        <f ca="1">IF($D$20=0,E83,IF(AF83=0,R83,IF(ABS(V83)&lt;$D$19,AF83,MAX((K32)+$D$16,AF83+($D$13*(((R83)-AF83)+(V83*MAX(ABS(AF83-(K32)),1))))))))</f>
        <v>631.92499999999995</v>
      </c>
      <c r="AG83">
        <f ca="1">((G31)*(MAX($D$16,(AC83)-(K31)))^2)/2+(I31)*(MAX($D$16,(AC83)-(K31)))^3/3+(ABS(F83)^2)/($I$5*MAX(((G31)+(I31)*(MAX($D$16,(AC83)-(K31))))*(MAX($D$16,(AC83)-(K31))),0.000001))</f>
        <v>115.68980551184316</v>
      </c>
      <c r="AH83">
        <f ca="1">((G31)*(MAX($D$16,(AE83)-(K31)))^2)/2+(I31)*(MAX($D$16,(AE83)-(K31)))^3/3+(ABS(F83)^2)/($I$5*MAX(((G31)+(I31)*(MAX($D$16,(AE83)-(K31))))*(MAX($D$16,(AE83)-(K31))),0.000001))</f>
        <v>808.60110594434002</v>
      </c>
      <c r="AI83">
        <f ca="1">((G32)*(MAX($D$16,(AD83)-(K32)))^2)/2+(I32)*(MAX($D$16,(AD83)-(K32)))^3/3+(ABS(G83)^2)/($I$5*MAX(((G32)+(I32)*(MAX($D$16,(AD83)-(K32))))*(MAX($D$16,(AD83)-(K32))),0.000001))</f>
        <v>338.03683729018678</v>
      </c>
      <c r="AJ83">
        <f ca="1">((G32)*(MAX($D$16,(AF83)-(K32)))^2)/2+(I32)*(MAX($D$16,(AF83)-(K32)))^3/3+(ABS(G83)^2)/($I$5*MAX(((G32)+(I32)*(MAX($D$16,(AF83)-(K32))))*(MAX($D$16,(AF83)-(K32))),0.000001))</f>
        <v>519.58480272613974</v>
      </c>
      <c r="AK83" t="str">
        <f t="shared" ca="1" si="18"/>
        <v>Supercritical</v>
      </c>
      <c r="AL83" t="str">
        <f t="shared" ca="1" si="19"/>
        <v>Supercritical</v>
      </c>
      <c r="AM83">
        <f t="shared" ca="1" si="20"/>
        <v>634.34803037356403</v>
      </c>
      <c r="AN83">
        <f t="shared" ca="1" si="21"/>
        <v>631.92505732925736</v>
      </c>
      <c r="AO83">
        <f t="shared" ca="1" si="22"/>
        <v>4.6728560164410737E-5</v>
      </c>
      <c r="AP83">
        <f t="shared" ca="1" si="23"/>
        <v>8.8198857611132553E-5</v>
      </c>
    </row>
    <row r="84" spans="1:42" x14ac:dyDescent="0.35">
      <c r="A84">
        <v>41</v>
      </c>
      <c r="B84">
        <f t="shared" si="24"/>
        <v>1</v>
      </c>
      <c r="C84">
        <f t="shared" ca="1" si="25"/>
        <v>0.98</v>
      </c>
      <c r="D84">
        <f t="shared" ca="1" si="26"/>
        <v>634.34803037356403</v>
      </c>
      <c r="E84">
        <f t="shared" ca="1" si="27"/>
        <v>631.92505732925736</v>
      </c>
      <c r="F84">
        <f t="shared" si="15"/>
        <v>51</v>
      </c>
      <c r="G84">
        <f>IF(N6="None",F84,MAX(0,F84*B84))</f>
        <v>51</v>
      </c>
      <c r="H84">
        <f>IF(N6="None",0,MAX(0,F84-G84))</f>
        <v>0</v>
      </c>
      <c r="I84">
        <f ca="1">IF(AND(N7="None",N8="None"),0,IF(N8="None",G84,IF(N7="None",0,MAX(0,G84*C84))))</f>
        <v>49.98</v>
      </c>
      <c r="J84">
        <f ca="1">IF(AND(N7="None",N8="None"),0,IF(N8="None",0,IF(N7="None",G84,MAX(0,G84-I84))))</f>
        <v>1.0200000000000031</v>
      </c>
      <c r="K84">
        <f>P5</f>
        <v>637</v>
      </c>
      <c r="L84">
        <f>P6</f>
        <v>634.3119999999999</v>
      </c>
      <c r="M84">
        <f>P7</f>
        <v>635.5</v>
      </c>
      <c r="N84">
        <f>P8</f>
        <v>631.54999999999995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-2091.5872404992097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640.05397805979817</v>
      </c>
      <c r="Q84">
        <f ca="1">L84+((ABS(H84)/MAX(((G33)+(I33)*(MAX($D$16,(L84)-(K33))))*(MAX($D$16,(L84)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AC84)-(J33))))*(MAX($D$16,(AC84)-(J33))),0.000001)),$D$9*((((ABS(H84)/MAX(((G33)+(I33)*(MAX($D$16,(L84)-(K33))))*(MAX($D$16,(L84)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L84)-(K33))))*(MAX($D$16,(L84)-(K33))),0.000001))^2)/(2*$I$5)))))+($D$10*(ABS((X33)-(W33))/90)*MAX(((ABS(H84)/MAX(((F33)+(H33)*(MAX($D$16,(AC84)-(J33))))*(MAX($D$16,(AC84)-(J33))),0.000001))^2)/(2*$I$5),((ABS(H84)/MAX(((G33)+(I33)*(MAX($D$16,(L84)-(K33))))*(MAX($D$16,(L84)-(K33))),0.000001))^2)/(2*$I$5)))+(($D$11*0.00000015*(ABS(G84)/MAX(ABS(F84),0.000001))^2*MAX(((ABS(H84)/MAX(((F33)+(H33)*(MAX($D$16,(AC84)-(J33))))*(MAX($D$16,(AC84)-(J33))),0.000001))^2)/(2*$I$5),((ABS(H84)/MAX(((G33)+(I33)*(MAX($D$16,(L84)-(K33))))*(MAX($D$16,(L84)-(K33))),0.000001))^2)/(2*$I$5))))-((ABS(H84)/MAX(((F33)+(H33)*(MAX($D$16,(AC84)-(J33))))*(MAX($D$16,(AC84)-(J33))),0.000001))^2)/(2*$I$5)</f>
        <v>634.3119999999999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-292118.81246378768</v>
      </c>
      <c r="S84">
        <f ca="1">M84+((ABS(I84)/MAX(((G34)+(I34)*(MAX($D$16,(M84)-(K34))))*(MAX($D$16,(M84)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AD84)-(J34))))*(MAX($D$16,(AD84)-(J34))),0.000001)),$D$9*((((ABS(I84)/MAX(((G34)+(I34)*(MAX($D$16,(M84)-(K34))))*(MAX($D$16,(M84)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M84)-(K34))))*(MAX($D$16,(M84)-(K34))),0.000001))^2)/(2*$I$5)))))+($D$10*(ABS((X34)-(W34))/90)*MAX(((ABS(I84)/MAX(((F34)+(H34)*(MAX($D$16,(AD84)-(J34))))*(MAX($D$16,(AD84)-(J34))),0.000001))^2)/(2*$I$5),((ABS(I84)/MAX(((G34)+(I34)*(MAX($D$16,(M84)-(K34))))*(MAX($D$16,(M84)-(K34))),0.000001))^2)/(2*$I$5)))+(0)-((ABS(I84)/MAX(((F34)+(H34)*(MAX($D$16,(AD84)-(J34))))*(MAX($D$16,(AD84)-(J34))),0.000001))^2)/(2*$I$5)</f>
        <v>635.51128720958343</v>
      </c>
      <c r="T84">
        <f ca="1">N84+((ABS(J84)/MAX(((G35)+(I35)*(MAX($D$16,(N84)-(K35))))*(MAX($D$16,(N84)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AD84)-(J35))))*(MAX($D$16,(AD84)-(J35))),0.000001)),$D$9*((((ABS(J84)/MAX(((G35)+(I35)*(MAX($D$16,(N84)-(K35))))*(MAX($D$16,(N84)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N84)-(K35))))*(MAX($D$16,(N84)-(K35))),0.000001))^2)/(2*$I$5)))))+($D$10*(ABS((X35)-(W35))/90)*MAX(((ABS(J84)/MAX(((F35)+(H35)*(MAX($D$16,(AD84)-(J35))))*(MAX($D$16,(AD84)-(J35))),0.000001))^2)/(2*$I$5),((ABS(J84)/MAX(((G35)+(I35)*(MAX($D$16,(N84)-(K35))))*(MAX($D$16,(N84)-(K35))),0.000001))^2)/(2*$I$5)))+(($D$11*0.34699541*(ABS(I84)/MAX(ABS(G84),0.000001))^2*MAX(((ABS(J84)/MAX(((F35)+(H35)*(MAX($D$16,(AD84)-(J35))))*(MAX($D$16,(AD84)-(J35))),0.000001))^2)/(2*$I$5),((ABS(J84)/MAX(((G35)+(I35)*(MAX($D$16,(N84)-(K35))))*(MAX($D$16,(N84)-(K35))),0.000001))^2)/(2*$I$5))))-((ABS(J84)/MAX(((F35)+(H35)*(MAX($D$16,(AD84)-(J35))))*(MAX($D$16,(AD84)-(J35))),0.000001))^2)/(2*$I$5)</f>
        <v>639.97429104455466</v>
      </c>
      <c r="U84">
        <f ca="1">((((G31)*(MAX($D$16,(AE84)-(K31)))^2)/2+(I31)*(MAX($D$16,(AE84)-(K31)))^3/3+(ABS(F84)^2)/($I$5*MAX(((G31)+(I31)*(MAX($D$16,(AE84)-(K31))))*(MAX($D$16,(AE84)-(K31))),0.000001)))-(IF(N6="None",((((F32)*(MAX($D$16,(AE84)-(J32)))^2)/2+(H32)*(MAX($D$16,(AE84)-(J32)))^3/3+(ABS(G84)^2)/($I$5*MAX(((F32)+(H32)*(MAX($D$16,(AE84)-(J32))))*(MAX($D$16,(AE84)-(J32))),0.000001)))*0.72785025),(((((F32)*(MAX($D$16,(AE84)-(J32)))^2)/2+(H32)*(MAX($D$16,(AE84)-(J32)))^3/3+(ABS(G84)^2)/($I$5*MAX(((F32)+(H32)*(MAX($D$16,(AE84)-(J32))))*(MAX($D$16,(AE84)-(J32))),0.000001)))*0.72785025)+((((F33)*(MAX($D$16,(AE84)-(J33)))^2)/2+(H33)*(MAX($D$16,(AE84)-(J33)))^3/3+(ABS(H84)^2)/($I$5*MAX(((F33)+(H33)*(MAX($D$16,(AE84)-(J33))))*(MAX($D$16,(AE84)-(J33))),0.000001)))*0.99999971)))))/MAX(((G31)*(MAX($D$16,(AE84)-(K31)))^2)/2+(I31)*(MAX($D$16,(AE84)-(K31)))^3/3+(ABS(F84)^2)/($I$5*MAX(((G31)+(I31)*(MAX($D$16,(AE84)-(K31))))*(MAX($D$16,(AE84)-(K31))),0.000001)),0.000001)</f>
        <v>0.27214975000000002</v>
      </c>
      <c r="V84">
        <f ca="1">((((G32)*(MAX($D$16,(AF84)-(K32)))^2)/2+(I32)*(MAX($D$16,(AF84)-(K32)))^3/3+(ABS(G84)^2)/($I$5*MAX(((G32)+(I32)*(MAX($D$16,(AF84)-(K32))))*(MAX($D$16,(AF84)-(K32))),0.000001)))-(IF(AND(N7="None",N8="None"),0,IF(N8="None",((((F34)*(MAX($D$16,(AF84)-(J34)))^2)/2+(H34)*(MAX($D$16,(AF84)-(J34)))^3/3+(ABS(I84)^2)/($I$5*MAX(((F34)+(H34)*(MAX($D$16,(AF84)-(J34))))*(MAX($D$16,(AF84)-(J34))),0.000001)))*1),IF(N7="None",((((F35)*(MAX($D$16,(AF84)-(J35)))^2)/2+(H35)*(MAX($D$16,(AF84)-(J35)))^3/3+(ABS(J84)^2)/($I$5*MAX(((F35)+(H35)*(MAX($D$16,(AF84)-(J35))))*(MAX($D$16,(AF84)-(J35))),0.000001)))*0.30600918),(((((F34)*(MAX($D$16,(AF84)-(J34)))^2)/2+(H34)*(MAX($D$16,(AF84)-(J34)))^3/3+(ABS(I84)^2)/($I$5*MAX(((F34)+(H34)*(MAX($D$16,(AF84)-(J34))))*(MAX($D$16,(AF84)-(J34))),0.000001)))*1)+((((F35)*(MAX($D$16,(AF84)-(J35)))^2)/2+(H35)*(MAX($D$16,(AF84)-(J35)))^3/3+(ABS(J84)^2)/($I$5*MAX(((F35)+(H35)*(MAX($D$16,(AF84)-(J35))))*(MAX($D$16,(AF84)-(J35))),0.000001)))*0.30600918)))))))/MAX(((G32)*(MAX($D$16,(AF84)-(K32)))^2)/2+(I32)*(MAX($D$16,(AF84)-(K32)))^3/3+(ABS(G84)^2)/($I$5*MAX(((G32)+(I32)*(MAX($D$16,(AF84)-(K32))))*(MAX($D$16,(AF84)-(K32))),0.000001)),0.000001)</f>
        <v>3.904177561081449E-2</v>
      </c>
      <c r="W84">
        <f ca="1">ABS((IF(N6="None",P84,MAX(P84,Q84)))-D84)</f>
        <v>5.7059476862341398</v>
      </c>
      <c r="X84">
        <f ca="1">ABS((IF(AND(N7="None",N8="None"),E84,IF(N8="None",S84,IF(N7="None",T84,MAX(S84,T84)))))-E84)</f>
        <v>8.049233715297305</v>
      </c>
      <c r="Y84">
        <f>IF(N6="None",1,MIN(0.98,MAX(0.02,B84+$D$14*((Q84-P84)/MAX(ABS(D84),1)))))</f>
        <v>1</v>
      </c>
      <c r="Z84">
        <f ca="1">IF(AND(N7="None",N8="None"),C84,IF(N8="None",1,IF(N7="None",0,MIN(0.98,MAX(0.02,C84+$D$14*((T84-S84)/MAX(ABS(E84),1)))))))</f>
        <v>0.98</v>
      </c>
      <c r="AA84">
        <f t="shared" ca="1" si="16"/>
        <v>636.3453840434056</v>
      </c>
      <c r="AB84">
        <f t="shared" ca="1" si="17"/>
        <v>634.74262988567546</v>
      </c>
      <c r="AC84">
        <f ca="1">IF($D$20=0,D84,IF(AC84=0,(IF(N6="None",P84,MAX(P84,Q84))),IF(ABS((IF(N6="None",P84,MAX(P84,Q84)))-AC84)&lt;$D$19,AC84,MAX((K31)+$D$16,AC84+$D$13*(((IF(N6="None",P84,MAX(P84,Q84)))-AC84))))))</f>
        <v>640.05475514453997</v>
      </c>
      <c r="AD84">
        <f ca="1">IF($D$20=0,E84,IF(AD84=0,(IF(AND(N7="None",N8="None"),E84,IF(N8="None",S84,IF(N7="None",T84,MAX(S84,T84))))),IF(ABS((IF(AND(N7="None",N8="None"),E84,IF(N8="None",S84,IF(N7="None",T84,MAX(S84,T84)))))-AD84)&lt;$D$19,AD84,MAX((K32)+$D$16,AD84+$D$13*(((IF(AND(N7="None",N8="None"),E84,IF(N8="None",S84,IF(N7="None",T84,MAX(S84,T84)))))-AD84))))))</f>
        <v>639.97526463330917</v>
      </c>
      <c r="AE84">
        <f ca="1">IF($D$20=0,D84,IF(AE84=0,O84,IF(ABS(U84)&lt;$D$19,AE84,MAX((K31)+$D$16,AE84+($D$13*(((O84)-AE84)+(U84*MAX(ABS(AE84-(K31)),1))))))))</f>
        <v>634.34799999999996</v>
      </c>
      <c r="AF84">
        <f ca="1">IF($D$20=0,E84,IF(AF84=0,R84,IF(ABS(V84)&lt;$D$19,AF84,MAX((K32)+$D$16,AF84+($D$13*(((R84)-AF84)+(V84*MAX(ABS(AF84-(K32)),1))))))))</f>
        <v>631.92499999999995</v>
      </c>
      <c r="AG84">
        <f ca="1">((G31)*(MAX($D$16,(AC84)-(K31)))^2)/2+(I31)*(MAX($D$16,(AC84)-(K31)))^3/3+(ABS(F84)^2)/($I$5*MAX(((G31)+(I31)*(MAX($D$16,(AC84)-(K31))))*(MAX($D$16,(AC84)-(K31))),0.000001))</f>
        <v>115.68980551184316</v>
      </c>
      <c r="AH84">
        <f ca="1">((G31)*(MAX($D$16,(AE84)-(K31)))^2)/2+(I31)*(MAX($D$16,(AE84)-(K31)))^3/3+(ABS(F84)^2)/($I$5*MAX(((G31)+(I31)*(MAX($D$16,(AE84)-(K31))))*(MAX($D$16,(AE84)-(K31))),0.000001))</f>
        <v>808.60110594434002</v>
      </c>
      <c r="AI84">
        <f ca="1">((G32)*(MAX($D$16,(AD84)-(K32)))^2)/2+(I32)*(MAX($D$16,(AD84)-(K32)))^3/3+(ABS(G84)^2)/($I$5*MAX(((G32)+(I32)*(MAX($D$16,(AD84)-(K32))))*(MAX($D$16,(AD84)-(K32))),0.000001))</f>
        <v>338.03683729018678</v>
      </c>
      <c r="AJ84">
        <f ca="1">((G32)*(MAX($D$16,(AF84)-(K32)))^2)/2+(I32)*(MAX($D$16,(AF84)-(K32)))^3/3+(ABS(G84)^2)/($I$5*MAX(((G32)+(I32)*(MAX($D$16,(AF84)-(K32))))*(MAX($D$16,(AF84)-(K32))),0.000001))</f>
        <v>519.58480272613974</v>
      </c>
      <c r="AK84" t="str">
        <f t="shared" ca="1" si="18"/>
        <v>Supercritical</v>
      </c>
      <c r="AL84" t="str">
        <f t="shared" ca="1" si="19"/>
        <v>Supercritical</v>
      </c>
      <c r="AM84">
        <f t="shared" ca="1" si="20"/>
        <v>634.34801974281663</v>
      </c>
      <c r="AN84">
        <f t="shared" ca="1" si="21"/>
        <v>631.92503726401731</v>
      </c>
      <c r="AO84">
        <f t="shared" ca="1" si="22"/>
        <v>3.0373564072760928E-5</v>
      </c>
      <c r="AP84">
        <f t="shared" ca="1" si="23"/>
        <v>5.7329257401761424E-5</v>
      </c>
    </row>
    <row r="85" spans="1:42" x14ac:dyDescent="0.35">
      <c r="A85">
        <v>42</v>
      </c>
      <c r="B85">
        <f t="shared" si="24"/>
        <v>1</v>
      </c>
      <c r="C85">
        <f t="shared" ca="1" si="25"/>
        <v>0.98</v>
      </c>
      <c r="D85">
        <f t="shared" ca="1" si="26"/>
        <v>634.34801974281663</v>
      </c>
      <c r="E85">
        <f t="shared" ca="1" si="27"/>
        <v>631.92503726401731</v>
      </c>
      <c r="F85">
        <f t="shared" si="15"/>
        <v>51</v>
      </c>
      <c r="G85">
        <f>IF(N6="None",F85,MAX(0,F85*B85))</f>
        <v>51</v>
      </c>
      <c r="H85">
        <f>IF(N6="None",0,MAX(0,F85-G85))</f>
        <v>0</v>
      </c>
      <c r="I85">
        <f ca="1">IF(AND(N7="None",N8="None"),0,IF(N8="None",G85,IF(N7="None",0,MAX(0,G85*C85))))</f>
        <v>49.98</v>
      </c>
      <c r="J85">
        <f ca="1">IF(AND(N7="None",N8="None"),0,IF(N8="None",0,IF(N7="None",G85,MAX(0,G85-I85))))</f>
        <v>1.0200000000000031</v>
      </c>
      <c r="K85">
        <f>P5</f>
        <v>637</v>
      </c>
      <c r="L85">
        <f>P6</f>
        <v>634.3119999999999</v>
      </c>
      <c r="M85">
        <f>P7</f>
        <v>635.5</v>
      </c>
      <c r="N85">
        <f>P8</f>
        <v>631.54999999999995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-2091.5872404992097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640.05397805979817</v>
      </c>
      <c r="Q85">
        <f ca="1">L85+((ABS(H85)/MAX(((G33)+(I33)*(MAX($D$16,(L85)-(K33))))*(MAX($D$16,(L85)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AC85)-(J33))))*(MAX($D$16,(AC85)-(J33))),0.000001)),$D$9*((((ABS(H85)/MAX(((G33)+(I33)*(MAX($D$16,(L85)-(K33))))*(MAX($D$16,(L85)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L85)-(K33))))*(MAX($D$16,(L85)-(K33))),0.000001))^2)/(2*$I$5)))))+($D$10*(ABS((X33)-(W33))/90)*MAX(((ABS(H85)/MAX(((F33)+(H33)*(MAX($D$16,(AC85)-(J33))))*(MAX($D$16,(AC85)-(J33))),0.000001))^2)/(2*$I$5),((ABS(H85)/MAX(((G33)+(I33)*(MAX($D$16,(L85)-(K33))))*(MAX($D$16,(L85)-(K33))),0.000001))^2)/(2*$I$5)))+(($D$11*0.00000015*(ABS(G85)/MAX(ABS(F85),0.000001))^2*MAX(((ABS(H85)/MAX(((F33)+(H33)*(MAX($D$16,(AC85)-(J33))))*(MAX($D$16,(AC85)-(J33))),0.000001))^2)/(2*$I$5),((ABS(H85)/MAX(((G33)+(I33)*(MAX($D$16,(L85)-(K33))))*(MAX($D$16,(L85)-(K33))),0.000001))^2)/(2*$I$5))))-((ABS(H85)/MAX(((F33)+(H33)*(MAX($D$16,(AC85)-(J33))))*(MAX($D$16,(AC85)-(J33))),0.000001))^2)/(2*$I$5)</f>
        <v>634.3119999999999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-292118.81246378768</v>
      </c>
      <c r="S85">
        <f ca="1">M85+((ABS(I85)/MAX(((G34)+(I34)*(MAX($D$16,(M85)-(K34))))*(MAX($D$16,(M85)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AD85)-(J34))))*(MAX($D$16,(AD85)-(J34))),0.000001)),$D$9*((((ABS(I85)/MAX(((G34)+(I34)*(MAX($D$16,(M85)-(K34))))*(MAX($D$16,(M85)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M85)-(K34))))*(MAX($D$16,(M85)-(K34))),0.000001))^2)/(2*$I$5)))))+($D$10*(ABS((X34)-(W34))/90)*MAX(((ABS(I85)/MAX(((F34)+(H34)*(MAX($D$16,(AD85)-(J34))))*(MAX($D$16,(AD85)-(J34))),0.000001))^2)/(2*$I$5),((ABS(I85)/MAX(((G34)+(I34)*(MAX($D$16,(M85)-(K34))))*(MAX($D$16,(M85)-(K34))),0.000001))^2)/(2*$I$5)))+(0)-((ABS(I85)/MAX(((F34)+(H34)*(MAX($D$16,(AD85)-(J34))))*(MAX($D$16,(AD85)-(J34))),0.000001))^2)/(2*$I$5)</f>
        <v>635.51128720958343</v>
      </c>
      <c r="T85">
        <f ca="1">N85+((ABS(J85)/MAX(((G35)+(I35)*(MAX($D$16,(N85)-(K35))))*(MAX($D$16,(N85)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AD85)-(J35))))*(MAX($D$16,(AD85)-(J35))),0.000001)),$D$9*((((ABS(J85)/MAX(((G35)+(I35)*(MAX($D$16,(N85)-(K35))))*(MAX($D$16,(N85)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N85)-(K35))))*(MAX($D$16,(N85)-(K35))),0.000001))^2)/(2*$I$5)))))+($D$10*(ABS((X35)-(W35))/90)*MAX(((ABS(J85)/MAX(((F35)+(H35)*(MAX($D$16,(AD85)-(J35))))*(MAX($D$16,(AD85)-(J35))),0.000001))^2)/(2*$I$5),((ABS(J85)/MAX(((G35)+(I35)*(MAX($D$16,(N85)-(K35))))*(MAX($D$16,(N85)-(K35))),0.000001))^2)/(2*$I$5)))+(($D$11*0.34699541*(ABS(I85)/MAX(ABS(G85),0.000001))^2*MAX(((ABS(J85)/MAX(((F35)+(H35)*(MAX($D$16,(AD85)-(J35))))*(MAX($D$16,(AD85)-(J35))),0.000001))^2)/(2*$I$5),((ABS(J85)/MAX(((G35)+(I35)*(MAX($D$16,(N85)-(K35))))*(MAX($D$16,(N85)-(K35))),0.000001))^2)/(2*$I$5))))-((ABS(J85)/MAX(((F35)+(H35)*(MAX($D$16,(AD85)-(J35))))*(MAX($D$16,(AD85)-(J35))),0.000001))^2)/(2*$I$5)</f>
        <v>639.97429104455466</v>
      </c>
      <c r="U85">
        <f ca="1">((((G31)*(MAX($D$16,(AE85)-(K31)))^2)/2+(I31)*(MAX($D$16,(AE85)-(K31)))^3/3+(ABS(F85)^2)/($I$5*MAX(((G31)+(I31)*(MAX($D$16,(AE85)-(K31))))*(MAX($D$16,(AE85)-(K31))),0.000001)))-(IF(N6="None",((((F32)*(MAX($D$16,(AE85)-(J32)))^2)/2+(H32)*(MAX($D$16,(AE85)-(J32)))^3/3+(ABS(G85)^2)/($I$5*MAX(((F32)+(H32)*(MAX($D$16,(AE85)-(J32))))*(MAX($D$16,(AE85)-(J32))),0.000001)))*0.72785025),(((((F32)*(MAX($D$16,(AE85)-(J32)))^2)/2+(H32)*(MAX($D$16,(AE85)-(J32)))^3/3+(ABS(G85)^2)/($I$5*MAX(((F32)+(H32)*(MAX($D$16,(AE85)-(J32))))*(MAX($D$16,(AE85)-(J32))),0.000001)))*0.72785025)+((((F33)*(MAX($D$16,(AE85)-(J33)))^2)/2+(H33)*(MAX($D$16,(AE85)-(J33)))^3/3+(ABS(H85)^2)/($I$5*MAX(((F33)+(H33)*(MAX($D$16,(AE85)-(J33))))*(MAX($D$16,(AE85)-(J33))),0.000001)))*0.99999971)))))/MAX(((G31)*(MAX($D$16,(AE85)-(K31)))^2)/2+(I31)*(MAX($D$16,(AE85)-(K31)))^3/3+(ABS(F85)^2)/($I$5*MAX(((G31)+(I31)*(MAX($D$16,(AE85)-(K31))))*(MAX($D$16,(AE85)-(K31))),0.000001)),0.000001)</f>
        <v>0.27214975000000002</v>
      </c>
      <c r="V85">
        <f ca="1">((((G32)*(MAX($D$16,(AF85)-(K32)))^2)/2+(I32)*(MAX($D$16,(AF85)-(K32)))^3/3+(ABS(G85)^2)/($I$5*MAX(((G32)+(I32)*(MAX($D$16,(AF85)-(K32))))*(MAX($D$16,(AF85)-(K32))),0.000001)))-(IF(AND(N7="None",N8="None"),0,IF(N8="None",((((F34)*(MAX($D$16,(AF85)-(J34)))^2)/2+(H34)*(MAX($D$16,(AF85)-(J34)))^3/3+(ABS(I85)^2)/($I$5*MAX(((F34)+(H34)*(MAX($D$16,(AF85)-(J34))))*(MAX($D$16,(AF85)-(J34))),0.000001)))*1),IF(N7="None",((((F35)*(MAX($D$16,(AF85)-(J35)))^2)/2+(H35)*(MAX($D$16,(AF85)-(J35)))^3/3+(ABS(J85)^2)/($I$5*MAX(((F35)+(H35)*(MAX($D$16,(AF85)-(J35))))*(MAX($D$16,(AF85)-(J35))),0.000001)))*0.30600918),(((((F34)*(MAX($D$16,(AF85)-(J34)))^2)/2+(H34)*(MAX($D$16,(AF85)-(J34)))^3/3+(ABS(I85)^2)/($I$5*MAX(((F34)+(H34)*(MAX($D$16,(AF85)-(J34))))*(MAX($D$16,(AF85)-(J34))),0.000001)))*1)+((((F35)*(MAX($D$16,(AF85)-(J35)))^2)/2+(H35)*(MAX($D$16,(AF85)-(J35)))^3/3+(ABS(J85)^2)/($I$5*MAX(((F35)+(H35)*(MAX($D$16,(AF85)-(J35))))*(MAX($D$16,(AF85)-(J35))),0.000001)))*0.30600918)))))))/MAX(((G32)*(MAX($D$16,(AF85)-(K32)))^2)/2+(I32)*(MAX($D$16,(AF85)-(K32)))^3/3+(ABS(G85)^2)/($I$5*MAX(((G32)+(I32)*(MAX($D$16,(AF85)-(K32))))*(MAX($D$16,(AF85)-(K32))),0.000001)),0.000001)</f>
        <v>3.904177561081449E-2</v>
      </c>
      <c r="W85">
        <f ca="1">ABS((IF(N6="None",P85,MAX(P85,Q85)))-D85)</f>
        <v>5.7059583169815369</v>
      </c>
      <c r="X85">
        <f ca="1">ABS((IF(AND(N7="None",N8="None"),E85,IF(N8="None",S85,IF(N7="None",T85,MAX(S85,T85)))))-E85)</f>
        <v>8.0492537805373559</v>
      </c>
      <c r="Y85">
        <f>IF(N6="None",1,MIN(0.98,MAX(0.02,B85+$D$14*((Q85-P85)/MAX(ABS(D85),1)))))</f>
        <v>1</v>
      </c>
      <c r="Z85">
        <f ca="1">IF(AND(N7="None",N8="None"),C85,IF(N8="None",1,IF(N7="None",0,MIN(0.98,MAX(0.02,C85+$D$14*((T85-S85)/MAX(ABS(E85),1)))))))</f>
        <v>0.98</v>
      </c>
      <c r="AA85">
        <f t="shared" ca="1" si="16"/>
        <v>636.34537713341979</v>
      </c>
      <c r="AB85">
        <f t="shared" ca="1" si="17"/>
        <v>634.7426168432695</v>
      </c>
      <c r="AC85">
        <f ca="1">IF($D$20=0,D85,IF(AC85=0,(IF(N6="None",P85,MAX(P85,Q85))),IF(ABS((IF(N6="None",P85,MAX(P85,Q85)))-AC85)&lt;$D$19,AC85,MAX((K31)+$D$16,AC85+$D$13*(((IF(N6="None",P85,MAX(P85,Q85)))-AC85))))))</f>
        <v>640.05475514453997</v>
      </c>
      <c r="AD85">
        <f ca="1">IF($D$20=0,E85,IF(AD85=0,(IF(AND(N7="None",N8="None"),E85,IF(N8="None",S85,IF(N7="None",T85,MAX(S85,T85))))),IF(ABS((IF(AND(N7="None",N8="None"),E85,IF(N8="None",S85,IF(N7="None",T85,MAX(S85,T85)))))-AD85)&lt;$D$19,AD85,MAX((K32)+$D$16,AD85+$D$13*(((IF(AND(N7="None",N8="None"),E85,IF(N8="None",S85,IF(N7="None",T85,MAX(S85,T85)))))-AD85))))))</f>
        <v>639.97526463330917</v>
      </c>
      <c r="AE85">
        <f ca="1">IF($D$20=0,D85,IF(AE85=0,O85,IF(ABS(U85)&lt;$D$19,AE85,MAX((K31)+$D$16,AE85+($D$13*(((O85)-AE85)+(U85*MAX(ABS(AE85-(K31)),1))))))))</f>
        <v>634.34799999999996</v>
      </c>
      <c r="AF85">
        <f ca="1">IF($D$20=0,E85,IF(AF85=0,R85,IF(ABS(V85)&lt;$D$19,AF85,MAX((K32)+$D$16,AF85+($D$13*(((R85)-AF85)+(V85*MAX(ABS(AF85-(K32)),1))))))))</f>
        <v>631.92499999999995</v>
      </c>
      <c r="AG85">
        <f ca="1">((G31)*(MAX($D$16,(AC85)-(K31)))^2)/2+(I31)*(MAX($D$16,(AC85)-(K31)))^3/3+(ABS(F85)^2)/($I$5*MAX(((G31)+(I31)*(MAX($D$16,(AC85)-(K31))))*(MAX($D$16,(AC85)-(K31))),0.000001))</f>
        <v>115.68980551184316</v>
      </c>
      <c r="AH85">
        <f ca="1">((G31)*(MAX($D$16,(AE85)-(K31)))^2)/2+(I31)*(MAX($D$16,(AE85)-(K31)))^3/3+(ABS(F85)^2)/($I$5*MAX(((G31)+(I31)*(MAX($D$16,(AE85)-(K31))))*(MAX($D$16,(AE85)-(K31))),0.000001))</f>
        <v>808.60110594434002</v>
      </c>
      <c r="AI85">
        <f ca="1">((G32)*(MAX($D$16,(AD85)-(K32)))^2)/2+(I32)*(MAX($D$16,(AD85)-(K32)))^3/3+(ABS(G85)^2)/($I$5*MAX(((G32)+(I32)*(MAX($D$16,(AD85)-(K32))))*(MAX($D$16,(AD85)-(K32))),0.000001))</f>
        <v>338.03683729018678</v>
      </c>
      <c r="AJ85">
        <f ca="1">((G32)*(MAX($D$16,(AF85)-(K32)))^2)/2+(I32)*(MAX($D$16,(AF85)-(K32)))^3/3+(ABS(G85)^2)/($I$5*MAX(((G32)+(I32)*(MAX($D$16,(AF85)-(K32))))*(MAX($D$16,(AF85)-(K32))),0.000001))</f>
        <v>519.58480272613974</v>
      </c>
      <c r="AK85" t="str">
        <f t="shared" ca="1" si="18"/>
        <v>Supercritical</v>
      </c>
      <c r="AL85" t="str">
        <f t="shared" ca="1" si="19"/>
        <v>Supercritical</v>
      </c>
      <c r="AM85">
        <f t="shared" ca="1" si="20"/>
        <v>634.34801283283082</v>
      </c>
      <c r="AN85">
        <f t="shared" ca="1" si="21"/>
        <v>631.92502422161124</v>
      </c>
      <c r="AO85">
        <f t="shared" ca="1" si="22"/>
        <v>1.9742816675716313E-5</v>
      </c>
      <c r="AP85">
        <f t="shared" ca="1" si="23"/>
        <v>3.7264017350935319E-5</v>
      </c>
    </row>
    <row r="86" spans="1:42" x14ac:dyDescent="0.35">
      <c r="A86">
        <v>43</v>
      </c>
      <c r="B86">
        <f t="shared" si="24"/>
        <v>1</v>
      </c>
      <c r="C86">
        <f t="shared" ca="1" si="25"/>
        <v>0.98</v>
      </c>
      <c r="D86">
        <f t="shared" ca="1" si="26"/>
        <v>634.34801283283082</v>
      </c>
      <c r="E86">
        <f t="shared" ca="1" si="27"/>
        <v>631.92502422161124</v>
      </c>
      <c r="F86">
        <f t="shared" si="15"/>
        <v>51</v>
      </c>
      <c r="G86">
        <f>IF(N6="None",F86,MAX(0,F86*B86))</f>
        <v>51</v>
      </c>
      <c r="H86">
        <f>IF(N6="None",0,MAX(0,F86-G86))</f>
        <v>0</v>
      </c>
      <c r="I86">
        <f ca="1">IF(AND(N7="None",N8="None"),0,IF(N8="None",G86,IF(N7="None",0,MAX(0,G86*C86))))</f>
        <v>49.98</v>
      </c>
      <c r="J86">
        <f ca="1">IF(AND(N7="None",N8="None"),0,IF(N8="None",0,IF(N7="None",G86,MAX(0,G86-I86))))</f>
        <v>1.0200000000000031</v>
      </c>
      <c r="K86">
        <f>P5</f>
        <v>637</v>
      </c>
      <c r="L86">
        <f>P6</f>
        <v>634.3119999999999</v>
      </c>
      <c r="M86">
        <f>P7</f>
        <v>635.5</v>
      </c>
      <c r="N86">
        <f>P8</f>
        <v>631.54999999999995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-2091.5872404992097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640.05397805979817</v>
      </c>
      <c r="Q86">
        <f ca="1">L86+((ABS(H86)/MAX(((G33)+(I33)*(MAX($D$16,(L86)-(K33))))*(MAX($D$16,(L86)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AC86)-(J33))))*(MAX($D$16,(AC86)-(J33))),0.000001)),$D$9*((((ABS(H86)/MAX(((G33)+(I33)*(MAX($D$16,(L86)-(K33))))*(MAX($D$16,(L86)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L86)-(K33))))*(MAX($D$16,(L86)-(K33))),0.000001))^2)/(2*$I$5)))))+($D$10*(ABS((X33)-(W33))/90)*MAX(((ABS(H86)/MAX(((F33)+(H33)*(MAX($D$16,(AC86)-(J33))))*(MAX($D$16,(AC86)-(J33))),0.000001))^2)/(2*$I$5),((ABS(H86)/MAX(((G33)+(I33)*(MAX($D$16,(L86)-(K33))))*(MAX($D$16,(L86)-(K33))),0.000001))^2)/(2*$I$5)))+(($D$11*0.00000015*(ABS(G86)/MAX(ABS(F86),0.000001))^2*MAX(((ABS(H86)/MAX(((F33)+(H33)*(MAX($D$16,(AC86)-(J33))))*(MAX($D$16,(AC86)-(J33))),0.000001))^2)/(2*$I$5),((ABS(H86)/MAX(((G33)+(I33)*(MAX($D$16,(L86)-(K33))))*(MAX($D$16,(L86)-(K33))),0.000001))^2)/(2*$I$5))))-((ABS(H86)/MAX(((F33)+(H33)*(MAX($D$16,(AC86)-(J33))))*(MAX($D$16,(AC86)-(J33))),0.000001))^2)/(2*$I$5)</f>
        <v>634.3119999999999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-292118.81246378768</v>
      </c>
      <c r="S86">
        <f ca="1">M86+((ABS(I86)/MAX(((G34)+(I34)*(MAX($D$16,(M86)-(K34))))*(MAX($D$16,(M86)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AD86)-(J34))))*(MAX($D$16,(AD86)-(J34))),0.000001)),$D$9*((((ABS(I86)/MAX(((G34)+(I34)*(MAX($D$16,(M86)-(K34))))*(MAX($D$16,(M86)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M86)-(K34))))*(MAX($D$16,(M86)-(K34))),0.000001))^2)/(2*$I$5)))))+($D$10*(ABS((X34)-(W34))/90)*MAX(((ABS(I86)/MAX(((F34)+(H34)*(MAX($D$16,(AD86)-(J34))))*(MAX($D$16,(AD86)-(J34))),0.000001))^2)/(2*$I$5),((ABS(I86)/MAX(((G34)+(I34)*(MAX($D$16,(M86)-(K34))))*(MAX($D$16,(M86)-(K34))),0.000001))^2)/(2*$I$5)))+(0)-((ABS(I86)/MAX(((F34)+(H34)*(MAX($D$16,(AD86)-(J34))))*(MAX($D$16,(AD86)-(J34))),0.000001))^2)/(2*$I$5)</f>
        <v>635.51128720958343</v>
      </c>
      <c r="T86">
        <f ca="1">N86+((ABS(J86)/MAX(((G35)+(I35)*(MAX($D$16,(N86)-(K35))))*(MAX($D$16,(N86)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AD86)-(J35))))*(MAX($D$16,(AD86)-(J35))),0.000001)),$D$9*((((ABS(J86)/MAX(((G35)+(I35)*(MAX($D$16,(N86)-(K35))))*(MAX($D$16,(N86)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N86)-(K35))))*(MAX($D$16,(N86)-(K35))),0.000001))^2)/(2*$I$5)))))+($D$10*(ABS((X35)-(W35))/90)*MAX(((ABS(J86)/MAX(((F35)+(H35)*(MAX($D$16,(AD86)-(J35))))*(MAX($D$16,(AD86)-(J35))),0.000001))^2)/(2*$I$5),((ABS(J86)/MAX(((G35)+(I35)*(MAX($D$16,(N86)-(K35))))*(MAX($D$16,(N86)-(K35))),0.000001))^2)/(2*$I$5)))+(($D$11*0.34699541*(ABS(I86)/MAX(ABS(G86),0.000001))^2*MAX(((ABS(J86)/MAX(((F35)+(H35)*(MAX($D$16,(AD86)-(J35))))*(MAX($D$16,(AD86)-(J35))),0.000001))^2)/(2*$I$5),((ABS(J86)/MAX(((G35)+(I35)*(MAX($D$16,(N86)-(K35))))*(MAX($D$16,(N86)-(K35))),0.000001))^2)/(2*$I$5))))-((ABS(J86)/MAX(((F35)+(H35)*(MAX($D$16,(AD86)-(J35))))*(MAX($D$16,(AD86)-(J35))),0.000001))^2)/(2*$I$5)</f>
        <v>639.97429104455466</v>
      </c>
      <c r="U86">
        <f ca="1">((((G31)*(MAX($D$16,(AE86)-(K31)))^2)/2+(I31)*(MAX($D$16,(AE86)-(K31)))^3/3+(ABS(F86)^2)/($I$5*MAX(((G31)+(I31)*(MAX($D$16,(AE86)-(K31))))*(MAX($D$16,(AE86)-(K31))),0.000001)))-(IF(N6="None",((((F32)*(MAX($D$16,(AE86)-(J32)))^2)/2+(H32)*(MAX($D$16,(AE86)-(J32)))^3/3+(ABS(G86)^2)/($I$5*MAX(((F32)+(H32)*(MAX($D$16,(AE86)-(J32))))*(MAX($D$16,(AE86)-(J32))),0.000001)))*0.72785025),(((((F32)*(MAX($D$16,(AE86)-(J32)))^2)/2+(H32)*(MAX($D$16,(AE86)-(J32)))^3/3+(ABS(G86)^2)/($I$5*MAX(((F32)+(H32)*(MAX($D$16,(AE86)-(J32))))*(MAX($D$16,(AE86)-(J32))),0.000001)))*0.72785025)+((((F33)*(MAX($D$16,(AE86)-(J33)))^2)/2+(H33)*(MAX($D$16,(AE86)-(J33)))^3/3+(ABS(H86)^2)/($I$5*MAX(((F33)+(H33)*(MAX($D$16,(AE86)-(J33))))*(MAX($D$16,(AE86)-(J33))),0.000001)))*0.99999971)))))/MAX(((G31)*(MAX($D$16,(AE86)-(K31)))^2)/2+(I31)*(MAX($D$16,(AE86)-(K31)))^3/3+(ABS(F86)^2)/($I$5*MAX(((G31)+(I31)*(MAX($D$16,(AE86)-(K31))))*(MAX($D$16,(AE86)-(K31))),0.000001)),0.000001)</f>
        <v>0.27214975000000002</v>
      </c>
      <c r="V86">
        <f ca="1">((((G32)*(MAX($D$16,(AF86)-(K32)))^2)/2+(I32)*(MAX($D$16,(AF86)-(K32)))^3/3+(ABS(G86)^2)/($I$5*MAX(((G32)+(I32)*(MAX($D$16,(AF86)-(K32))))*(MAX($D$16,(AF86)-(K32))),0.000001)))-(IF(AND(N7="None",N8="None"),0,IF(N8="None",((((F34)*(MAX($D$16,(AF86)-(J34)))^2)/2+(H34)*(MAX($D$16,(AF86)-(J34)))^3/3+(ABS(I86)^2)/($I$5*MAX(((F34)+(H34)*(MAX($D$16,(AF86)-(J34))))*(MAX($D$16,(AF86)-(J34))),0.000001)))*1),IF(N7="None",((((F35)*(MAX($D$16,(AF86)-(J35)))^2)/2+(H35)*(MAX($D$16,(AF86)-(J35)))^3/3+(ABS(J86)^2)/($I$5*MAX(((F35)+(H35)*(MAX($D$16,(AF86)-(J35))))*(MAX($D$16,(AF86)-(J35))),0.000001)))*0.30600918),(((((F34)*(MAX($D$16,(AF86)-(J34)))^2)/2+(H34)*(MAX($D$16,(AF86)-(J34)))^3/3+(ABS(I86)^2)/($I$5*MAX(((F34)+(H34)*(MAX($D$16,(AF86)-(J34))))*(MAX($D$16,(AF86)-(J34))),0.000001)))*1)+((((F35)*(MAX($D$16,(AF86)-(J35)))^2)/2+(H35)*(MAX($D$16,(AF86)-(J35)))^3/3+(ABS(J86)^2)/($I$5*MAX(((F35)+(H35)*(MAX($D$16,(AF86)-(J35))))*(MAX($D$16,(AF86)-(J35))),0.000001)))*0.30600918)))))))/MAX(((G32)*(MAX($D$16,(AF86)-(K32)))^2)/2+(I32)*(MAX($D$16,(AF86)-(K32)))^3/3+(ABS(G86)^2)/($I$5*MAX(((G32)+(I32)*(MAX($D$16,(AF86)-(K32))))*(MAX($D$16,(AF86)-(K32))),0.000001)),0.000001)</f>
        <v>3.904177561081449E-2</v>
      </c>
      <c r="W86">
        <f ca="1">ABS((IF(N6="None",P86,MAX(P86,Q86)))-D86)</f>
        <v>5.7059652269673506</v>
      </c>
      <c r="X86">
        <f ca="1">ABS((IF(AND(N7="None",N8="None"),E86,IF(N8="None",S86,IF(N7="None",T86,MAX(S86,T86)))))-E86)</f>
        <v>8.049266822943423</v>
      </c>
      <c r="Y86">
        <f>IF(N6="None",1,MIN(0.98,MAX(0.02,B86+$D$14*((Q86-P86)/MAX(ABS(D86),1)))))</f>
        <v>1</v>
      </c>
      <c r="Z86">
        <f ca="1">IF(AND(N7="None",N8="None"),C86,IF(N8="None",1,IF(N7="None",0,MIN(0.98,MAX(0.02,C86+$D$14*((T86-S86)/MAX(ABS(E86),1)))))))</f>
        <v>0.98</v>
      </c>
      <c r="AA86">
        <f t="shared" ca="1" si="16"/>
        <v>636.34537264192898</v>
      </c>
      <c r="AB86">
        <f t="shared" ca="1" si="17"/>
        <v>634.74260836570556</v>
      </c>
      <c r="AC86">
        <f ca="1">IF($D$20=0,D86,IF(AC86=0,(IF(N6="None",P86,MAX(P86,Q86))),IF(ABS((IF(N6="None",P86,MAX(P86,Q86)))-AC86)&lt;$D$19,AC86,MAX((K31)+$D$16,AC86+$D$13*(((IF(N6="None",P86,MAX(P86,Q86)))-AC86))))))</f>
        <v>640.05475514453997</v>
      </c>
      <c r="AD86">
        <f ca="1">IF($D$20=0,E86,IF(AD86=0,(IF(AND(N7="None",N8="None"),E86,IF(N8="None",S86,IF(N7="None",T86,MAX(S86,T86))))),IF(ABS((IF(AND(N7="None",N8="None"),E86,IF(N8="None",S86,IF(N7="None",T86,MAX(S86,T86)))))-AD86)&lt;$D$19,AD86,MAX((K32)+$D$16,AD86+$D$13*(((IF(AND(N7="None",N8="None"),E86,IF(N8="None",S86,IF(N7="None",T86,MAX(S86,T86)))))-AD86))))))</f>
        <v>639.97526463330917</v>
      </c>
      <c r="AE86">
        <f ca="1">IF($D$20=0,D86,IF(AE86=0,O86,IF(ABS(U86)&lt;$D$19,AE86,MAX((K31)+$D$16,AE86+($D$13*(((O86)-AE86)+(U86*MAX(ABS(AE86-(K31)),1))))))))</f>
        <v>634.34799999999996</v>
      </c>
      <c r="AF86">
        <f ca="1">IF($D$20=0,E86,IF(AF86=0,R86,IF(ABS(V86)&lt;$D$19,AF86,MAX((K32)+$D$16,AF86+($D$13*(((R86)-AF86)+(V86*MAX(ABS(AF86-(K32)),1))))))))</f>
        <v>631.92499999999995</v>
      </c>
      <c r="AG86">
        <f ca="1">((G31)*(MAX($D$16,(AC86)-(K31)))^2)/2+(I31)*(MAX($D$16,(AC86)-(K31)))^3/3+(ABS(F86)^2)/($I$5*MAX(((G31)+(I31)*(MAX($D$16,(AC86)-(K31))))*(MAX($D$16,(AC86)-(K31))),0.000001))</f>
        <v>115.68980551184316</v>
      </c>
      <c r="AH86">
        <f ca="1">((G31)*(MAX($D$16,(AE86)-(K31)))^2)/2+(I31)*(MAX($D$16,(AE86)-(K31)))^3/3+(ABS(F86)^2)/($I$5*MAX(((G31)+(I31)*(MAX($D$16,(AE86)-(K31))))*(MAX($D$16,(AE86)-(K31))),0.000001))</f>
        <v>808.60110594434002</v>
      </c>
      <c r="AI86">
        <f ca="1">((G32)*(MAX($D$16,(AD86)-(K32)))^2)/2+(I32)*(MAX($D$16,(AD86)-(K32)))^3/3+(ABS(G86)^2)/($I$5*MAX(((G32)+(I32)*(MAX($D$16,(AD86)-(K32))))*(MAX($D$16,(AD86)-(K32))),0.000001))</f>
        <v>338.03683729018678</v>
      </c>
      <c r="AJ86">
        <f ca="1">((G32)*(MAX($D$16,(AF86)-(K32)))^2)/2+(I32)*(MAX($D$16,(AF86)-(K32)))^3/3+(ABS(G86)^2)/($I$5*MAX(((G32)+(I32)*(MAX($D$16,(AF86)-(K32))))*(MAX($D$16,(AF86)-(K32))),0.000001))</f>
        <v>519.58480272613974</v>
      </c>
      <c r="AK86" t="str">
        <f t="shared" ca="1" si="18"/>
        <v>Supercritical</v>
      </c>
      <c r="AL86" t="str">
        <f t="shared" ca="1" si="19"/>
        <v>Supercritical</v>
      </c>
      <c r="AM86">
        <f t="shared" ca="1" si="20"/>
        <v>634.34800834134001</v>
      </c>
      <c r="AN86">
        <f t="shared" ca="1" si="21"/>
        <v>631.9250157440473</v>
      </c>
      <c r="AO86">
        <f t="shared" ca="1" si="22"/>
        <v>1.2832830861952971E-5</v>
      </c>
      <c r="AP86">
        <f t="shared" ca="1" si="23"/>
        <v>2.4221611283792299E-5</v>
      </c>
    </row>
    <row r="87" spans="1:42" x14ac:dyDescent="0.35">
      <c r="A87">
        <v>44</v>
      </c>
      <c r="B87">
        <f t="shared" si="24"/>
        <v>1</v>
      </c>
      <c r="C87">
        <f t="shared" ca="1" si="25"/>
        <v>0.98</v>
      </c>
      <c r="D87">
        <f t="shared" ca="1" si="26"/>
        <v>634.34800834134001</v>
      </c>
      <c r="E87">
        <f t="shared" ca="1" si="27"/>
        <v>631.9250157440473</v>
      </c>
      <c r="F87">
        <f t="shared" si="15"/>
        <v>51</v>
      </c>
      <c r="G87">
        <f>IF(N6="None",F87,MAX(0,F87*B87))</f>
        <v>51</v>
      </c>
      <c r="H87">
        <f>IF(N6="None",0,MAX(0,F87-G87))</f>
        <v>0</v>
      </c>
      <c r="I87">
        <f ca="1">IF(AND(N7="None",N8="None"),0,IF(N8="None",G87,IF(N7="None",0,MAX(0,G87*C87))))</f>
        <v>49.98</v>
      </c>
      <c r="J87">
        <f ca="1">IF(AND(N7="None",N8="None"),0,IF(N8="None",0,IF(N7="None",G87,MAX(0,G87-I87))))</f>
        <v>1.0200000000000031</v>
      </c>
      <c r="K87">
        <f>P5</f>
        <v>637</v>
      </c>
      <c r="L87">
        <f>P6</f>
        <v>634.3119999999999</v>
      </c>
      <c r="M87">
        <f>P7</f>
        <v>635.5</v>
      </c>
      <c r="N87">
        <f>P8</f>
        <v>631.54999999999995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-2091.5872404992097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640.05397805979817</v>
      </c>
      <c r="Q87">
        <f ca="1">L87+((ABS(H87)/MAX(((G33)+(I33)*(MAX($D$16,(L87)-(K33))))*(MAX($D$16,(L87)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AC87)-(J33))))*(MAX($D$16,(AC87)-(J33))),0.000001)),$D$9*((((ABS(H87)/MAX(((G33)+(I33)*(MAX($D$16,(L87)-(K33))))*(MAX($D$16,(L87)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L87)-(K33))))*(MAX($D$16,(L87)-(K33))),0.000001))^2)/(2*$I$5)))))+($D$10*(ABS((X33)-(W33))/90)*MAX(((ABS(H87)/MAX(((F33)+(H33)*(MAX($D$16,(AC87)-(J33))))*(MAX($D$16,(AC87)-(J33))),0.000001))^2)/(2*$I$5),((ABS(H87)/MAX(((G33)+(I33)*(MAX($D$16,(L87)-(K33))))*(MAX($D$16,(L87)-(K33))),0.000001))^2)/(2*$I$5)))+(($D$11*0.00000015*(ABS(G87)/MAX(ABS(F87),0.000001))^2*MAX(((ABS(H87)/MAX(((F33)+(H33)*(MAX($D$16,(AC87)-(J33))))*(MAX($D$16,(AC87)-(J33))),0.000001))^2)/(2*$I$5),((ABS(H87)/MAX(((G33)+(I33)*(MAX($D$16,(L87)-(K33))))*(MAX($D$16,(L87)-(K33))),0.000001))^2)/(2*$I$5))))-((ABS(H87)/MAX(((F33)+(H33)*(MAX($D$16,(AC87)-(J33))))*(MAX($D$16,(AC87)-(J33))),0.000001))^2)/(2*$I$5)</f>
        <v>634.3119999999999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-292118.81246378768</v>
      </c>
      <c r="S87">
        <f ca="1">M87+((ABS(I87)/MAX(((G34)+(I34)*(MAX($D$16,(M87)-(K34))))*(MAX($D$16,(M87)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AD87)-(J34))))*(MAX($D$16,(AD87)-(J34))),0.000001)),$D$9*((((ABS(I87)/MAX(((G34)+(I34)*(MAX($D$16,(M87)-(K34))))*(MAX($D$16,(M87)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M87)-(K34))))*(MAX($D$16,(M87)-(K34))),0.000001))^2)/(2*$I$5)))))+($D$10*(ABS((X34)-(W34))/90)*MAX(((ABS(I87)/MAX(((F34)+(H34)*(MAX($D$16,(AD87)-(J34))))*(MAX($D$16,(AD87)-(J34))),0.000001))^2)/(2*$I$5),((ABS(I87)/MAX(((G34)+(I34)*(MAX($D$16,(M87)-(K34))))*(MAX($D$16,(M87)-(K34))),0.000001))^2)/(2*$I$5)))+(0)-((ABS(I87)/MAX(((F34)+(H34)*(MAX($D$16,(AD87)-(J34))))*(MAX($D$16,(AD87)-(J34))),0.000001))^2)/(2*$I$5)</f>
        <v>635.51128720958343</v>
      </c>
      <c r="T87">
        <f ca="1">N87+((ABS(J87)/MAX(((G35)+(I35)*(MAX($D$16,(N87)-(K35))))*(MAX($D$16,(N87)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AD87)-(J35))))*(MAX($D$16,(AD87)-(J35))),0.000001)),$D$9*((((ABS(J87)/MAX(((G35)+(I35)*(MAX($D$16,(N87)-(K35))))*(MAX($D$16,(N87)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N87)-(K35))))*(MAX($D$16,(N87)-(K35))),0.000001))^2)/(2*$I$5)))))+($D$10*(ABS((X35)-(W35))/90)*MAX(((ABS(J87)/MAX(((F35)+(H35)*(MAX($D$16,(AD87)-(J35))))*(MAX($D$16,(AD87)-(J35))),0.000001))^2)/(2*$I$5),((ABS(J87)/MAX(((G35)+(I35)*(MAX($D$16,(N87)-(K35))))*(MAX($D$16,(N87)-(K35))),0.000001))^2)/(2*$I$5)))+(($D$11*0.34699541*(ABS(I87)/MAX(ABS(G87),0.000001))^2*MAX(((ABS(J87)/MAX(((F35)+(H35)*(MAX($D$16,(AD87)-(J35))))*(MAX($D$16,(AD87)-(J35))),0.000001))^2)/(2*$I$5),((ABS(J87)/MAX(((G35)+(I35)*(MAX($D$16,(N87)-(K35))))*(MAX($D$16,(N87)-(K35))),0.000001))^2)/(2*$I$5))))-((ABS(J87)/MAX(((F35)+(H35)*(MAX($D$16,(AD87)-(J35))))*(MAX($D$16,(AD87)-(J35))),0.000001))^2)/(2*$I$5)</f>
        <v>639.97429104455466</v>
      </c>
      <c r="U87">
        <f ca="1">((((G31)*(MAX($D$16,(AE87)-(K31)))^2)/2+(I31)*(MAX($D$16,(AE87)-(K31)))^3/3+(ABS(F87)^2)/($I$5*MAX(((G31)+(I31)*(MAX($D$16,(AE87)-(K31))))*(MAX($D$16,(AE87)-(K31))),0.000001)))-(IF(N6="None",((((F32)*(MAX($D$16,(AE87)-(J32)))^2)/2+(H32)*(MAX($D$16,(AE87)-(J32)))^3/3+(ABS(G87)^2)/($I$5*MAX(((F32)+(H32)*(MAX($D$16,(AE87)-(J32))))*(MAX($D$16,(AE87)-(J32))),0.000001)))*0.72785025),(((((F32)*(MAX($D$16,(AE87)-(J32)))^2)/2+(H32)*(MAX($D$16,(AE87)-(J32)))^3/3+(ABS(G87)^2)/($I$5*MAX(((F32)+(H32)*(MAX($D$16,(AE87)-(J32))))*(MAX($D$16,(AE87)-(J32))),0.000001)))*0.72785025)+((((F33)*(MAX($D$16,(AE87)-(J33)))^2)/2+(H33)*(MAX($D$16,(AE87)-(J33)))^3/3+(ABS(H87)^2)/($I$5*MAX(((F33)+(H33)*(MAX($D$16,(AE87)-(J33))))*(MAX($D$16,(AE87)-(J33))),0.000001)))*0.99999971)))))/MAX(((G31)*(MAX($D$16,(AE87)-(K31)))^2)/2+(I31)*(MAX($D$16,(AE87)-(K31)))^3/3+(ABS(F87)^2)/($I$5*MAX(((G31)+(I31)*(MAX($D$16,(AE87)-(K31))))*(MAX($D$16,(AE87)-(K31))),0.000001)),0.000001)</f>
        <v>0.27214975000000002</v>
      </c>
      <c r="V87">
        <f ca="1">((((G32)*(MAX($D$16,(AF87)-(K32)))^2)/2+(I32)*(MAX($D$16,(AF87)-(K32)))^3/3+(ABS(G87)^2)/($I$5*MAX(((G32)+(I32)*(MAX($D$16,(AF87)-(K32))))*(MAX($D$16,(AF87)-(K32))),0.000001)))-(IF(AND(N7="None",N8="None"),0,IF(N8="None",((((F34)*(MAX($D$16,(AF87)-(J34)))^2)/2+(H34)*(MAX($D$16,(AF87)-(J34)))^3/3+(ABS(I87)^2)/($I$5*MAX(((F34)+(H34)*(MAX($D$16,(AF87)-(J34))))*(MAX($D$16,(AF87)-(J34))),0.000001)))*1),IF(N7="None",((((F35)*(MAX($D$16,(AF87)-(J35)))^2)/2+(H35)*(MAX($D$16,(AF87)-(J35)))^3/3+(ABS(J87)^2)/($I$5*MAX(((F35)+(H35)*(MAX($D$16,(AF87)-(J35))))*(MAX($D$16,(AF87)-(J35))),0.000001)))*0.30600918),(((((F34)*(MAX($D$16,(AF87)-(J34)))^2)/2+(H34)*(MAX($D$16,(AF87)-(J34)))^3/3+(ABS(I87)^2)/($I$5*MAX(((F34)+(H34)*(MAX($D$16,(AF87)-(J34))))*(MAX($D$16,(AF87)-(J34))),0.000001)))*1)+((((F35)*(MAX($D$16,(AF87)-(J35)))^2)/2+(H35)*(MAX($D$16,(AF87)-(J35)))^3/3+(ABS(J87)^2)/($I$5*MAX(((F35)+(H35)*(MAX($D$16,(AF87)-(J35))))*(MAX($D$16,(AF87)-(J35))),0.000001)))*0.30600918)))))))/MAX(((G32)*(MAX($D$16,(AF87)-(K32)))^2)/2+(I32)*(MAX($D$16,(AF87)-(K32)))^3/3+(ABS(G87)^2)/($I$5*MAX(((G32)+(I32)*(MAX($D$16,(AF87)-(K32))))*(MAX($D$16,(AF87)-(K32))),0.000001)),0.000001)</f>
        <v>3.904177561081449E-2</v>
      </c>
      <c r="W87">
        <f ca="1">ABS((IF(N6="None",P87,MAX(P87,Q87)))-D87)</f>
        <v>5.7059697184581637</v>
      </c>
      <c r="X87">
        <f ca="1">ABS((IF(AND(N7="None",N8="None"),E87,IF(N8="None",S87,IF(N7="None",T87,MAX(S87,T87)))))-E87)</f>
        <v>8.049275300507361</v>
      </c>
      <c r="Y87">
        <f>IF(N6="None",1,MIN(0.98,MAX(0.02,B87+$D$14*((Q87-P87)/MAX(ABS(D87),1)))))</f>
        <v>1</v>
      </c>
      <c r="Z87">
        <f ca="1">IF(AND(N7="None",N8="None"),C87,IF(N8="None",1,IF(N7="None",0,MIN(0.98,MAX(0.02,C87+$D$14*((T87-S87)/MAX(ABS(E87),1)))))))</f>
        <v>0.98</v>
      </c>
      <c r="AA87">
        <f t="shared" ca="1" si="16"/>
        <v>636.34536972245996</v>
      </c>
      <c r="AB87">
        <f t="shared" ca="1" si="17"/>
        <v>634.74260285528896</v>
      </c>
      <c r="AC87">
        <f ca="1">IF($D$20=0,D87,IF(AC87=0,(IF(N6="None",P87,MAX(P87,Q87))),IF(ABS((IF(N6="None",P87,MAX(P87,Q87)))-AC87)&lt;$D$19,AC87,MAX((K31)+$D$16,AC87+$D$13*(((IF(N6="None",P87,MAX(P87,Q87)))-AC87))))))</f>
        <v>640.05475514453997</v>
      </c>
      <c r="AD87">
        <f ca="1">IF($D$20=0,E87,IF(AD87=0,(IF(AND(N7="None",N8="None"),E87,IF(N8="None",S87,IF(N7="None",T87,MAX(S87,T87))))),IF(ABS((IF(AND(N7="None",N8="None"),E87,IF(N8="None",S87,IF(N7="None",T87,MAX(S87,T87)))))-AD87)&lt;$D$19,AD87,MAX((K32)+$D$16,AD87+$D$13*(((IF(AND(N7="None",N8="None"),E87,IF(N8="None",S87,IF(N7="None",T87,MAX(S87,T87)))))-AD87))))))</f>
        <v>639.97526463330917</v>
      </c>
      <c r="AE87">
        <f ca="1">IF($D$20=0,D87,IF(AE87=0,O87,IF(ABS(U87)&lt;$D$19,AE87,MAX((K31)+$D$16,AE87+($D$13*(((O87)-AE87)+(U87*MAX(ABS(AE87-(K31)),1))))))))</f>
        <v>634.34799999999996</v>
      </c>
      <c r="AF87">
        <f ca="1">IF($D$20=0,E87,IF(AF87=0,R87,IF(ABS(V87)&lt;$D$19,AF87,MAX((K32)+$D$16,AF87+($D$13*(((R87)-AF87)+(V87*MAX(ABS(AF87-(K32)),1))))))))</f>
        <v>631.92499999999995</v>
      </c>
      <c r="AG87">
        <f ca="1">((G31)*(MAX($D$16,(AC87)-(K31)))^2)/2+(I31)*(MAX($D$16,(AC87)-(K31)))^3/3+(ABS(F87)^2)/($I$5*MAX(((G31)+(I31)*(MAX($D$16,(AC87)-(K31))))*(MAX($D$16,(AC87)-(K31))),0.000001))</f>
        <v>115.68980551184316</v>
      </c>
      <c r="AH87">
        <f ca="1">((G31)*(MAX($D$16,(AE87)-(K31)))^2)/2+(I31)*(MAX($D$16,(AE87)-(K31)))^3/3+(ABS(F87)^2)/($I$5*MAX(((G31)+(I31)*(MAX($D$16,(AE87)-(K31))))*(MAX($D$16,(AE87)-(K31))),0.000001))</f>
        <v>808.60110594434002</v>
      </c>
      <c r="AI87">
        <f ca="1">((G32)*(MAX($D$16,(AD87)-(K32)))^2)/2+(I32)*(MAX($D$16,(AD87)-(K32)))^3/3+(ABS(G87)^2)/($I$5*MAX(((G32)+(I32)*(MAX($D$16,(AD87)-(K32))))*(MAX($D$16,(AD87)-(K32))),0.000001))</f>
        <v>338.03683729018678</v>
      </c>
      <c r="AJ87">
        <f ca="1">((G32)*(MAX($D$16,(AF87)-(K32)))^2)/2+(I32)*(MAX($D$16,(AF87)-(K32)))^3/3+(ABS(G87)^2)/($I$5*MAX(((G32)+(I32)*(MAX($D$16,(AF87)-(K32))))*(MAX($D$16,(AF87)-(K32))),0.000001))</f>
        <v>519.58480272613974</v>
      </c>
      <c r="AK87" t="str">
        <f t="shared" ca="1" si="18"/>
        <v>Supercritical</v>
      </c>
      <c r="AL87" t="str">
        <f t="shared" ca="1" si="19"/>
        <v>Supercritical</v>
      </c>
      <c r="AM87">
        <f t="shared" ca="1" si="20"/>
        <v>634.34800542187099</v>
      </c>
      <c r="AN87">
        <f t="shared" ca="1" si="21"/>
        <v>631.9250102336307</v>
      </c>
      <c r="AO87">
        <f t="shared" ca="1" si="22"/>
        <v>8.3413400489007472E-6</v>
      </c>
      <c r="AP87">
        <f t="shared" ca="1" si="23"/>
        <v>1.5744047345833678E-5</v>
      </c>
    </row>
    <row r="88" spans="1:42" x14ac:dyDescent="0.35">
      <c r="A88">
        <v>45</v>
      </c>
      <c r="B88">
        <f t="shared" si="24"/>
        <v>1</v>
      </c>
      <c r="C88">
        <f t="shared" ca="1" si="25"/>
        <v>0.98</v>
      </c>
      <c r="D88">
        <f t="shared" ca="1" si="26"/>
        <v>634.34800542187099</v>
      </c>
      <c r="E88">
        <f t="shared" ca="1" si="27"/>
        <v>631.9250102336307</v>
      </c>
      <c r="F88">
        <f t="shared" si="15"/>
        <v>51</v>
      </c>
      <c r="G88">
        <f>IF(N6="None",F88,MAX(0,F88*B88))</f>
        <v>51</v>
      </c>
      <c r="H88">
        <f>IF(N6="None",0,MAX(0,F88-G88))</f>
        <v>0</v>
      </c>
      <c r="I88">
        <f ca="1">IF(AND(N7="None",N8="None"),0,IF(N8="None",G88,IF(N7="None",0,MAX(0,G88*C88))))</f>
        <v>49.98</v>
      </c>
      <c r="J88">
        <f ca="1">IF(AND(N7="None",N8="None"),0,IF(N8="None",0,IF(N7="None",G88,MAX(0,G88-I88))))</f>
        <v>1.0200000000000031</v>
      </c>
      <c r="K88">
        <f>P5</f>
        <v>637</v>
      </c>
      <c r="L88">
        <f>P6</f>
        <v>634.3119999999999</v>
      </c>
      <c r="M88">
        <f>P7</f>
        <v>635.5</v>
      </c>
      <c r="N88">
        <f>P8</f>
        <v>631.54999999999995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-2091.5872404992097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640.05397805979817</v>
      </c>
      <c r="Q88">
        <f ca="1">L88+((ABS(H88)/MAX(((G33)+(I33)*(MAX($D$16,(L88)-(K33))))*(MAX($D$16,(L88)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AC88)-(J33))))*(MAX($D$16,(AC88)-(J33))),0.000001)),$D$9*((((ABS(H88)/MAX(((G33)+(I33)*(MAX($D$16,(L88)-(K33))))*(MAX($D$16,(L88)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L88)-(K33))))*(MAX($D$16,(L88)-(K33))),0.000001))^2)/(2*$I$5)))))+($D$10*(ABS((X33)-(W33))/90)*MAX(((ABS(H88)/MAX(((F33)+(H33)*(MAX($D$16,(AC88)-(J33))))*(MAX($D$16,(AC88)-(J33))),0.000001))^2)/(2*$I$5),((ABS(H88)/MAX(((G33)+(I33)*(MAX($D$16,(L88)-(K33))))*(MAX($D$16,(L88)-(K33))),0.000001))^2)/(2*$I$5)))+(($D$11*0.00000015*(ABS(G88)/MAX(ABS(F88),0.000001))^2*MAX(((ABS(H88)/MAX(((F33)+(H33)*(MAX($D$16,(AC88)-(J33))))*(MAX($D$16,(AC88)-(J33))),0.000001))^2)/(2*$I$5),((ABS(H88)/MAX(((G33)+(I33)*(MAX($D$16,(L88)-(K33))))*(MAX($D$16,(L88)-(K33))),0.000001))^2)/(2*$I$5))))-((ABS(H88)/MAX(((F33)+(H33)*(MAX($D$16,(AC88)-(J33))))*(MAX($D$16,(AC88)-(J33))),0.000001))^2)/(2*$I$5)</f>
        <v>634.3119999999999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-292118.81246378768</v>
      </c>
      <c r="S88">
        <f ca="1">M88+((ABS(I88)/MAX(((G34)+(I34)*(MAX($D$16,(M88)-(K34))))*(MAX($D$16,(M88)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AD88)-(J34))))*(MAX($D$16,(AD88)-(J34))),0.000001)),$D$9*((((ABS(I88)/MAX(((G34)+(I34)*(MAX($D$16,(M88)-(K34))))*(MAX($D$16,(M88)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M88)-(K34))))*(MAX($D$16,(M88)-(K34))),0.000001))^2)/(2*$I$5)))))+($D$10*(ABS((X34)-(W34))/90)*MAX(((ABS(I88)/MAX(((F34)+(H34)*(MAX($D$16,(AD88)-(J34))))*(MAX($D$16,(AD88)-(J34))),0.000001))^2)/(2*$I$5),((ABS(I88)/MAX(((G34)+(I34)*(MAX($D$16,(M88)-(K34))))*(MAX($D$16,(M88)-(K34))),0.000001))^2)/(2*$I$5)))+(0)-((ABS(I88)/MAX(((F34)+(H34)*(MAX($D$16,(AD88)-(J34))))*(MAX($D$16,(AD88)-(J34))),0.000001))^2)/(2*$I$5)</f>
        <v>635.51128720958343</v>
      </c>
      <c r="T88">
        <f ca="1">N88+((ABS(J88)/MAX(((G35)+(I35)*(MAX($D$16,(N88)-(K35))))*(MAX($D$16,(N88)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AD88)-(J35))))*(MAX($D$16,(AD88)-(J35))),0.000001)),$D$9*((((ABS(J88)/MAX(((G35)+(I35)*(MAX($D$16,(N88)-(K35))))*(MAX($D$16,(N88)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N88)-(K35))))*(MAX($D$16,(N88)-(K35))),0.000001))^2)/(2*$I$5)))))+($D$10*(ABS((X35)-(W35))/90)*MAX(((ABS(J88)/MAX(((F35)+(H35)*(MAX($D$16,(AD88)-(J35))))*(MAX($D$16,(AD88)-(J35))),0.000001))^2)/(2*$I$5),((ABS(J88)/MAX(((G35)+(I35)*(MAX($D$16,(N88)-(K35))))*(MAX($D$16,(N88)-(K35))),0.000001))^2)/(2*$I$5)))+(($D$11*0.34699541*(ABS(I88)/MAX(ABS(G88),0.000001))^2*MAX(((ABS(J88)/MAX(((F35)+(H35)*(MAX($D$16,(AD88)-(J35))))*(MAX($D$16,(AD88)-(J35))),0.000001))^2)/(2*$I$5),((ABS(J88)/MAX(((G35)+(I35)*(MAX($D$16,(N88)-(K35))))*(MAX($D$16,(N88)-(K35))),0.000001))^2)/(2*$I$5))))-((ABS(J88)/MAX(((F35)+(H35)*(MAX($D$16,(AD88)-(J35))))*(MAX($D$16,(AD88)-(J35))),0.000001))^2)/(2*$I$5)</f>
        <v>639.97429104455466</v>
      </c>
      <c r="U88">
        <f ca="1">((((G31)*(MAX($D$16,(AE88)-(K31)))^2)/2+(I31)*(MAX($D$16,(AE88)-(K31)))^3/3+(ABS(F88)^2)/($I$5*MAX(((G31)+(I31)*(MAX($D$16,(AE88)-(K31))))*(MAX($D$16,(AE88)-(K31))),0.000001)))-(IF(N6="None",((((F32)*(MAX($D$16,(AE88)-(J32)))^2)/2+(H32)*(MAX($D$16,(AE88)-(J32)))^3/3+(ABS(G88)^2)/($I$5*MAX(((F32)+(H32)*(MAX($D$16,(AE88)-(J32))))*(MAX($D$16,(AE88)-(J32))),0.000001)))*0.72785025),(((((F32)*(MAX($D$16,(AE88)-(J32)))^2)/2+(H32)*(MAX($D$16,(AE88)-(J32)))^3/3+(ABS(G88)^2)/($I$5*MAX(((F32)+(H32)*(MAX($D$16,(AE88)-(J32))))*(MAX($D$16,(AE88)-(J32))),0.000001)))*0.72785025)+((((F33)*(MAX($D$16,(AE88)-(J33)))^2)/2+(H33)*(MAX($D$16,(AE88)-(J33)))^3/3+(ABS(H88)^2)/($I$5*MAX(((F33)+(H33)*(MAX($D$16,(AE88)-(J33))))*(MAX($D$16,(AE88)-(J33))),0.000001)))*0.99999971)))))/MAX(((G31)*(MAX($D$16,(AE88)-(K31)))^2)/2+(I31)*(MAX($D$16,(AE88)-(K31)))^3/3+(ABS(F88)^2)/($I$5*MAX(((G31)+(I31)*(MAX($D$16,(AE88)-(K31))))*(MAX($D$16,(AE88)-(K31))),0.000001)),0.000001)</f>
        <v>0.27214975000000002</v>
      </c>
      <c r="V88">
        <f ca="1">((((G32)*(MAX($D$16,(AF88)-(K32)))^2)/2+(I32)*(MAX($D$16,(AF88)-(K32)))^3/3+(ABS(G88)^2)/($I$5*MAX(((G32)+(I32)*(MAX($D$16,(AF88)-(K32))))*(MAX($D$16,(AF88)-(K32))),0.000001)))-(IF(AND(N7="None",N8="None"),0,IF(N8="None",((((F34)*(MAX($D$16,(AF88)-(J34)))^2)/2+(H34)*(MAX($D$16,(AF88)-(J34)))^3/3+(ABS(I88)^2)/($I$5*MAX(((F34)+(H34)*(MAX($D$16,(AF88)-(J34))))*(MAX($D$16,(AF88)-(J34))),0.000001)))*1),IF(N7="None",((((F35)*(MAX($D$16,(AF88)-(J35)))^2)/2+(H35)*(MAX($D$16,(AF88)-(J35)))^3/3+(ABS(J88)^2)/($I$5*MAX(((F35)+(H35)*(MAX($D$16,(AF88)-(J35))))*(MAX($D$16,(AF88)-(J35))),0.000001)))*0.30600918),(((((F34)*(MAX($D$16,(AF88)-(J34)))^2)/2+(H34)*(MAX($D$16,(AF88)-(J34)))^3/3+(ABS(I88)^2)/($I$5*MAX(((F34)+(H34)*(MAX($D$16,(AF88)-(J34))))*(MAX($D$16,(AF88)-(J34))),0.000001)))*1)+((((F35)*(MAX($D$16,(AF88)-(J35)))^2)/2+(H35)*(MAX($D$16,(AF88)-(J35)))^3/3+(ABS(J88)^2)/($I$5*MAX(((F35)+(H35)*(MAX($D$16,(AF88)-(J35))))*(MAX($D$16,(AF88)-(J35))),0.000001)))*0.30600918)))))))/MAX(((G32)*(MAX($D$16,(AF88)-(K32)))^2)/2+(I32)*(MAX($D$16,(AF88)-(K32)))^3/3+(ABS(G88)^2)/($I$5*MAX(((G32)+(I32)*(MAX($D$16,(AF88)-(K32))))*(MAX($D$16,(AF88)-(K32))),0.000001)),0.000001)</f>
        <v>3.904177561081449E-2</v>
      </c>
      <c r="W88">
        <f ca="1">ABS((IF(N6="None",P88,MAX(P88,Q88)))-D88)</f>
        <v>5.7059726379271751</v>
      </c>
      <c r="X88">
        <f ca="1">ABS((IF(AND(N7="None",N8="None"),E88,IF(N8="None",S88,IF(N7="None",T88,MAX(S88,T88)))))-E88)</f>
        <v>8.0492808109239604</v>
      </c>
      <c r="Y88">
        <f>IF(N6="None",1,MIN(0.98,MAX(0.02,B88+$D$14*((Q88-P88)/MAX(ABS(D88),1)))))</f>
        <v>1</v>
      </c>
      <c r="Z88">
        <f ca="1">IF(AND(N7="None",N8="None"),C88,IF(N8="None",1,IF(N7="None",0,MIN(0.98,MAX(0.02,C88+$D$14*((T88-S88)/MAX(ABS(E88),1)))))))</f>
        <v>0.98</v>
      </c>
      <c r="AA88">
        <f t="shared" ca="1" si="16"/>
        <v>636.34536782480518</v>
      </c>
      <c r="AB88">
        <f t="shared" ca="1" si="17"/>
        <v>634.74259927351818</v>
      </c>
      <c r="AC88">
        <f ca="1">IF($D$20=0,D88,IF(AC88=0,(IF(N6="None",P88,MAX(P88,Q88))),IF(ABS((IF(N6="None",P88,MAX(P88,Q88)))-AC88)&lt;$D$19,AC88,MAX((K31)+$D$16,AC88+$D$13*(((IF(N6="None",P88,MAX(P88,Q88)))-AC88))))))</f>
        <v>640.05475514453997</v>
      </c>
      <c r="AD88">
        <f ca="1">IF($D$20=0,E88,IF(AD88=0,(IF(AND(N7="None",N8="None"),E88,IF(N8="None",S88,IF(N7="None",T88,MAX(S88,T88))))),IF(ABS((IF(AND(N7="None",N8="None"),E88,IF(N8="None",S88,IF(N7="None",T88,MAX(S88,T88)))))-AD88)&lt;$D$19,AD88,MAX((K32)+$D$16,AD88+$D$13*(((IF(AND(N7="None",N8="None"),E88,IF(N8="None",S88,IF(N7="None",T88,MAX(S88,T88)))))-AD88))))))</f>
        <v>639.97526463330917</v>
      </c>
      <c r="AE88">
        <f ca="1">IF($D$20=0,D88,IF(AE88=0,O88,IF(ABS(U88)&lt;$D$19,AE88,MAX((K31)+$D$16,AE88+($D$13*(((O88)-AE88)+(U88*MAX(ABS(AE88-(K31)),1))))))))</f>
        <v>634.34799999999996</v>
      </c>
      <c r="AF88">
        <f ca="1">IF($D$20=0,E88,IF(AF88=0,R88,IF(ABS(V88)&lt;$D$19,AF88,MAX((K32)+$D$16,AF88+($D$13*(((R88)-AF88)+(V88*MAX(ABS(AF88-(K32)),1))))))))</f>
        <v>631.92499999999995</v>
      </c>
      <c r="AG88">
        <f ca="1">((G31)*(MAX($D$16,(AC88)-(K31)))^2)/2+(I31)*(MAX($D$16,(AC88)-(K31)))^3/3+(ABS(F88)^2)/($I$5*MAX(((G31)+(I31)*(MAX($D$16,(AC88)-(K31))))*(MAX($D$16,(AC88)-(K31))),0.000001))</f>
        <v>115.68980551184316</v>
      </c>
      <c r="AH88">
        <f ca="1">((G31)*(MAX($D$16,(AE88)-(K31)))^2)/2+(I31)*(MAX($D$16,(AE88)-(K31)))^3/3+(ABS(F88)^2)/($I$5*MAX(((G31)+(I31)*(MAX($D$16,(AE88)-(K31))))*(MAX($D$16,(AE88)-(K31))),0.000001))</f>
        <v>808.60110594434002</v>
      </c>
      <c r="AI88">
        <f ca="1">((G32)*(MAX($D$16,(AD88)-(K32)))^2)/2+(I32)*(MAX($D$16,(AD88)-(K32)))^3/3+(ABS(G88)^2)/($I$5*MAX(((G32)+(I32)*(MAX($D$16,(AD88)-(K32))))*(MAX($D$16,(AD88)-(K32))),0.000001))</f>
        <v>338.03683729018678</v>
      </c>
      <c r="AJ88">
        <f ca="1">((G32)*(MAX($D$16,(AF88)-(K32)))^2)/2+(I32)*(MAX($D$16,(AF88)-(K32)))^3/3+(ABS(G88)^2)/($I$5*MAX(((G32)+(I32)*(MAX($D$16,(AF88)-(K32))))*(MAX($D$16,(AF88)-(K32))),0.000001))</f>
        <v>519.58480272613974</v>
      </c>
      <c r="AK88" t="str">
        <f t="shared" ca="1" si="18"/>
        <v>Supercritical</v>
      </c>
      <c r="AL88" t="str">
        <f t="shared" ca="1" si="19"/>
        <v>Supercritical</v>
      </c>
      <c r="AM88">
        <f t="shared" ca="1" si="20"/>
        <v>634.3480035242161</v>
      </c>
      <c r="AN88">
        <f t="shared" ca="1" si="21"/>
        <v>631.92500665185992</v>
      </c>
      <c r="AO88">
        <f t="shared" ca="1" si="22"/>
        <v>5.4218710374698276E-6</v>
      </c>
      <c r="AP88">
        <f t="shared" ca="1" si="23"/>
        <v>1.0233630746370181E-5</v>
      </c>
    </row>
    <row r="89" spans="1:42" x14ac:dyDescent="0.35">
      <c r="A89">
        <v>46</v>
      </c>
      <c r="B89">
        <f t="shared" si="24"/>
        <v>1</v>
      </c>
      <c r="C89">
        <f t="shared" ca="1" si="25"/>
        <v>0.98</v>
      </c>
      <c r="D89">
        <f t="shared" ca="1" si="26"/>
        <v>634.3480035242161</v>
      </c>
      <c r="E89">
        <f t="shared" ca="1" si="27"/>
        <v>631.92500665185992</v>
      </c>
      <c r="F89">
        <f t="shared" si="15"/>
        <v>51</v>
      </c>
      <c r="G89">
        <f>IF(N6="None",F89,MAX(0,F89*B89))</f>
        <v>51</v>
      </c>
      <c r="H89">
        <f>IF(N6="None",0,MAX(0,F89-G89))</f>
        <v>0</v>
      </c>
      <c r="I89">
        <f ca="1">IF(AND(N7="None",N8="None"),0,IF(N8="None",G89,IF(N7="None",0,MAX(0,G89*C89))))</f>
        <v>49.98</v>
      </c>
      <c r="J89">
        <f ca="1">IF(AND(N7="None",N8="None"),0,IF(N8="None",0,IF(N7="None",G89,MAX(0,G89-I89))))</f>
        <v>1.0200000000000031</v>
      </c>
      <c r="K89">
        <f>P5</f>
        <v>637</v>
      </c>
      <c r="L89">
        <f>P6</f>
        <v>634.3119999999999</v>
      </c>
      <c r="M89">
        <f>P7</f>
        <v>635.5</v>
      </c>
      <c r="N89">
        <f>P8</f>
        <v>631.54999999999995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-2091.5872404992097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640.05397805979817</v>
      </c>
      <c r="Q89">
        <f ca="1">L89+((ABS(H89)/MAX(((G33)+(I33)*(MAX($D$16,(L89)-(K33))))*(MAX($D$16,(L89)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AC89)-(J33))))*(MAX($D$16,(AC89)-(J33))),0.000001)),$D$9*((((ABS(H89)/MAX(((G33)+(I33)*(MAX($D$16,(L89)-(K33))))*(MAX($D$16,(L89)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L89)-(K33))))*(MAX($D$16,(L89)-(K33))),0.000001))^2)/(2*$I$5)))))+($D$10*(ABS((X33)-(W33))/90)*MAX(((ABS(H89)/MAX(((F33)+(H33)*(MAX($D$16,(AC89)-(J33))))*(MAX($D$16,(AC89)-(J33))),0.000001))^2)/(2*$I$5),((ABS(H89)/MAX(((G33)+(I33)*(MAX($D$16,(L89)-(K33))))*(MAX($D$16,(L89)-(K33))),0.000001))^2)/(2*$I$5)))+(($D$11*0.00000015*(ABS(G89)/MAX(ABS(F89),0.000001))^2*MAX(((ABS(H89)/MAX(((F33)+(H33)*(MAX($D$16,(AC89)-(J33))))*(MAX($D$16,(AC89)-(J33))),0.000001))^2)/(2*$I$5),((ABS(H89)/MAX(((G33)+(I33)*(MAX($D$16,(L89)-(K33))))*(MAX($D$16,(L89)-(K33))),0.000001))^2)/(2*$I$5))))-((ABS(H89)/MAX(((F33)+(H33)*(MAX($D$16,(AC89)-(J33))))*(MAX($D$16,(AC89)-(J33))),0.000001))^2)/(2*$I$5)</f>
        <v>634.3119999999999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-292118.81246378768</v>
      </c>
      <c r="S89">
        <f ca="1">M89+((ABS(I89)/MAX(((G34)+(I34)*(MAX($D$16,(M89)-(K34))))*(MAX($D$16,(M89)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AD89)-(J34))))*(MAX($D$16,(AD89)-(J34))),0.000001)),$D$9*((((ABS(I89)/MAX(((G34)+(I34)*(MAX($D$16,(M89)-(K34))))*(MAX($D$16,(M89)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M89)-(K34))))*(MAX($D$16,(M89)-(K34))),0.000001))^2)/(2*$I$5)))))+($D$10*(ABS((X34)-(W34))/90)*MAX(((ABS(I89)/MAX(((F34)+(H34)*(MAX($D$16,(AD89)-(J34))))*(MAX($D$16,(AD89)-(J34))),0.000001))^2)/(2*$I$5),((ABS(I89)/MAX(((G34)+(I34)*(MAX($D$16,(M89)-(K34))))*(MAX($D$16,(M89)-(K34))),0.000001))^2)/(2*$I$5)))+(0)-((ABS(I89)/MAX(((F34)+(H34)*(MAX($D$16,(AD89)-(J34))))*(MAX($D$16,(AD89)-(J34))),0.000001))^2)/(2*$I$5)</f>
        <v>635.51128720958343</v>
      </c>
      <c r="T89">
        <f ca="1">N89+((ABS(J89)/MAX(((G35)+(I35)*(MAX($D$16,(N89)-(K35))))*(MAX($D$16,(N89)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AD89)-(J35))))*(MAX($D$16,(AD89)-(J35))),0.000001)),$D$9*((((ABS(J89)/MAX(((G35)+(I35)*(MAX($D$16,(N89)-(K35))))*(MAX($D$16,(N89)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N89)-(K35))))*(MAX($D$16,(N89)-(K35))),0.000001))^2)/(2*$I$5)))))+($D$10*(ABS((X35)-(W35))/90)*MAX(((ABS(J89)/MAX(((F35)+(H35)*(MAX($D$16,(AD89)-(J35))))*(MAX($D$16,(AD89)-(J35))),0.000001))^2)/(2*$I$5),((ABS(J89)/MAX(((G35)+(I35)*(MAX($D$16,(N89)-(K35))))*(MAX($D$16,(N89)-(K35))),0.000001))^2)/(2*$I$5)))+(($D$11*0.34699541*(ABS(I89)/MAX(ABS(G89),0.000001))^2*MAX(((ABS(J89)/MAX(((F35)+(H35)*(MAX($D$16,(AD89)-(J35))))*(MAX($D$16,(AD89)-(J35))),0.000001))^2)/(2*$I$5),((ABS(J89)/MAX(((G35)+(I35)*(MAX($D$16,(N89)-(K35))))*(MAX($D$16,(N89)-(K35))),0.000001))^2)/(2*$I$5))))-((ABS(J89)/MAX(((F35)+(H35)*(MAX($D$16,(AD89)-(J35))))*(MAX($D$16,(AD89)-(J35))),0.000001))^2)/(2*$I$5)</f>
        <v>639.97429104455466</v>
      </c>
      <c r="U89">
        <f ca="1">((((G31)*(MAX($D$16,(AE89)-(K31)))^2)/2+(I31)*(MAX($D$16,(AE89)-(K31)))^3/3+(ABS(F89)^2)/($I$5*MAX(((G31)+(I31)*(MAX($D$16,(AE89)-(K31))))*(MAX($D$16,(AE89)-(K31))),0.000001)))-(IF(N6="None",((((F32)*(MAX($D$16,(AE89)-(J32)))^2)/2+(H32)*(MAX($D$16,(AE89)-(J32)))^3/3+(ABS(G89)^2)/($I$5*MAX(((F32)+(H32)*(MAX($D$16,(AE89)-(J32))))*(MAX($D$16,(AE89)-(J32))),0.000001)))*0.72785025),(((((F32)*(MAX($D$16,(AE89)-(J32)))^2)/2+(H32)*(MAX($D$16,(AE89)-(J32)))^3/3+(ABS(G89)^2)/($I$5*MAX(((F32)+(H32)*(MAX($D$16,(AE89)-(J32))))*(MAX($D$16,(AE89)-(J32))),0.000001)))*0.72785025)+((((F33)*(MAX($D$16,(AE89)-(J33)))^2)/2+(H33)*(MAX($D$16,(AE89)-(J33)))^3/3+(ABS(H89)^2)/($I$5*MAX(((F33)+(H33)*(MAX($D$16,(AE89)-(J33))))*(MAX($D$16,(AE89)-(J33))),0.000001)))*0.99999971)))))/MAX(((G31)*(MAX($D$16,(AE89)-(K31)))^2)/2+(I31)*(MAX($D$16,(AE89)-(K31)))^3/3+(ABS(F89)^2)/($I$5*MAX(((G31)+(I31)*(MAX($D$16,(AE89)-(K31))))*(MAX($D$16,(AE89)-(K31))),0.000001)),0.000001)</f>
        <v>0.27214975000000002</v>
      </c>
      <c r="V89">
        <f ca="1">((((G32)*(MAX($D$16,(AF89)-(K32)))^2)/2+(I32)*(MAX($D$16,(AF89)-(K32)))^3/3+(ABS(G89)^2)/($I$5*MAX(((G32)+(I32)*(MAX($D$16,(AF89)-(K32))))*(MAX($D$16,(AF89)-(K32))),0.000001)))-(IF(AND(N7="None",N8="None"),0,IF(N8="None",((((F34)*(MAX($D$16,(AF89)-(J34)))^2)/2+(H34)*(MAX($D$16,(AF89)-(J34)))^3/3+(ABS(I89)^2)/($I$5*MAX(((F34)+(H34)*(MAX($D$16,(AF89)-(J34))))*(MAX($D$16,(AF89)-(J34))),0.000001)))*1),IF(N7="None",((((F35)*(MAX($D$16,(AF89)-(J35)))^2)/2+(H35)*(MAX($D$16,(AF89)-(J35)))^3/3+(ABS(J89)^2)/($I$5*MAX(((F35)+(H35)*(MAX($D$16,(AF89)-(J35))))*(MAX($D$16,(AF89)-(J35))),0.000001)))*0.30600918),(((((F34)*(MAX($D$16,(AF89)-(J34)))^2)/2+(H34)*(MAX($D$16,(AF89)-(J34)))^3/3+(ABS(I89)^2)/($I$5*MAX(((F34)+(H34)*(MAX($D$16,(AF89)-(J34))))*(MAX($D$16,(AF89)-(J34))),0.000001)))*1)+((((F35)*(MAX($D$16,(AF89)-(J35)))^2)/2+(H35)*(MAX($D$16,(AF89)-(J35)))^3/3+(ABS(J89)^2)/($I$5*MAX(((F35)+(H35)*(MAX($D$16,(AF89)-(J35))))*(MAX($D$16,(AF89)-(J35))),0.000001)))*0.30600918)))))))/MAX(((G32)*(MAX($D$16,(AF89)-(K32)))^2)/2+(I32)*(MAX($D$16,(AF89)-(K32)))^3/3+(ABS(G89)^2)/($I$5*MAX(((G32)+(I32)*(MAX($D$16,(AF89)-(K32))))*(MAX($D$16,(AF89)-(K32))),0.000001)),0.000001)</f>
        <v>3.904177561081449E-2</v>
      </c>
      <c r="W89">
        <f ca="1">ABS((IF(N6="None",P89,MAX(P89,Q89)))-D89)</f>
        <v>5.7059745355820723</v>
      </c>
      <c r="X89">
        <f ca="1">ABS((IF(AND(N7="None",N8="None"),E89,IF(N8="None",S89,IF(N7="None",T89,MAX(S89,T89)))))-E89)</f>
        <v>8.0492843926947444</v>
      </c>
      <c r="Y89">
        <f>IF(N6="None",1,MIN(0.98,MAX(0.02,B89+$D$14*((Q89-P89)/MAX(ABS(D89),1)))))</f>
        <v>1</v>
      </c>
      <c r="Z89">
        <f ca="1">IF(AND(N7="None",N8="None"),C89,IF(N8="None",1,IF(N7="None",0,MIN(0.98,MAX(0.02,C89+$D$14*((T89-S89)/MAX(ABS(E89),1)))))))</f>
        <v>0.98</v>
      </c>
      <c r="AA89">
        <f t="shared" ca="1" si="16"/>
        <v>636.34536659132948</v>
      </c>
      <c r="AB89">
        <f t="shared" ca="1" si="17"/>
        <v>634.74259694536715</v>
      </c>
      <c r="AC89">
        <f ca="1">IF($D$20=0,D89,IF(AC89=0,(IF(N6="None",P89,MAX(P89,Q89))),IF(ABS((IF(N6="None",P89,MAX(P89,Q89)))-AC89)&lt;$D$19,AC89,MAX((K31)+$D$16,AC89+$D$13*(((IF(N6="None",P89,MAX(P89,Q89)))-AC89))))))</f>
        <v>640.05475514453997</v>
      </c>
      <c r="AD89">
        <f ca="1">IF($D$20=0,E89,IF(AD89=0,(IF(AND(N7="None",N8="None"),E89,IF(N8="None",S89,IF(N7="None",T89,MAX(S89,T89))))),IF(ABS((IF(AND(N7="None",N8="None"),E89,IF(N8="None",S89,IF(N7="None",T89,MAX(S89,T89)))))-AD89)&lt;$D$19,AD89,MAX((K32)+$D$16,AD89+$D$13*(((IF(AND(N7="None",N8="None"),E89,IF(N8="None",S89,IF(N7="None",T89,MAX(S89,T89)))))-AD89))))))</f>
        <v>639.97526463330917</v>
      </c>
      <c r="AE89">
        <f ca="1">IF($D$20=0,D89,IF(AE89=0,O89,IF(ABS(U89)&lt;$D$19,AE89,MAX((K31)+$D$16,AE89+($D$13*(((O89)-AE89)+(U89*MAX(ABS(AE89-(K31)),1))))))))</f>
        <v>634.34799999999996</v>
      </c>
      <c r="AF89">
        <f ca="1">IF($D$20=0,E89,IF(AF89=0,R89,IF(ABS(V89)&lt;$D$19,AF89,MAX((K32)+$D$16,AF89+($D$13*(((R89)-AF89)+(V89*MAX(ABS(AF89-(K32)),1))))))))</f>
        <v>631.92499999999995</v>
      </c>
      <c r="AG89">
        <f ca="1">((G31)*(MAX($D$16,(AC89)-(K31)))^2)/2+(I31)*(MAX($D$16,(AC89)-(K31)))^3/3+(ABS(F89)^2)/($I$5*MAX(((G31)+(I31)*(MAX($D$16,(AC89)-(K31))))*(MAX($D$16,(AC89)-(K31))),0.000001))</f>
        <v>115.68980551184316</v>
      </c>
      <c r="AH89">
        <f ca="1">((G31)*(MAX($D$16,(AE89)-(K31)))^2)/2+(I31)*(MAX($D$16,(AE89)-(K31)))^3/3+(ABS(F89)^2)/($I$5*MAX(((G31)+(I31)*(MAX($D$16,(AE89)-(K31))))*(MAX($D$16,(AE89)-(K31))),0.000001))</f>
        <v>808.60110594434002</v>
      </c>
      <c r="AI89">
        <f ca="1">((G32)*(MAX($D$16,(AD89)-(K32)))^2)/2+(I32)*(MAX($D$16,(AD89)-(K32)))^3/3+(ABS(G89)^2)/($I$5*MAX(((G32)+(I32)*(MAX($D$16,(AD89)-(K32))))*(MAX($D$16,(AD89)-(K32))),0.000001))</f>
        <v>338.03683729018678</v>
      </c>
      <c r="AJ89">
        <f ca="1">((G32)*(MAX($D$16,(AF89)-(K32)))^2)/2+(I32)*(MAX($D$16,(AF89)-(K32)))^3/3+(ABS(G89)^2)/($I$5*MAX(((G32)+(I32)*(MAX($D$16,(AF89)-(K32))))*(MAX($D$16,(AF89)-(K32))),0.000001))</f>
        <v>519.58480272613974</v>
      </c>
      <c r="AK89" t="str">
        <f t="shared" ca="1" si="18"/>
        <v>Supercritical</v>
      </c>
      <c r="AL89" t="str">
        <f t="shared" ca="1" si="19"/>
        <v>Supercritical</v>
      </c>
      <c r="AM89">
        <f t="shared" ca="1" si="20"/>
        <v>634.3480022907404</v>
      </c>
      <c r="AN89">
        <f t="shared" ca="1" si="21"/>
        <v>631.92500432370889</v>
      </c>
      <c r="AO89">
        <f t="shared" ca="1" si="22"/>
        <v>3.5242161402493366E-6</v>
      </c>
      <c r="AP89">
        <f t="shared" ca="1" si="23"/>
        <v>6.6518599624032504E-6</v>
      </c>
    </row>
    <row r="90" spans="1:42" x14ac:dyDescent="0.35">
      <c r="A90">
        <v>47</v>
      </c>
      <c r="B90">
        <f t="shared" si="24"/>
        <v>1</v>
      </c>
      <c r="C90">
        <f t="shared" ca="1" si="25"/>
        <v>0.98</v>
      </c>
      <c r="D90">
        <f t="shared" ca="1" si="26"/>
        <v>634.3480022907404</v>
      </c>
      <c r="E90">
        <f t="shared" ca="1" si="27"/>
        <v>631.92500432370889</v>
      </c>
      <c r="F90">
        <f t="shared" si="15"/>
        <v>51</v>
      </c>
      <c r="G90">
        <f>IF(N6="None",F90,MAX(0,F90*B90))</f>
        <v>51</v>
      </c>
      <c r="H90">
        <f>IF(N6="None",0,MAX(0,F90-G90))</f>
        <v>0</v>
      </c>
      <c r="I90">
        <f ca="1">IF(AND(N7="None",N8="None"),0,IF(N8="None",G90,IF(N7="None",0,MAX(0,G90*C90))))</f>
        <v>49.98</v>
      </c>
      <c r="J90">
        <f ca="1">IF(AND(N7="None",N8="None"),0,IF(N8="None",0,IF(N7="None",G90,MAX(0,G90-I90))))</f>
        <v>1.0200000000000031</v>
      </c>
      <c r="K90">
        <f>P5</f>
        <v>637</v>
      </c>
      <c r="L90">
        <f>P6</f>
        <v>634.3119999999999</v>
      </c>
      <c r="M90">
        <f>P7</f>
        <v>635.5</v>
      </c>
      <c r="N90">
        <f>P8</f>
        <v>631.54999999999995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-2091.5872404992097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640.05397805979817</v>
      </c>
      <c r="Q90">
        <f ca="1">L90+((ABS(H90)/MAX(((G33)+(I33)*(MAX($D$16,(L90)-(K33))))*(MAX($D$16,(L90)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AC90)-(J33))))*(MAX($D$16,(AC90)-(J33))),0.000001)),$D$9*((((ABS(H90)/MAX(((G33)+(I33)*(MAX($D$16,(L90)-(K33))))*(MAX($D$16,(L90)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L90)-(K33))))*(MAX($D$16,(L90)-(K33))),0.000001))^2)/(2*$I$5)))))+($D$10*(ABS((X33)-(W33))/90)*MAX(((ABS(H90)/MAX(((F33)+(H33)*(MAX($D$16,(AC90)-(J33))))*(MAX($D$16,(AC90)-(J33))),0.000001))^2)/(2*$I$5),((ABS(H90)/MAX(((G33)+(I33)*(MAX($D$16,(L90)-(K33))))*(MAX($D$16,(L90)-(K33))),0.000001))^2)/(2*$I$5)))+(($D$11*0.00000015*(ABS(G90)/MAX(ABS(F90),0.000001))^2*MAX(((ABS(H90)/MAX(((F33)+(H33)*(MAX($D$16,(AC90)-(J33))))*(MAX($D$16,(AC90)-(J33))),0.000001))^2)/(2*$I$5),((ABS(H90)/MAX(((G33)+(I33)*(MAX($D$16,(L90)-(K33))))*(MAX($D$16,(L90)-(K33))),0.000001))^2)/(2*$I$5))))-((ABS(H90)/MAX(((F33)+(H33)*(MAX($D$16,(AC90)-(J33))))*(MAX($D$16,(AC90)-(J33))),0.000001))^2)/(2*$I$5)</f>
        <v>634.3119999999999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-292118.81246378768</v>
      </c>
      <c r="S90">
        <f ca="1">M90+((ABS(I90)/MAX(((G34)+(I34)*(MAX($D$16,(M90)-(K34))))*(MAX($D$16,(M90)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AD90)-(J34))))*(MAX($D$16,(AD90)-(J34))),0.000001)),$D$9*((((ABS(I90)/MAX(((G34)+(I34)*(MAX($D$16,(M90)-(K34))))*(MAX($D$16,(M90)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M90)-(K34))))*(MAX($D$16,(M90)-(K34))),0.000001))^2)/(2*$I$5)))))+($D$10*(ABS((X34)-(W34))/90)*MAX(((ABS(I90)/MAX(((F34)+(H34)*(MAX($D$16,(AD90)-(J34))))*(MAX($D$16,(AD90)-(J34))),0.000001))^2)/(2*$I$5),((ABS(I90)/MAX(((G34)+(I34)*(MAX($D$16,(M90)-(K34))))*(MAX($D$16,(M90)-(K34))),0.000001))^2)/(2*$I$5)))+(0)-((ABS(I90)/MAX(((F34)+(H34)*(MAX($D$16,(AD90)-(J34))))*(MAX($D$16,(AD90)-(J34))),0.000001))^2)/(2*$I$5)</f>
        <v>635.51128720958343</v>
      </c>
      <c r="T90">
        <f ca="1">N90+((ABS(J90)/MAX(((G35)+(I35)*(MAX($D$16,(N90)-(K35))))*(MAX($D$16,(N90)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AD90)-(J35))))*(MAX($D$16,(AD90)-(J35))),0.000001)),$D$9*((((ABS(J90)/MAX(((G35)+(I35)*(MAX($D$16,(N90)-(K35))))*(MAX($D$16,(N90)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N90)-(K35))))*(MAX($D$16,(N90)-(K35))),0.000001))^2)/(2*$I$5)))))+($D$10*(ABS((X35)-(W35))/90)*MAX(((ABS(J90)/MAX(((F35)+(H35)*(MAX($D$16,(AD90)-(J35))))*(MAX($D$16,(AD90)-(J35))),0.000001))^2)/(2*$I$5),((ABS(J90)/MAX(((G35)+(I35)*(MAX($D$16,(N90)-(K35))))*(MAX($D$16,(N90)-(K35))),0.000001))^2)/(2*$I$5)))+(($D$11*0.34699541*(ABS(I90)/MAX(ABS(G90),0.000001))^2*MAX(((ABS(J90)/MAX(((F35)+(H35)*(MAX($D$16,(AD90)-(J35))))*(MAX($D$16,(AD90)-(J35))),0.000001))^2)/(2*$I$5),((ABS(J90)/MAX(((G35)+(I35)*(MAX($D$16,(N90)-(K35))))*(MAX($D$16,(N90)-(K35))),0.000001))^2)/(2*$I$5))))-((ABS(J90)/MAX(((F35)+(H35)*(MAX($D$16,(AD90)-(J35))))*(MAX($D$16,(AD90)-(J35))),0.000001))^2)/(2*$I$5)</f>
        <v>639.97429104455466</v>
      </c>
      <c r="U90">
        <f ca="1">((((G31)*(MAX($D$16,(AE90)-(K31)))^2)/2+(I31)*(MAX($D$16,(AE90)-(K31)))^3/3+(ABS(F90)^2)/($I$5*MAX(((G31)+(I31)*(MAX($D$16,(AE90)-(K31))))*(MAX($D$16,(AE90)-(K31))),0.000001)))-(IF(N6="None",((((F32)*(MAX($D$16,(AE90)-(J32)))^2)/2+(H32)*(MAX($D$16,(AE90)-(J32)))^3/3+(ABS(G90)^2)/($I$5*MAX(((F32)+(H32)*(MAX($D$16,(AE90)-(J32))))*(MAX($D$16,(AE90)-(J32))),0.000001)))*0.72785025),(((((F32)*(MAX($D$16,(AE90)-(J32)))^2)/2+(H32)*(MAX($D$16,(AE90)-(J32)))^3/3+(ABS(G90)^2)/($I$5*MAX(((F32)+(H32)*(MAX($D$16,(AE90)-(J32))))*(MAX($D$16,(AE90)-(J32))),0.000001)))*0.72785025)+((((F33)*(MAX($D$16,(AE90)-(J33)))^2)/2+(H33)*(MAX($D$16,(AE90)-(J33)))^3/3+(ABS(H90)^2)/($I$5*MAX(((F33)+(H33)*(MAX($D$16,(AE90)-(J33))))*(MAX($D$16,(AE90)-(J33))),0.000001)))*0.99999971)))))/MAX(((G31)*(MAX($D$16,(AE90)-(K31)))^2)/2+(I31)*(MAX($D$16,(AE90)-(K31)))^3/3+(ABS(F90)^2)/($I$5*MAX(((G31)+(I31)*(MAX($D$16,(AE90)-(K31))))*(MAX($D$16,(AE90)-(K31))),0.000001)),0.000001)</f>
        <v>0.27214975000000002</v>
      </c>
      <c r="V90">
        <f ca="1">((((G32)*(MAX($D$16,(AF90)-(K32)))^2)/2+(I32)*(MAX($D$16,(AF90)-(K32)))^3/3+(ABS(G90)^2)/($I$5*MAX(((G32)+(I32)*(MAX($D$16,(AF90)-(K32))))*(MAX($D$16,(AF90)-(K32))),0.000001)))-(IF(AND(N7="None",N8="None"),0,IF(N8="None",((((F34)*(MAX($D$16,(AF90)-(J34)))^2)/2+(H34)*(MAX($D$16,(AF90)-(J34)))^3/3+(ABS(I90)^2)/($I$5*MAX(((F34)+(H34)*(MAX($D$16,(AF90)-(J34))))*(MAX($D$16,(AF90)-(J34))),0.000001)))*1),IF(N7="None",((((F35)*(MAX($D$16,(AF90)-(J35)))^2)/2+(H35)*(MAX($D$16,(AF90)-(J35)))^3/3+(ABS(J90)^2)/($I$5*MAX(((F35)+(H35)*(MAX($D$16,(AF90)-(J35))))*(MAX($D$16,(AF90)-(J35))),0.000001)))*0.30600918),(((((F34)*(MAX($D$16,(AF90)-(J34)))^2)/2+(H34)*(MAX($D$16,(AF90)-(J34)))^3/3+(ABS(I90)^2)/($I$5*MAX(((F34)+(H34)*(MAX($D$16,(AF90)-(J34))))*(MAX($D$16,(AF90)-(J34))),0.000001)))*1)+((((F35)*(MAX($D$16,(AF90)-(J35)))^2)/2+(H35)*(MAX($D$16,(AF90)-(J35)))^3/3+(ABS(J90)^2)/($I$5*MAX(((F35)+(H35)*(MAX($D$16,(AF90)-(J35))))*(MAX($D$16,(AF90)-(J35))),0.000001)))*0.30600918)))))))/MAX(((G32)*(MAX($D$16,(AF90)-(K32)))^2)/2+(I32)*(MAX($D$16,(AF90)-(K32)))^3/3+(ABS(G90)^2)/($I$5*MAX(((G32)+(I32)*(MAX($D$16,(AF90)-(K32))))*(MAX($D$16,(AF90)-(K32))),0.000001)),0.000001)</f>
        <v>3.904177561081449E-2</v>
      </c>
      <c r="W90">
        <f ca="1">ABS((IF(N6="None",P90,MAX(P90,Q90)))-D90)</f>
        <v>5.7059757690577726</v>
      </c>
      <c r="X90">
        <f ca="1">ABS((IF(AND(N7="None",N8="None"),E90,IF(N8="None",S90,IF(N7="None",T90,MAX(S90,T90)))))-E90)</f>
        <v>8.049286720845771</v>
      </c>
      <c r="Y90">
        <f>IF(N6="None",1,MIN(0.98,MAX(0.02,B90+$D$14*((Q90-P90)/MAX(ABS(D90),1)))))</f>
        <v>1</v>
      </c>
      <c r="Z90">
        <f ca="1">IF(AND(N7="None",N8="None"),C90,IF(N8="None",1,IF(N7="None",0,MIN(0.98,MAX(0.02,C90+$D$14*((T90-S90)/MAX(ABS(E90),1)))))))</f>
        <v>0.98</v>
      </c>
      <c r="AA90">
        <f t="shared" ca="1" si="16"/>
        <v>636.34536578957022</v>
      </c>
      <c r="AB90">
        <f t="shared" ca="1" si="17"/>
        <v>634.74259543206904</v>
      </c>
      <c r="AC90">
        <f ca="1">IF($D$20=0,D90,IF(AC90=0,(IF(N6="None",P90,MAX(P90,Q90))),IF(ABS((IF(N6="None",P90,MAX(P90,Q90)))-AC90)&lt;$D$19,AC90,MAX((K31)+$D$16,AC90+$D$13*(((IF(N6="None",P90,MAX(P90,Q90)))-AC90))))))</f>
        <v>640.05475514453997</v>
      </c>
      <c r="AD90">
        <f ca="1">IF($D$20=0,E90,IF(AD90=0,(IF(AND(N7="None",N8="None"),E90,IF(N8="None",S90,IF(N7="None",T90,MAX(S90,T90))))),IF(ABS((IF(AND(N7="None",N8="None"),E90,IF(N8="None",S90,IF(N7="None",T90,MAX(S90,T90)))))-AD90)&lt;$D$19,AD90,MAX((K32)+$D$16,AD90+$D$13*(((IF(AND(N7="None",N8="None"),E90,IF(N8="None",S90,IF(N7="None",T90,MAX(S90,T90)))))-AD90))))))</f>
        <v>639.97526463330917</v>
      </c>
      <c r="AE90">
        <f ca="1">IF($D$20=0,D90,IF(AE90=0,O90,IF(ABS(U90)&lt;$D$19,AE90,MAX((K31)+$D$16,AE90+($D$13*(((O90)-AE90)+(U90*MAX(ABS(AE90-(K31)),1))))))))</f>
        <v>634.34799999999996</v>
      </c>
      <c r="AF90">
        <f ca="1">IF($D$20=0,E90,IF(AF90=0,R90,IF(ABS(V90)&lt;$D$19,AF90,MAX((K32)+$D$16,AF90+($D$13*(((R90)-AF90)+(V90*MAX(ABS(AF90-(K32)),1))))))))</f>
        <v>631.92499999999995</v>
      </c>
      <c r="AG90">
        <f ca="1">((G31)*(MAX($D$16,(AC90)-(K31)))^2)/2+(I31)*(MAX($D$16,(AC90)-(K31)))^3/3+(ABS(F90)^2)/($I$5*MAX(((G31)+(I31)*(MAX($D$16,(AC90)-(K31))))*(MAX($D$16,(AC90)-(K31))),0.000001))</f>
        <v>115.68980551184316</v>
      </c>
      <c r="AH90">
        <f ca="1">((G31)*(MAX($D$16,(AE90)-(K31)))^2)/2+(I31)*(MAX($D$16,(AE90)-(K31)))^3/3+(ABS(F90)^2)/($I$5*MAX(((G31)+(I31)*(MAX($D$16,(AE90)-(K31))))*(MAX($D$16,(AE90)-(K31))),0.000001))</f>
        <v>808.60110594434002</v>
      </c>
      <c r="AI90">
        <f ca="1">((G32)*(MAX($D$16,(AD90)-(K32)))^2)/2+(I32)*(MAX($D$16,(AD90)-(K32)))^3/3+(ABS(G90)^2)/($I$5*MAX(((G32)+(I32)*(MAX($D$16,(AD90)-(K32))))*(MAX($D$16,(AD90)-(K32))),0.000001))</f>
        <v>338.03683729018678</v>
      </c>
      <c r="AJ90">
        <f ca="1">((G32)*(MAX($D$16,(AF90)-(K32)))^2)/2+(I32)*(MAX($D$16,(AF90)-(K32)))^3/3+(ABS(G90)^2)/($I$5*MAX(((G32)+(I32)*(MAX($D$16,(AF90)-(K32))))*(MAX($D$16,(AF90)-(K32))),0.000001))</f>
        <v>519.58480272613974</v>
      </c>
      <c r="AK90" t="str">
        <f t="shared" ca="1" si="18"/>
        <v>Supercritical</v>
      </c>
      <c r="AL90" t="str">
        <f t="shared" ca="1" si="19"/>
        <v>Supercritical</v>
      </c>
      <c r="AM90">
        <f t="shared" ca="1" si="20"/>
        <v>634.34800148898125</v>
      </c>
      <c r="AN90">
        <f t="shared" ca="1" si="21"/>
        <v>631.92500281041077</v>
      </c>
      <c r="AO90">
        <f t="shared" ca="1" si="22"/>
        <v>2.2907404400029918E-6</v>
      </c>
      <c r="AP90">
        <f t="shared" ca="1" si="23"/>
        <v>4.3237089357717196E-6</v>
      </c>
    </row>
    <row r="91" spans="1:42" x14ac:dyDescent="0.35">
      <c r="A91">
        <v>48</v>
      </c>
      <c r="B91">
        <f t="shared" si="24"/>
        <v>1</v>
      </c>
      <c r="C91">
        <f t="shared" ca="1" si="25"/>
        <v>0.98</v>
      </c>
      <c r="D91">
        <f t="shared" ca="1" si="26"/>
        <v>634.34800148898125</v>
      </c>
      <c r="E91">
        <f t="shared" ca="1" si="27"/>
        <v>631.92500281041077</v>
      </c>
      <c r="F91">
        <f t="shared" si="15"/>
        <v>51</v>
      </c>
      <c r="G91">
        <f>IF(N6="None",F91,MAX(0,F91*B91))</f>
        <v>51</v>
      </c>
      <c r="H91">
        <f>IF(N6="None",0,MAX(0,F91-G91))</f>
        <v>0</v>
      </c>
      <c r="I91">
        <f ca="1">IF(AND(N7="None",N8="None"),0,IF(N8="None",G91,IF(N7="None",0,MAX(0,G91*C91))))</f>
        <v>49.98</v>
      </c>
      <c r="J91">
        <f ca="1">IF(AND(N7="None",N8="None"),0,IF(N8="None",0,IF(N7="None",G91,MAX(0,G91-I91))))</f>
        <v>1.0200000000000031</v>
      </c>
      <c r="K91">
        <f>P5</f>
        <v>637</v>
      </c>
      <c r="L91">
        <f>P6</f>
        <v>634.3119999999999</v>
      </c>
      <c r="M91">
        <f>P7</f>
        <v>635.5</v>
      </c>
      <c r="N91">
        <f>P8</f>
        <v>631.54999999999995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-2091.5872404992097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640.05397805979817</v>
      </c>
      <c r="Q91">
        <f ca="1">L91+((ABS(H91)/MAX(((G33)+(I33)*(MAX($D$16,(L91)-(K33))))*(MAX($D$16,(L91)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AC91)-(J33))))*(MAX($D$16,(AC91)-(J33))),0.000001)),$D$9*((((ABS(H91)/MAX(((G33)+(I33)*(MAX($D$16,(L91)-(K33))))*(MAX($D$16,(L91)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L91)-(K33))))*(MAX($D$16,(L91)-(K33))),0.000001))^2)/(2*$I$5)))))+($D$10*(ABS((X33)-(W33))/90)*MAX(((ABS(H91)/MAX(((F33)+(H33)*(MAX($D$16,(AC91)-(J33))))*(MAX($D$16,(AC91)-(J33))),0.000001))^2)/(2*$I$5),((ABS(H91)/MAX(((G33)+(I33)*(MAX($D$16,(L91)-(K33))))*(MAX($D$16,(L91)-(K33))),0.000001))^2)/(2*$I$5)))+(($D$11*0.00000015*(ABS(G91)/MAX(ABS(F91),0.000001))^2*MAX(((ABS(H91)/MAX(((F33)+(H33)*(MAX($D$16,(AC91)-(J33))))*(MAX($D$16,(AC91)-(J33))),0.000001))^2)/(2*$I$5),((ABS(H91)/MAX(((G33)+(I33)*(MAX($D$16,(L91)-(K33))))*(MAX($D$16,(L91)-(K33))),0.000001))^2)/(2*$I$5))))-((ABS(H91)/MAX(((F33)+(H33)*(MAX($D$16,(AC91)-(J33))))*(MAX($D$16,(AC91)-(J33))),0.000001))^2)/(2*$I$5)</f>
        <v>634.3119999999999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-292118.81246378768</v>
      </c>
      <c r="S91">
        <f ca="1">M91+((ABS(I91)/MAX(((G34)+(I34)*(MAX($D$16,(M91)-(K34))))*(MAX($D$16,(M91)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AD91)-(J34))))*(MAX($D$16,(AD91)-(J34))),0.000001)),$D$9*((((ABS(I91)/MAX(((G34)+(I34)*(MAX($D$16,(M91)-(K34))))*(MAX($D$16,(M91)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M91)-(K34))))*(MAX($D$16,(M91)-(K34))),0.000001))^2)/(2*$I$5)))))+($D$10*(ABS((X34)-(W34))/90)*MAX(((ABS(I91)/MAX(((F34)+(H34)*(MAX($D$16,(AD91)-(J34))))*(MAX($D$16,(AD91)-(J34))),0.000001))^2)/(2*$I$5),((ABS(I91)/MAX(((G34)+(I34)*(MAX($D$16,(M91)-(K34))))*(MAX($D$16,(M91)-(K34))),0.000001))^2)/(2*$I$5)))+(0)-((ABS(I91)/MAX(((F34)+(H34)*(MAX($D$16,(AD91)-(J34))))*(MAX($D$16,(AD91)-(J34))),0.000001))^2)/(2*$I$5)</f>
        <v>635.51128720958343</v>
      </c>
      <c r="T91">
        <f ca="1">N91+((ABS(J91)/MAX(((G35)+(I35)*(MAX($D$16,(N91)-(K35))))*(MAX($D$16,(N91)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AD91)-(J35))))*(MAX($D$16,(AD91)-(J35))),0.000001)),$D$9*((((ABS(J91)/MAX(((G35)+(I35)*(MAX($D$16,(N91)-(K35))))*(MAX($D$16,(N91)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N91)-(K35))))*(MAX($D$16,(N91)-(K35))),0.000001))^2)/(2*$I$5)))))+($D$10*(ABS((X35)-(W35))/90)*MAX(((ABS(J91)/MAX(((F35)+(H35)*(MAX($D$16,(AD91)-(J35))))*(MAX($D$16,(AD91)-(J35))),0.000001))^2)/(2*$I$5),((ABS(J91)/MAX(((G35)+(I35)*(MAX($D$16,(N91)-(K35))))*(MAX($D$16,(N91)-(K35))),0.000001))^2)/(2*$I$5)))+(($D$11*0.34699541*(ABS(I91)/MAX(ABS(G91),0.000001))^2*MAX(((ABS(J91)/MAX(((F35)+(H35)*(MAX($D$16,(AD91)-(J35))))*(MAX($D$16,(AD91)-(J35))),0.000001))^2)/(2*$I$5),((ABS(J91)/MAX(((G35)+(I35)*(MAX($D$16,(N91)-(K35))))*(MAX($D$16,(N91)-(K35))),0.000001))^2)/(2*$I$5))))-((ABS(J91)/MAX(((F35)+(H35)*(MAX($D$16,(AD91)-(J35))))*(MAX($D$16,(AD91)-(J35))),0.000001))^2)/(2*$I$5)</f>
        <v>639.97429104455466</v>
      </c>
      <c r="U91">
        <f ca="1">((((G31)*(MAX($D$16,(AE91)-(K31)))^2)/2+(I31)*(MAX($D$16,(AE91)-(K31)))^3/3+(ABS(F91)^2)/($I$5*MAX(((G31)+(I31)*(MAX($D$16,(AE91)-(K31))))*(MAX($D$16,(AE91)-(K31))),0.000001)))-(IF(N6="None",((((F32)*(MAX($D$16,(AE91)-(J32)))^2)/2+(H32)*(MAX($D$16,(AE91)-(J32)))^3/3+(ABS(G91)^2)/($I$5*MAX(((F32)+(H32)*(MAX($D$16,(AE91)-(J32))))*(MAX($D$16,(AE91)-(J32))),0.000001)))*0.72785025),(((((F32)*(MAX($D$16,(AE91)-(J32)))^2)/2+(H32)*(MAX($D$16,(AE91)-(J32)))^3/3+(ABS(G91)^2)/($I$5*MAX(((F32)+(H32)*(MAX($D$16,(AE91)-(J32))))*(MAX($D$16,(AE91)-(J32))),0.000001)))*0.72785025)+((((F33)*(MAX($D$16,(AE91)-(J33)))^2)/2+(H33)*(MAX($D$16,(AE91)-(J33)))^3/3+(ABS(H91)^2)/($I$5*MAX(((F33)+(H33)*(MAX($D$16,(AE91)-(J33))))*(MAX($D$16,(AE91)-(J33))),0.000001)))*0.99999971)))))/MAX(((G31)*(MAX($D$16,(AE91)-(K31)))^2)/2+(I31)*(MAX($D$16,(AE91)-(K31)))^3/3+(ABS(F91)^2)/($I$5*MAX(((G31)+(I31)*(MAX($D$16,(AE91)-(K31))))*(MAX($D$16,(AE91)-(K31))),0.000001)),0.000001)</f>
        <v>0.27214975000000002</v>
      </c>
      <c r="V91">
        <f ca="1">((((G32)*(MAX($D$16,(AF91)-(K32)))^2)/2+(I32)*(MAX($D$16,(AF91)-(K32)))^3/3+(ABS(G91)^2)/($I$5*MAX(((G32)+(I32)*(MAX($D$16,(AF91)-(K32))))*(MAX($D$16,(AF91)-(K32))),0.000001)))-(IF(AND(N7="None",N8="None"),0,IF(N8="None",((((F34)*(MAX($D$16,(AF91)-(J34)))^2)/2+(H34)*(MAX($D$16,(AF91)-(J34)))^3/3+(ABS(I91)^2)/($I$5*MAX(((F34)+(H34)*(MAX($D$16,(AF91)-(J34))))*(MAX($D$16,(AF91)-(J34))),0.000001)))*1),IF(N7="None",((((F35)*(MAX($D$16,(AF91)-(J35)))^2)/2+(H35)*(MAX($D$16,(AF91)-(J35)))^3/3+(ABS(J91)^2)/($I$5*MAX(((F35)+(H35)*(MAX($D$16,(AF91)-(J35))))*(MAX($D$16,(AF91)-(J35))),0.000001)))*0.30600918),(((((F34)*(MAX($D$16,(AF91)-(J34)))^2)/2+(H34)*(MAX($D$16,(AF91)-(J34)))^3/3+(ABS(I91)^2)/($I$5*MAX(((F34)+(H34)*(MAX($D$16,(AF91)-(J34))))*(MAX($D$16,(AF91)-(J34))),0.000001)))*1)+((((F35)*(MAX($D$16,(AF91)-(J35)))^2)/2+(H35)*(MAX($D$16,(AF91)-(J35)))^3/3+(ABS(J91)^2)/($I$5*MAX(((F35)+(H35)*(MAX($D$16,(AF91)-(J35))))*(MAX($D$16,(AF91)-(J35))),0.000001)))*0.30600918)))))))/MAX(((G32)*(MAX($D$16,(AF91)-(K32)))^2)/2+(I32)*(MAX($D$16,(AF91)-(K32)))^3/3+(ABS(G91)^2)/($I$5*MAX(((G32)+(I32)*(MAX($D$16,(AF91)-(K32))))*(MAX($D$16,(AF91)-(K32))),0.000001)),0.000001)</f>
        <v>3.904177561081449E-2</v>
      </c>
      <c r="W91">
        <f ca="1">ABS((IF(N6="None",P91,MAX(P91,Q91)))-D91)</f>
        <v>5.7059765708169152</v>
      </c>
      <c r="X91">
        <f ca="1">ABS((IF(AND(N7="None",N8="None"),E91,IF(N8="None",S91,IF(N7="None",T91,MAX(S91,T91)))))-E91)</f>
        <v>8.0492882341438872</v>
      </c>
      <c r="Y91">
        <f>IF(N6="None",1,MIN(0.98,MAX(0.02,B91+$D$14*((Q91-P91)/MAX(ABS(D91),1)))))</f>
        <v>1</v>
      </c>
      <c r="Z91">
        <f ca="1">IF(AND(N7="None",N8="None"),C91,IF(N8="None",1,IF(N7="None",0,MIN(0.98,MAX(0.02,C91+$D$14*((T91-S91)/MAX(ABS(E91),1)))))))</f>
        <v>0.98</v>
      </c>
      <c r="AA91">
        <f t="shared" ca="1" si="16"/>
        <v>636.3453652684268</v>
      </c>
      <c r="AB91">
        <f t="shared" ca="1" si="17"/>
        <v>634.74259444842517</v>
      </c>
      <c r="AC91">
        <f ca="1">IF($D$20=0,D91,IF(AC91=0,(IF(N6="None",P91,MAX(P91,Q91))),IF(ABS((IF(N6="None",P91,MAX(P91,Q91)))-AC91)&lt;$D$19,AC91,MAX((K31)+$D$16,AC91+$D$13*(((IF(N6="None",P91,MAX(P91,Q91)))-AC91))))))</f>
        <v>640.05475514453997</v>
      </c>
      <c r="AD91">
        <f ca="1">IF($D$20=0,E91,IF(AD91=0,(IF(AND(N7="None",N8="None"),E91,IF(N8="None",S91,IF(N7="None",T91,MAX(S91,T91))))),IF(ABS((IF(AND(N7="None",N8="None"),E91,IF(N8="None",S91,IF(N7="None",T91,MAX(S91,T91)))))-AD91)&lt;$D$19,AD91,MAX((K32)+$D$16,AD91+$D$13*(((IF(AND(N7="None",N8="None"),E91,IF(N8="None",S91,IF(N7="None",T91,MAX(S91,T91)))))-AD91))))))</f>
        <v>639.97526463330917</v>
      </c>
      <c r="AE91">
        <f ca="1">IF($D$20=0,D91,IF(AE91=0,O91,IF(ABS(U91)&lt;$D$19,AE91,MAX((K31)+$D$16,AE91+($D$13*(((O91)-AE91)+(U91*MAX(ABS(AE91-(K31)),1))))))))</f>
        <v>634.34799999999996</v>
      </c>
      <c r="AF91">
        <f ca="1">IF($D$20=0,E91,IF(AF91=0,R91,IF(ABS(V91)&lt;$D$19,AF91,MAX((K32)+$D$16,AF91+($D$13*(((R91)-AF91)+(V91*MAX(ABS(AF91-(K32)),1))))))))</f>
        <v>631.92499999999995</v>
      </c>
      <c r="AG91">
        <f ca="1">((G31)*(MAX($D$16,(AC91)-(K31)))^2)/2+(I31)*(MAX($D$16,(AC91)-(K31)))^3/3+(ABS(F91)^2)/($I$5*MAX(((G31)+(I31)*(MAX($D$16,(AC91)-(K31))))*(MAX($D$16,(AC91)-(K31))),0.000001))</f>
        <v>115.68980551184316</v>
      </c>
      <c r="AH91">
        <f ca="1">((G31)*(MAX($D$16,(AE91)-(K31)))^2)/2+(I31)*(MAX($D$16,(AE91)-(K31)))^3/3+(ABS(F91)^2)/($I$5*MAX(((G31)+(I31)*(MAX($D$16,(AE91)-(K31))))*(MAX($D$16,(AE91)-(K31))),0.000001))</f>
        <v>808.60110594434002</v>
      </c>
      <c r="AI91">
        <f ca="1">((G32)*(MAX($D$16,(AD91)-(K32)))^2)/2+(I32)*(MAX($D$16,(AD91)-(K32)))^3/3+(ABS(G91)^2)/($I$5*MAX(((G32)+(I32)*(MAX($D$16,(AD91)-(K32))))*(MAX($D$16,(AD91)-(K32))),0.000001))</f>
        <v>338.03683729018678</v>
      </c>
      <c r="AJ91">
        <f ca="1">((G32)*(MAX($D$16,(AF91)-(K32)))^2)/2+(I32)*(MAX($D$16,(AF91)-(K32)))^3/3+(ABS(G91)^2)/($I$5*MAX(((G32)+(I32)*(MAX($D$16,(AF91)-(K32))))*(MAX($D$16,(AF91)-(K32))),0.000001))</f>
        <v>519.58480272613974</v>
      </c>
      <c r="AK91" t="str">
        <f t="shared" ca="1" si="18"/>
        <v>Supercritical</v>
      </c>
      <c r="AL91" t="str">
        <f t="shared" ca="1" si="19"/>
        <v>Supercritical</v>
      </c>
      <c r="AM91">
        <f t="shared" ca="1" si="20"/>
        <v>634.34800096783783</v>
      </c>
      <c r="AN91">
        <f t="shared" ca="1" si="21"/>
        <v>631.92500182676702</v>
      </c>
      <c r="AO91">
        <f t="shared" ca="1" si="22"/>
        <v>1.4889812973706285E-6</v>
      </c>
      <c r="AP91">
        <f t="shared" ca="1" si="23"/>
        <v>2.8104108196203015E-6</v>
      </c>
    </row>
    <row r="92" spans="1:42" x14ac:dyDescent="0.35">
      <c r="A92">
        <v>49</v>
      </c>
      <c r="B92">
        <f t="shared" si="24"/>
        <v>1</v>
      </c>
      <c r="C92">
        <f t="shared" ca="1" si="25"/>
        <v>0.98</v>
      </c>
      <c r="D92">
        <f t="shared" ca="1" si="26"/>
        <v>634.34800096783783</v>
      </c>
      <c r="E92">
        <f t="shared" ca="1" si="27"/>
        <v>631.92500182676702</v>
      </c>
      <c r="F92">
        <f t="shared" si="15"/>
        <v>51</v>
      </c>
      <c r="G92">
        <f>IF(N6="None",F92,MAX(0,F92*B92))</f>
        <v>51</v>
      </c>
      <c r="H92">
        <f>IF(N6="None",0,MAX(0,F92-G92))</f>
        <v>0</v>
      </c>
      <c r="I92">
        <f ca="1">IF(AND(N7="None",N8="None"),0,IF(N8="None",G92,IF(N7="None",0,MAX(0,G92*C92))))</f>
        <v>49.98</v>
      </c>
      <c r="J92">
        <f ca="1">IF(AND(N7="None",N8="None"),0,IF(N8="None",0,IF(N7="None",G92,MAX(0,G92-I92))))</f>
        <v>1.0200000000000031</v>
      </c>
      <c r="K92">
        <f>P5</f>
        <v>637</v>
      </c>
      <c r="L92">
        <f>P6</f>
        <v>634.3119999999999</v>
      </c>
      <c r="M92">
        <f>P7</f>
        <v>635.5</v>
      </c>
      <c r="N92">
        <f>P8</f>
        <v>631.54999999999995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-2091.5872404992097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640.05397805979817</v>
      </c>
      <c r="Q92">
        <f ca="1">L92+((ABS(H92)/MAX(((G33)+(I33)*(MAX($D$16,(L92)-(K33))))*(MAX($D$16,(L92)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AC92)-(J33))))*(MAX($D$16,(AC92)-(J33))),0.000001)),$D$9*((((ABS(H92)/MAX(((G33)+(I33)*(MAX($D$16,(L92)-(K33))))*(MAX($D$16,(L92)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L92)-(K33))))*(MAX($D$16,(L92)-(K33))),0.000001))^2)/(2*$I$5)))))+($D$10*(ABS((X33)-(W33))/90)*MAX(((ABS(H92)/MAX(((F33)+(H33)*(MAX($D$16,(AC92)-(J33))))*(MAX($D$16,(AC92)-(J33))),0.000001))^2)/(2*$I$5),((ABS(H92)/MAX(((G33)+(I33)*(MAX($D$16,(L92)-(K33))))*(MAX($D$16,(L92)-(K33))),0.000001))^2)/(2*$I$5)))+(($D$11*0.00000015*(ABS(G92)/MAX(ABS(F92),0.000001))^2*MAX(((ABS(H92)/MAX(((F33)+(H33)*(MAX($D$16,(AC92)-(J33))))*(MAX($D$16,(AC92)-(J33))),0.000001))^2)/(2*$I$5),((ABS(H92)/MAX(((G33)+(I33)*(MAX($D$16,(L92)-(K33))))*(MAX($D$16,(L92)-(K33))),0.000001))^2)/(2*$I$5))))-((ABS(H92)/MAX(((F33)+(H33)*(MAX($D$16,(AC92)-(J33))))*(MAX($D$16,(AC92)-(J33))),0.000001))^2)/(2*$I$5)</f>
        <v>634.3119999999999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-292118.81246378768</v>
      </c>
      <c r="S92">
        <f ca="1">M92+((ABS(I92)/MAX(((G34)+(I34)*(MAX($D$16,(M92)-(K34))))*(MAX($D$16,(M92)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AD92)-(J34))))*(MAX($D$16,(AD92)-(J34))),0.000001)),$D$9*((((ABS(I92)/MAX(((G34)+(I34)*(MAX($D$16,(M92)-(K34))))*(MAX($D$16,(M92)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M92)-(K34))))*(MAX($D$16,(M92)-(K34))),0.000001))^2)/(2*$I$5)))))+($D$10*(ABS((X34)-(W34))/90)*MAX(((ABS(I92)/MAX(((F34)+(H34)*(MAX($D$16,(AD92)-(J34))))*(MAX($D$16,(AD92)-(J34))),0.000001))^2)/(2*$I$5),((ABS(I92)/MAX(((G34)+(I34)*(MAX($D$16,(M92)-(K34))))*(MAX($D$16,(M92)-(K34))),0.000001))^2)/(2*$I$5)))+(0)-((ABS(I92)/MAX(((F34)+(H34)*(MAX($D$16,(AD92)-(J34))))*(MAX($D$16,(AD92)-(J34))),0.000001))^2)/(2*$I$5)</f>
        <v>635.51128720958343</v>
      </c>
      <c r="T92">
        <f ca="1">N92+((ABS(J92)/MAX(((G35)+(I35)*(MAX($D$16,(N92)-(K35))))*(MAX($D$16,(N92)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AD92)-(J35))))*(MAX($D$16,(AD92)-(J35))),0.000001)),$D$9*((((ABS(J92)/MAX(((G35)+(I35)*(MAX($D$16,(N92)-(K35))))*(MAX($D$16,(N92)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N92)-(K35))))*(MAX($D$16,(N92)-(K35))),0.000001))^2)/(2*$I$5)))))+($D$10*(ABS((X35)-(W35))/90)*MAX(((ABS(J92)/MAX(((F35)+(H35)*(MAX($D$16,(AD92)-(J35))))*(MAX($D$16,(AD92)-(J35))),0.000001))^2)/(2*$I$5),((ABS(J92)/MAX(((G35)+(I35)*(MAX($D$16,(N92)-(K35))))*(MAX($D$16,(N92)-(K35))),0.000001))^2)/(2*$I$5)))+(($D$11*0.34699541*(ABS(I92)/MAX(ABS(G92),0.000001))^2*MAX(((ABS(J92)/MAX(((F35)+(H35)*(MAX($D$16,(AD92)-(J35))))*(MAX($D$16,(AD92)-(J35))),0.000001))^2)/(2*$I$5),((ABS(J92)/MAX(((G35)+(I35)*(MAX($D$16,(N92)-(K35))))*(MAX($D$16,(N92)-(K35))),0.000001))^2)/(2*$I$5))))-((ABS(J92)/MAX(((F35)+(H35)*(MAX($D$16,(AD92)-(J35))))*(MAX($D$16,(AD92)-(J35))),0.000001))^2)/(2*$I$5)</f>
        <v>639.97429104455466</v>
      </c>
      <c r="U92">
        <f ca="1">((((G31)*(MAX($D$16,(AE92)-(K31)))^2)/2+(I31)*(MAX($D$16,(AE92)-(K31)))^3/3+(ABS(F92)^2)/($I$5*MAX(((G31)+(I31)*(MAX($D$16,(AE92)-(K31))))*(MAX($D$16,(AE92)-(K31))),0.000001)))-(IF(N6="None",((((F32)*(MAX($D$16,(AE92)-(J32)))^2)/2+(H32)*(MAX($D$16,(AE92)-(J32)))^3/3+(ABS(G92)^2)/($I$5*MAX(((F32)+(H32)*(MAX($D$16,(AE92)-(J32))))*(MAX($D$16,(AE92)-(J32))),0.000001)))*0.72785025),(((((F32)*(MAX($D$16,(AE92)-(J32)))^2)/2+(H32)*(MAX($D$16,(AE92)-(J32)))^3/3+(ABS(G92)^2)/($I$5*MAX(((F32)+(H32)*(MAX($D$16,(AE92)-(J32))))*(MAX($D$16,(AE92)-(J32))),0.000001)))*0.72785025)+((((F33)*(MAX($D$16,(AE92)-(J33)))^2)/2+(H33)*(MAX($D$16,(AE92)-(J33)))^3/3+(ABS(H92)^2)/($I$5*MAX(((F33)+(H33)*(MAX($D$16,(AE92)-(J33))))*(MAX($D$16,(AE92)-(J33))),0.000001)))*0.99999971)))))/MAX(((G31)*(MAX($D$16,(AE92)-(K31)))^2)/2+(I31)*(MAX($D$16,(AE92)-(K31)))^3/3+(ABS(F92)^2)/($I$5*MAX(((G31)+(I31)*(MAX($D$16,(AE92)-(K31))))*(MAX($D$16,(AE92)-(K31))),0.000001)),0.000001)</f>
        <v>0.27214975000000002</v>
      </c>
      <c r="V92">
        <f ca="1">((((G32)*(MAX($D$16,(AF92)-(K32)))^2)/2+(I32)*(MAX($D$16,(AF92)-(K32)))^3/3+(ABS(G92)^2)/($I$5*MAX(((G32)+(I32)*(MAX($D$16,(AF92)-(K32))))*(MAX($D$16,(AF92)-(K32))),0.000001)))-(IF(AND(N7="None",N8="None"),0,IF(N8="None",((((F34)*(MAX($D$16,(AF92)-(J34)))^2)/2+(H34)*(MAX($D$16,(AF92)-(J34)))^3/3+(ABS(I92)^2)/($I$5*MAX(((F34)+(H34)*(MAX($D$16,(AF92)-(J34))))*(MAX($D$16,(AF92)-(J34))),0.000001)))*1),IF(N7="None",((((F35)*(MAX($D$16,(AF92)-(J35)))^2)/2+(H35)*(MAX($D$16,(AF92)-(J35)))^3/3+(ABS(J92)^2)/($I$5*MAX(((F35)+(H35)*(MAX($D$16,(AF92)-(J35))))*(MAX($D$16,(AF92)-(J35))),0.000001)))*0.30600918),(((((F34)*(MAX($D$16,(AF92)-(J34)))^2)/2+(H34)*(MAX($D$16,(AF92)-(J34)))^3/3+(ABS(I92)^2)/($I$5*MAX(((F34)+(H34)*(MAX($D$16,(AF92)-(J34))))*(MAX($D$16,(AF92)-(J34))),0.000001)))*1)+((((F35)*(MAX($D$16,(AF92)-(J35)))^2)/2+(H35)*(MAX($D$16,(AF92)-(J35)))^3/3+(ABS(J92)^2)/($I$5*MAX(((F35)+(H35)*(MAX($D$16,(AF92)-(J35))))*(MAX($D$16,(AF92)-(J35))),0.000001)))*0.30600918)))))))/MAX(((G32)*(MAX($D$16,(AF92)-(K32)))^2)/2+(I32)*(MAX($D$16,(AF92)-(K32)))^3/3+(ABS(G92)^2)/($I$5*MAX(((G32)+(I32)*(MAX($D$16,(AF92)-(K32))))*(MAX($D$16,(AF92)-(K32))),0.000001)),0.000001)</f>
        <v>3.904177561081449E-2</v>
      </c>
      <c r="W92">
        <f ca="1">ABS((IF(N6="None",P92,MAX(P92,Q92)))-D92)</f>
        <v>5.7059770919603352</v>
      </c>
      <c r="X92">
        <f ca="1">ABS((IF(AND(N7="None",N8="None"),E92,IF(N8="None",S92,IF(N7="None",T92,MAX(S92,T92)))))-E92)</f>
        <v>8.0492892177876456</v>
      </c>
      <c r="Y92">
        <f>IF(N6="None",1,MIN(0.98,MAX(0.02,B92+$D$14*((Q92-P92)/MAX(ABS(D92),1)))))</f>
        <v>1</v>
      </c>
      <c r="Z92">
        <f ca="1">IF(AND(N7="None",N8="None"),C92,IF(N8="None",1,IF(N7="None",0,MIN(0.98,MAX(0.02,C92+$D$14*((T92-S92)/MAX(ABS(E92),1)))))))</f>
        <v>0.98</v>
      </c>
      <c r="AA92">
        <f t="shared" ca="1" si="16"/>
        <v>636.34536492968357</v>
      </c>
      <c r="AB92">
        <f t="shared" ca="1" si="17"/>
        <v>634.74259380905676</v>
      </c>
      <c r="AC92">
        <f ca="1">IF($D$20=0,D92,IF(AC92=0,(IF(N6="None",P92,MAX(P92,Q92))),IF(ABS((IF(N6="None",P92,MAX(P92,Q92)))-AC92)&lt;$D$19,AC92,MAX((K31)+$D$16,AC92+$D$13*(((IF(N6="None",P92,MAX(P92,Q92)))-AC92))))))</f>
        <v>640.05475514453997</v>
      </c>
      <c r="AD92">
        <f ca="1">IF($D$20=0,E92,IF(AD92=0,(IF(AND(N7="None",N8="None"),E92,IF(N8="None",S92,IF(N7="None",T92,MAX(S92,T92))))),IF(ABS((IF(AND(N7="None",N8="None"),E92,IF(N8="None",S92,IF(N7="None",T92,MAX(S92,T92)))))-AD92)&lt;$D$19,AD92,MAX((K32)+$D$16,AD92+$D$13*(((IF(AND(N7="None",N8="None"),E92,IF(N8="None",S92,IF(N7="None",T92,MAX(S92,T92)))))-AD92))))))</f>
        <v>639.97526463330917</v>
      </c>
      <c r="AE92">
        <f ca="1">IF($D$20=0,D92,IF(AE92=0,O92,IF(ABS(U92)&lt;$D$19,AE92,MAX((K31)+$D$16,AE92+($D$13*(((O92)-AE92)+(U92*MAX(ABS(AE92-(K31)),1))))))))</f>
        <v>634.34799999999996</v>
      </c>
      <c r="AF92">
        <f ca="1">IF($D$20=0,E92,IF(AF92=0,R92,IF(ABS(V92)&lt;$D$19,AF92,MAX((K32)+$D$16,AF92+($D$13*(((R92)-AF92)+(V92*MAX(ABS(AF92-(K32)),1))))))))</f>
        <v>631.92499999999995</v>
      </c>
      <c r="AG92">
        <f ca="1">((G31)*(MAX($D$16,(AC92)-(K31)))^2)/2+(I31)*(MAX($D$16,(AC92)-(K31)))^3/3+(ABS(F92)^2)/($I$5*MAX(((G31)+(I31)*(MAX($D$16,(AC92)-(K31))))*(MAX($D$16,(AC92)-(K31))),0.000001))</f>
        <v>115.68980551184316</v>
      </c>
      <c r="AH92">
        <f ca="1">((G31)*(MAX($D$16,(AE92)-(K31)))^2)/2+(I31)*(MAX($D$16,(AE92)-(K31)))^3/3+(ABS(F92)^2)/($I$5*MAX(((G31)+(I31)*(MAX($D$16,(AE92)-(K31))))*(MAX($D$16,(AE92)-(K31))),0.000001))</f>
        <v>808.60110594434002</v>
      </c>
      <c r="AI92">
        <f ca="1">((G32)*(MAX($D$16,(AD92)-(K32)))^2)/2+(I32)*(MAX($D$16,(AD92)-(K32)))^3/3+(ABS(G92)^2)/($I$5*MAX(((G32)+(I32)*(MAX($D$16,(AD92)-(K32))))*(MAX($D$16,(AD92)-(K32))),0.000001))</f>
        <v>338.03683729018678</v>
      </c>
      <c r="AJ92">
        <f ca="1">((G32)*(MAX($D$16,(AF92)-(K32)))^2)/2+(I32)*(MAX($D$16,(AF92)-(K32)))^3/3+(ABS(G92)^2)/($I$5*MAX(((G32)+(I32)*(MAX($D$16,(AF92)-(K32))))*(MAX($D$16,(AF92)-(K32))),0.000001))</f>
        <v>519.58480272613974</v>
      </c>
      <c r="AK92" t="str">
        <f t="shared" ca="1" si="18"/>
        <v>Supercritical</v>
      </c>
      <c r="AL92" t="str">
        <f t="shared" ca="1" si="19"/>
        <v>Supercritical</v>
      </c>
      <c r="AM92">
        <f t="shared" ca="1" si="20"/>
        <v>634.3480006290946</v>
      </c>
      <c r="AN92">
        <f t="shared" ca="1" si="21"/>
        <v>631.92500118739849</v>
      </c>
      <c r="AO92">
        <f t="shared" ca="1" si="22"/>
        <v>9.6783787739695981E-7</v>
      </c>
      <c r="AP92">
        <f t="shared" ca="1" si="23"/>
        <v>1.8267670611749054E-6</v>
      </c>
    </row>
    <row r="93" spans="1:42" x14ac:dyDescent="0.35">
      <c r="A93">
        <v>50</v>
      </c>
      <c r="B93">
        <f t="shared" si="24"/>
        <v>1</v>
      </c>
      <c r="C93">
        <f t="shared" ca="1" si="25"/>
        <v>0.98</v>
      </c>
      <c r="D93">
        <f t="shared" ca="1" si="26"/>
        <v>634.3480006290946</v>
      </c>
      <c r="E93">
        <f t="shared" ca="1" si="27"/>
        <v>631.92500118739849</v>
      </c>
      <c r="F93">
        <f t="shared" si="15"/>
        <v>51</v>
      </c>
      <c r="G93">
        <f>IF(N6="None",F93,MAX(0,F93*B93))</f>
        <v>51</v>
      </c>
      <c r="H93">
        <f>IF(N6="None",0,MAX(0,F93-G93))</f>
        <v>0</v>
      </c>
      <c r="I93">
        <f ca="1">IF(AND(N7="None",N8="None"),0,IF(N8="None",G93,IF(N7="None",0,MAX(0,G93*C93))))</f>
        <v>49.98</v>
      </c>
      <c r="J93">
        <f ca="1">IF(AND(N7="None",N8="None"),0,IF(N8="None",0,IF(N7="None",G93,MAX(0,G93-I93))))</f>
        <v>1.0200000000000031</v>
      </c>
      <c r="K93">
        <f>P5</f>
        <v>637</v>
      </c>
      <c r="L93">
        <f>P6</f>
        <v>634.3119999999999</v>
      </c>
      <c r="M93">
        <f>P7</f>
        <v>635.5</v>
      </c>
      <c r="N93">
        <f>P8</f>
        <v>631.54999999999995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-2091.5872404992097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640.05397805979817</v>
      </c>
      <c r="Q93">
        <f ca="1">L93+((ABS(H93)/MAX(((G33)+(I33)*(MAX($D$16,(L93)-(K33))))*(MAX($D$16,(L93)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AC93)-(J33))))*(MAX($D$16,(AC93)-(J33))),0.000001)),$D$9*((((ABS(H93)/MAX(((G33)+(I33)*(MAX($D$16,(L93)-(K33))))*(MAX($D$16,(L93)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L93)-(K33))))*(MAX($D$16,(L93)-(K33))),0.000001))^2)/(2*$I$5)))))+($D$10*(ABS((X33)-(W33))/90)*MAX(((ABS(H93)/MAX(((F33)+(H33)*(MAX($D$16,(AC93)-(J33))))*(MAX($D$16,(AC93)-(J33))),0.000001))^2)/(2*$I$5),((ABS(H93)/MAX(((G33)+(I33)*(MAX($D$16,(L93)-(K33))))*(MAX($D$16,(L93)-(K33))),0.000001))^2)/(2*$I$5)))+(($D$11*0.00000015*(ABS(G93)/MAX(ABS(F93),0.000001))^2*MAX(((ABS(H93)/MAX(((F33)+(H33)*(MAX($D$16,(AC93)-(J33))))*(MAX($D$16,(AC93)-(J33))),0.000001))^2)/(2*$I$5),((ABS(H93)/MAX(((G33)+(I33)*(MAX($D$16,(L93)-(K33))))*(MAX($D$16,(L93)-(K33))),0.000001))^2)/(2*$I$5))))-((ABS(H93)/MAX(((F33)+(H33)*(MAX($D$16,(AC93)-(J33))))*(MAX($D$16,(AC93)-(J33))),0.000001))^2)/(2*$I$5)</f>
        <v>634.3119999999999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-292118.81246378768</v>
      </c>
      <c r="S93">
        <f ca="1">M93+((ABS(I93)/MAX(((G34)+(I34)*(MAX($D$16,(M93)-(K34))))*(MAX($D$16,(M93)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AD93)-(J34))))*(MAX($D$16,(AD93)-(J34))),0.000001)),$D$9*((((ABS(I93)/MAX(((G34)+(I34)*(MAX($D$16,(M93)-(K34))))*(MAX($D$16,(M93)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M93)-(K34))))*(MAX($D$16,(M93)-(K34))),0.000001))^2)/(2*$I$5)))))+($D$10*(ABS((X34)-(W34))/90)*MAX(((ABS(I93)/MAX(((F34)+(H34)*(MAX($D$16,(AD93)-(J34))))*(MAX($D$16,(AD93)-(J34))),0.000001))^2)/(2*$I$5),((ABS(I93)/MAX(((G34)+(I34)*(MAX($D$16,(M93)-(K34))))*(MAX($D$16,(M93)-(K34))),0.000001))^2)/(2*$I$5)))+(0)-((ABS(I93)/MAX(((F34)+(H34)*(MAX($D$16,(AD93)-(J34))))*(MAX($D$16,(AD93)-(J34))),0.000001))^2)/(2*$I$5)</f>
        <v>635.51128720958343</v>
      </c>
      <c r="T93">
        <f ca="1">N93+((ABS(J93)/MAX(((G35)+(I35)*(MAX($D$16,(N93)-(K35))))*(MAX($D$16,(N93)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AD93)-(J35))))*(MAX($D$16,(AD93)-(J35))),0.000001)),$D$9*((((ABS(J93)/MAX(((G35)+(I35)*(MAX($D$16,(N93)-(K35))))*(MAX($D$16,(N93)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N93)-(K35))))*(MAX($D$16,(N93)-(K35))),0.000001))^2)/(2*$I$5)))))+($D$10*(ABS((X35)-(W35))/90)*MAX(((ABS(J93)/MAX(((F35)+(H35)*(MAX($D$16,(AD93)-(J35))))*(MAX($D$16,(AD93)-(J35))),0.000001))^2)/(2*$I$5),((ABS(J93)/MAX(((G35)+(I35)*(MAX($D$16,(N93)-(K35))))*(MAX($D$16,(N93)-(K35))),0.000001))^2)/(2*$I$5)))+(($D$11*0.34699541*(ABS(I93)/MAX(ABS(G93),0.000001))^2*MAX(((ABS(J93)/MAX(((F35)+(H35)*(MAX($D$16,(AD93)-(J35))))*(MAX($D$16,(AD93)-(J35))),0.000001))^2)/(2*$I$5),((ABS(J93)/MAX(((G35)+(I35)*(MAX($D$16,(N93)-(K35))))*(MAX($D$16,(N93)-(K35))),0.000001))^2)/(2*$I$5))))-((ABS(J93)/MAX(((F35)+(H35)*(MAX($D$16,(AD93)-(J35))))*(MAX($D$16,(AD93)-(J35))),0.000001))^2)/(2*$I$5)</f>
        <v>639.97429104455466</v>
      </c>
      <c r="U93">
        <f ca="1">((((G31)*(MAX($D$16,(AE93)-(K31)))^2)/2+(I31)*(MAX($D$16,(AE93)-(K31)))^3/3+(ABS(F93)^2)/($I$5*MAX(((G31)+(I31)*(MAX($D$16,(AE93)-(K31))))*(MAX($D$16,(AE93)-(K31))),0.000001)))-(IF(N6="None",((((F32)*(MAX($D$16,(AE93)-(J32)))^2)/2+(H32)*(MAX($D$16,(AE93)-(J32)))^3/3+(ABS(G93)^2)/($I$5*MAX(((F32)+(H32)*(MAX($D$16,(AE93)-(J32))))*(MAX($D$16,(AE93)-(J32))),0.000001)))*0.72785025),(((((F32)*(MAX($D$16,(AE93)-(J32)))^2)/2+(H32)*(MAX($D$16,(AE93)-(J32)))^3/3+(ABS(G93)^2)/($I$5*MAX(((F32)+(H32)*(MAX($D$16,(AE93)-(J32))))*(MAX($D$16,(AE93)-(J32))),0.000001)))*0.72785025)+((((F33)*(MAX($D$16,(AE93)-(J33)))^2)/2+(H33)*(MAX($D$16,(AE93)-(J33)))^3/3+(ABS(H93)^2)/($I$5*MAX(((F33)+(H33)*(MAX($D$16,(AE93)-(J33))))*(MAX($D$16,(AE93)-(J33))),0.000001)))*0.99999971)))))/MAX(((G31)*(MAX($D$16,(AE93)-(K31)))^2)/2+(I31)*(MAX($D$16,(AE93)-(K31)))^3/3+(ABS(F93)^2)/($I$5*MAX(((G31)+(I31)*(MAX($D$16,(AE93)-(K31))))*(MAX($D$16,(AE93)-(K31))),0.000001)),0.000001)</f>
        <v>0.27214975000000002</v>
      </c>
      <c r="V93">
        <f ca="1">((((G32)*(MAX($D$16,(AF93)-(K32)))^2)/2+(I32)*(MAX($D$16,(AF93)-(K32)))^3/3+(ABS(G93)^2)/($I$5*MAX(((G32)+(I32)*(MAX($D$16,(AF93)-(K32))))*(MAX($D$16,(AF93)-(K32))),0.000001)))-(IF(AND(N7="None",N8="None"),0,IF(N8="None",((((F34)*(MAX($D$16,(AF93)-(J34)))^2)/2+(H34)*(MAX($D$16,(AF93)-(J34)))^3/3+(ABS(I93)^2)/($I$5*MAX(((F34)+(H34)*(MAX($D$16,(AF93)-(J34))))*(MAX($D$16,(AF93)-(J34))),0.000001)))*1),IF(N7="None",((((F35)*(MAX($D$16,(AF93)-(J35)))^2)/2+(H35)*(MAX($D$16,(AF93)-(J35)))^3/3+(ABS(J93)^2)/($I$5*MAX(((F35)+(H35)*(MAX($D$16,(AF93)-(J35))))*(MAX($D$16,(AF93)-(J35))),0.000001)))*0.30600918),(((((F34)*(MAX($D$16,(AF93)-(J34)))^2)/2+(H34)*(MAX($D$16,(AF93)-(J34)))^3/3+(ABS(I93)^2)/($I$5*MAX(((F34)+(H34)*(MAX($D$16,(AF93)-(J34))))*(MAX($D$16,(AF93)-(J34))),0.000001)))*1)+((((F35)*(MAX($D$16,(AF93)-(J35)))^2)/2+(H35)*(MAX($D$16,(AF93)-(J35)))^3/3+(ABS(J93)^2)/($I$5*MAX(((F35)+(H35)*(MAX($D$16,(AF93)-(J35))))*(MAX($D$16,(AF93)-(J35))),0.000001)))*0.30600918)))))))/MAX(((G32)*(MAX($D$16,(AF93)-(K32)))^2)/2+(I32)*(MAX($D$16,(AF93)-(K32)))^3/3+(ABS(G93)^2)/($I$5*MAX(((G32)+(I32)*(MAX($D$16,(AF93)-(K32))))*(MAX($D$16,(AF93)-(K32))),0.000001)),0.000001)</f>
        <v>3.904177561081449E-2</v>
      </c>
      <c r="W93">
        <f ca="1">ABS((IF(N6="None",P93,MAX(P93,Q93)))-D93)</f>
        <v>5.7059774307035696</v>
      </c>
      <c r="X93">
        <f ca="1">ABS((IF(AND(N7="None",N8="None"),E93,IF(N8="None",S93,IF(N7="None",T93,MAX(S93,T93)))))-E93)</f>
        <v>8.0492898571561682</v>
      </c>
      <c r="Y93">
        <f>IF(N6="None",1,MIN(0.98,MAX(0.02,B93+$D$14*((Q93-P93)/MAX(ABS(D93),1)))))</f>
        <v>1</v>
      </c>
      <c r="Z93">
        <f ca="1">IF(AND(N7="None",N8="None"),C93,IF(N8="None",1,IF(N7="None",0,MIN(0.98,MAX(0.02,C93+$D$14*((T93-S93)/MAX(ABS(E93),1)))))))</f>
        <v>0.98</v>
      </c>
      <c r="AA93">
        <f t="shared" ca="1" si="16"/>
        <v>636.34536470950047</v>
      </c>
      <c r="AB93">
        <f t="shared" ca="1" si="17"/>
        <v>634.74259339346725</v>
      </c>
      <c r="AC93">
        <f ca="1">IF($D$20=0,D93,IF(AC93=0,(IF(N6="None",P93,MAX(P93,Q93))),IF(ABS((IF(N6="None",P93,MAX(P93,Q93)))-AC93)&lt;$D$19,AC93,MAX((K31)+$D$16,AC93+$D$13*(((IF(N6="None",P93,MAX(P93,Q93)))-AC93))))))</f>
        <v>640.05475514453997</v>
      </c>
      <c r="AD93">
        <f ca="1">IF($D$20=0,E93,IF(AD93=0,(IF(AND(N7="None",N8="None"),E93,IF(N8="None",S93,IF(N7="None",T93,MAX(S93,T93))))),IF(ABS((IF(AND(N7="None",N8="None"),E93,IF(N8="None",S93,IF(N7="None",T93,MAX(S93,T93)))))-AD93)&lt;$D$19,AD93,MAX((K32)+$D$16,AD93+$D$13*(((IF(AND(N7="None",N8="None"),E93,IF(N8="None",S93,IF(N7="None",T93,MAX(S93,T93)))))-AD93))))))</f>
        <v>639.97526463330917</v>
      </c>
      <c r="AE93">
        <f ca="1">IF($D$20=0,D93,IF(AE93=0,O93,IF(ABS(U93)&lt;$D$19,AE93,MAX((K31)+$D$16,AE93+($D$13*(((O93)-AE93)+(U93*MAX(ABS(AE93-(K31)),1))))))))</f>
        <v>634.34799999999996</v>
      </c>
      <c r="AF93">
        <f ca="1">IF($D$20=0,E93,IF(AF93=0,R93,IF(ABS(V93)&lt;$D$19,AF93,MAX((K32)+$D$16,AF93+($D$13*(((R93)-AF93)+(V93*MAX(ABS(AF93-(K32)),1))))))))</f>
        <v>631.92499999999995</v>
      </c>
      <c r="AG93">
        <f ca="1">((G31)*(MAX($D$16,(AC93)-(K31)))^2)/2+(I31)*(MAX($D$16,(AC93)-(K31)))^3/3+(ABS(F93)^2)/($I$5*MAX(((G31)+(I31)*(MAX($D$16,(AC93)-(K31))))*(MAX($D$16,(AC93)-(K31))),0.000001))</f>
        <v>115.68980551184316</v>
      </c>
      <c r="AH93">
        <f ca="1">((G31)*(MAX($D$16,(AE93)-(K31)))^2)/2+(I31)*(MAX($D$16,(AE93)-(K31)))^3/3+(ABS(F93)^2)/($I$5*MAX(((G31)+(I31)*(MAX($D$16,(AE93)-(K31))))*(MAX($D$16,(AE93)-(K31))),0.000001))</f>
        <v>808.60110594434002</v>
      </c>
      <c r="AI93">
        <f ca="1">((G32)*(MAX($D$16,(AD93)-(K32)))^2)/2+(I32)*(MAX($D$16,(AD93)-(K32)))^3/3+(ABS(G93)^2)/($I$5*MAX(((G32)+(I32)*(MAX($D$16,(AD93)-(K32))))*(MAX($D$16,(AD93)-(K32))),0.000001))</f>
        <v>338.03683729018678</v>
      </c>
      <c r="AJ93">
        <f ca="1">((G32)*(MAX($D$16,(AF93)-(K32)))^2)/2+(I32)*(MAX($D$16,(AF93)-(K32)))^3/3+(ABS(G93)^2)/($I$5*MAX(((G32)+(I32)*(MAX($D$16,(AF93)-(K32))))*(MAX($D$16,(AF93)-(K32))),0.000001))</f>
        <v>519.58480272613974</v>
      </c>
      <c r="AK93" t="str">
        <f t="shared" ca="1" si="18"/>
        <v>Supercritical</v>
      </c>
      <c r="AL93" t="str">
        <f t="shared" ca="1" si="19"/>
        <v>Supercritical</v>
      </c>
      <c r="AM93">
        <f t="shared" ca="1" si="20"/>
        <v>634.3480004089115</v>
      </c>
      <c r="AN93">
        <f t="shared" ca="1" si="21"/>
        <v>631.92500077180898</v>
      </c>
      <c r="AO93">
        <f t="shared" ca="1" si="22"/>
        <v>6.2909464304539142E-7</v>
      </c>
      <c r="AP93">
        <f t="shared" ca="1" si="23"/>
        <v>1.1873985386046115E-6</v>
      </c>
    </row>
    <row r="94" spans="1:42" x14ac:dyDescent="0.35">
      <c r="A94">
        <v>51</v>
      </c>
      <c r="B94">
        <f t="shared" si="24"/>
        <v>1</v>
      </c>
      <c r="C94">
        <f t="shared" ca="1" si="25"/>
        <v>0.98</v>
      </c>
      <c r="D94">
        <f t="shared" ca="1" si="26"/>
        <v>634.3480004089115</v>
      </c>
      <c r="E94">
        <f t="shared" ca="1" si="27"/>
        <v>631.92500077180898</v>
      </c>
      <c r="F94">
        <f t="shared" si="15"/>
        <v>51</v>
      </c>
      <c r="G94">
        <f>IF(N6="None",F94,MAX(0,F94*B94))</f>
        <v>51</v>
      </c>
      <c r="H94">
        <f>IF(N6="None",0,MAX(0,F94-G94))</f>
        <v>0</v>
      </c>
      <c r="I94">
        <f ca="1">IF(AND(N7="None",N8="None"),0,IF(N8="None",G94,IF(N7="None",0,MAX(0,G94*C94))))</f>
        <v>49.98</v>
      </c>
      <c r="J94">
        <f ca="1">IF(AND(N7="None",N8="None"),0,IF(N8="None",0,IF(N7="None",G94,MAX(0,G94-I94))))</f>
        <v>1.0200000000000031</v>
      </c>
      <c r="K94">
        <f>P5</f>
        <v>637</v>
      </c>
      <c r="L94">
        <f>P6</f>
        <v>634.3119999999999</v>
      </c>
      <c r="M94">
        <f>P7</f>
        <v>635.5</v>
      </c>
      <c r="N94">
        <f>P8</f>
        <v>631.54999999999995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-2091.5872404992097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640.05397805979817</v>
      </c>
      <c r="Q94">
        <f ca="1">L94+((ABS(H94)/MAX(((G33)+(I33)*(MAX($D$16,(L94)-(K33))))*(MAX($D$16,(L94)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AC94)-(J33))))*(MAX($D$16,(AC94)-(J33))),0.000001)),$D$9*((((ABS(H94)/MAX(((G33)+(I33)*(MAX($D$16,(L94)-(K33))))*(MAX($D$16,(L94)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L94)-(K33))))*(MAX($D$16,(L94)-(K33))),0.000001))^2)/(2*$I$5)))))+($D$10*(ABS((X33)-(W33))/90)*MAX(((ABS(H94)/MAX(((F33)+(H33)*(MAX($D$16,(AC94)-(J33))))*(MAX($D$16,(AC94)-(J33))),0.000001))^2)/(2*$I$5),((ABS(H94)/MAX(((G33)+(I33)*(MAX($D$16,(L94)-(K33))))*(MAX($D$16,(L94)-(K33))),0.000001))^2)/(2*$I$5)))+(($D$11*0.00000015*(ABS(G94)/MAX(ABS(F94),0.000001))^2*MAX(((ABS(H94)/MAX(((F33)+(H33)*(MAX($D$16,(AC94)-(J33))))*(MAX($D$16,(AC94)-(J33))),0.000001))^2)/(2*$I$5),((ABS(H94)/MAX(((G33)+(I33)*(MAX($D$16,(L94)-(K33))))*(MAX($D$16,(L94)-(K33))),0.000001))^2)/(2*$I$5))))-((ABS(H94)/MAX(((F33)+(H33)*(MAX($D$16,(AC94)-(J33))))*(MAX($D$16,(AC94)-(J33))),0.000001))^2)/(2*$I$5)</f>
        <v>634.3119999999999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-292118.81246378768</v>
      </c>
      <c r="S94">
        <f ca="1">M94+((ABS(I94)/MAX(((G34)+(I34)*(MAX($D$16,(M94)-(K34))))*(MAX($D$16,(M94)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AD94)-(J34))))*(MAX($D$16,(AD94)-(J34))),0.000001)),$D$9*((((ABS(I94)/MAX(((G34)+(I34)*(MAX($D$16,(M94)-(K34))))*(MAX($D$16,(M94)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M94)-(K34))))*(MAX($D$16,(M94)-(K34))),0.000001))^2)/(2*$I$5)))))+($D$10*(ABS((X34)-(W34))/90)*MAX(((ABS(I94)/MAX(((F34)+(H34)*(MAX($D$16,(AD94)-(J34))))*(MAX($D$16,(AD94)-(J34))),0.000001))^2)/(2*$I$5),((ABS(I94)/MAX(((G34)+(I34)*(MAX($D$16,(M94)-(K34))))*(MAX($D$16,(M94)-(K34))),0.000001))^2)/(2*$I$5)))+(0)-((ABS(I94)/MAX(((F34)+(H34)*(MAX($D$16,(AD94)-(J34))))*(MAX($D$16,(AD94)-(J34))),0.000001))^2)/(2*$I$5)</f>
        <v>635.51128720958343</v>
      </c>
      <c r="T94">
        <f ca="1">N94+((ABS(J94)/MAX(((G35)+(I35)*(MAX($D$16,(N94)-(K35))))*(MAX($D$16,(N94)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AD94)-(J35))))*(MAX($D$16,(AD94)-(J35))),0.000001)),$D$9*((((ABS(J94)/MAX(((G35)+(I35)*(MAX($D$16,(N94)-(K35))))*(MAX($D$16,(N94)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N94)-(K35))))*(MAX($D$16,(N94)-(K35))),0.000001))^2)/(2*$I$5)))))+($D$10*(ABS((X35)-(W35))/90)*MAX(((ABS(J94)/MAX(((F35)+(H35)*(MAX($D$16,(AD94)-(J35))))*(MAX($D$16,(AD94)-(J35))),0.000001))^2)/(2*$I$5),((ABS(J94)/MAX(((G35)+(I35)*(MAX($D$16,(N94)-(K35))))*(MAX($D$16,(N94)-(K35))),0.000001))^2)/(2*$I$5)))+(($D$11*0.34699541*(ABS(I94)/MAX(ABS(G94),0.000001))^2*MAX(((ABS(J94)/MAX(((F35)+(H35)*(MAX($D$16,(AD94)-(J35))))*(MAX($D$16,(AD94)-(J35))),0.000001))^2)/(2*$I$5),((ABS(J94)/MAX(((G35)+(I35)*(MAX($D$16,(N94)-(K35))))*(MAX($D$16,(N94)-(K35))),0.000001))^2)/(2*$I$5))))-((ABS(J94)/MAX(((F35)+(H35)*(MAX($D$16,(AD94)-(J35))))*(MAX($D$16,(AD94)-(J35))),0.000001))^2)/(2*$I$5)</f>
        <v>639.97429104455466</v>
      </c>
      <c r="U94">
        <f ca="1">((((G31)*(MAX($D$16,(AE94)-(K31)))^2)/2+(I31)*(MAX($D$16,(AE94)-(K31)))^3/3+(ABS(F94)^2)/($I$5*MAX(((G31)+(I31)*(MAX($D$16,(AE94)-(K31))))*(MAX($D$16,(AE94)-(K31))),0.000001)))-(IF(N6="None",((((F32)*(MAX($D$16,(AE94)-(J32)))^2)/2+(H32)*(MAX($D$16,(AE94)-(J32)))^3/3+(ABS(G94)^2)/($I$5*MAX(((F32)+(H32)*(MAX($D$16,(AE94)-(J32))))*(MAX($D$16,(AE94)-(J32))),0.000001)))*0.72785025),(((((F32)*(MAX($D$16,(AE94)-(J32)))^2)/2+(H32)*(MAX($D$16,(AE94)-(J32)))^3/3+(ABS(G94)^2)/($I$5*MAX(((F32)+(H32)*(MAX($D$16,(AE94)-(J32))))*(MAX($D$16,(AE94)-(J32))),0.000001)))*0.72785025)+((((F33)*(MAX($D$16,(AE94)-(J33)))^2)/2+(H33)*(MAX($D$16,(AE94)-(J33)))^3/3+(ABS(H94)^2)/($I$5*MAX(((F33)+(H33)*(MAX($D$16,(AE94)-(J33))))*(MAX($D$16,(AE94)-(J33))),0.000001)))*0.99999971)))))/MAX(((G31)*(MAX($D$16,(AE94)-(K31)))^2)/2+(I31)*(MAX($D$16,(AE94)-(K31)))^3/3+(ABS(F94)^2)/($I$5*MAX(((G31)+(I31)*(MAX($D$16,(AE94)-(K31))))*(MAX($D$16,(AE94)-(K31))),0.000001)),0.000001)</f>
        <v>0.27214975000000002</v>
      </c>
      <c r="V94">
        <f ca="1">((((G32)*(MAX($D$16,(AF94)-(K32)))^2)/2+(I32)*(MAX($D$16,(AF94)-(K32)))^3/3+(ABS(G94)^2)/($I$5*MAX(((G32)+(I32)*(MAX($D$16,(AF94)-(K32))))*(MAX($D$16,(AF94)-(K32))),0.000001)))-(IF(AND(N7="None",N8="None"),0,IF(N8="None",((((F34)*(MAX($D$16,(AF94)-(J34)))^2)/2+(H34)*(MAX($D$16,(AF94)-(J34)))^3/3+(ABS(I94)^2)/($I$5*MAX(((F34)+(H34)*(MAX($D$16,(AF94)-(J34))))*(MAX($D$16,(AF94)-(J34))),0.000001)))*1),IF(N7="None",((((F35)*(MAX($D$16,(AF94)-(J35)))^2)/2+(H35)*(MAX($D$16,(AF94)-(J35)))^3/3+(ABS(J94)^2)/($I$5*MAX(((F35)+(H35)*(MAX($D$16,(AF94)-(J35))))*(MAX($D$16,(AF94)-(J35))),0.000001)))*0.30600918),(((((F34)*(MAX($D$16,(AF94)-(J34)))^2)/2+(H34)*(MAX($D$16,(AF94)-(J34)))^3/3+(ABS(I94)^2)/($I$5*MAX(((F34)+(H34)*(MAX($D$16,(AF94)-(J34))))*(MAX($D$16,(AF94)-(J34))),0.000001)))*1)+((((F35)*(MAX($D$16,(AF94)-(J35)))^2)/2+(H35)*(MAX($D$16,(AF94)-(J35)))^3/3+(ABS(J94)^2)/($I$5*MAX(((F35)+(H35)*(MAX($D$16,(AF94)-(J35))))*(MAX($D$16,(AF94)-(J35))),0.000001)))*0.30600918)))))))/MAX(((G32)*(MAX($D$16,(AF94)-(K32)))^2)/2+(I32)*(MAX($D$16,(AF94)-(K32)))^3/3+(ABS(G94)^2)/($I$5*MAX(((G32)+(I32)*(MAX($D$16,(AF94)-(K32))))*(MAX($D$16,(AF94)-(K32))),0.000001)),0.000001)</f>
        <v>3.904177561081449E-2</v>
      </c>
      <c r="W94">
        <f ca="1">ABS((IF(N6="None",P94,MAX(P94,Q94)))-D94)</f>
        <v>5.7059776508866662</v>
      </c>
      <c r="X94">
        <f ca="1">ABS((IF(AND(N7="None",N8="None"),E94,IF(N8="None",S94,IF(N7="None",T94,MAX(S94,T94)))))-E94)</f>
        <v>8.0492902727456794</v>
      </c>
      <c r="Y94">
        <f>IF(N6="None",1,MIN(0.98,MAX(0.02,B94+$D$14*((Q94-P94)/MAX(ABS(D94),1)))))</f>
        <v>1</v>
      </c>
      <c r="Z94">
        <f ca="1">IF(AND(N7="None",N8="None"),C94,IF(N8="None",1,IF(N7="None",0,MIN(0.98,MAX(0.02,C94+$D$14*((T94-S94)/MAX(ABS(E94),1)))))))</f>
        <v>0.98</v>
      </c>
      <c r="AA94">
        <f t="shared" ca="1" si="16"/>
        <v>636.34536456638148</v>
      </c>
      <c r="AB94">
        <f t="shared" ca="1" si="17"/>
        <v>634.74259312333402</v>
      </c>
      <c r="AC94">
        <f ca="1">IF($D$20=0,D94,IF(AC94=0,(IF(N6="None",P94,MAX(P94,Q94))),IF(ABS((IF(N6="None",P94,MAX(P94,Q94)))-AC94)&lt;$D$19,AC94,MAX((K31)+$D$16,AC94+$D$13*(((IF(N6="None",P94,MAX(P94,Q94)))-AC94))))))</f>
        <v>640.05475514453997</v>
      </c>
      <c r="AD94">
        <f ca="1">IF($D$20=0,E94,IF(AD94=0,(IF(AND(N7="None",N8="None"),E94,IF(N8="None",S94,IF(N7="None",T94,MAX(S94,T94))))),IF(ABS((IF(AND(N7="None",N8="None"),E94,IF(N8="None",S94,IF(N7="None",T94,MAX(S94,T94)))))-AD94)&lt;$D$19,AD94,MAX((K32)+$D$16,AD94+$D$13*(((IF(AND(N7="None",N8="None"),E94,IF(N8="None",S94,IF(N7="None",T94,MAX(S94,T94)))))-AD94))))))</f>
        <v>639.97526463330917</v>
      </c>
      <c r="AE94">
        <f ca="1">IF($D$20=0,D94,IF(AE94=0,O94,IF(ABS(U94)&lt;$D$19,AE94,MAX((K31)+$D$16,AE94+($D$13*(((O94)-AE94)+(U94*MAX(ABS(AE94-(K31)),1))))))))</f>
        <v>634.34799999999996</v>
      </c>
      <c r="AF94">
        <f ca="1">IF($D$20=0,E94,IF(AF94=0,R94,IF(ABS(V94)&lt;$D$19,AF94,MAX((K32)+$D$16,AF94+($D$13*(((R94)-AF94)+(V94*MAX(ABS(AF94-(K32)),1))))))))</f>
        <v>631.92499999999995</v>
      </c>
      <c r="AG94">
        <f ca="1">((G31)*(MAX($D$16,(AC94)-(K31)))^2)/2+(I31)*(MAX($D$16,(AC94)-(K31)))^3/3+(ABS(F94)^2)/($I$5*MAX(((G31)+(I31)*(MAX($D$16,(AC94)-(K31))))*(MAX($D$16,(AC94)-(K31))),0.000001))</f>
        <v>115.68980551184316</v>
      </c>
      <c r="AH94">
        <f ca="1">((G31)*(MAX($D$16,(AE94)-(K31)))^2)/2+(I31)*(MAX($D$16,(AE94)-(K31)))^3/3+(ABS(F94)^2)/($I$5*MAX(((G31)+(I31)*(MAX($D$16,(AE94)-(K31))))*(MAX($D$16,(AE94)-(K31))),0.000001))</f>
        <v>808.60110594434002</v>
      </c>
      <c r="AI94">
        <f ca="1">((G32)*(MAX($D$16,(AD94)-(K32)))^2)/2+(I32)*(MAX($D$16,(AD94)-(K32)))^3/3+(ABS(G94)^2)/($I$5*MAX(((G32)+(I32)*(MAX($D$16,(AD94)-(K32))))*(MAX($D$16,(AD94)-(K32))),0.000001))</f>
        <v>338.03683729018678</v>
      </c>
      <c r="AJ94">
        <f ca="1">((G32)*(MAX($D$16,(AF94)-(K32)))^2)/2+(I32)*(MAX($D$16,(AF94)-(K32)))^3/3+(ABS(G94)^2)/($I$5*MAX(((G32)+(I32)*(MAX($D$16,(AF94)-(K32))))*(MAX($D$16,(AF94)-(K32))),0.000001))</f>
        <v>519.58480272613974</v>
      </c>
      <c r="AK94" t="str">
        <f t="shared" ca="1" si="18"/>
        <v>Supercritical</v>
      </c>
      <c r="AL94" t="str">
        <f t="shared" ca="1" si="19"/>
        <v>Supercritical</v>
      </c>
      <c r="AM94">
        <f t="shared" ca="1" si="20"/>
        <v>634.34800026579251</v>
      </c>
      <c r="AN94">
        <f t="shared" ca="1" si="21"/>
        <v>631.92500050167587</v>
      </c>
      <c r="AO94">
        <f t="shared" ca="1" si="22"/>
        <v>4.0891154640121385E-7</v>
      </c>
      <c r="AP94">
        <f t="shared" ca="1" si="23"/>
        <v>7.7180902735562995E-7</v>
      </c>
    </row>
    <row r="95" spans="1:42" x14ac:dyDescent="0.35">
      <c r="A95">
        <v>52</v>
      </c>
      <c r="B95">
        <f t="shared" si="24"/>
        <v>1</v>
      </c>
      <c r="C95">
        <f t="shared" ca="1" si="25"/>
        <v>0.98</v>
      </c>
      <c r="D95">
        <f t="shared" ca="1" si="26"/>
        <v>634.34800026579251</v>
      </c>
      <c r="E95">
        <f t="shared" ca="1" si="27"/>
        <v>631.92500050167587</v>
      </c>
      <c r="F95">
        <f t="shared" si="15"/>
        <v>51</v>
      </c>
      <c r="G95">
        <f>IF(N6="None",F95,MAX(0,F95*B95))</f>
        <v>51</v>
      </c>
      <c r="H95">
        <f>IF(N6="None",0,MAX(0,F95-G95))</f>
        <v>0</v>
      </c>
      <c r="I95">
        <f ca="1">IF(AND(N7="None",N8="None"),0,IF(N8="None",G95,IF(N7="None",0,MAX(0,G95*C95))))</f>
        <v>49.98</v>
      </c>
      <c r="J95">
        <f ca="1">IF(AND(N7="None",N8="None"),0,IF(N8="None",0,IF(N7="None",G95,MAX(0,G95-I95))))</f>
        <v>1.0200000000000031</v>
      </c>
      <c r="K95">
        <f>P5</f>
        <v>637</v>
      </c>
      <c r="L95">
        <f>P6</f>
        <v>634.3119999999999</v>
      </c>
      <c r="M95">
        <f>P7</f>
        <v>635.5</v>
      </c>
      <c r="N95">
        <f>P8</f>
        <v>631.54999999999995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-2091.5872404992097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640.05397805979817</v>
      </c>
      <c r="Q95">
        <f ca="1">L95+((ABS(H95)/MAX(((G33)+(I33)*(MAX($D$16,(L95)-(K33))))*(MAX($D$16,(L95)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AC95)-(J33))))*(MAX($D$16,(AC95)-(J33))),0.000001)),$D$9*((((ABS(H95)/MAX(((G33)+(I33)*(MAX($D$16,(L95)-(K33))))*(MAX($D$16,(L95)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L95)-(K33))))*(MAX($D$16,(L95)-(K33))),0.000001))^2)/(2*$I$5)))))+($D$10*(ABS((X33)-(W33))/90)*MAX(((ABS(H95)/MAX(((F33)+(H33)*(MAX($D$16,(AC95)-(J33))))*(MAX($D$16,(AC95)-(J33))),0.000001))^2)/(2*$I$5),((ABS(H95)/MAX(((G33)+(I33)*(MAX($D$16,(L95)-(K33))))*(MAX($D$16,(L95)-(K33))),0.000001))^2)/(2*$I$5)))+(($D$11*0.00000015*(ABS(G95)/MAX(ABS(F95),0.000001))^2*MAX(((ABS(H95)/MAX(((F33)+(H33)*(MAX($D$16,(AC95)-(J33))))*(MAX($D$16,(AC95)-(J33))),0.000001))^2)/(2*$I$5),((ABS(H95)/MAX(((G33)+(I33)*(MAX($D$16,(L95)-(K33))))*(MAX($D$16,(L95)-(K33))),0.000001))^2)/(2*$I$5))))-((ABS(H95)/MAX(((F33)+(H33)*(MAX($D$16,(AC95)-(J33))))*(MAX($D$16,(AC95)-(J33))),0.000001))^2)/(2*$I$5)</f>
        <v>634.3119999999999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-292118.81246378768</v>
      </c>
      <c r="S95">
        <f ca="1">M95+((ABS(I95)/MAX(((G34)+(I34)*(MAX($D$16,(M95)-(K34))))*(MAX($D$16,(M95)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AD95)-(J34))))*(MAX($D$16,(AD95)-(J34))),0.000001)),$D$9*((((ABS(I95)/MAX(((G34)+(I34)*(MAX($D$16,(M95)-(K34))))*(MAX($D$16,(M95)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M95)-(K34))))*(MAX($D$16,(M95)-(K34))),0.000001))^2)/(2*$I$5)))))+($D$10*(ABS((X34)-(W34))/90)*MAX(((ABS(I95)/MAX(((F34)+(H34)*(MAX($D$16,(AD95)-(J34))))*(MAX($D$16,(AD95)-(J34))),0.000001))^2)/(2*$I$5),((ABS(I95)/MAX(((G34)+(I34)*(MAX($D$16,(M95)-(K34))))*(MAX($D$16,(M95)-(K34))),0.000001))^2)/(2*$I$5)))+(0)-((ABS(I95)/MAX(((F34)+(H34)*(MAX($D$16,(AD95)-(J34))))*(MAX($D$16,(AD95)-(J34))),0.000001))^2)/(2*$I$5)</f>
        <v>635.51128720958343</v>
      </c>
      <c r="T95">
        <f ca="1">N95+((ABS(J95)/MAX(((G35)+(I35)*(MAX($D$16,(N95)-(K35))))*(MAX($D$16,(N95)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AD95)-(J35))))*(MAX($D$16,(AD95)-(J35))),0.000001)),$D$9*((((ABS(J95)/MAX(((G35)+(I35)*(MAX($D$16,(N95)-(K35))))*(MAX($D$16,(N95)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N95)-(K35))))*(MAX($D$16,(N95)-(K35))),0.000001))^2)/(2*$I$5)))))+($D$10*(ABS((X35)-(W35))/90)*MAX(((ABS(J95)/MAX(((F35)+(H35)*(MAX($D$16,(AD95)-(J35))))*(MAX($D$16,(AD95)-(J35))),0.000001))^2)/(2*$I$5),((ABS(J95)/MAX(((G35)+(I35)*(MAX($D$16,(N95)-(K35))))*(MAX($D$16,(N95)-(K35))),0.000001))^2)/(2*$I$5)))+(($D$11*0.34699541*(ABS(I95)/MAX(ABS(G95),0.000001))^2*MAX(((ABS(J95)/MAX(((F35)+(H35)*(MAX($D$16,(AD95)-(J35))))*(MAX($D$16,(AD95)-(J35))),0.000001))^2)/(2*$I$5),((ABS(J95)/MAX(((G35)+(I35)*(MAX($D$16,(N95)-(K35))))*(MAX($D$16,(N95)-(K35))),0.000001))^2)/(2*$I$5))))-((ABS(J95)/MAX(((F35)+(H35)*(MAX($D$16,(AD95)-(J35))))*(MAX($D$16,(AD95)-(J35))),0.000001))^2)/(2*$I$5)</f>
        <v>639.97429104455466</v>
      </c>
      <c r="U95">
        <f ca="1">((((G31)*(MAX($D$16,(AE95)-(K31)))^2)/2+(I31)*(MAX($D$16,(AE95)-(K31)))^3/3+(ABS(F95)^2)/($I$5*MAX(((G31)+(I31)*(MAX($D$16,(AE95)-(K31))))*(MAX($D$16,(AE95)-(K31))),0.000001)))-(IF(N6="None",((((F32)*(MAX($D$16,(AE95)-(J32)))^2)/2+(H32)*(MAX($D$16,(AE95)-(J32)))^3/3+(ABS(G95)^2)/($I$5*MAX(((F32)+(H32)*(MAX($D$16,(AE95)-(J32))))*(MAX($D$16,(AE95)-(J32))),0.000001)))*0.72785025),(((((F32)*(MAX($D$16,(AE95)-(J32)))^2)/2+(H32)*(MAX($D$16,(AE95)-(J32)))^3/3+(ABS(G95)^2)/($I$5*MAX(((F32)+(H32)*(MAX($D$16,(AE95)-(J32))))*(MAX($D$16,(AE95)-(J32))),0.000001)))*0.72785025)+((((F33)*(MAX($D$16,(AE95)-(J33)))^2)/2+(H33)*(MAX($D$16,(AE95)-(J33)))^3/3+(ABS(H95)^2)/($I$5*MAX(((F33)+(H33)*(MAX($D$16,(AE95)-(J33))))*(MAX($D$16,(AE95)-(J33))),0.000001)))*0.99999971)))))/MAX(((G31)*(MAX($D$16,(AE95)-(K31)))^2)/2+(I31)*(MAX($D$16,(AE95)-(K31)))^3/3+(ABS(F95)^2)/($I$5*MAX(((G31)+(I31)*(MAX($D$16,(AE95)-(K31))))*(MAX($D$16,(AE95)-(K31))),0.000001)),0.000001)</f>
        <v>0.27214975000000002</v>
      </c>
      <c r="V95">
        <f ca="1">((((G32)*(MAX($D$16,(AF95)-(K32)))^2)/2+(I32)*(MAX($D$16,(AF95)-(K32)))^3/3+(ABS(G95)^2)/($I$5*MAX(((G32)+(I32)*(MAX($D$16,(AF95)-(K32))))*(MAX($D$16,(AF95)-(K32))),0.000001)))-(IF(AND(N7="None",N8="None"),0,IF(N8="None",((((F34)*(MAX($D$16,(AF95)-(J34)))^2)/2+(H34)*(MAX($D$16,(AF95)-(J34)))^3/3+(ABS(I95)^2)/($I$5*MAX(((F34)+(H34)*(MAX($D$16,(AF95)-(J34))))*(MAX($D$16,(AF95)-(J34))),0.000001)))*1),IF(N7="None",((((F35)*(MAX($D$16,(AF95)-(J35)))^2)/2+(H35)*(MAX($D$16,(AF95)-(J35)))^3/3+(ABS(J95)^2)/($I$5*MAX(((F35)+(H35)*(MAX($D$16,(AF95)-(J35))))*(MAX($D$16,(AF95)-(J35))),0.000001)))*0.30600918),(((((F34)*(MAX($D$16,(AF95)-(J34)))^2)/2+(H34)*(MAX($D$16,(AF95)-(J34)))^3/3+(ABS(I95)^2)/($I$5*MAX(((F34)+(H34)*(MAX($D$16,(AF95)-(J34))))*(MAX($D$16,(AF95)-(J34))),0.000001)))*1)+((((F35)*(MAX($D$16,(AF95)-(J35)))^2)/2+(H35)*(MAX($D$16,(AF95)-(J35)))^3/3+(ABS(J95)^2)/($I$5*MAX(((F35)+(H35)*(MAX($D$16,(AF95)-(J35))))*(MAX($D$16,(AF95)-(J35))),0.000001)))*0.30600918)))))))/MAX(((G32)*(MAX($D$16,(AF95)-(K32)))^2)/2+(I32)*(MAX($D$16,(AF95)-(K32)))^3/3+(ABS(G95)^2)/($I$5*MAX(((G32)+(I32)*(MAX($D$16,(AF95)-(K32))))*(MAX($D$16,(AF95)-(K32))),0.000001)),0.000001)</f>
        <v>3.904177561081449E-2</v>
      </c>
      <c r="W95">
        <f ca="1">ABS((IF(N6="None",P95,MAX(P95,Q95)))-D95)</f>
        <v>5.705977794005662</v>
      </c>
      <c r="X95">
        <f ca="1">ABS((IF(AND(N7="None",N8="None"),E95,IF(N8="None",S95,IF(N7="None",T95,MAX(S95,T95)))))-E95)</f>
        <v>8.0492905428787935</v>
      </c>
      <c r="Y95">
        <f>IF(N6="None",1,MIN(0.98,MAX(0.02,B95+$D$14*((Q95-P95)/MAX(ABS(D95),1)))))</f>
        <v>1</v>
      </c>
      <c r="Z95">
        <f ca="1">IF(AND(N7="None",N8="None"),C95,IF(N8="None",1,IF(N7="None",0,MIN(0.98,MAX(0.02,C95+$D$14*((T95-S95)/MAX(ABS(E95),1)))))))</f>
        <v>0.98</v>
      </c>
      <c r="AA95">
        <f t="shared" ca="1" si="16"/>
        <v>636.34536447335415</v>
      </c>
      <c r="AB95">
        <f t="shared" ca="1" si="17"/>
        <v>634.74259294774754</v>
      </c>
      <c r="AC95">
        <f ca="1">IF($D$20=0,D95,IF(AC95=0,(IF(N6="None",P95,MAX(P95,Q95))),IF(ABS((IF(N6="None",P95,MAX(P95,Q95)))-AC95)&lt;$D$19,AC95,MAX((K31)+$D$16,AC95+$D$13*(((IF(N6="None",P95,MAX(P95,Q95)))-AC95))))))</f>
        <v>640.05475514453997</v>
      </c>
      <c r="AD95">
        <f ca="1">IF($D$20=0,E95,IF(AD95=0,(IF(AND(N7="None",N8="None"),E95,IF(N8="None",S95,IF(N7="None",T95,MAX(S95,T95))))),IF(ABS((IF(AND(N7="None",N8="None"),E95,IF(N8="None",S95,IF(N7="None",T95,MAX(S95,T95)))))-AD95)&lt;$D$19,AD95,MAX((K32)+$D$16,AD95+$D$13*(((IF(AND(N7="None",N8="None"),E95,IF(N8="None",S95,IF(N7="None",T95,MAX(S95,T95)))))-AD95))))))</f>
        <v>639.97526463330917</v>
      </c>
      <c r="AE95">
        <f ca="1">IF($D$20=0,D95,IF(AE95=0,O95,IF(ABS(U95)&lt;$D$19,AE95,MAX((K31)+$D$16,AE95+($D$13*(((O95)-AE95)+(U95*MAX(ABS(AE95-(K31)),1))))))))</f>
        <v>634.34799999999996</v>
      </c>
      <c r="AF95">
        <f ca="1">IF($D$20=0,E95,IF(AF95=0,R95,IF(ABS(V95)&lt;$D$19,AF95,MAX((K32)+$D$16,AF95+($D$13*(((R95)-AF95)+(V95*MAX(ABS(AF95-(K32)),1))))))))</f>
        <v>631.92499999999995</v>
      </c>
      <c r="AG95">
        <f ca="1">((G31)*(MAX($D$16,(AC95)-(K31)))^2)/2+(I31)*(MAX($D$16,(AC95)-(K31)))^3/3+(ABS(F95)^2)/($I$5*MAX(((G31)+(I31)*(MAX($D$16,(AC95)-(K31))))*(MAX($D$16,(AC95)-(K31))),0.000001))</f>
        <v>115.68980551184316</v>
      </c>
      <c r="AH95">
        <f ca="1">((G31)*(MAX($D$16,(AE95)-(K31)))^2)/2+(I31)*(MAX($D$16,(AE95)-(K31)))^3/3+(ABS(F95)^2)/($I$5*MAX(((G31)+(I31)*(MAX($D$16,(AE95)-(K31))))*(MAX($D$16,(AE95)-(K31))),0.000001))</f>
        <v>808.60110594434002</v>
      </c>
      <c r="AI95">
        <f ca="1">((G32)*(MAX($D$16,(AD95)-(K32)))^2)/2+(I32)*(MAX($D$16,(AD95)-(K32)))^3/3+(ABS(G95)^2)/($I$5*MAX(((G32)+(I32)*(MAX($D$16,(AD95)-(K32))))*(MAX($D$16,(AD95)-(K32))),0.000001))</f>
        <v>338.03683729018678</v>
      </c>
      <c r="AJ95">
        <f ca="1">((G32)*(MAX($D$16,(AF95)-(K32)))^2)/2+(I32)*(MAX($D$16,(AF95)-(K32)))^3/3+(ABS(G95)^2)/($I$5*MAX(((G32)+(I32)*(MAX($D$16,(AF95)-(K32))))*(MAX($D$16,(AF95)-(K32))),0.000001))</f>
        <v>519.58480272613974</v>
      </c>
      <c r="AK95" t="str">
        <f t="shared" ca="1" si="18"/>
        <v>Supercritical</v>
      </c>
      <c r="AL95" t="str">
        <f t="shared" ca="1" si="19"/>
        <v>Supercritical</v>
      </c>
      <c r="AM95">
        <f t="shared" ca="1" si="20"/>
        <v>634.34800017276507</v>
      </c>
      <c r="AN95">
        <f t="shared" ca="1" si="21"/>
        <v>631.92500032608928</v>
      </c>
      <c r="AO95">
        <f t="shared" ca="1" si="22"/>
        <v>2.6579255063552409E-7</v>
      </c>
      <c r="AP95">
        <f t="shared" ca="1" si="23"/>
        <v>5.0167591325589456E-7</v>
      </c>
    </row>
    <row r="96" spans="1:42" x14ac:dyDescent="0.35">
      <c r="A96">
        <v>53</v>
      </c>
      <c r="B96">
        <f t="shared" si="24"/>
        <v>1</v>
      </c>
      <c r="C96">
        <f t="shared" ca="1" si="25"/>
        <v>0.98</v>
      </c>
      <c r="D96">
        <f t="shared" ca="1" si="26"/>
        <v>634.34800017276507</v>
      </c>
      <c r="E96">
        <f t="shared" ca="1" si="27"/>
        <v>631.92500032608928</v>
      </c>
      <c r="F96">
        <f t="shared" si="15"/>
        <v>51</v>
      </c>
      <c r="G96">
        <f>IF(N6="None",F96,MAX(0,F96*B96))</f>
        <v>51</v>
      </c>
      <c r="H96">
        <f>IF(N6="None",0,MAX(0,F96-G96))</f>
        <v>0</v>
      </c>
      <c r="I96">
        <f ca="1">IF(AND(N7="None",N8="None"),0,IF(N8="None",G96,IF(N7="None",0,MAX(0,G96*C96))))</f>
        <v>49.98</v>
      </c>
      <c r="J96">
        <f ca="1">IF(AND(N7="None",N8="None"),0,IF(N8="None",0,IF(N7="None",G96,MAX(0,G96-I96))))</f>
        <v>1.0200000000000031</v>
      </c>
      <c r="K96">
        <f>P5</f>
        <v>637</v>
      </c>
      <c r="L96">
        <f>P6</f>
        <v>634.3119999999999</v>
      </c>
      <c r="M96">
        <f>P7</f>
        <v>635.5</v>
      </c>
      <c r="N96">
        <f>P8</f>
        <v>631.54999999999995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-2091.5872404992097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640.05397805979817</v>
      </c>
      <c r="Q96">
        <f ca="1">L96+((ABS(H96)/MAX(((G33)+(I33)*(MAX($D$16,(L96)-(K33))))*(MAX($D$16,(L96)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AC96)-(J33))))*(MAX($D$16,(AC96)-(J33))),0.000001)),$D$9*((((ABS(H96)/MAX(((G33)+(I33)*(MAX($D$16,(L96)-(K33))))*(MAX($D$16,(L96)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L96)-(K33))))*(MAX($D$16,(L96)-(K33))),0.000001))^2)/(2*$I$5)))))+($D$10*(ABS((X33)-(W33))/90)*MAX(((ABS(H96)/MAX(((F33)+(H33)*(MAX($D$16,(AC96)-(J33))))*(MAX($D$16,(AC96)-(J33))),0.000001))^2)/(2*$I$5),((ABS(H96)/MAX(((G33)+(I33)*(MAX($D$16,(L96)-(K33))))*(MAX($D$16,(L96)-(K33))),0.000001))^2)/(2*$I$5)))+(($D$11*0.00000015*(ABS(G96)/MAX(ABS(F96),0.000001))^2*MAX(((ABS(H96)/MAX(((F33)+(H33)*(MAX($D$16,(AC96)-(J33))))*(MAX($D$16,(AC96)-(J33))),0.000001))^2)/(2*$I$5),((ABS(H96)/MAX(((G33)+(I33)*(MAX($D$16,(L96)-(K33))))*(MAX($D$16,(L96)-(K33))),0.000001))^2)/(2*$I$5))))-((ABS(H96)/MAX(((F33)+(H33)*(MAX($D$16,(AC96)-(J33))))*(MAX($D$16,(AC96)-(J33))),0.000001))^2)/(2*$I$5)</f>
        <v>634.3119999999999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-292118.81246378768</v>
      </c>
      <c r="S96">
        <f ca="1">M96+((ABS(I96)/MAX(((G34)+(I34)*(MAX($D$16,(M96)-(K34))))*(MAX($D$16,(M96)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AD96)-(J34))))*(MAX($D$16,(AD96)-(J34))),0.000001)),$D$9*((((ABS(I96)/MAX(((G34)+(I34)*(MAX($D$16,(M96)-(K34))))*(MAX($D$16,(M96)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M96)-(K34))))*(MAX($D$16,(M96)-(K34))),0.000001))^2)/(2*$I$5)))))+($D$10*(ABS((X34)-(W34))/90)*MAX(((ABS(I96)/MAX(((F34)+(H34)*(MAX($D$16,(AD96)-(J34))))*(MAX($D$16,(AD96)-(J34))),0.000001))^2)/(2*$I$5),((ABS(I96)/MAX(((G34)+(I34)*(MAX($D$16,(M96)-(K34))))*(MAX($D$16,(M96)-(K34))),0.000001))^2)/(2*$I$5)))+(0)-((ABS(I96)/MAX(((F34)+(H34)*(MAX($D$16,(AD96)-(J34))))*(MAX($D$16,(AD96)-(J34))),0.000001))^2)/(2*$I$5)</f>
        <v>635.51128720958343</v>
      </c>
      <c r="T96">
        <f ca="1">N96+((ABS(J96)/MAX(((G35)+(I35)*(MAX($D$16,(N96)-(K35))))*(MAX($D$16,(N96)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AD96)-(J35))))*(MAX($D$16,(AD96)-(J35))),0.000001)),$D$9*((((ABS(J96)/MAX(((G35)+(I35)*(MAX($D$16,(N96)-(K35))))*(MAX($D$16,(N96)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N96)-(K35))))*(MAX($D$16,(N96)-(K35))),0.000001))^2)/(2*$I$5)))))+($D$10*(ABS((X35)-(W35))/90)*MAX(((ABS(J96)/MAX(((F35)+(H35)*(MAX($D$16,(AD96)-(J35))))*(MAX($D$16,(AD96)-(J35))),0.000001))^2)/(2*$I$5),((ABS(J96)/MAX(((G35)+(I35)*(MAX($D$16,(N96)-(K35))))*(MAX($D$16,(N96)-(K35))),0.000001))^2)/(2*$I$5)))+(($D$11*0.34699541*(ABS(I96)/MAX(ABS(G96),0.000001))^2*MAX(((ABS(J96)/MAX(((F35)+(H35)*(MAX($D$16,(AD96)-(J35))))*(MAX($D$16,(AD96)-(J35))),0.000001))^2)/(2*$I$5),((ABS(J96)/MAX(((G35)+(I35)*(MAX($D$16,(N96)-(K35))))*(MAX($D$16,(N96)-(K35))),0.000001))^2)/(2*$I$5))))-((ABS(J96)/MAX(((F35)+(H35)*(MAX($D$16,(AD96)-(J35))))*(MAX($D$16,(AD96)-(J35))),0.000001))^2)/(2*$I$5)</f>
        <v>639.97429104455466</v>
      </c>
      <c r="U96">
        <f ca="1">((((G31)*(MAX($D$16,(AE96)-(K31)))^2)/2+(I31)*(MAX($D$16,(AE96)-(K31)))^3/3+(ABS(F96)^2)/($I$5*MAX(((G31)+(I31)*(MAX($D$16,(AE96)-(K31))))*(MAX($D$16,(AE96)-(K31))),0.000001)))-(IF(N6="None",((((F32)*(MAX($D$16,(AE96)-(J32)))^2)/2+(H32)*(MAX($D$16,(AE96)-(J32)))^3/3+(ABS(G96)^2)/($I$5*MAX(((F32)+(H32)*(MAX($D$16,(AE96)-(J32))))*(MAX($D$16,(AE96)-(J32))),0.000001)))*0.72785025),(((((F32)*(MAX($D$16,(AE96)-(J32)))^2)/2+(H32)*(MAX($D$16,(AE96)-(J32)))^3/3+(ABS(G96)^2)/($I$5*MAX(((F32)+(H32)*(MAX($D$16,(AE96)-(J32))))*(MAX($D$16,(AE96)-(J32))),0.000001)))*0.72785025)+((((F33)*(MAX($D$16,(AE96)-(J33)))^2)/2+(H33)*(MAX($D$16,(AE96)-(J33)))^3/3+(ABS(H96)^2)/($I$5*MAX(((F33)+(H33)*(MAX($D$16,(AE96)-(J33))))*(MAX($D$16,(AE96)-(J33))),0.000001)))*0.99999971)))))/MAX(((G31)*(MAX($D$16,(AE96)-(K31)))^2)/2+(I31)*(MAX($D$16,(AE96)-(K31)))^3/3+(ABS(F96)^2)/($I$5*MAX(((G31)+(I31)*(MAX($D$16,(AE96)-(K31))))*(MAX($D$16,(AE96)-(K31))),0.000001)),0.000001)</f>
        <v>0.27214975000000002</v>
      </c>
      <c r="V96">
        <f ca="1">((((G32)*(MAX($D$16,(AF96)-(K32)))^2)/2+(I32)*(MAX($D$16,(AF96)-(K32)))^3/3+(ABS(G96)^2)/($I$5*MAX(((G32)+(I32)*(MAX($D$16,(AF96)-(K32))))*(MAX($D$16,(AF96)-(K32))),0.000001)))-(IF(AND(N7="None",N8="None"),0,IF(N8="None",((((F34)*(MAX($D$16,(AF96)-(J34)))^2)/2+(H34)*(MAX($D$16,(AF96)-(J34)))^3/3+(ABS(I96)^2)/($I$5*MAX(((F34)+(H34)*(MAX($D$16,(AF96)-(J34))))*(MAX($D$16,(AF96)-(J34))),0.000001)))*1),IF(N7="None",((((F35)*(MAX($D$16,(AF96)-(J35)))^2)/2+(H35)*(MAX($D$16,(AF96)-(J35)))^3/3+(ABS(J96)^2)/($I$5*MAX(((F35)+(H35)*(MAX($D$16,(AF96)-(J35))))*(MAX($D$16,(AF96)-(J35))),0.000001)))*0.30600918),(((((F34)*(MAX($D$16,(AF96)-(J34)))^2)/2+(H34)*(MAX($D$16,(AF96)-(J34)))^3/3+(ABS(I96)^2)/($I$5*MAX(((F34)+(H34)*(MAX($D$16,(AF96)-(J34))))*(MAX($D$16,(AF96)-(J34))),0.000001)))*1)+((((F35)*(MAX($D$16,(AF96)-(J35)))^2)/2+(H35)*(MAX($D$16,(AF96)-(J35)))^3/3+(ABS(J96)^2)/($I$5*MAX(((F35)+(H35)*(MAX($D$16,(AF96)-(J35))))*(MAX($D$16,(AF96)-(J35))),0.000001)))*0.30600918)))))))/MAX(((G32)*(MAX($D$16,(AF96)-(K32)))^2)/2+(I32)*(MAX($D$16,(AF96)-(K32)))^3/3+(ABS(G96)^2)/($I$5*MAX(((G32)+(I32)*(MAX($D$16,(AF96)-(K32))))*(MAX($D$16,(AF96)-(K32))),0.000001)),0.000001)</f>
        <v>3.904177561081449E-2</v>
      </c>
      <c r="W96">
        <f ca="1">ABS((IF(N6="None",P96,MAX(P96,Q96)))-D96)</f>
        <v>5.7059778870331002</v>
      </c>
      <c r="X96">
        <f ca="1">ABS((IF(AND(N7="None",N8="None"),E96,IF(N8="None",S96,IF(N7="None",T96,MAX(S96,T96)))))-E96)</f>
        <v>8.0492907184653859</v>
      </c>
      <c r="Y96">
        <f>IF(N6="None",1,MIN(0.98,MAX(0.02,B96+$D$14*((Q96-P96)/MAX(ABS(D96),1)))))</f>
        <v>1</v>
      </c>
      <c r="Z96">
        <f ca="1">IF(AND(N7="None",N8="None"),C96,IF(N8="None",1,IF(N7="None",0,MIN(0.98,MAX(0.02,C96+$D$14*((T96-S96)/MAX(ABS(E96),1)))))))</f>
        <v>0.98</v>
      </c>
      <c r="AA96">
        <f t="shared" ca="1" si="16"/>
        <v>636.34536441288628</v>
      </c>
      <c r="AB96">
        <f t="shared" ca="1" si="17"/>
        <v>634.74259283361619</v>
      </c>
      <c r="AC96">
        <f ca="1">IF($D$20=0,D96,IF(AC96=0,(IF(N6="None",P96,MAX(P96,Q96))),IF(ABS((IF(N6="None",P96,MAX(P96,Q96)))-AC96)&lt;$D$19,AC96,MAX((K31)+$D$16,AC96+$D$13*(((IF(N6="None",P96,MAX(P96,Q96)))-AC96))))))</f>
        <v>640.05475514453997</v>
      </c>
      <c r="AD96">
        <f ca="1">IF($D$20=0,E96,IF(AD96=0,(IF(AND(N7="None",N8="None"),E96,IF(N8="None",S96,IF(N7="None",T96,MAX(S96,T96))))),IF(ABS((IF(AND(N7="None",N8="None"),E96,IF(N8="None",S96,IF(N7="None",T96,MAX(S96,T96)))))-AD96)&lt;$D$19,AD96,MAX((K32)+$D$16,AD96+$D$13*(((IF(AND(N7="None",N8="None"),E96,IF(N8="None",S96,IF(N7="None",T96,MAX(S96,T96)))))-AD96))))))</f>
        <v>639.97526463330917</v>
      </c>
      <c r="AE96">
        <f ca="1">IF($D$20=0,D96,IF(AE96=0,O96,IF(ABS(U96)&lt;$D$19,AE96,MAX((K31)+$D$16,AE96+($D$13*(((O96)-AE96)+(U96*MAX(ABS(AE96-(K31)),1))))))))</f>
        <v>634.34799999999996</v>
      </c>
      <c r="AF96">
        <f ca="1">IF($D$20=0,E96,IF(AF96=0,R96,IF(ABS(V96)&lt;$D$19,AF96,MAX((K32)+$D$16,AF96+($D$13*(((R96)-AF96)+(V96*MAX(ABS(AF96-(K32)),1))))))))</f>
        <v>631.92499999999995</v>
      </c>
      <c r="AG96">
        <f ca="1">((G31)*(MAX($D$16,(AC96)-(K31)))^2)/2+(I31)*(MAX($D$16,(AC96)-(K31)))^3/3+(ABS(F96)^2)/($I$5*MAX(((G31)+(I31)*(MAX($D$16,(AC96)-(K31))))*(MAX($D$16,(AC96)-(K31))),0.000001))</f>
        <v>115.68980551184316</v>
      </c>
      <c r="AH96">
        <f ca="1">((G31)*(MAX($D$16,(AE96)-(K31)))^2)/2+(I31)*(MAX($D$16,(AE96)-(K31)))^3/3+(ABS(F96)^2)/($I$5*MAX(((G31)+(I31)*(MAX($D$16,(AE96)-(K31))))*(MAX($D$16,(AE96)-(K31))),0.000001))</f>
        <v>808.60110594434002</v>
      </c>
      <c r="AI96">
        <f ca="1">((G32)*(MAX($D$16,(AD96)-(K32)))^2)/2+(I32)*(MAX($D$16,(AD96)-(K32)))^3/3+(ABS(G96)^2)/($I$5*MAX(((G32)+(I32)*(MAX($D$16,(AD96)-(K32))))*(MAX($D$16,(AD96)-(K32))),0.000001))</f>
        <v>338.03683729018678</v>
      </c>
      <c r="AJ96">
        <f ca="1">((G32)*(MAX($D$16,(AF96)-(K32)))^2)/2+(I32)*(MAX($D$16,(AF96)-(K32)))^3/3+(ABS(G96)^2)/($I$5*MAX(((G32)+(I32)*(MAX($D$16,(AF96)-(K32))))*(MAX($D$16,(AF96)-(K32))),0.000001))</f>
        <v>519.58480272613974</v>
      </c>
      <c r="AK96" t="str">
        <f t="shared" ca="1" si="18"/>
        <v>Supercritical</v>
      </c>
      <c r="AL96" t="str">
        <f t="shared" ca="1" si="19"/>
        <v>Supercritical</v>
      </c>
      <c r="AM96">
        <f t="shared" ca="1" si="20"/>
        <v>634.34800011229731</v>
      </c>
      <c r="AN96">
        <f t="shared" ca="1" si="21"/>
        <v>631.92500021195804</v>
      </c>
      <c r="AO96">
        <f t="shared" ca="1" si="22"/>
        <v>1.7276511243835557E-7</v>
      </c>
      <c r="AP96">
        <f t="shared" ca="1" si="23"/>
        <v>3.2608932087896392E-7</v>
      </c>
    </row>
    <row r="97" spans="1:42" x14ac:dyDescent="0.35">
      <c r="A97">
        <v>54</v>
      </c>
      <c r="B97">
        <f t="shared" si="24"/>
        <v>1</v>
      </c>
      <c r="C97">
        <f t="shared" ca="1" si="25"/>
        <v>0.98</v>
      </c>
      <c r="D97">
        <f t="shared" ca="1" si="26"/>
        <v>634.34800011229731</v>
      </c>
      <c r="E97">
        <f t="shared" ca="1" si="27"/>
        <v>631.92500021195804</v>
      </c>
      <c r="F97">
        <f t="shared" si="15"/>
        <v>51</v>
      </c>
      <c r="G97">
        <f>IF(N6="None",F97,MAX(0,F97*B97))</f>
        <v>51</v>
      </c>
      <c r="H97">
        <f>IF(N6="None",0,MAX(0,F97-G97))</f>
        <v>0</v>
      </c>
      <c r="I97">
        <f ca="1">IF(AND(N7="None",N8="None"),0,IF(N8="None",G97,IF(N7="None",0,MAX(0,G97*C97))))</f>
        <v>49.98</v>
      </c>
      <c r="J97">
        <f ca="1">IF(AND(N7="None",N8="None"),0,IF(N8="None",0,IF(N7="None",G97,MAX(0,G97-I97))))</f>
        <v>1.0200000000000031</v>
      </c>
      <c r="K97">
        <f>P5</f>
        <v>637</v>
      </c>
      <c r="L97">
        <f>P6</f>
        <v>634.3119999999999</v>
      </c>
      <c r="M97">
        <f>P7</f>
        <v>635.5</v>
      </c>
      <c r="N97">
        <f>P8</f>
        <v>631.54999999999995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-2091.5872404992097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640.05397805979817</v>
      </c>
      <c r="Q97">
        <f ca="1">L97+((ABS(H97)/MAX(((G33)+(I33)*(MAX($D$16,(L97)-(K33))))*(MAX($D$16,(L97)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AC97)-(J33))))*(MAX($D$16,(AC97)-(J33))),0.000001)),$D$9*((((ABS(H97)/MAX(((G33)+(I33)*(MAX($D$16,(L97)-(K33))))*(MAX($D$16,(L97)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L97)-(K33))))*(MAX($D$16,(L97)-(K33))),0.000001))^2)/(2*$I$5)))))+($D$10*(ABS((X33)-(W33))/90)*MAX(((ABS(H97)/MAX(((F33)+(H33)*(MAX($D$16,(AC97)-(J33))))*(MAX($D$16,(AC97)-(J33))),0.000001))^2)/(2*$I$5),((ABS(H97)/MAX(((G33)+(I33)*(MAX($D$16,(L97)-(K33))))*(MAX($D$16,(L97)-(K33))),0.000001))^2)/(2*$I$5)))+(($D$11*0.00000015*(ABS(G97)/MAX(ABS(F97),0.000001))^2*MAX(((ABS(H97)/MAX(((F33)+(H33)*(MAX($D$16,(AC97)-(J33))))*(MAX($D$16,(AC97)-(J33))),0.000001))^2)/(2*$I$5),((ABS(H97)/MAX(((G33)+(I33)*(MAX($D$16,(L97)-(K33))))*(MAX($D$16,(L97)-(K33))),0.000001))^2)/(2*$I$5))))-((ABS(H97)/MAX(((F33)+(H33)*(MAX($D$16,(AC97)-(J33))))*(MAX($D$16,(AC97)-(J33))),0.000001))^2)/(2*$I$5)</f>
        <v>634.3119999999999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-292118.81246378768</v>
      </c>
      <c r="S97">
        <f ca="1">M97+((ABS(I97)/MAX(((G34)+(I34)*(MAX($D$16,(M97)-(K34))))*(MAX($D$16,(M97)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AD97)-(J34))))*(MAX($D$16,(AD97)-(J34))),0.000001)),$D$9*((((ABS(I97)/MAX(((G34)+(I34)*(MAX($D$16,(M97)-(K34))))*(MAX($D$16,(M97)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M97)-(K34))))*(MAX($D$16,(M97)-(K34))),0.000001))^2)/(2*$I$5)))))+($D$10*(ABS((X34)-(W34))/90)*MAX(((ABS(I97)/MAX(((F34)+(H34)*(MAX($D$16,(AD97)-(J34))))*(MAX($D$16,(AD97)-(J34))),0.000001))^2)/(2*$I$5),((ABS(I97)/MAX(((G34)+(I34)*(MAX($D$16,(M97)-(K34))))*(MAX($D$16,(M97)-(K34))),0.000001))^2)/(2*$I$5)))+(0)-((ABS(I97)/MAX(((F34)+(H34)*(MAX($D$16,(AD97)-(J34))))*(MAX($D$16,(AD97)-(J34))),0.000001))^2)/(2*$I$5)</f>
        <v>635.51128720958343</v>
      </c>
      <c r="T97">
        <f ca="1">N97+((ABS(J97)/MAX(((G35)+(I35)*(MAX($D$16,(N97)-(K35))))*(MAX($D$16,(N97)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AD97)-(J35))))*(MAX($D$16,(AD97)-(J35))),0.000001)),$D$9*((((ABS(J97)/MAX(((G35)+(I35)*(MAX($D$16,(N97)-(K35))))*(MAX($D$16,(N97)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N97)-(K35))))*(MAX($D$16,(N97)-(K35))),0.000001))^2)/(2*$I$5)))))+($D$10*(ABS((X35)-(W35))/90)*MAX(((ABS(J97)/MAX(((F35)+(H35)*(MAX($D$16,(AD97)-(J35))))*(MAX($D$16,(AD97)-(J35))),0.000001))^2)/(2*$I$5),((ABS(J97)/MAX(((G35)+(I35)*(MAX($D$16,(N97)-(K35))))*(MAX($D$16,(N97)-(K35))),0.000001))^2)/(2*$I$5)))+(($D$11*0.34699541*(ABS(I97)/MAX(ABS(G97),0.000001))^2*MAX(((ABS(J97)/MAX(((F35)+(H35)*(MAX($D$16,(AD97)-(J35))))*(MAX($D$16,(AD97)-(J35))),0.000001))^2)/(2*$I$5),((ABS(J97)/MAX(((G35)+(I35)*(MAX($D$16,(N97)-(K35))))*(MAX($D$16,(N97)-(K35))),0.000001))^2)/(2*$I$5))))-((ABS(J97)/MAX(((F35)+(H35)*(MAX($D$16,(AD97)-(J35))))*(MAX($D$16,(AD97)-(J35))),0.000001))^2)/(2*$I$5)</f>
        <v>639.97429104455466</v>
      </c>
      <c r="U97">
        <f ca="1">((((G31)*(MAX($D$16,(AE97)-(K31)))^2)/2+(I31)*(MAX($D$16,(AE97)-(K31)))^3/3+(ABS(F97)^2)/($I$5*MAX(((G31)+(I31)*(MAX($D$16,(AE97)-(K31))))*(MAX($D$16,(AE97)-(K31))),0.000001)))-(IF(N6="None",((((F32)*(MAX($D$16,(AE97)-(J32)))^2)/2+(H32)*(MAX($D$16,(AE97)-(J32)))^3/3+(ABS(G97)^2)/($I$5*MAX(((F32)+(H32)*(MAX($D$16,(AE97)-(J32))))*(MAX($D$16,(AE97)-(J32))),0.000001)))*0.72785025),(((((F32)*(MAX($D$16,(AE97)-(J32)))^2)/2+(H32)*(MAX($D$16,(AE97)-(J32)))^3/3+(ABS(G97)^2)/($I$5*MAX(((F32)+(H32)*(MAX($D$16,(AE97)-(J32))))*(MAX($D$16,(AE97)-(J32))),0.000001)))*0.72785025)+((((F33)*(MAX($D$16,(AE97)-(J33)))^2)/2+(H33)*(MAX($D$16,(AE97)-(J33)))^3/3+(ABS(H97)^2)/($I$5*MAX(((F33)+(H33)*(MAX($D$16,(AE97)-(J33))))*(MAX($D$16,(AE97)-(J33))),0.000001)))*0.99999971)))))/MAX(((G31)*(MAX($D$16,(AE97)-(K31)))^2)/2+(I31)*(MAX($D$16,(AE97)-(K31)))^3/3+(ABS(F97)^2)/($I$5*MAX(((G31)+(I31)*(MAX($D$16,(AE97)-(K31))))*(MAX($D$16,(AE97)-(K31))),0.000001)),0.000001)</f>
        <v>0.27214975000000002</v>
      </c>
      <c r="V97">
        <f ca="1">((((G32)*(MAX($D$16,(AF97)-(K32)))^2)/2+(I32)*(MAX($D$16,(AF97)-(K32)))^3/3+(ABS(G97)^2)/($I$5*MAX(((G32)+(I32)*(MAX($D$16,(AF97)-(K32))))*(MAX($D$16,(AF97)-(K32))),0.000001)))-(IF(AND(N7="None",N8="None"),0,IF(N8="None",((((F34)*(MAX($D$16,(AF97)-(J34)))^2)/2+(H34)*(MAX($D$16,(AF97)-(J34)))^3/3+(ABS(I97)^2)/($I$5*MAX(((F34)+(H34)*(MAX($D$16,(AF97)-(J34))))*(MAX($D$16,(AF97)-(J34))),0.000001)))*1),IF(N7="None",((((F35)*(MAX($D$16,(AF97)-(J35)))^2)/2+(H35)*(MAX($D$16,(AF97)-(J35)))^3/3+(ABS(J97)^2)/($I$5*MAX(((F35)+(H35)*(MAX($D$16,(AF97)-(J35))))*(MAX($D$16,(AF97)-(J35))),0.000001)))*0.30600918),(((((F34)*(MAX($D$16,(AF97)-(J34)))^2)/2+(H34)*(MAX($D$16,(AF97)-(J34)))^3/3+(ABS(I97)^2)/($I$5*MAX(((F34)+(H34)*(MAX($D$16,(AF97)-(J34))))*(MAX($D$16,(AF97)-(J34))),0.000001)))*1)+((((F35)*(MAX($D$16,(AF97)-(J35)))^2)/2+(H35)*(MAX($D$16,(AF97)-(J35)))^3/3+(ABS(J97)^2)/($I$5*MAX(((F35)+(H35)*(MAX($D$16,(AF97)-(J35))))*(MAX($D$16,(AF97)-(J35))),0.000001)))*0.30600918)))))))/MAX(((G32)*(MAX($D$16,(AF97)-(K32)))^2)/2+(I32)*(MAX($D$16,(AF97)-(K32)))^3/3+(ABS(G97)^2)/($I$5*MAX(((G32)+(I32)*(MAX($D$16,(AF97)-(K32))))*(MAX($D$16,(AF97)-(K32))),0.000001)),0.000001)</f>
        <v>3.904177561081449E-2</v>
      </c>
      <c r="W97">
        <f ca="1">ABS((IF(N6="None",P97,MAX(P97,Q97)))-D97)</f>
        <v>5.7059779475008554</v>
      </c>
      <c r="X97">
        <f ca="1">ABS((IF(AND(N7="None",N8="None"),E97,IF(N8="None",S97,IF(N7="None",T97,MAX(S97,T97)))))-E97)</f>
        <v>8.0492908325966255</v>
      </c>
      <c r="Y97">
        <f>IF(N6="None",1,MIN(0.98,MAX(0.02,B97+$D$14*((Q97-P97)/MAX(ABS(D97),1)))))</f>
        <v>1</v>
      </c>
      <c r="Z97">
        <f ca="1">IF(AND(N7="None",N8="None"),C97,IF(N8="None",1,IF(N7="None",0,MIN(0.98,MAX(0.02,C97+$D$14*((T97-S97)/MAX(ABS(E97),1)))))))</f>
        <v>0.98</v>
      </c>
      <c r="AA97">
        <f t="shared" ca="1" si="16"/>
        <v>636.34536437358224</v>
      </c>
      <c r="AB97">
        <f t="shared" ca="1" si="17"/>
        <v>634.74259275943098</v>
      </c>
      <c r="AC97">
        <f ca="1">IF($D$20=0,D97,IF(AC97=0,(IF(N6="None",P97,MAX(P97,Q97))),IF(ABS((IF(N6="None",P97,MAX(P97,Q97)))-AC97)&lt;$D$19,AC97,MAX((K31)+$D$16,AC97+$D$13*(((IF(N6="None",P97,MAX(P97,Q97)))-AC97))))))</f>
        <v>640.05475514453997</v>
      </c>
      <c r="AD97">
        <f ca="1">IF($D$20=0,E97,IF(AD97=0,(IF(AND(N7="None",N8="None"),E97,IF(N8="None",S97,IF(N7="None",T97,MAX(S97,T97))))),IF(ABS((IF(AND(N7="None",N8="None"),E97,IF(N8="None",S97,IF(N7="None",T97,MAX(S97,T97)))))-AD97)&lt;$D$19,AD97,MAX((K32)+$D$16,AD97+$D$13*(((IF(AND(N7="None",N8="None"),E97,IF(N8="None",S97,IF(N7="None",T97,MAX(S97,T97)))))-AD97))))))</f>
        <v>639.97526463330917</v>
      </c>
      <c r="AE97">
        <f ca="1">IF($D$20=0,D97,IF(AE97=0,O97,IF(ABS(U97)&lt;$D$19,AE97,MAX((K31)+$D$16,AE97+($D$13*(((O97)-AE97)+(U97*MAX(ABS(AE97-(K31)),1))))))))</f>
        <v>634.34799999999996</v>
      </c>
      <c r="AF97">
        <f ca="1">IF($D$20=0,E97,IF(AF97=0,R97,IF(ABS(V97)&lt;$D$19,AF97,MAX((K32)+$D$16,AF97+($D$13*(((R97)-AF97)+(V97*MAX(ABS(AF97-(K32)),1))))))))</f>
        <v>631.92499999999995</v>
      </c>
      <c r="AG97">
        <f ca="1">((G31)*(MAX($D$16,(AC97)-(K31)))^2)/2+(I31)*(MAX($D$16,(AC97)-(K31)))^3/3+(ABS(F97)^2)/($I$5*MAX(((G31)+(I31)*(MAX($D$16,(AC97)-(K31))))*(MAX($D$16,(AC97)-(K31))),0.000001))</f>
        <v>115.68980551184316</v>
      </c>
      <c r="AH97">
        <f ca="1">((G31)*(MAX($D$16,(AE97)-(K31)))^2)/2+(I31)*(MAX($D$16,(AE97)-(K31)))^3/3+(ABS(F97)^2)/($I$5*MAX(((G31)+(I31)*(MAX($D$16,(AE97)-(K31))))*(MAX($D$16,(AE97)-(K31))),0.000001))</f>
        <v>808.60110594434002</v>
      </c>
      <c r="AI97">
        <f ca="1">((G32)*(MAX($D$16,(AD97)-(K32)))^2)/2+(I32)*(MAX($D$16,(AD97)-(K32)))^3/3+(ABS(G97)^2)/($I$5*MAX(((G32)+(I32)*(MAX($D$16,(AD97)-(K32))))*(MAX($D$16,(AD97)-(K32))),0.000001))</f>
        <v>338.03683729018678</v>
      </c>
      <c r="AJ97">
        <f ca="1">((G32)*(MAX($D$16,(AF97)-(K32)))^2)/2+(I32)*(MAX($D$16,(AF97)-(K32)))^3/3+(ABS(G97)^2)/($I$5*MAX(((G32)+(I32)*(MAX($D$16,(AF97)-(K32))))*(MAX($D$16,(AF97)-(K32))),0.000001))</f>
        <v>519.58480272613974</v>
      </c>
      <c r="AK97" t="str">
        <f t="shared" ca="1" si="18"/>
        <v>Supercritical</v>
      </c>
      <c r="AL97" t="str">
        <f t="shared" ca="1" si="19"/>
        <v>Supercritical</v>
      </c>
      <c r="AM97">
        <f t="shared" ca="1" si="20"/>
        <v>634.34800007299327</v>
      </c>
      <c r="AN97">
        <f t="shared" ca="1" si="21"/>
        <v>631.92500013777271</v>
      </c>
      <c r="AO97">
        <f t="shared" ca="1" si="22"/>
        <v>1.1229735719098244E-7</v>
      </c>
      <c r="AP97">
        <f t="shared" ca="1" si="23"/>
        <v>2.1195808130869409E-7</v>
      </c>
    </row>
    <row r="98" spans="1:42" x14ac:dyDescent="0.35">
      <c r="A98">
        <v>55</v>
      </c>
      <c r="B98">
        <f t="shared" si="24"/>
        <v>1</v>
      </c>
      <c r="C98">
        <f t="shared" ca="1" si="25"/>
        <v>0.98</v>
      </c>
      <c r="D98">
        <f t="shared" ca="1" si="26"/>
        <v>634.34800007299327</v>
      </c>
      <c r="E98">
        <f t="shared" ca="1" si="27"/>
        <v>631.92500013777271</v>
      </c>
      <c r="F98">
        <f t="shared" si="15"/>
        <v>51</v>
      </c>
      <c r="G98">
        <f>IF(N6="None",F98,MAX(0,F98*B98))</f>
        <v>51</v>
      </c>
      <c r="H98">
        <f>IF(N6="None",0,MAX(0,F98-G98))</f>
        <v>0</v>
      </c>
      <c r="I98">
        <f ca="1">IF(AND(N7="None",N8="None"),0,IF(N8="None",G98,IF(N7="None",0,MAX(0,G98*C98))))</f>
        <v>49.98</v>
      </c>
      <c r="J98">
        <f ca="1">IF(AND(N7="None",N8="None"),0,IF(N8="None",0,IF(N7="None",G98,MAX(0,G98-I98))))</f>
        <v>1.0200000000000031</v>
      </c>
      <c r="K98">
        <f>P5</f>
        <v>637</v>
      </c>
      <c r="L98">
        <f>P6</f>
        <v>634.3119999999999</v>
      </c>
      <c r="M98">
        <f>P7</f>
        <v>635.5</v>
      </c>
      <c r="N98">
        <f>P8</f>
        <v>631.54999999999995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-2091.5872404992097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640.05397805979817</v>
      </c>
      <c r="Q98">
        <f ca="1">L98+((ABS(H98)/MAX(((G33)+(I33)*(MAX($D$16,(L98)-(K33))))*(MAX($D$16,(L98)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AC98)-(J33))))*(MAX($D$16,(AC98)-(J33))),0.000001)),$D$9*((((ABS(H98)/MAX(((G33)+(I33)*(MAX($D$16,(L98)-(K33))))*(MAX($D$16,(L98)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L98)-(K33))))*(MAX($D$16,(L98)-(K33))),0.000001))^2)/(2*$I$5)))))+($D$10*(ABS((X33)-(W33))/90)*MAX(((ABS(H98)/MAX(((F33)+(H33)*(MAX($D$16,(AC98)-(J33))))*(MAX($D$16,(AC98)-(J33))),0.000001))^2)/(2*$I$5),((ABS(H98)/MAX(((G33)+(I33)*(MAX($D$16,(L98)-(K33))))*(MAX($D$16,(L98)-(K33))),0.000001))^2)/(2*$I$5)))+(($D$11*0.00000015*(ABS(G98)/MAX(ABS(F98),0.000001))^2*MAX(((ABS(H98)/MAX(((F33)+(H33)*(MAX($D$16,(AC98)-(J33))))*(MAX($D$16,(AC98)-(J33))),0.000001))^2)/(2*$I$5),((ABS(H98)/MAX(((G33)+(I33)*(MAX($D$16,(L98)-(K33))))*(MAX($D$16,(L98)-(K33))),0.000001))^2)/(2*$I$5))))-((ABS(H98)/MAX(((F33)+(H33)*(MAX($D$16,(AC98)-(J33))))*(MAX($D$16,(AC98)-(J33))),0.000001))^2)/(2*$I$5)</f>
        <v>634.3119999999999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-292118.81246378768</v>
      </c>
      <c r="S98">
        <f ca="1">M98+((ABS(I98)/MAX(((G34)+(I34)*(MAX($D$16,(M98)-(K34))))*(MAX($D$16,(M98)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AD98)-(J34))))*(MAX($D$16,(AD98)-(J34))),0.000001)),$D$9*((((ABS(I98)/MAX(((G34)+(I34)*(MAX($D$16,(M98)-(K34))))*(MAX($D$16,(M98)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M98)-(K34))))*(MAX($D$16,(M98)-(K34))),0.000001))^2)/(2*$I$5)))))+($D$10*(ABS((X34)-(W34))/90)*MAX(((ABS(I98)/MAX(((F34)+(H34)*(MAX($D$16,(AD98)-(J34))))*(MAX($D$16,(AD98)-(J34))),0.000001))^2)/(2*$I$5),((ABS(I98)/MAX(((G34)+(I34)*(MAX($D$16,(M98)-(K34))))*(MAX($D$16,(M98)-(K34))),0.000001))^2)/(2*$I$5)))+(0)-((ABS(I98)/MAX(((F34)+(H34)*(MAX($D$16,(AD98)-(J34))))*(MAX($D$16,(AD98)-(J34))),0.000001))^2)/(2*$I$5)</f>
        <v>635.51128720958343</v>
      </c>
      <c r="T98">
        <f ca="1">N98+((ABS(J98)/MAX(((G35)+(I35)*(MAX($D$16,(N98)-(K35))))*(MAX($D$16,(N98)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AD98)-(J35))))*(MAX($D$16,(AD98)-(J35))),0.000001)),$D$9*((((ABS(J98)/MAX(((G35)+(I35)*(MAX($D$16,(N98)-(K35))))*(MAX($D$16,(N98)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N98)-(K35))))*(MAX($D$16,(N98)-(K35))),0.000001))^2)/(2*$I$5)))))+($D$10*(ABS((X35)-(W35))/90)*MAX(((ABS(J98)/MAX(((F35)+(H35)*(MAX($D$16,(AD98)-(J35))))*(MAX($D$16,(AD98)-(J35))),0.000001))^2)/(2*$I$5),((ABS(J98)/MAX(((G35)+(I35)*(MAX($D$16,(N98)-(K35))))*(MAX($D$16,(N98)-(K35))),0.000001))^2)/(2*$I$5)))+(($D$11*0.34699541*(ABS(I98)/MAX(ABS(G98),0.000001))^2*MAX(((ABS(J98)/MAX(((F35)+(H35)*(MAX($D$16,(AD98)-(J35))))*(MAX($D$16,(AD98)-(J35))),0.000001))^2)/(2*$I$5),((ABS(J98)/MAX(((G35)+(I35)*(MAX($D$16,(N98)-(K35))))*(MAX($D$16,(N98)-(K35))),0.000001))^2)/(2*$I$5))))-((ABS(J98)/MAX(((F35)+(H35)*(MAX($D$16,(AD98)-(J35))))*(MAX($D$16,(AD98)-(J35))),0.000001))^2)/(2*$I$5)</f>
        <v>639.97429104455466</v>
      </c>
      <c r="U98">
        <f ca="1">((((G31)*(MAX($D$16,(AE98)-(K31)))^2)/2+(I31)*(MAX($D$16,(AE98)-(K31)))^3/3+(ABS(F98)^2)/($I$5*MAX(((G31)+(I31)*(MAX($D$16,(AE98)-(K31))))*(MAX($D$16,(AE98)-(K31))),0.000001)))-(IF(N6="None",((((F32)*(MAX($D$16,(AE98)-(J32)))^2)/2+(H32)*(MAX($D$16,(AE98)-(J32)))^3/3+(ABS(G98)^2)/($I$5*MAX(((F32)+(H32)*(MAX($D$16,(AE98)-(J32))))*(MAX($D$16,(AE98)-(J32))),0.000001)))*0.72785025),(((((F32)*(MAX($D$16,(AE98)-(J32)))^2)/2+(H32)*(MAX($D$16,(AE98)-(J32)))^3/3+(ABS(G98)^2)/($I$5*MAX(((F32)+(H32)*(MAX($D$16,(AE98)-(J32))))*(MAX($D$16,(AE98)-(J32))),0.000001)))*0.72785025)+((((F33)*(MAX($D$16,(AE98)-(J33)))^2)/2+(H33)*(MAX($D$16,(AE98)-(J33)))^3/3+(ABS(H98)^2)/($I$5*MAX(((F33)+(H33)*(MAX($D$16,(AE98)-(J33))))*(MAX($D$16,(AE98)-(J33))),0.000001)))*0.99999971)))))/MAX(((G31)*(MAX($D$16,(AE98)-(K31)))^2)/2+(I31)*(MAX($D$16,(AE98)-(K31)))^3/3+(ABS(F98)^2)/($I$5*MAX(((G31)+(I31)*(MAX($D$16,(AE98)-(K31))))*(MAX($D$16,(AE98)-(K31))),0.000001)),0.000001)</f>
        <v>0.27214975000000002</v>
      </c>
      <c r="V98">
        <f ca="1">((((G32)*(MAX($D$16,(AF98)-(K32)))^2)/2+(I32)*(MAX($D$16,(AF98)-(K32)))^3/3+(ABS(G98)^2)/($I$5*MAX(((G32)+(I32)*(MAX($D$16,(AF98)-(K32))))*(MAX($D$16,(AF98)-(K32))),0.000001)))-(IF(AND(N7="None",N8="None"),0,IF(N8="None",((((F34)*(MAX($D$16,(AF98)-(J34)))^2)/2+(H34)*(MAX($D$16,(AF98)-(J34)))^3/3+(ABS(I98)^2)/($I$5*MAX(((F34)+(H34)*(MAX($D$16,(AF98)-(J34))))*(MAX($D$16,(AF98)-(J34))),0.000001)))*1),IF(N7="None",((((F35)*(MAX($D$16,(AF98)-(J35)))^2)/2+(H35)*(MAX($D$16,(AF98)-(J35)))^3/3+(ABS(J98)^2)/($I$5*MAX(((F35)+(H35)*(MAX($D$16,(AF98)-(J35))))*(MAX($D$16,(AF98)-(J35))),0.000001)))*0.30600918),(((((F34)*(MAX($D$16,(AF98)-(J34)))^2)/2+(H34)*(MAX($D$16,(AF98)-(J34)))^3/3+(ABS(I98)^2)/($I$5*MAX(((F34)+(H34)*(MAX($D$16,(AF98)-(J34))))*(MAX($D$16,(AF98)-(J34))),0.000001)))*1)+((((F35)*(MAX($D$16,(AF98)-(J35)))^2)/2+(H35)*(MAX($D$16,(AF98)-(J35)))^3/3+(ABS(J98)^2)/($I$5*MAX(((F35)+(H35)*(MAX($D$16,(AF98)-(J35))))*(MAX($D$16,(AF98)-(J35))),0.000001)))*0.30600918)))))))/MAX(((G32)*(MAX($D$16,(AF98)-(K32)))^2)/2+(I32)*(MAX($D$16,(AF98)-(K32)))^3/3+(ABS(G98)^2)/($I$5*MAX(((G32)+(I32)*(MAX($D$16,(AF98)-(K32))))*(MAX($D$16,(AF98)-(K32))),0.000001)),0.000001)</f>
        <v>3.904177561081449E-2</v>
      </c>
      <c r="W98">
        <f ca="1">ABS((IF(N6="None",P98,MAX(P98,Q98)))-D98)</f>
        <v>5.7059779868048963</v>
      </c>
      <c r="X98">
        <f ca="1">ABS((IF(AND(N7="None",N8="None"),E98,IF(N8="None",S98,IF(N7="None",T98,MAX(S98,T98)))))-E98)</f>
        <v>8.0492909067819483</v>
      </c>
      <c r="Y98">
        <f>IF(N6="None",1,MIN(0.98,MAX(0.02,B98+$D$14*((Q98-P98)/MAX(ABS(D98),1)))))</f>
        <v>1</v>
      </c>
      <c r="Z98">
        <f ca="1">IF(AND(N7="None",N8="None"),C98,IF(N8="None",1,IF(N7="None",0,MIN(0.98,MAX(0.02,C98+$D$14*((T98-S98)/MAX(ABS(E98),1)))))))</f>
        <v>0.98</v>
      </c>
      <c r="AA98">
        <f t="shared" ca="1" si="16"/>
        <v>636.34536434803465</v>
      </c>
      <c r="AB98">
        <f t="shared" ca="1" si="17"/>
        <v>634.74259271121048</v>
      </c>
      <c r="AC98">
        <f ca="1">IF($D$20=0,D98,IF(AC98=0,(IF(N6="None",P98,MAX(P98,Q98))),IF(ABS((IF(N6="None",P98,MAX(P98,Q98)))-AC98)&lt;$D$19,AC98,MAX((K31)+$D$16,AC98+$D$13*(((IF(N6="None",P98,MAX(P98,Q98)))-AC98))))))</f>
        <v>640.05475514453997</v>
      </c>
      <c r="AD98">
        <f ca="1">IF($D$20=0,E98,IF(AD98=0,(IF(AND(N7="None",N8="None"),E98,IF(N8="None",S98,IF(N7="None",T98,MAX(S98,T98))))),IF(ABS((IF(AND(N7="None",N8="None"),E98,IF(N8="None",S98,IF(N7="None",T98,MAX(S98,T98)))))-AD98)&lt;$D$19,AD98,MAX((K32)+$D$16,AD98+$D$13*(((IF(AND(N7="None",N8="None"),E98,IF(N8="None",S98,IF(N7="None",T98,MAX(S98,T98)))))-AD98))))))</f>
        <v>639.97526463330917</v>
      </c>
      <c r="AE98">
        <f ca="1">IF($D$20=0,D98,IF(AE98=0,O98,IF(ABS(U98)&lt;$D$19,AE98,MAX((K31)+$D$16,AE98+($D$13*(((O98)-AE98)+(U98*MAX(ABS(AE98-(K31)),1))))))))</f>
        <v>634.34799999999996</v>
      </c>
      <c r="AF98">
        <f ca="1">IF($D$20=0,E98,IF(AF98=0,R98,IF(ABS(V98)&lt;$D$19,AF98,MAX((K32)+$D$16,AF98+($D$13*(((R98)-AF98)+(V98*MAX(ABS(AF98-(K32)),1))))))))</f>
        <v>631.92499999999995</v>
      </c>
      <c r="AG98">
        <f ca="1">((G31)*(MAX($D$16,(AC98)-(K31)))^2)/2+(I31)*(MAX($D$16,(AC98)-(K31)))^3/3+(ABS(F98)^2)/($I$5*MAX(((G31)+(I31)*(MAX($D$16,(AC98)-(K31))))*(MAX($D$16,(AC98)-(K31))),0.000001))</f>
        <v>115.68980551184316</v>
      </c>
      <c r="AH98">
        <f ca="1">((G31)*(MAX($D$16,(AE98)-(K31)))^2)/2+(I31)*(MAX($D$16,(AE98)-(K31)))^3/3+(ABS(F98)^2)/($I$5*MAX(((G31)+(I31)*(MAX($D$16,(AE98)-(K31))))*(MAX($D$16,(AE98)-(K31))),0.000001))</f>
        <v>808.60110594434002</v>
      </c>
      <c r="AI98">
        <f ca="1">((G32)*(MAX($D$16,(AD98)-(K32)))^2)/2+(I32)*(MAX($D$16,(AD98)-(K32)))^3/3+(ABS(G98)^2)/($I$5*MAX(((G32)+(I32)*(MAX($D$16,(AD98)-(K32))))*(MAX($D$16,(AD98)-(K32))),0.000001))</f>
        <v>338.03683729018678</v>
      </c>
      <c r="AJ98">
        <f ca="1">((G32)*(MAX($D$16,(AF98)-(K32)))^2)/2+(I32)*(MAX($D$16,(AF98)-(K32)))^3/3+(ABS(G98)^2)/($I$5*MAX(((G32)+(I32)*(MAX($D$16,(AF98)-(K32))))*(MAX($D$16,(AF98)-(K32))),0.000001))</f>
        <v>519.58480272613974</v>
      </c>
      <c r="AK98" t="str">
        <f t="shared" ca="1" si="18"/>
        <v>Supercritical</v>
      </c>
      <c r="AL98" t="str">
        <f t="shared" ca="1" si="19"/>
        <v>Supercritical</v>
      </c>
      <c r="AM98">
        <f t="shared" ca="1" si="20"/>
        <v>634.34800004744557</v>
      </c>
      <c r="AN98">
        <f t="shared" ca="1" si="21"/>
        <v>631.92500008955221</v>
      </c>
      <c r="AO98">
        <f t="shared" ca="1" si="22"/>
        <v>7.2993316280189902E-8</v>
      </c>
      <c r="AP98">
        <f t="shared" ca="1" si="23"/>
        <v>1.3777275853499305E-7</v>
      </c>
    </row>
    <row r="99" spans="1:42" x14ac:dyDescent="0.35">
      <c r="A99">
        <v>56</v>
      </c>
      <c r="B99">
        <f t="shared" si="24"/>
        <v>1</v>
      </c>
      <c r="C99">
        <f t="shared" ca="1" si="25"/>
        <v>0.98</v>
      </c>
      <c r="D99">
        <f t="shared" ca="1" si="26"/>
        <v>634.34800004744557</v>
      </c>
      <c r="E99">
        <f t="shared" ca="1" si="27"/>
        <v>631.92500008955221</v>
      </c>
      <c r="F99">
        <f t="shared" si="15"/>
        <v>51</v>
      </c>
      <c r="G99">
        <f>IF(N6="None",F99,MAX(0,F99*B99))</f>
        <v>51</v>
      </c>
      <c r="H99">
        <f>IF(N6="None",0,MAX(0,F99-G99))</f>
        <v>0</v>
      </c>
      <c r="I99">
        <f ca="1">IF(AND(N7="None",N8="None"),0,IF(N8="None",G99,IF(N7="None",0,MAX(0,G99*C99))))</f>
        <v>49.98</v>
      </c>
      <c r="J99">
        <f ca="1">IF(AND(N7="None",N8="None"),0,IF(N8="None",0,IF(N7="None",G99,MAX(0,G99-I99))))</f>
        <v>1.0200000000000031</v>
      </c>
      <c r="K99">
        <f>P5</f>
        <v>637</v>
      </c>
      <c r="L99">
        <f>P6</f>
        <v>634.3119999999999</v>
      </c>
      <c r="M99">
        <f>P7</f>
        <v>635.5</v>
      </c>
      <c r="N99">
        <f>P8</f>
        <v>631.54999999999995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-2091.5872404992097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640.05397805979817</v>
      </c>
      <c r="Q99">
        <f ca="1">L99+((ABS(H99)/MAX(((G33)+(I33)*(MAX($D$16,(L99)-(K33))))*(MAX($D$16,(L99)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AC99)-(J33))))*(MAX($D$16,(AC99)-(J33))),0.000001)),$D$9*((((ABS(H99)/MAX(((G33)+(I33)*(MAX($D$16,(L99)-(K33))))*(MAX($D$16,(L99)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L99)-(K33))))*(MAX($D$16,(L99)-(K33))),0.000001))^2)/(2*$I$5)))))+($D$10*(ABS((X33)-(W33))/90)*MAX(((ABS(H99)/MAX(((F33)+(H33)*(MAX($D$16,(AC99)-(J33))))*(MAX($D$16,(AC99)-(J33))),0.000001))^2)/(2*$I$5),((ABS(H99)/MAX(((G33)+(I33)*(MAX($D$16,(L99)-(K33))))*(MAX($D$16,(L99)-(K33))),0.000001))^2)/(2*$I$5)))+(($D$11*0.00000015*(ABS(G99)/MAX(ABS(F99),0.000001))^2*MAX(((ABS(H99)/MAX(((F33)+(H33)*(MAX($D$16,(AC99)-(J33))))*(MAX($D$16,(AC99)-(J33))),0.000001))^2)/(2*$I$5),((ABS(H99)/MAX(((G33)+(I33)*(MAX($D$16,(L99)-(K33))))*(MAX($D$16,(L99)-(K33))),0.000001))^2)/(2*$I$5))))-((ABS(H99)/MAX(((F33)+(H33)*(MAX($D$16,(AC99)-(J33))))*(MAX($D$16,(AC99)-(J33))),0.000001))^2)/(2*$I$5)</f>
        <v>634.3119999999999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-292118.81246378768</v>
      </c>
      <c r="S99">
        <f ca="1">M99+((ABS(I99)/MAX(((G34)+(I34)*(MAX($D$16,(M99)-(K34))))*(MAX($D$16,(M99)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AD99)-(J34))))*(MAX($D$16,(AD99)-(J34))),0.000001)),$D$9*((((ABS(I99)/MAX(((G34)+(I34)*(MAX($D$16,(M99)-(K34))))*(MAX($D$16,(M99)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M99)-(K34))))*(MAX($D$16,(M99)-(K34))),0.000001))^2)/(2*$I$5)))))+($D$10*(ABS((X34)-(W34))/90)*MAX(((ABS(I99)/MAX(((F34)+(H34)*(MAX($D$16,(AD99)-(J34))))*(MAX($D$16,(AD99)-(J34))),0.000001))^2)/(2*$I$5),((ABS(I99)/MAX(((G34)+(I34)*(MAX($D$16,(M99)-(K34))))*(MAX($D$16,(M99)-(K34))),0.000001))^2)/(2*$I$5)))+(0)-((ABS(I99)/MAX(((F34)+(H34)*(MAX($D$16,(AD99)-(J34))))*(MAX($D$16,(AD99)-(J34))),0.000001))^2)/(2*$I$5)</f>
        <v>635.51128720958343</v>
      </c>
      <c r="T99">
        <f ca="1">N99+((ABS(J99)/MAX(((G35)+(I35)*(MAX($D$16,(N99)-(K35))))*(MAX($D$16,(N99)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AD99)-(J35))))*(MAX($D$16,(AD99)-(J35))),0.000001)),$D$9*((((ABS(J99)/MAX(((G35)+(I35)*(MAX($D$16,(N99)-(K35))))*(MAX($D$16,(N99)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N99)-(K35))))*(MAX($D$16,(N99)-(K35))),0.000001))^2)/(2*$I$5)))))+($D$10*(ABS((X35)-(W35))/90)*MAX(((ABS(J99)/MAX(((F35)+(H35)*(MAX($D$16,(AD99)-(J35))))*(MAX($D$16,(AD99)-(J35))),0.000001))^2)/(2*$I$5),((ABS(J99)/MAX(((G35)+(I35)*(MAX($D$16,(N99)-(K35))))*(MAX($D$16,(N99)-(K35))),0.000001))^2)/(2*$I$5)))+(($D$11*0.34699541*(ABS(I99)/MAX(ABS(G99),0.000001))^2*MAX(((ABS(J99)/MAX(((F35)+(H35)*(MAX($D$16,(AD99)-(J35))))*(MAX($D$16,(AD99)-(J35))),0.000001))^2)/(2*$I$5),((ABS(J99)/MAX(((G35)+(I35)*(MAX($D$16,(N99)-(K35))))*(MAX($D$16,(N99)-(K35))),0.000001))^2)/(2*$I$5))))-((ABS(J99)/MAX(((F35)+(H35)*(MAX($D$16,(AD99)-(J35))))*(MAX($D$16,(AD99)-(J35))),0.000001))^2)/(2*$I$5)</f>
        <v>639.97429104455466</v>
      </c>
      <c r="U99">
        <f ca="1">((((G31)*(MAX($D$16,(AE99)-(K31)))^2)/2+(I31)*(MAX($D$16,(AE99)-(K31)))^3/3+(ABS(F99)^2)/($I$5*MAX(((G31)+(I31)*(MAX($D$16,(AE99)-(K31))))*(MAX($D$16,(AE99)-(K31))),0.000001)))-(IF(N6="None",((((F32)*(MAX($D$16,(AE99)-(J32)))^2)/2+(H32)*(MAX($D$16,(AE99)-(J32)))^3/3+(ABS(G99)^2)/($I$5*MAX(((F32)+(H32)*(MAX($D$16,(AE99)-(J32))))*(MAX($D$16,(AE99)-(J32))),0.000001)))*0.72785025),(((((F32)*(MAX($D$16,(AE99)-(J32)))^2)/2+(H32)*(MAX($D$16,(AE99)-(J32)))^3/3+(ABS(G99)^2)/($I$5*MAX(((F32)+(H32)*(MAX($D$16,(AE99)-(J32))))*(MAX($D$16,(AE99)-(J32))),0.000001)))*0.72785025)+((((F33)*(MAX($D$16,(AE99)-(J33)))^2)/2+(H33)*(MAX($D$16,(AE99)-(J33)))^3/3+(ABS(H99)^2)/($I$5*MAX(((F33)+(H33)*(MAX($D$16,(AE99)-(J33))))*(MAX($D$16,(AE99)-(J33))),0.000001)))*0.99999971)))))/MAX(((G31)*(MAX($D$16,(AE99)-(K31)))^2)/2+(I31)*(MAX($D$16,(AE99)-(K31)))^3/3+(ABS(F99)^2)/($I$5*MAX(((G31)+(I31)*(MAX($D$16,(AE99)-(K31))))*(MAX($D$16,(AE99)-(K31))),0.000001)),0.000001)</f>
        <v>0.27214975000000002</v>
      </c>
      <c r="V99">
        <f ca="1">((((G32)*(MAX($D$16,(AF99)-(K32)))^2)/2+(I32)*(MAX($D$16,(AF99)-(K32)))^3/3+(ABS(G99)^2)/($I$5*MAX(((G32)+(I32)*(MAX($D$16,(AF99)-(K32))))*(MAX($D$16,(AF99)-(K32))),0.000001)))-(IF(AND(N7="None",N8="None"),0,IF(N8="None",((((F34)*(MAX($D$16,(AF99)-(J34)))^2)/2+(H34)*(MAX($D$16,(AF99)-(J34)))^3/3+(ABS(I99)^2)/($I$5*MAX(((F34)+(H34)*(MAX($D$16,(AF99)-(J34))))*(MAX($D$16,(AF99)-(J34))),0.000001)))*1),IF(N7="None",((((F35)*(MAX($D$16,(AF99)-(J35)))^2)/2+(H35)*(MAX($D$16,(AF99)-(J35)))^3/3+(ABS(J99)^2)/($I$5*MAX(((F35)+(H35)*(MAX($D$16,(AF99)-(J35))))*(MAX($D$16,(AF99)-(J35))),0.000001)))*0.30600918),(((((F34)*(MAX($D$16,(AF99)-(J34)))^2)/2+(H34)*(MAX($D$16,(AF99)-(J34)))^3/3+(ABS(I99)^2)/($I$5*MAX(((F34)+(H34)*(MAX($D$16,(AF99)-(J34))))*(MAX($D$16,(AF99)-(J34))),0.000001)))*1)+((((F35)*(MAX($D$16,(AF99)-(J35)))^2)/2+(H35)*(MAX($D$16,(AF99)-(J35)))^3/3+(ABS(J99)^2)/($I$5*MAX(((F35)+(H35)*(MAX($D$16,(AF99)-(J35))))*(MAX($D$16,(AF99)-(J35))),0.000001)))*0.30600918)))))))/MAX(((G32)*(MAX($D$16,(AF99)-(K32)))^2)/2+(I32)*(MAX($D$16,(AF99)-(K32)))^3/3+(ABS(G99)^2)/($I$5*MAX(((G32)+(I32)*(MAX($D$16,(AF99)-(K32))))*(MAX($D$16,(AF99)-(K32))),0.000001)),0.000001)</f>
        <v>3.904177561081449E-2</v>
      </c>
      <c r="W99">
        <f ca="1">ABS((IF(N6="None",P99,MAX(P99,Q99)))-D99)</f>
        <v>5.7059780123526025</v>
      </c>
      <c r="X99">
        <f ca="1">ABS((IF(AND(N7="None",N8="None"),E99,IF(N8="None",S99,IF(N7="None",T99,MAX(S99,T99)))))-E99)</f>
        <v>8.0492909550024478</v>
      </c>
      <c r="Y99">
        <f>IF(N6="None",1,MIN(0.98,MAX(0.02,B99+$D$14*((Q99-P99)/MAX(ABS(D99),1)))))</f>
        <v>1</v>
      </c>
      <c r="Z99">
        <f ca="1">IF(AND(N7="None",N8="None"),C99,IF(N8="None",1,IF(N7="None",0,MIN(0.98,MAX(0.02,C99+$D$14*((T99-S99)/MAX(ABS(E99),1)))))))</f>
        <v>0.98</v>
      </c>
      <c r="AA99">
        <f t="shared" ca="1" si="16"/>
        <v>636.34536433142864</v>
      </c>
      <c r="AB99">
        <f t="shared" ca="1" si="17"/>
        <v>634.74259267986713</v>
      </c>
      <c r="AC99">
        <f ca="1">IF($D$20=0,D99,IF(AC99=0,(IF(N6="None",P99,MAX(P99,Q99))),IF(ABS((IF(N6="None",P99,MAX(P99,Q99)))-AC99)&lt;$D$19,AC99,MAX((K31)+$D$16,AC99+$D$13*(((IF(N6="None",P99,MAX(P99,Q99)))-AC99))))))</f>
        <v>640.05475514453997</v>
      </c>
      <c r="AD99">
        <f ca="1">IF($D$20=0,E99,IF(AD99=0,(IF(AND(N7="None",N8="None"),E99,IF(N8="None",S99,IF(N7="None",T99,MAX(S99,T99))))),IF(ABS((IF(AND(N7="None",N8="None"),E99,IF(N8="None",S99,IF(N7="None",T99,MAX(S99,T99)))))-AD99)&lt;$D$19,AD99,MAX((K32)+$D$16,AD99+$D$13*(((IF(AND(N7="None",N8="None"),E99,IF(N8="None",S99,IF(N7="None",T99,MAX(S99,T99)))))-AD99))))))</f>
        <v>639.97526463330917</v>
      </c>
      <c r="AE99">
        <f ca="1">IF($D$20=0,D99,IF(AE99=0,O99,IF(ABS(U99)&lt;$D$19,AE99,MAX((K31)+$D$16,AE99+($D$13*(((O99)-AE99)+(U99*MAX(ABS(AE99-(K31)),1))))))))</f>
        <v>634.34799999999996</v>
      </c>
      <c r="AF99">
        <f ca="1">IF($D$20=0,E99,IF(AF99=0,R99,IF(ABS(V99)&lt;$D$19,AF99,MAX((K32)+$D$16,AF99+($D$13*(((R99)-AF99)+(V99*MAX(ABS(AF99-(K32)),1))))))))</f>
        <v>631.92499999999995</v>
      </c>
      <c r="AG99">
        <f ca="1">((G31)*(MAX($D$16,(AC99)-(K31)))^2)/2+(I31)*(MAX($D$16,(AC99)-(K31)))^3/3+(ABS(F99)^2)/($I$5*MAX(((G31)+(I31)*(MAX($D$16,(AC99)-(K31))))*(MAX($D$16,(AC99)-(K31))),0.000001))</f>
        <v>115.68980551184316</v>
      </c>
      <c r="AH99">
        <f ca="1">((G31)*(MAX($D$16,(AE99)-(K31)))^2)/2+(I31)*(MAX($D$16,(AE99)-(K31)))^3/3+(ABS(F99)^2)/($I$5*MAX(((G31)+(I31)*(MAX($D$16,(AE99)-(K31))))*(MAX($D$16,(AE99)-(K31))),0.000001))</f>
        <v>808.60110594434002</v>
      </c>
      <c r="AI99">
        <f ca="1">((G32)*(MAX($D$16,(AD99)-(K32)))^2)/2+(I32)*(MAX($D$16,(AD99)-(K32)))^3/3+(ABS(G99)^2)/($I$5*MAX(((G32)+(I32)*(MAX($D$16,(AD99)-(K32))))*(MAX($D$16,(AD99)-(K32))),0.000001))</f>
        <v>338.03683729018678</v>
      </c>
      <c r="AJ99">
        <f ca="1">((G32)*(MAX($D$16,(AF99)-(K32)))^2)/2+(I32)*(MAX($D$16,(AF99)-(K32)))^3/3+(ABS(G99)^2)/($I$5*MAX(((G32)+(I32)*(MAX($D$16,(AF99)-(K32))))*(MAX($D$16,(AF99)-(K32))),0.000001))</f>
        <v>519.58480272613974</v>
      </c>
      <c r="AK99" t="str">
        <f t="shared" ca="1" si="18"/>
        <v>Supercritical</v>
      </c>
      <c r="AL99" t="str">
        <f t="shared" ca="1" si="19"/>
        <v>Supercritical</v>
      </c>
      <c r="AM99">
        <f t="shared" ca="1" si="20"/>
        <v>634.34800003083956</v>
      </c>
      <c r="AN99">
        <f t="shared" ca="1" si="21"/>
        <v>631.92500005820898</v>
      </c>
      <c r="AO99">
        <f t="shared" ca="1" si="22"/>
        <v>4.7445610107388347E-8</v>
      </c>
      <c r="AP99">
        <f t="shared" ca="1" si="23"/>
        <v>8.9552258941694163E-8</v>
      </c>
    </row>
    <row r="100" spans="1:42" x14ac:dyDescent="0.35">
      <c r="A100">
        <v>57</v>
      </c>
      <c r="B100">
        <f t="shared" si="24"/>
        <v>1</v>
      </c>
      <c r="C100">
        <f t="shared" ca="1" si="25"/>
        <v>0.98</v>
      </c>
      <c r="D100">
        <f t="shared" ca="1" si="26"/>
        <v>634.34800003083956</v>
      </c>
      <c r="E100">
        <f t="shared" ca="1" si="27"/>
        <v>631.92500005820898</v>
      </c>
      <c r="F100">
        <f t="shared" si="15"/>
        <v>51</v>
      </c>
      <c r="G100">
        <f>IF(N6="None",F100,MAX(0,F100*B100))</f>
        <v>51</v>
      </c>
      <c r="H100">
        <f>IF(N6="None",0,MAX(0,F100-G100))</f>
        <v>0</v>
      </c>
      <c r="I100">
        <f ca="1">IF(AND(N7="None",N8="None"),0,IF(N8="None",G100,IF(N7="None",0,MAX(0,G100*C100))))</f>
        <v>49.98</v>
      </c>
      <c r="J100">
        <f ca="1">IF(AND(N7="None",N8="None"),0,IF(N8="None",0,IF(N7="None",G100,MAX(0,G100-I100))))</f>
        <v>1.0200000000000031</v>
      </c>
      <c r="K100">
        <f>P5</f>
        <v>637</v>
      </c>
      <c r="L100">
        <f>P6</f>
        <v>634.3119999999999</v>
      </c>
      <c r="M100">
        <f>P7</f>
        <v>635.5</v>
      </c>
      <c r="N100">
        <f>P8</f>
        <v>631.54999999999995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-2091.5872404992097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640.05397805979817</v>
      </c>
      <c r="Q100">
        <f ca="1">L100+((ABS(H100)/MAX(((G33)+(I33)*(MAX($D$16,(L100)-(K33))))*(MAX($D$16,(L100)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AC100)-(J33))))*(MAX($D$16,(AC100)-(J33))),0.000001)),$D$9*((((ABS(H100)/MAX(((G33)+(I33)*(MAX($D$16,(L100)-(K33))))*(MAX($D$16,(L100)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L100)-(K33))))*(MAX($D$16,(L100)-(K33))),0.000001))^2)/(2*$I$5)))))+($D$10*(ABS((X33)-(W33))/90)*MAX(((ABS(H100)/MAX(((F33)+(H33)*(MAX($D$16,(AC100)-(J33))))*(MAX($D$16,(AC100)-(J33))),0.000001))^2)/(2*$I$5),((ABS(H100)/MAX(((G33)+(I33)*(MAX($D$16,(L100)-(K33))))*(MAX($D$16,(L100)-(K33))),0.000001))^2)/(2*$I$5)))+(($D$11*0.00000015*(ABS(G100)/MAX(ABS(F100),0.000001))^2*MAX(((ABS(H100)/MAX(((F33)+(H33)*(MAX($D$16,(AC100)-(J33))))*(MAX($D$16,(AC100)-(J33))),0.000001))^2)/(2*$I$5),((ABS(H100)/MAX(((G33)+(I33)*(MAX($D$16,(L100)-(K33))))*(MAX($D$16,(L100)-(K33))),0.000001))^2)/(2*$I$5))))-((ABS(H100)/MAX(((F33)+(H33)*(MAX($D$16,(AC100)-(J33))))*(MAX($D$16,(AC100)-(J33))),0.000001))^2)/(2*$I$5)</f>
        <v>634.3119999999999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-292118.81246378768</v>
      </c>
      <c r="S100">
        <f ca="1">M100+((ABS(I100)/MAX(((G34)+(I34)*(MAX($D$16,(M100)-(K34))))*(MAX($D$16,(M100)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AD100)-(J34))))*(MAX($D$16,(AD100)-(J34))),0.000001)),$D$9*((((ABS(I100)/MAX(((G34)+(I34)*(MAX($D$16,(M100)-(K34))))*(MAX($D$16,(M100)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M100)-(K34))))*(MAX($D$16,(M100)-(K34))),0.000001))^2)/(2*$I$5)))))+($D$10*(ABS((X34)-(W34))/90)*MAX(((ABS(I100)/MAX(((F34)+(H34)*(MAX($D$16,(AD100)-(J34))))*(MAX($D$16,(AD100)-(J34))),0.000001))^2)/(2*$I$5),((ABS(I100)/MAX(((G34)+(I34)*(MAX($D$16,(M100)-(K34))))*(MAX($D$16,(M100)-(K34))),0.000001))^2)/(2*$I$5)))+(0)-((ABS(I100)/MAX(((F34)+(H34)*(MAX($D$16,(AD100)-(J34))))*(MAX($D$16,(AD100)-(J34))),0.000001))^2)/(2*$I$5)</f>
        <v>635.51128720958343</v>
      </c>
      <c r="T100">
        <f ca="1">N100+((ABS(J100)/MAX(((G35)+(I35)*(MAX($D$16,(N100)-(K35))))*(MAX($D$16,(N100)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AD100)-(J35))))*(MAX($D$16,(AD100)-(J35))),0.000001)),$D$9*((((ABS(J100)/MAX(((G35)+(I35)*(MAX($D$16,(N100)-(K35))))*(MAX($D$16,(N100)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N100)-(K35))))*(MAX($D$16,(N100)-(K35))),0.000001))^2)/(2*$I$5)))))+($D$10*(ABS((X35)-(W35))/90)*MAX(((ABS(J100)/MAX(((F35)+(H35)*(MAX($D$16,(AD100)-(J35))))*(MAX($D$16,(AD100)-(J35))),0.000001))^2)/(2*$I$5),((ABS(J100)/MAX(((G35)+(I35)*(MAX($D$16,(N100)-(K35))))*(MAX($D$16,(N100)-(K35))),0.000001))^2)/(2*$I$5)))+(($D$11*0.34699541*(ABS(I100)/MAX(ABS(G100),0.000001))^2*MAX(((ABS(J100)/MAX(((F35)+(H35)*(MAX($D$16,(AD100)-(J35))))*(MAX($D$16,(AD100)-(J35))),0.000001))^2)/(2*$I$5),((ABS(J100)/MAX(((G35)+(I35)*(MAX($D$16,(N100)-(K35))))*(MAX($D$16,(N100)-(K35))),0.000001))^2)/(2*$I$5))))-((ABS(J100)/MAX(((F35)+(H35)*(MAX($D$16,(AD100)-(J35))))*(MAX($D$16,(AD100)-(J35))),0.000001))^2)/(2*$I$5)</f>
        <v>639.97429104455466</v>
      </c>
      <c r="U100">
        <f ca="1">((((G31)*(MAX($D$16,(AE100)-(K31)))^2)/2+(I31)*(MAX($D$16,(AE100)-(K31)))^3/3+(ABS(F100)^2)/($I$5*MAX(((G31)+(I31)*(MAX($D$16,(AE100)-(K31))))*(MAX($D$16,(AE100)-(K31))),0.000001)))-(IF(N6="None",((((F32)*(MAX($D$16,(AE100)-(J32)))^2)/2+(H32)*(MAX($D$16,(AE100)-(J32)))^3/3+(ABS(G100)^2)/($I$5*MAX(((F32)+(H32)*(MAX($D$16,(AE100)-(J32))))*(MAX($D$16,(AE100)-(J32))),0.000001)))*0.72785025),(((((F32)*(MAX($D$16,(AE100)-(J32)))^2)/2+(H32)*(MAX($D$16,(AE100)-(J32)))^3/3+(ABS(G100)^2)/($I$5*MAX(((F32)+(H32)*(MAX($D$16,(AE100)-(J32))))*(MAX($D$16,(AE100)-(J32))),0.000001)))*0.72785025)+((((F33)*(MAX($D$16,(AE100)-(J33)))^2)/2+(H33)*(MAX($D$16,(AE100)-(J33)))^3/3+(ABS(H100)^2)/($I$5*MAX(((F33)+(H33)*(MAX($D$16,(AE100)-(J33))))*(MAX($D$16,(AE100)-(J33))),0.000001)))*0.99999971)))))/MAX(((G31)*(MAX($D$16,(AE100)-(K31)))^2)/2+(I31)*(MAX($D$16,(AE100)-(K31)))^3/3+(ABS(F100)^2)/($I$5*MAX(((G31)+(I31)*(MAX($D$16,(AE100)-(K31))))*(MAX($D$16,(AE100)-(K31))),0.000001)),0.000001)</f>
        <v>0.27214975000000002</v>
      </c>
      <c r="V100">
        <f ca="1">((((G32)*(MAX($D$16,(AF100)-(K32)))^2)/2+(I32)*(MAX($D$16,(AF100)-(K32)))^3/3+(ABS(G100)^2)/($I$5*MAX(((G32)+(I32)*(MAX($D$16,(AF100)-(K32))))*(MAX($D$16,(AF100)-(K32))),0.000001)))-(IF(AND(N7="None",N8="None"),0,IF(N8="None",((((F34)*(MAX($D$16,(AF100)-(J34)))^2)/2+(H34)*(MAX($D$16,(AF100)-(J34)))^3/3+(ABS(I100)^2)/($I$5*MAX(((F34)+(H34)*(MAX($D$16,(AF100)-(J34))))*(MAX($D$16,(AF100)-(J34))),0.000001)))*1),IF(N7="None",((((F35)*(MAX($D$16,(AF100)-(J35)))^2)/2+(H35)*(MAX($D$16,(AF100)-(J35)))^3/3+(ABS(J100)^2)/($I$5*MAX(((F35)+(H35)*(MAX($D$16,(AF100)-(J35))))*(MAX($D$16,(AF100)-(J35))),0.000001)))*0.30600918),(((((F34)*(MAX($D$16,(AF100)-(J34)))^2)/2+(H34)*(MAX($D$16,(AF100)-(J34)))^3/3+(ABS(I100)^2)/($I$5*MAX(((F34)+(H34)*(MAX($D$16,(AF100)-(J34))))*(MAX($D$16,(AF100)-(J34))),0.000001)))*1)+((((F35)*(MAX($D$16,(AF100)-(J35)))^2)/2+(H35)*(MAX($D$16,(AF100)-(J35)))^3/3+(ABS(J100)^2)/($I$5*MAX(((F35)+(H35)*(MAX($D$16,(AF100)-(J35))))*(MAX($D$16,(AF100)-(J35))),0.000001)))*0.30600918)))))))/MAX(((G32)*(MAX($D$16,(AF100)-(K32)))^2)/2+(I32)*(MAX($D$16,(AF100)-(K32)))^3/3+(ABS(G100)^2)/($I$5*MAX(((G32)+(I32)*(MAX($D$16,(AF100)-(K32))))*(MAX($D$16,(AF100)-(K32))),0.000001)),0.000001)</f>
        <v>3.904177561081449E-2</v>
      </c>
      <c r="W100">
        <f ca="1">ABS((IF(N6="None",P100,MAX(P100,Q100)))-D100)</f>
        <v>5.7059780289586115</v>
      </c>
      <c r="X100">
        <f ca="1">ABS((IF(AND(N7="None",N8="None"),E100,IF(N8="None",S100,IF(N7="None",T100,MAX(S100,T100)))))-E100)</f>
        <v>8.0492909863456816</v>
      </c>
      <c r="Y100">
        <f>IF(N6="None",1,MIN(0.98,MAX(0.02,B100+$D$14*((Q100-P100)/MAX(ABS(D100),1)))))</f>
        <v>1</v>
      </c>
      <c r="Z100">
        <f ca="1">IF(AND(N7="None",N8="None"),C100,IF(N8="None",1,IF(N7="None",0,MIN(0.98,MAX(0.02,C100+$D$14*((T100-S100)/MAX(ABS(E100),1)))))))</f>
        <v>0.98</v>
      </c>
      <c r="AA100">
        <f t="shared" ca="1" si="16"/>
        <v>636.34536432063464</v>
      </c>
      <c r="AB100">
        <f t="shared" ca="1" si="17"/>
        <v>634.74259265949399</v>
      </c>
      <c r="AC100">
        <f ca="1">IF($D$20=0,D100,IF(AC100=0,(IF(N6="None",P100,MAX(P100,Q100))),IF(ABS((IF(N6="None",P100,MAX(P100,Q100)))-AC100)&lt;$D$19,AC100,MAX((K31)+$D$16,AC100+$D$13*(((IF(N6="None",P100,MAX(P100,Q100)))-AC100))))))</f>
        <v>640.05475514453997</v>
      </c>
      <c r="AD100">
        <f ca="1">IF($D$20=0,E100,IF(AD100=0,(IF(AND(N7="None",N8="None"),E100,IF(N8="None",S100,IF(N7="None",T100,MAX(S100,T100))))),IF(ABS((IF(AND(N7="None",N8="None"),E100,IF(N8="None",S100,IF(N7="None",T100,MAX(S100,T100)))))-AD100)&lt;$D$19,AD100,MAX((K32)+$D$16,AD100+$D$13*(((IF(AND(N7="None",N8="None"),E100,IF(N8="None",S100,IF(N7="None",T100,MAX(S100,T100)))))-AD100))))))</f>
        <v>639.97526463330917</v>
      </c>
      <c r="AE100">
        <f ca="1">IF($D$20=0,D100,IF(AE100=0,O100,IF(ABS(U100)&lt;$D$19,AE100,MAX((K31)+$D$16,AE100+($D$13*(((O100)-AE100)+(U100*MAX(ABS(AE100-(K31)),1))))))))</f>
        <v>634.34799999999996</v>
      </c>
      <c r="AF100">
        <f ca="1">IF($D$20=0,E100,IF(AF100=0,R100,IF(ABS(V100)&lt;$D$19,AF100,MAX((K32)+$D$16,AF100+($D$13*(((R100)-AF100)+(V100*MAX(ABS(AF100-(K32)),1))))))))</f>
        <v>631.92499999999995</v>
      </c>
      <c r="AG100">
        <f ca="1">((G31)*(MAX($D$16,(AC100)-(K31)))^2)/2+(I31)*(MAX($D$16,(AC100)-(K31)))^3/3+(ABS(F100)^2)/($I$5*MAX(((G31)+(I31)*(MAX($D$16,(AC100)-(K31))))*(MAX($D$16,(AC100)-(K31))),0.000001))</f>
        <v>115.68980551184316</v>
      </c>
      <c r="AH100">
        <f ca="1">((G31)*(MAX($D$16,(AE100)-(K31)))^2)/2+(I31)*(MAX($D$16,(AE100)-(K31)))^3/3+(ABS(F100)^2)/($I$5*MAX(((G31)+(I31)*(MAX($D$16,(AE100)-(K31))))*(MAX($D$16,(AE100)-(K31))),0.000001))</f>
        <v>808.60110594434002</v>
      </c>
      <c r="AI100">
        <f ca="1">((G32)*(MAX($D$16,(AD100)-(K32)))^2)/2+(I32)*(MAX($D$16,(AD100)-(K32)))^3/3+(ABS(G100)^2)/($I$5*MAX(((G32)+(I32)*(MAX($D$16,(AD100)-(K32))))*(MAX($D$16,(AD100)-(K32))),0.000001))</f>
        <v>338.03683729018678</v>
      </c>
      <c r="AJ100">
        <f ca="1">((G32)*(MAX($D$16,(AF100)-(K32)))^2)/2+(I32)*(MAX($D$16,(AF100)-(K32)))^3/3+(ABS(G100)^2)/($I$5*MAX(((G32)+(I32)*(MAX($D$16,(AF100)-(K32))))*(MAX($D$16,(AF100)-(K32))),0.000001))</f>
        <v>519.58480272613974</v>
      </c>
      <c r="AK100" t="str">
        <f t="shared" ca="1" si="18"/>
        <v>Supercritical</v>
      </c>
      <c r="AL100" t="str">
        <f t="shared" ca="1" si="19"/>
        <v>Supercritical</v>
      </c>
      <c r="AM100">
        <f t="shared" ca="1" si="20"/>
        <v>634.34800002004567</v>
      </c>
      <c r="AN100">
        <f t="shared" ca="1" si="21"/>
        <v>631.92500003783584</v>
      </c>
      <c r="AO100">
        <f t="shared" ca="1" si="22"/>
        <v>3.0839601095067337E-8</v>
      </c>
      <c r="AP100">
        <f t="shared" ca="1" si="23"/>
        <v>5.8209025155520067E-8</v>
      </c>
    </row>
    <row r="101" spans="1:42" x14ac:dyDescent="0.35">
      <c r="A101">
        <v>58</v>
      </c>
      <c r="B101">
        <f t="shared" si="24"/>
        <v>1</v>
      </c>
      <c r="C101">
        <f t="shared" ca="1" si="25"/>
        <v>0.98</v>
      </c>
      <c r="D101">
        <f t="shared" ca="1" si="26"/>
        <v>634.34800002004567</v>
      </c>
      <c r="E101">
        <f t="shared" ca="1" si="27"/>
        <v>631.92500003783584</v>
      </c>
      <c r="F101">
        <f t="shared" si="15"/>
        <v>51</v>
      </c>
      <c r="G101">
        <f>IF(N6="None",F101,MAX(0,F101*B101))</f>
        <v>51</v>
      </c>
      <c r="H101">
        <f>IF(N6="None",0,MAX(0,F101-G101))</f>
        <v>0</v>
      </c>
      <c r="I101">
        <f ca="1">IF(AND(N7="None",N8="None"),0,IF(N8="None",G101,IF(N7="None",0,MAX(0,G101*C101))))</f>
        <v>49.98</v>
      </c>
      <c r="J101">
        <f ca="1">IF(AND(N7="None",N8="None"),0,IF(N8="None",0,IF(N7="None",G101,MAX(0,G101-I101))))</f>
        <v>1.0200000000000031</v>
      </c>
      <c r="K101">
        <f>P5</f>
        <v>637</v>
      </c>
      <c r="L101">
        <f>P6</f>
        <v>634.3119999999999</v>
      </c>
      <c r="M101">
        <f>P7</f>
        <v>635.5</v>
      </c>
      <c r="N101">
        <f>P8</f>
        <v>631.54999999999995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-2091.5872404992097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640.05397805979817</v>
      </c>
      <c r="Q101">
        <f ca="1">L101+((ABS(H101)/MAX(((G33)+(I33)*(MAX($D$16,(L101)-(K33))))*(MAX($D$16,(L101)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AC101)-(J33))))*(MAX($D$16,(AC101)-(J33))),0.000001)),$D$9*((((ABS(H101)/MAX(((G33)+(I33)*(MAX($D$16,(L101)-(K33))))*(MAX($D$16,(L101)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L101)-(K33))))*(MAX($D$16,(L101)-(K33))),0.000001))^2)/(2*$I$5)))))+($D$10*(ABS((X33)-(W33))/90)*MAX(((ABS(H101)/MAX(((F33)+(H33)*(MAX($D$16,(AC101)-(J33))))*(MAX($D$16,(AC101)-(J33))),0.000001))^2)/(2*$I$5),((ABS(H101)/MAX(((G33)+(I33)*(MAX($D$16,(L101)-(K33))))*(MAX($D$16,(L101)-(K33))),0.000001))^2)/(2*$I$5)))+(($D$11*0.00000015*(ABS(G101)/MAX(ABS(F101),0.000001))^2*MAX(((ABS(H101)/MAX(((F33)+(H33)*(MAX($D$16,(AC101)-(J33))))*(MAX($D$16,(AC101)-(J33))),0.000001))^2)/(2*$I$5),((ABS(H101)/MAX(((G33)+(I33)*(MAX($D$16,(L101)-(K33))))*(MAX($D$16,(L101)-(K33))),0.000001))^2)/(2*$I$5))))-((ABS(H101)/MAX(((F33)+(H33)*(MAX($D$16,(AC101)-(J33))))*(MAX($D$16,(AC101)-(J33))),0.000001))^2)/(2*$I$5)</f>
        <v>634.3119999999999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-292118.81246378768</v>
      </c>
      <c r="S101">
        <f ca="1">M101+((ABS(I101)/MAX(((G34)+(I34)*(MAX($D$16,(M101)-(K34))))*(MAX($D$16,(M101)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AD101)-(J34))))*(MAX($D$16,(AD101)-(J34))),0.000001)),$D$9*((((ABS(I101)/MAX(((G34)+(I34)*(MAX($D$16,(M101)-(K34))))*(MAX($D$16,(M101)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M101)-(K34))))*(MAX($D$16,(M101)-(K34))),0.000001))^2)/(2*$I$5)))))+($D$10*(ABS((X34)-(W34))/90)*MAX(((ABS(I101)/MAX(((F34)+(H34)*(MAX($D$16,(AD101)-(J34))))*(MAX($D$16,(AD101)-(J34))),0.000001))^2)/(2*$I$5),((ABS(I101)/MAX(((G34)+(I34)*(MAX($D$16,(M101)-(K34))))*(MAX($D$16,(M101)-(K34))),0.000001))^2)/(2*$I$5)))+(0)-((ABS(I101)/MAX(((F34)+(H34)*(MAX($D$16,(AD101)-(J34))))*(MAX($D$16,(AD101)-(J34))),0.000001))^2)/(2*$I$5)</f>
        <v>635.51128720958343</v>
      </c>
      <c r="T101">
        <f ca="1">N101+((ABS(J101)/MAX(((G35)+(I35)*(MAX($D$16,(N101)-(K35))))*(MAX($D$16,(N101)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AD101)-(J35))))*(MAX($D$16,(AD101)-(J35))),0.000001)),$D$9*((((ABS(J101)/MAX(((G35)+(I35)*(MAX($D$16,(N101)-(K35))))*(MAX($D$16,(N101)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N101)-(K35))))*(MAX($D$16,(N101)-(K35))),0.000001))^2)/(2*$I$5)))))+($D$10*(ABS((X35)-(W35))/90)*MAX(((ABS(J101)/MAX(((F35)+(H35)*(MAX($D$16,(AD101)-(J35))))*(MAX($D$16,(AD101)-(J35))),0.000001))^2)/(2*$I$5),((ABS(J101)/MAX(((G35)+(I35)*(MAX($D$16,(N101)-(K35))))*(MAX($D$16,(N101)-(K35))),0.000001))^2)/(2*$I$5)))+(($D$11*0.34699541*(ABS(I101)/MAX(ABS(G101),0.000001))^2*MAX(((ABS(J101)/MAX(((F35)+(H35)*(MAX($D$16,(AD101)-(J35))))*(MAX($D$16,(AD101)-(J35))),0.000001))^2)/(2*$I$5),((ABS(J101)/MAX(((G35)+(I35)*(MAX($D$16,(N101)-(K35))))*(MAX($D$16,(N101)-(K35))),0.000001))^2)/(2*$I$5))))-((ABS(J101)/MAX(((F35)+(H35)*(MAX($D$16,(AD101)-(J35))))*(MAX($D$16,(AD101)-(J35))),0.000001))^2)/(2*$I$5)</f>
        <v>639.97429104455466</v>
      </c>
      <c r="U101">
        <f ca="1">((((G31)*(MAX($D$16,(AE101)-(K31)))^2)/2+(I31)*(MAX($D$16,(AE101)-(K31)))^3/3+(ABS(F101)^2)/($I$5*MAX(((G31)+(I31)*(MAX($D$16,(AE101)-(K31))))*(MAX($D$16,(AE101)-(K31))),0.000001)))-(IF(N6="None",((((F32)*(MAX($D$16,(AE101)-(J32)))^2)/2+(H32)*(MAX($D$16,(AE101)-(J32)))^3/3+(ABS(G101)^2)/($I$5*MAX(((F32)+(H32)*(MAX($D$16,(AE101)-(J32))))*(MAX($D$16,(AE101)-(J32))),0.000001)))*0.72785025),(((((F32)*(MAX($D$16,(AE101)-(J32)))^2)/2+(H32)*(MAX($D$16,(AE101)-(J32)))^3/3+(ABS(G101)^2)/($I$5*MAX(((F32)+(H32)*(MAX($D$16,(AE101)-(J32))))*(MAX($D$16,(AE101)-(J32))),0.000001)))*0.72785025)+((((F33)*(MAX($D$16,(AE101)-(J33)))^2)/2+(H33)*(MAX($D$16,(AE101)-(J33)))^3/3+(ABS(H101)^2)/($I$5*MAX(((F33)+(H33)*(MAX($D$16,(AE101)-(J33))))*(MAX($D$16,(AE101)-(J33))),0.000001)))*0.99999971)))))/MAX(((G31)*(MAX($D$16,(AE101)-(K31)))^2)/2+(I31)*(MAX($D$16,(AE101)-(K31)))^3/3+(ABS(F101)^2)/($I$5*MAX(((G31)+(I31)*(MAX($D$16,(AE101)-(K31))))*(MAX($D$16,(AE101)-(K31))),0.000001)),0.000001)</f>
        <v>0.27214975000000002</v>
      </c>
      <c r="V101">
        <f ca="1">((((G32)*(MAX($D$16,(AF101)-(K32)))^2)/2+(I32)*(MAX($D$16,(AF101)-(K32)))^3/3+(ABS(G101)^2)/($I$5*MAX(((G32)+(I32)*(MAX($D$16,(AF101)-(K32))))*(MAX($D$16,(AF101)-(K32))),0.000001)))-(IF(AND(N7="None",N8="None"),0,IF(N8="None",((((F34)*(MAX($D$16,(AF101)-(J34)))^2)/2+(H34)*(MAX($D$16,(AF101)-(J34)))^3/3+(ABS(I101)^2)/($I$5*MAX(((F34)+(H34)*(MAX($D$16,(AF101)-(J34))))*(MAX($D$16,(AF101)-(J34))),0.000001)))*1),IF(N7="None",((((F35)*(MAX($D$16,(AF101)-(J35)))^2)/2+(H35)*(MAX($D$16,(AF101)-(J35)))^3/3+(ABS(J101)^2)/($I$5*MAX(((F35)+(H35)*(MAX($D$16,(AF101)-(J35))))*(MAX($D$16,(AF101)-(J35))),0.000001)))*0.30600918),(((((F34)*(MAX($D$16,(AF101)-(J34)))^2)/2+(H34)*(MAX($D$16,(AF101)-(J34)))^3/3+(ABS(I101)^2)/($I$5*MAX(((F34)+(H34)*(MAX($D$16,(AF101)-(J34))))*(MAX($D$16,(AF101)-(J34))),0.000001)))*1)+((((F35)*(MAX($D$16,(AF101)-(J35)))^2)/2+(H35)*(MAX($D$16,(AF101)-(J35)))^3/3+(ABS(J101)^2)/($I$5*MAX(((F35)+(H35)*(MAX($D$16,(AF101)-(J35))))*(MAX($D$16,(AF101)-(J35))),0.000001)))*0.30600918)))))))/MAX(((G32)*(MAX($D$16,(AF101)-(K32)))^2)/2+(I32)*(MAX($D$16,(AF101)-(K32)))^3/3+(ABS(G101)^2)/($I$5*MAX(((G32)+(I32)*(MAX($D$16,(AF101)-(K32))))*(MAX($D$16,(AF101)-(K32))),0.000001)),0.000001)</f>
        <v>3.904177561081449E-2</v>
      </c>
      <c r="W101">
        <f ca="1">ABS((IF(N6="None",P101,MAX(P101,Q101)))-D101)</f>
        <v>5.7059780397524946</v>
      </c>
      <c r="X101">
        <f ca="1">ABS((IF(AND(N7="None",N8="None"),E101,IF(N8="None",S101,IF(N7="None",T101,MAX(S101,T101)))))-E101)</f>
        <v>8.0492910067188177</v>
      </c>
      <c r="Y101">
        <f>IF(N6="None",1,MIN(0.98,MAX(0.02,B101+$D$14*((Q101-P101)/MAX(ABS(D101),1)))))</f>
        <v>1</v>
      </c>
      <c r="Z101">
        <f ca="1">IF(AND(N7="None",N8="None"),C101,IF(N8="None",1,IF(N7="None",0,MIN(0.98,MAX(0.02,C101+$D$14*((T101-S101)/MAX(ABS(E101),1)))))))</f>
        <v>0.98</v>
      </c>
      <c r="AA101">
        <f t="shared" ca="1" si="16"/>
        <v>636.34536431361869</v>
      </c>
      <c r="AB101">
        <f t="shared" ca="1" si="17"/>
        <v>634.74259264625152</v>
      </c>
      <c r="AC101">
        <f ca="1">IF($D$20=0,D101,IF(AC101=0,(IF(N6="None",P101,MAX(P101,Q101))),IF(ABS((IF(N6="None",P101,MAX(P101,Q101)))-AC101)&lt;$D$19,AC101,MAX((K31)+$D$16,AC101+$D$13*(((IF(N6="None",P101,MAX(P101,Q101)))-AC101))))))</f>
        <v>640.05475514453997</v>
      </c>
      <c r="AD101">
        <f ca="1">IF($D$20=0,E101,IF(AD101=0,(IF(AND(N7="None",N8="None"),E101,IF(N8="None",S101,IF(N7="None",T101,MAX(S101,T101))))),IF(ABS((IF(AND(N7="None",N8="None"),E101,IF(N8="None",S101,IF(N7="None",T101,MAX(S101,T101)))))-AD101)&lt;$D$19,AD101,MAX((K32)+$D$16,AD101+$D$13*(((IF(AND(N7="None",N8="None"),E101,IF(N8="None",S101,IF(N7="None",T101,MAX(S101,T101)))))-AD101))))))</f>
        <v>639.97526463330917</v>
      </c>
      <c r="AE101">
        <f ca="1">IF($D$20=0,D101,IF(AE101=0,O101,IF(ABS(U101)&lt;$D$19,AE101,MAX((K31)+$D$16,AE101+($D$13*(((O101)-AE101)+(U101*MAX(ABS(AE101-(K31)),1))))))))</f>
        <v>634.34799999999996</v>
      </c>
      <c r="AF101">
        <f ca="1">IF($D$20=0,E101,IF(AF101=0,R101,IF(ABS(V101)&lt;$D$19,AF101,MAX((K32)+$D$16,AF101+($D$13*(((R101)-AF101)+(V101*MAX(ABS(AF101-(K32)),1))))))))</f>
        <v>631.92499999999995</v>
      </c>
      <c r="AG101">
        <f ca="1">((G31)*(MAX($D$16,(AC101)-(K31)))^2)/2+(I31)*(MAX($D$16,(AC101)-(K31)))^3/3+(ABS(F101)^2)/($I$5*MAX(((G31)+(I31)*(MAX($D$16,(AC101)-(K31))))*(MAX($D$16,(AC101)-(K31))),0.000001))</f>
        <v>115.68980551184316</v>
      </c>
      <c r="AH101">
        <f ca="1">((G31)*(MAX($D$16,(AE101)-(K31)))^2)/2+(I31)*(MAX($D$16,(AE101)-(K31)))^3/3+(ABS(F101)^2)/($I$5*MAX(((G31)+(I31)*(MAX($D$16,(AE101)-(K31))))*(MAX($D$16,(AE101)-(K31))),0.000001))</f>
        <v>808.60110594434002</v>
      </c>
      <c r="AI101">
        <f ca="1">((G32)*(MAX($D$16,(AD101)-(K32)))^2)/2+(I32)*(MAX($D$16,(AD101)-(K32)))^3/3+(ABS(G101)^2)/($I$5*MAX(((G32)+(I32)*(MAX($D$16,(AD101)-(K32))))*(MAX($D$16,(AD101)-(K32))),0.000001))</f>
        <v>338.03683729018678</v>
      </c>
      <c r="AJ101">
        <f ca="1">((G32)*(MAX($D$16,(AF101)-(K32)))^2)/2+(I32)*(MAX($D$16,(AF101)-(K32)))^3/3+(ABS(G101)^2)/($I$5*MAX(((G32)+(I32)*(MAX($D$16,(AF101)-(K32))))*(MAX($D$16,(AF101)-(K32))),0.000001))</f>
        <v>519.58480272613974</v>
      </c>
      <c r="AK101" t="str">
        <f t="shared" ca="1" si="18"/>
        <v>Supercritical</v>
      </c>
      <c r="AL101" t="str">
        <f t="shared" ca="1" si="19"/>
        <v>Supercritical</v>
      </c>
      <c r="AM101">
        <f t="shared" ca="1" si="20"/>
        <v>634.34800001302972</v>
      </c>
      <c r="AN101">
        <f t="shared" ca="1" si="21"/>
        <v>631.92500002459326</v>
      </c>
      <c r="AO101">
        <f t="shared" ca="1" si="22"/>
        <v>2.0045717974426225E-8</v>
      </c>
      <c r="AP101">
        <f t="shared" ca="1" si="23"/>
        <v>3.7835889088455588E-8</v>
      </c>
    </row>
    <row r="102" spans="1:42" x14ac:dyDescent="0.35">
      <c r="A102">
        <v>59</v>
      </c>
      <c r="B102">
        <f t="shared" si="24"/>
        <v>1</v>
      </c>
      <c r="C102">
        <f t="shared" ca="1" si="25"/>
        <v>0.98</v>
      </c>
      <c r="D102">
        <f t="shared" ca="1" si="26"/>
        <v>634.34800001302972</v>
      </c>
      <c r="E102">
        <f t="shared" ca="1" si="27"/>
        <v>631.92500002459326</v>
      </c>
      <c r="F102">
        <f t="shared" si="15"/>
        <v>51</v>
      </c>
      <c r="G102">
        <f>IF(N6="None",F102,MAX(0,F102*B102))</f>
        <v>51</v>
      </c>
      <c r="H102">
        <f>IF(N6="None",0,MAX(0,F102-G102))</f>
        <v>0</v>
      </c>
      <c r="I102">
        <f ca="1">IF(AND(N7="None",N8="None"),0,IF(N8="None",G102,IF(N7="None",0,MAX(0,G102*C102))))</f>
        <v>49.98</v>
      </c>
      <c r="J102">
        <f ca="1">IF(AND(N7="None",N8="None"),0,IF(N8="None",0,IF(N7="None",G102,MAX(0,G102-I102))))</f>
        <v>1.0200000000000031</v>
      </c>
      <c r="K102">
        <f>P5</f>
        <v>637</v>
      </c>
      <c r="L102">
        <f>P6</f>
        <v>634.3119999999999</v>
      </c>
      <c r="M102">
        <f>P7</f>
        <v>635.5</v>
      </c>
      <c r="N102">
        <f>P8</f>
        <v>631.54999999999995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-2091.5872404992097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640.05397805979817</v>
      </c>
      <c r="Q102">
        <f ca="1">L102+((ABS(H102)/MAX(((G33)+(I33)*(MAX($D$16,(L102)-(K33))))*(MAX($D$16,(L102)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AC102)-(J33))))*(MAX($D$16,(AC102)-(J33))),0.000001)),$D$9*((((ABS(H102)/MAX(((G33)+(I33)*(MAX($D$16,(L102)-(K33))))*(MAX($D$16,(L102)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L102)-(K33))))*(MAX($D$16,(L102)-(K33))),0.000001))^2)/(2*$I$5)))))+($D$10*(ABS((X33)-(W33))/90)*MAX(((ABS(H102)/MAX(((F33)+(H33)*(MAX($D$16,(AC102)-(J33))))*(MAX($D$16,(AC102)-(J33))),0.000001))^2)/(2*$I$5),((ABS(H102)/MAX(((G33)+(I33)*(MAX($D$16,(L102)-(K33))))*(MAX($D$16,(L102)-(K33))),0.000001))^2)/(2*$I$5)))+(($D$11*0.00000015*(ABS(G102)/MAX(ABS(F102),0.000001))^2*MAX(((ABS(H102)/MAX(((F33)+(H33)*(MAX($D$16,(AC102)-(J33))))*(MAX($D$16,(AC102)-(J33))),0.000001))^2)/(2*$I$5),((ABS(H102)/MAX(((G33)+(I33)*(MAX($D$16,(L102)-(K33))))*(MAX($D$16,(L102)-(K33))),0.000001))^2)/(2*$I$5))))-((ABS(H102)/MAX(((F33)+(H33)*(MAX($D$16,(AC102)-(J33))))*(MAX($D$16,(AC102)-(J33))),0.000001))^2)/(2*$I$5)</f>
        <v>634.3119999999999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-292118.81246378768</v>
      </c>
      <c r="S102">
        <f ca="1">M102+((ABS(I102)/MAX(((G34)+(I34)*(MAX($D$16,(M102)-(K34))))*(MAX($D$16,(M102)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AD102)-(J34))))*(MAX($D$16,(AD102)-(J34))),0.000001)),$D$9*((((ABS(I102)/MAX(((G34)+(I34)*(MAX($D$16,(M102)-(K34))))*(MAX($D$16,(M102)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M102)-(K34))))*(MAX($D$16,(M102)-(K34))),0.000001))^2)/(2*$I$5)))))+($D$10*(ABS((X34)-(W34))/90)*MAX(((ABS(I102)/MAX(((F34)+(H34)*(MAX($D$16,(AD102)-(J34))))*(MAX($D$16,(AD102)-(J34))),0.000001))^2)/(2*$I$5),((ABS(I102)/MAX(((G34)+(I34)*(MAX($D$16,(M102)-(K34))))*(MAX($D$16,(M102)-(K34))),0.000001))^2)/(2*$I$5)))+(0)-((ABS(I102)/MAX(((F34)+(H34)*(MAX($D$16,(AD102)-(J34))))*(MAX($D$16,(AD102)-(J34))),0.000001))^2)/(2*$I$5)</f>
        <v>635.51128720958343</v>
      </c>
      <c r="T102">
        <f ca="1">N102+((ABS(J102)/MAX(((G35)+(I35)*(MAX($D$16,(N102)-(K35))))*(MAX($D$16,(N102)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AD102)-(J35))))*(MAX($D$16,(AD102)-(J35))),0.000001)),$D$9*((((ABS(J102)/MAX(((G35)+(I35)*(MAX($D$16,(N102)-(K35))))*(MAX($D$16,(N102)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N102)-(K35))))*(MAX($D$16,(N102)-(K35))),0.000001))^2)/(2*$I$5)))))+($D$10*(ABS((X35)-(W35))/90)*MAX(((ABS(J102)/MAX(((F35)+(H35)*(MAX($D$16,(AD102)-(J35))))*(MAX($D$16,(AD102)-(J35))),0.000001))^2)/(2*$I$5),((ABS(J102)/MAX(((G35)+(I35)*(MAX($D$16,(N102)-(K35))))*(MAX($D$16,(N102)-(K35))),0.000001))^2)/(2*$I$5)))+(($D$11*0.34699541*(ABS(I102)/MAX(ABS(G102),0.000001))^2*MAX(((ABS(J102)/MAX(((F35)+(H35)*(MAX($D$16,(AD102)-(J35))))*(MAX($D$16,(AD102)-(J35))),0.000001))^2)/(2*$I$5),((ABS(J102)/MAX(((G35)+(I35)*(MAX($D$16,(N102)-(K35))))*(MAX($D$16,(N102)-(K35))),0.000001))^2)/(2*$I$5))))-((ABS(J102)/MAX(((F35)+(H35)*(MAX($D$16,(AD102)-(J35))))*(MAX($D$16,(AD102)-(J35))),0.000001))^2)/(2*$I$5)</f>
        <v>639.97429104455466</v>
      </c>
      <c r="U102">
        <f ca="1">((((G31)*(MAX($D$16,(AE102)-(K31)))^2)/2+(I31)*(MAX($D$16,(AE102)-(K31)))^3/3+(ABS(F102)^2)/($I$5*MAX(((G31)+(I31)*(MAX($D$16,(AE102)-(K31))))*(MAX($D$16,(AE102)-(K31))),0.000001)))-(IF(N6="None",((((F32)*(MAX($D$16,(AE102)-(J32)))^2)/2+(H32)*(MAX($D$16,(AE102)-(J32)))^3/3+(ABS(G102)^2)/($I$5*MAX(((F32)+(H32)*(MAX($D$16,(AE102)-(J32))))*(MAX($D$16,(AE102)-(J32))),0.000001)))*0.72785025),(((((F32)*(MAX($D$16,(AE102)-(J32)))^2)/2+(H32)*(MAX($D$16,(AE102)-(J32)))^3/3+(ABS(G102)^2)/($I$5*MAX(((F32)+(H32)*(MAX($D$16,(AE102)-(J32))))*(MAX($D$16,(AE102)-(J32))),0.000001)))*0.72785025)+((((F33)*(MAX($D$16,(AE102)-(J33)))^2)/2+(H33)*(MAX($D$16,(AE102)-(J33)))^3/3+(ABS(H102)^2)/($I$5*MAX(((F33)+(H33)*(MAX($D$16,(AE102)-(J33))))*(MAX($D$16,(AE102)-(J33))),0.000001)))*0.99999971)))))/MAX(((G31)*(MAX($D$16,(AE102)-(K31)))^2)/2+(I31)*(MAX($D$16,(AE102)-(K31)))^3/3+(ABS(F102)^2)/($I$5*MAX(((G31)+(I31)*(MAX($D$16,(AE102)-(K31))))*(MAX($D$16,(AE102)-(K31))),0.000001)),0.000001)</f>
        <v>0.27214975000000002</v>
      </c>
      <c r="V102">
        <f ca="1">((((G32)*(MAX($D$16,(AF102)-(K32)))^2)/2+(I32)*(MAX($D$16,(AF102)-(K32)))^3/3+(ABS(G102)^2)/($I$5*MAX(((G32)+(I32)*(MAX($D$16,(AF102)-(K32))))*(MAX($D$16,(AF102)-(K32))),0.000001)))-(IF(AND(N7="None",N8="None"),0,IF(N8="None",((((F34)*(MAX($D$16,(AF102)-(J34)))^2)/2+(H34)*(MAX($D$16,(AF102)-(J34)))^3/3+(ABS(I102)^2)/($I$5*MAX(((F34)+(H34)*(MAX($D$16,(AF102)-(J34))))*(MAX($D$16,(AF102)-(J34))),0.000001)))*1),IF(N7="None",((((F35)*(MAX($D$16,(AF102)-(J35)))^2)/2+(H35)*(MAX($D$16,(AF102)-(J35)))^3/3+(ABS(J102)^2)/($I$5*MAX(((F35)+(H35)*(MAX($D$16,(AF102)-(J35))))*(MAX($D$16,(AF102)-(J35))),0.000001)))*0.30600918),(((((F34)*(MAX($D$16,(AF102)-(J34)))^2)/2+(H34)*(MAX($D$16,(AF102)-(J34)))^3/3+(ABS(I102)^2)/($I$5*MAX(((F34)+(H34)*(MAX($D$16,(AF102)-(J34))))*(MAX($D$16,(AF102)-(J34))),0.000001)))*1)+((((F35)*(MAX($D$16,(AF102)-(J35)))^2)/2+(H35)*(MAX($D$16,(AF102)-(J35)))^3/3+(ABS(J102)^2)/($I$5*MAX(((F35)+(H35)*(MAX($D$16,(AF102)-(J35))))*(MAX($D$16,(AF102)-(J35))),0.000001)))*0.30600918)))))))/MAX(((G32)*(MAX($D$16,(AF102)-(K32)))^2)/2+(I32)*(MAX($D$16,(AF102)-(K32)))^3/3+(ABS(G102)^2)/($I$5*MAX(((G32)+(I32)*(MAX($D$16,(AF102)-(K32))))*(MAX($D$16,(AF102)-(K32))),0.000001)),0.000001)</f>
        <v>3.904177561081449E-2</v>
      </c>
      <c r="W102">
        <f ca="1">ABS((IF(N6="None",P102,MAX(P102,Q102)))-D102)</f>
        <v>5.7059780467684504</v>
      </c>
      <c r="X102">
        <f ca="1">ABS((IF(AND(N7="None",N8="None"),E102,IF(N8="None",S102,IF(N7="None",T102,MAX(S102,T102)))))-E102)</f>
        <v>8.0492910199614016</v>
      </c>
      <c r="Y102">
        <f>IF(N6="None",1,MIN(0.98,MAX(0.02,B102+$D$14*((Q102-P102)/MAX(ABS(D102),1)))))</f>
        <v>1</v>
      </c>
      <c r="Z102">
        <f ca="1">IF(AND(N7="None",N8="None"),C102,IF(N8="None",1,IF(N7="None",0,MIN(0.98,MAX(0.02,C102+$D$14*((T102-S102)/MAX(ABS(E102),1)))))))</f>
        <v>0.98</v>
      </c>
      <c r="AA102">
        <f t="shared" ca="1" si="16"/>
        <v>636.34536430905825</v>
      </c>
      <c r="AB102">
        <f t="shared" ca="1" si="17"/>
        <v>634.74259263764384</v>
      </c>
      <c r="AC102">
        <f ca="1">IF($D$20=0,D102,IF(AC102=0,(IF(N6="None",P102,MAX(P102,Q102))),IF(ABS((IF(N6="None",P102,MAX(P102,Q102)))-AC102)&lt;$D$19,AC102,MAX((K31)+$D$16,AC102+$D$13*(((IF(N6="None",P102,MAX(P102,Q102)))-AC102))))))</f>
        <v>640.05475514453997</v>
      </c>
      <c r="AD102">
        <f ca="1">IF($D$20=0,E102,IF(AD102=0,(IF(AND(N7="None",N8="None"),E102,IF(N8="None",S102,IF(N7="None",T102,MAX(S102,T102))))),IF(ABS((IF(AND(N7="None",N8="None"),E102,IF(N8="None",S102,IF(N7="None",T102,MAX(S102,T102)))))-AD102)&lt;$D$19,AD102,MAX((K32)+$D$16,AD102+$D$13*(((IF(AND(N7="None",N8="None"),E102,IF(N8="None",S102,IF(N7="None",T102,MAX(S102,T102)))))-AD102))))))</f>
        <v>639.97526463330917</v>
      </c>
      <c r="AE102">
        <f ca="1">IF($D$20=0,D102,IF(AE102=0,O102,IF(ABS(U102)&lt;$D$19,AE102,MAX((K31)+$D$16,AE102+($D$13*(((O102)-AE102)+(U102*MAX(ABS(AE102-(K31)),1))))))))</f>
        <v>634.34799999999996</v>
      </c>
      <c r="AF102">
        <f ca="1">IF($D$20=0,E102,IF(AF102=0,R102,IF(ABS(V102)&lt;$D$19,AF102,MAX((K32)+$D$16,AF102+($D$13*(((R102)-AF102)+(V102*MAX(ABS(AF102-(K32)),1))))))))</f>
        <v>631.92499999999995</v>
      </c>
      <c r="AG102">
        <f ca="1">((G31)*(MAX($D$16,(AC102)-(K31)))^2)/2+(I31)*(MAX($D$16,(AC102)-(K31)))^3/3+(ABS(F102)^2)/($I$5*MAX(((G31)+(I31)*(MAX($D$16,(AC102)-(K31))))*(MAX($D$16,(AC102)-(K31))),0.000001))</f>
        <v>115.68980551184316</v>
      </c>
      <c r="AH102">
        <f ca="1">((G31)*(MAX($D$16,(AE102)-(K31)))^2)/2+(I31)*(MAX($D$16,(AE102)-(K31)))^3/3+(ABS(F102)^2)/($I$5*MAX(((G31)+(I31)*(MAX($D$16,(AE102)-(K31))))*(MAX($D$16,(AE102)-(K31))),0.000001))</f>
        <v>808.60110594434002</v>
      </c>
      <c r="AI102">
        <f ca="1">((G32)*(MAX($D$16,(AD102)-(K32)))^2)/2+(I32)*(MAX($D$16,(AD102)-(K32)))^3/3+(ABS(G102)^2)/($I$5*MAX(((G32)+(I32)*(MAX($D$16,(AD102)-(K32))))*(MAX($D$16,(AD102)-(K32))),0.000001))</f>
        <v>338.03683729018678</v>
      </c>
      <c r="AJ102">
        <f ca="1">((G32)*(MAX($D$16,(AF102)-(K32)))^2)/2+(I32)*(MAX($D$16,(AF102)-(K32)))^3/3+(ABS(G102)^2)/($I$5*MAX(((G32)+(I32)*(MAX($D$16,(AF102)-(K32))))*(MAX($D$16,(AF102)-(K32))),0.000001))</f>
        <v>519.58480272613974</v>
      </c>
      <c r="AK102" t="str">
        <f t="shared" ca="1" si="18"/>
        <v>Supercritical</v>
      </c>
      <c r="AL102" t="str">
        <f t="shared" ca="1" si="19"/>
        <v>Supercritical</v>
      </c>
      <c r="AM102">
        <f t="shared" ca="1" si="20"/>
        <v>634.34800000846928</v>
      </c>
      <c r="AN102">
        <f t="shared" ca="1" si="21"/>
        <v>631.92500001598557</v>
      </c>
      <c r="AO102">
        <f t="shared" ca="1" si="22"/>
        <v>1.3029762158112135E-8</v>
      </c>
      <c r="AP102">
        <f t="shared" ca="1" si="23"/>
        <v>2.4593305170128588E-8</v>
      </c>
    </row>
    <row r="103" spans="1:42" x14ac:dyDescent="0.35">
      <c r="A103">
        <v>60</v>
      </c>
      <c r="B103">
        <f t="shared" si="24"/>
        <v>1</v>
      </c>
      <c r="C103">
        <f t="shared" ca="1" si="25"/>
        <v>0.98</v>
      </c>
      <c r="D103">
        <f t="shared" ca="1" si="26"/>
        <v>634.34800000846928</v>
      </c>
      <c r="E103">
        <f t="shared" ca="1" si="27"/>
        <v>631.92500001598557</v>
      </c>
      <c r="F103">
        <f t="shared" si="15"/>
        <v>51</v>
      </c>
      <c r="G103">
        <f>IF(N6="None",F103,MAX(0,F103*B103))</f>
        <v>51</v>
      </c>
      <c r="H103">
        <f>IF(N6="None",0,MAX(0,F103-G103))</f>
        <v>0</v>
      </c>
      <c r="I103">
        <f ca="1">IF(AND(N7="None",N8="None"),0,IF(N8="None",G103,IF(N7="None",0,MAX(0,G103*C103))))</f>
        <v>49.98</v>
      </c>
      <c r="J103">
        <f ca="1">IF(AND(N7="None",N8="None"),0,IF(N8="None",0,IF(N7="None",G103,MAX(0,G103-I103))))</f>
        <v>1.0200000000000031</v>
      </c>
      <c r="K103">
        <f>P5</f>
        <v>637</v>
      </c>
      <c r="L103">
        <f>P6</f>
        <v>634.3119999999999</v>
      </c>
      <c r="M103">
        <f>P7</f>
        <v>635.5</v>
      </c>
      <c r="N103">
        <f>P8</f>
        <v>631.54999999999995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-2091.5872404992097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640.05397805979817</v>
      </c>
      <c r="Q103">
        <f ca="1">L103+((ABS(H103)/MAX(((G33)+(I33)*(MAX($D$16,(L103)-(K33))))*(MAX($D$16,(L103)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AC103)-(J33))))*(MAX($D$16,(AC103)-(J33))),0.000001)),$D$9*((((ABS(H103)/MAX(((G33)+(I33)*(MAX($D$16,(L103)-(K33))))*(MAX($D$16,(L103)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L103)-(K33))))*(MAX($D$16,(L103)-(K33))),0.000001))^2)/(2*$I$5)))))+($D$10*(ABS((X33)-(W33))/90)*MAX(((ABS(H103)/MAX(((F33)+(H33)*(MAX($D$16,(AC103)-(J33))))*(MAX($D$16,(AC103)-(J33))),0.000001))^2)/(2*$I$5),((ABS(H103)/MAX(((G33)+(I33)*(MAX($D$16,(L103)-(K33))))*(MAX($D$16,(L103)-(K33))),0.000001))^2)/(2*$I$5)))+(($D$11*0.00000015*(ABS(G103)/MAX(ABS(F103),0.000001))^2*MAX(((ABS(H103)/MAX(((F33)+(H33)*(MAX($D$16,(AC103)-(J33))))*(MAX($D$16,(AC103)-(J33))),0.000001))^2)/(2*$I$5),((ABS(H103)/MAX(((G33)+(I33)*(MAX($D$16,(L103)-(K33))))*(MAX($D$16,(L103)-(K33))),0.000001))^2)/(2*$I$5))))-((ABS(H103)/MAX(((F33)+(H33)*(MAX($D$16,(AC103)-(J33))))*(MAX($D$16,(AC103)-(J33))),0.000001))^2)/(2*$I$5)</f>
        <v>634.3119999999999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-292118.81246378768</v>
      </c>
      <c r="S103">
        <f ca="1">M103+((ABS(I103)/MAX(((G34)+(I34)*(MAX($D$16,(M103)-(K34))))*(MAX($D$16,(M103)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AD103)-(J34))))*(MAX($D$16,(AD103)-(J34))),0.000001)),$D$9*((((ABS(I103)/MAX(((G34)+(I34)*(MAX($D$16,(M103)-(K34))))*(MAX($D$16,(M103)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M103)-(K34))))*(MAX($D$16,(M103)-(K34))),0.000001))^2)/(2*$I$5)))))+($D$10*(ABS((X34)-(W34))/90)*MAX(((ABS(I103)/MAX(((F34)+(H34)*(MAX($D$16,(AD103)-(J34))))*(MAX($D$16,(AD103)-(J34))),0.000001))^2)/(2*$I$5),((ABS(I103)/MAX(((G34)+(I34)*(MAX($D$16,(M103)-(K34))))*(MAX($D$16,(M103)-(K34))),0.000001))^2)/(2*$I$5)))+(0)-((ABS(I103)/MAX(((F34)+(H34)*(MAX($D$16,(AD103)-(J34))))*(MAX($D$16,(AD103)-(J34))),0.000001))^2)/(2*$I$5)</f>
        <v>635.51128720958343</v>
      </c>
      <c r="T103">
        <f ca="1">N103+((ABS(J103)/MAX(((G35)+(I35)*(MAX($D$16,(N103)-(K35))))*(MAX($D$16,(N103)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AD103)-(J35))))*(MAX($D$16,(AD103)-(J35))),0.000001)),$D$9*((((ABS(J103)/MAX(((G35)+(I35)*(MAX($D$16,(N103)-(K35))))*(MAX($D$16,(N103)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N103)-(K35))))*(MAX($D$16,(N103)-(K35))),0.000001))^2)/(2*$I$5)))))+($D$10*(ABS((X35)-(W35))/90)*MAX(((ABS(J103)/MAX(((F35)+(H35)*(MAX($D$16,(AD103)-(J35))))*(MAX($D$16,(AD103)-(J35))),0.000001))^2)/(2*$I$5),((ABS(J103)/MAX(((G35)+(I35)*(MAX($D$16,(N103)-(K35))))*(MAX($D$16,(N103)-(K35))),0.000001))^2)/(2*$I$5)))+(($D$11*0.34699541*(ABS(I103)/MAX(ABS(G103),0.000001))^2*MAX(((ABS(J103)/MAX(((F35)+(H35)*(MAX($D$16,(AD103)-(J35))))*(MAX($D$16,(AD103)-(J35))),0.000001))^2)/(2*$I$5),((ABS(J103)/MAX(((G35)+(I35)*(MAX($D$16,(N103)-(K35))))*(MAX($D$16,(N103)-(K35))),0.000001))^2)/(2*$I$5))))-((ABS(J103)/MAX(((F35)+(H35)*(MAX($D$16,(AD103)-(J35))))*(MAX($D$16,(AD103)-(J35))),0.000001))^2)/(2*$I$5)</f>
        <v>639.97429104455466</v>
      </c>
      <c r="U103">
        <f ca="1">((((G31)*(MAX($D$16,(AE103)-(K31)))^2)/2+(I31)*(MAX($D$16,(AE103)-(K31)))^3/3+(ABS(F103)^2)/($I$5*MAX(((G31)+(I31)*(MAX($D$16,(AE103)-(K31))))*(MAX($D$16,(AE103)-(K31))),0.000001)))-(IF(N6="None",((((F32)*(MAX($D$16,(AE103)-(J32)))^2)/2+(H32)*(MAX($D$16,(AE103)-(J32)))^3/3+(ABS(G103)^2)/($I$5*MAX(((F32)+(H32)*(MAX($D$16,(AE103)-(J32))))*(MAX($D$16,(AE103)-(J32))),0.000001)))*0.72785025),(((((F32)*(MAX($D$16,(AE103)-(J32)))^2)/2+(H32)*(MAX($D$16,(AE103)-(J32)))^3/3+(ABS(G103)^2)/($I$5*MAX(((F32)+(H32)*(MAX($D$16,(AE103)-(J32))))*(MAX($D$16,(AE103)-(J32))),0.000001)))*0.72785025)+((((F33)*(MAX($D$16,(AE103)-(J33)))^2)/2+(H33)*(MAX($D$16,(AE103)-(J33)))^3/3+(ABS(H103)^2)/($I$5*MAX(((F33)+(H33)*(MAX($D$16,(AE103)-(J33))))*(MAX($D$16,(AE103)-(J33))),0.000001)))*0.99999971)))))/MAX(((G31)*(MAX($D$16,(AE103)-(K31)))^2)/2+(I31)*(MAX($D$16,(AE103)-(K31)))^3/3+(ABS(F103)^2)/($I$5*MAX(((G31)+(I31)*(MAX($D$16,(AE103)-(K31))))*(MAX($D$16,(AE103)-(K31))),0.000001)),0.000001)</f>
        <v>0.27214975000000002</v>
      </c>
      <c r="V103">
        <f ca="1">((((G32)*(MAX($D$16,(AF103)-(K32)))^2)/2+(I32)*(MAX($D$16,(AF103)-(K32)))^3/3+(ABS(G103)^2)/($I$5*MAX(((G32)+(I32)*(MAX($D$16,(AF103)-(K32))))*(MAX($D$16,(AF103)-(K32))),0.000001)))-(IF(AND(N7="None",N8="None"),0,IF(N8="None",((((F34)*(MAX($D$16,(AF103)-(J34)))^2)/2+(H34)*(MAX($D$16,(AF103)-(J34)))^3/3+(ABS(I103)^2)/($I$5*MAX(((F34)+(H34)*(MAX($D$16,(AF103)-(J34))))*(MAX($D$16,(AF103)-(J34))),0.000001)))*1),IF(N7="None",((((F35)*(MAX($D$16,(AF103)-(J35)))^2)/2+(H35)*(MAX($D$16,(AF103)-(J35)))^3/3+(ABS(J103)^2)/($I$5*MAX(((F35)+(H35)*(MAX($D$16,(AF103)-(J35))))*(MAX($D$16,(AF103)-(J35))),0.000001)))*0.30600918),(((((F34)*(MAX($D$16,(AF103)-(J34)))^2)/2+(H34)*(MAX($D$16,(AF103)-(J34)))^3/3+(ABS(I103)^2)/($I$5*MAX(((F34)+(H34)*(MAX($D$16,(AF103)-(J34))))*(MAX($D$16,(AF103)-(J34))),0.000001)))*1)+((((F35)*(MAX($D$16,(AF103)-(J35)))^2)/2+(H35)*(MAX($D$16,(AF103)-(J35)))^3/3+(ABS(J103)^2)/($I$5*MAX(((F35)+(H35)*(MAX($D$16,(AF103)-(J35))))*(MAX($D$16,(AF103)-(J35))),0.000001)))*0.30600918)))))))/MAX(((G32)*(MAX($D$16,(AF103)-(K32)))^2)/2+(I32)*(MAX($D$16,(AF103)-(K32)))^3/3+(ABS(G103)^2)/($I$5*MAX(((G32)+(I32)*(MAX($D$16,(AF103)-(K32))))*(MAX($D$16,(AF103)-(K32))),0.000001)),0.000001)</f>
        <v>3.904177561081449E-2</v>
      </c>
      <c r="W103">
        <f ca="1">ABS((IF(N6="None",P103,MAX(P103,Q103)))-D103)</f>
        <v>5.7059780513288842</v>
      </c>
      <c r="X103">
        <f ca="1">ABS((IF(AND(N7="None",N8="None"),E103,IF(N8="None",S103,IF(N7="None",T103,MAX(S103,T103)))))-E103)</f>
        <v>8.0492910285690868</v>
      </c>
      <c r="Y103">
        <f>IF(N6="None",1,MIN(0.98,MAX(0.02,B103+$D$14*((Q103-P103)/MAX(ABS(D103),1)))))</f>
        <v>1</v>
      </c>
      <c r="Z103">
        <f ca="1">IF(AND(N7="None",N8="None"),C103,IF(N8="None",1,IF(N7="None",0,MIN(0.98,MAX(0.02,C103+$D$14*((T103-S103)/MAX(ABS(E103),1)))))))</f>
        <v>0.98</v>
      </c>
      <c r="AA103">
        <f t="shared" ca="1" si="16"/>
        <v>636.34536430609398</v>
      </c>
      <c r="AB103">
        <f t="shared" ca="1" si="17"/>
        <v>634.74259263204885</v>
      </c>
      <c r="AC103">
        <f ca="1">IF($D$20=0,D103,IF(AC103=0,(IF(N6="None",P103,MAX(P103,Q103))),IF(ABS((IF(N6="None",P103,MAX(P103,Q103)))-AC103)&lt;$D$19,AC103,MAX((K31)+$D$16,AC103+$D$13*(((IF(N6="None",P103,MAX(P103,Q103)))-AC103))))))</f>
        <v>640.05475514453997</v>
      </c>
      <c r="AD103">
        <f ca="1">IF($D$20=0,E103,IF(AD103=0,(IF(AND(N7="None",N8="None"),E103,IF(N8="None",S103,IF(N7="None",T103,MAX(S103,T103))))),IF(ABS((IF(AND(N7="None",N8="None"),E103,IF(N8="None",S103,IF(N7="None",T103,MAX(S103,T103)))))-AD103)&lt;$D$19,AD103,MAX((K32)+$D$16,AD103+$D$13*(((IF(AND(N7="None",N8="None"),E103,IF(N8="None",S103,IF(N7="None",T103,MAX(S103,T103)))))-AD103))))))</f>
        <v>639.97526463330917</v>
      </c>
      <c r="AE103">
        <f ca="1">IF($D$20=0,D103,IF(AE103=0,O103,IF(ABS(U103)&lt;$D$19,AE103,MAX((K31)+$D$16,AE103+($D$13*(((O103)-AE103)+(U103*MAX(ABS(AE103-(K31)),1))))))))</f>
        <v>634.34799999999996</v>
      </c>
      <c r="AF103">
        <f ca="1">IF($D$20=0,E103,IF(AF103=0,R103,IF(ABS(V103)&lt;$D$19,AF103,MAX((K32)+$D$16,AF103+($D$13*(((R103)-AF103)+(V103*MAX(ABS(AF103-(K32)),1))))))))</f>
        <v>631.92499999999995</v>
      </c>
      <c r="AG103">
        <f ca="1">((G31)*(MAX($D$16,(AC103)-(K31)))^2)/2+(I31)*(MAX($D$16,(AC103)-(K31)))^3/3+(ABS(F103)^2)/($I$5*MAX(((G31)+(I31)*(MAX($D$16,(AC103)-(K31))))*(MAX($D$16,(AC103)-(K31))),0.000001))</f>
        <v>115.68980551184316</v>
      </c>
      <c r="AH103">
        <f ca="1">((G31)*(MAX($D$16,(AE103)-(K31)))^2)/2+(I31)*(MAX($D$16,(AE103)-(K31)))^3/3+(ABS(F103)^2)/($I$5*MAX(((G31)+(I31)*(MAX($D$16,(AE103)-(K31))))*(MAX($D$16,(AE103)-(K31))),0.000001))</f>
        <v>808.60110594434002</v>
      </c>
      <c r="AI103">
        <f ca="1">((G32)*(MAX($D$16,(AD103)-(K32)))^2)/2+(I32)*(MAX($D$16,(AD103)-(K32)))^3/3+(ABS(G103)^2)/($I$5*MAX(((G32)+(I32)*(MAX($D$16,(AD103)-(K32))))*(MAX($D$16,(AD103)-(K32))),0.000001))</f>
        <v>338.03683729018678</v>
      </c>
      <c r="AJ103">
        <f ca="1">((G32)*(MAX($D$16,(AF103)-(K32)))^2)/2+(I32)*(MAX($D$16,(AF103)-(K32)))^3/3+(ABS(G103)^2)/($I$5*MAX(((G32)+(I32)*(MAX($D$16,(AF103)-(K32))))*(MAX($D$16,(AF103)-(K32))),0.000001))</f>
        <v>519.58480272613974</v>
      </c>
      <c r="AK103" t="str">
        <f t="shared" ca="1" si="18"/>
        <v>Supercritical</v>
      </c>
      <c r="AL103" t="str">
        <f t="shared" ca="1" si="19"/>
        <v>Supercritical</v>
      </c>
      <c r="AM103">
        <f t="shared" ca="1" si="20"/>
        <v>634.34800000550501</v>
      </c>
      <c r="AN103">
        <f t="shared" ca="1" si="21"/>
        <v>631.92500001039059</v>
      </c>
      <c r="AO103">
        <f t="shared" ca="1" si="22"/>
        <v>8.4693283497472294E-9</v>
      </c>
      <c r="AP103">
        <f t="shared" ca="1" si="23"/>
        <v>1.5985619938874152E-8</v>
      </c>
    </row>
    <row r="104" spans="1:42" x14ac:dyDescent="0.35">
      <c r="A104">
        <v>61</v>
      </c>
      <c r="B104">
        <f t="shared" si="24"/>
        <v>1</v>
      </c>
      <c r="C104">
        <f t="shared" ca="1" si="25"/>
        <v>0.98</v>
      </c>
      <c r="D104">
        <f t="shared" ca="1" si="26"/>
        <v>634.34800000550501</v>
      </c>
      <c r="E104">
        <f t="shared" ca="1" si="27"/>
        <v>631.92500001039059</v>
      </c>
      <c r="F104">
        <f t="shared" si="15"/>
        <v>51</v>
      </c>
      <c r="G104">
        <f>IF(N6="None",F104,MAX(0,F104*B104))</f>
        <v>51</v>
      </c>
      <c r="H104">
        <f>IF(N6="None",0,MAX(0,F104-G104))</f>
        <v>0</v>
      </c>
      <c r="I104">
        <f ca="1">IF(AND(N7="None",N8="None"),0,IF(N8="None",G104,IF(N7="None",0,MAX(0,G104*C104))))</f>
        <v>49.98</v>
      </c>
      <c r="J104">
        <f ca="1">IF(AND(N7="None",N8="None"),0,IF(N8="None",0,IF(N7="None",G104,MAX(0,G104-I104))))</f>
        <v>1.0200000000000031</v>
      </c>
      <c r="K104">
        <f>P5</f>
        <v>637</v>
      </c>
      <c r="L104">
        <f>P6</f>
        <v>634.3119999999999</v>
      </c>
      <c r="M104">
        <f>P7</f>
        <v>635.5</v>
      </c>
      <c r="N104">
        <f>P8</f>
        <v>631.54999999999995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-2091.5872404992097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640.05397805979817</v>
      </c>
      <c r="Q104">
        <f ca="1">L104+((ABS(H104)/MAX(((G33)+(I33)*(MAX($D$16,(L104)-(K33))))*(MAX($D$16,(L104)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AC104)-(J33))))*(MAX($D$16,(AC104)-(J33))),0.000001)),$D$9*((((ABS(H104)/MAX(((G33)+(I33)*(MAX($D$16,(L104)-(K33))))*(MAX($D$16,(L104)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L104)-(K33))))*(MAX($D$16,(L104)-(K33))),0.000001))^2)/(2*$I$5)))))+($D$10*(ABS((X33)-(W33))/90)*MAX(((ABS(H104)/MAX(((F33)+(H33)*(MAX($D$16,(AC104)-(J33))))*(MAX($D$16,(AC104)-(J33))),0.000001))^2)/(2*$I$5),((ABS(H104)/MAX(((G33)+(I33)*(MAX($D$16,(L104)-(K33))))*(MAX($D$16,(L104)-(K33))),0.000001))^2)/(2*$I$5)))+(($D$11*0.00000015*(ABS(G104)/MAX(ABS(F104),0.000001))^2*MAX(((ABS(H104)/MAX(((F33)+(H33)*(MAX($D$16,(AC104)-(J33))))*(MAX($D$16,(AC104)-(J33))),0.000001))^2)/(2*$I$5),((ABS(H104)/MAX(((G33)+(I33)*(MAX($D$16,(L104)-(K33))))*(MAX($D$16,(L104)-(K33))),0.000001))^2)/(2*$I$5))))-((ABS(H104)/MAX(((F33)+(H33)*(MAX($D$16,(AC104)-(J33))))*(MAX($D$16,(AC104)-(J33))),0.000001))^2)/(2*$I$5)</f>
        <v>634.3119999999999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-292118.81246378768</v>
      </c>
      <c r="S104">
        <f ca="1">M104+((ABS(I104)/MAX(((G34)+(I34)*(MAX($D$16,(M104)-(K34))))*(MAX($D$16,(M104)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AD104)-(J34))))*(MAX($D$16,(AD104)-(J34))),0.000001)),$D$9*((((ABS(I104)/MAX(((G34)+(I34)*(MAX($D$16,(M104)-(K34))))*(MAX($D$16,(M104)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M104)-(K34))))*(MAX($D$16,(M104)-(K34))),0.000001))^2)/(2*$I$5)))))+($D$10*(ABS((X34)-(W34))/90)*MAX(((ABS(I104)/MAX(((F34)+(H34)*(MAX($D$16,(AD104)-(J34))))*(MAX($D$16,(AD104)-(J34))),0.000001))^2)/(2*$I$5),((ABS(I104)/MAX(((G34)+(I34)*(MAX($D$16,(M104)-(K34))))*(MAX($D$16,(M104)-(K34))),0.000001))^2)/(2*$I$5)))+(0)-((ABS(I104)/MAX(((F34)+(H34)*(MAX($D$16,(AD104)-(J34))))*(MAX($D$16,(AD104)-(J34))),0.000001))^2)/(2*$I$5)</f>
        <v>635.51128720958343</v>
      </c>
      <c r="T104">
        <f ca="1">N104+((ABS(J104)/MAX(((G35)+(I35)*(MAX($D$16,(N104)-(K35))))*(MAX($D$16,(N104)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AD104)-(J35))))*(MAX($D$16,(AD104)-(J35))),0.000001)),$D$9*((((ABS(J104)/MAX(((G35)+(I35)*(MAX($D$16,(N104)-(K35))))*(MAX($D$16,(N104)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N104)-(K35))))*(MAX($D$16,(N104)-(K35))),0.000001))^2)/(2*$I$5)))))+($D$10*(ABS((X35)-(W35))/90)*MAX(((ABS(J104)/MAX(((F35)+(H35)*(MAX($D$16,(AD104)-(J35))))*(MAX($D$16,(AD104)-(J35))),0.000001))^2)/(2*$I$5),((ABS(J104)/MAX(((G35)+(I35)*(MAX($D$16,(N104)-(K35))))*(MAX($D$16,(N104)-(K35))),0.000001))^2)/(2*$I$5)))+(($D$11*0.34699541*(ABS(I104)/MAX(ABS(G104),0.000001))^2*MAX(((ABS(J104)/MAX(((F35)+(H35)*(MAX($D$16,(AD104)-(J35))))*(MAX($D$16,(AD104)-(J35))),0.000001))^2)/(2*$I$5),((ABS(J104)/MAX(((G35)+(I35)*(MAX($D$16,(N104)-(K35))))*(MAX($D$16,(N104)-(K35))),0.000001))^2)/(2*$I$5))))-((ABS(J104)/MAX(((F35)+(H35)*(MAX($D$16,(AD104)-(J35))))*(MAX($D$16,(AD104)-(J35))),0.000001))^2)/(2*$I$5)</f>
        <v>639.97429104455466</v>
      </c>
      <c r="U104">
        <f ca="1">((((G31)*(MAX($D$16,(AE104)-(K31)))^2)/2+(I31)*(MAX($D$16,(AE104)-(K31)))^3/3+(ABS(F104)^2)/($I$5*MAX(((G31)+(I31)*(MAX($D$16,(AE104)-(K31))))*(MAX($D$16,(AE104)-(K31))),0.000001)))-(IF(N6="None",((((F32)*(MAX($D$16,(AE104)-(J32)))^2)/2+(H32)*(MAX($D$16,(AE104)-(J32)))^3/3+(ABS(G104)^2)/($I$5*MAX(((F32)+(H32)*(MAX($D$16,(AE104)-(J32))))*(MAX($D$16,(AE104)-(J32))),0.000001)))*0.72785025),(((((F32)*(MAX($D$16,(AE104)-(J32)))^2)/2+(H32)*(MAX($D$16,(AE104)-(J32)))^3/3+(ABS(G104)^2)/($I$5*MAX(((F32)+(H32)*(MAX($D$16,(AE104)-(J32))))*(MAX($D$16,(AE104)-(J32))),0.000001)))*0.72785025)+((((F33)*(MAX($D$16,(AE104)-(J33)))^2)/2+(H33)*(MAX($D$16,(AE104)-(J33)))^3/3+(ABS(H104)^2)/($I$5*MAX(((F33)+(H33)*(MAX($D$16,(AE104)-(J33))))*(MAX($D$16,(AE104)-(J33))),0.000001)))*0.99999971)))))/MAX(((G31)*(MAX($D$16,(AE104)-(K31)))^2)/2+(I31)*(MAX($D$16,(AE104)-(K31)))^3/3+(ABS(F104)^2)/($I$5*MAX(((G31)+(I31)*(MAX($D$16,(AE104)-(K31))))*(MAX($D$16,(AE104)-(K31))),0.000001)),0.000001)</f>
        <v>0.27214975000000002</v>
      </c>
      <c r="V104">
        <f ca="1">((((G32)*(MAX($D$16,(AF104)-(K32)))^2)/2+(I32)*(MAX($D$16,(AF104)-(K32)))^3/3+(ABS(G104)^2)/($I$5*MAX(((G32)+(I32)*(MAX($D$16,(AF104)-(K32))))*(MAX($D$16,(AF104)-(K32))),0.000001)))-(IF(AND(N7="None",N8="None"),0,IF(N8="None",((((F34)*(MAX($D$16,(AF104)-(J34)))^2)/2+(H34)*(MAX($D$16,(AF104)-(J34)))^3/3+(ABS(I104)^2)/($I$5*MAX(((F34)+(H34)*(MAX($D$16,(AF104)-(J34))))*(MAX($D$16,(AF104)-(J34))),0.000001)))*1),IF(N7="None",((((F35)*(MAX($D$16,(AF104)-(J35)))^2)/2+(H35)*(MAX($D$16,(AF104)-(J35)))^3/3+(ABS(J104)^2)/($I$5*MAX(((F35)+(H35)*(MAX($D$16,(AF104)-(J35))))*(MAX($D$16,(AF104)-(J35))),0.000001)))*0.30600918),(((((F34)*(MAX($D$16,(AF104)-(J34)))^2)/2+(H34)*(MAX($D$16,(AF104)-(J34)))^3/3+(ABS(I104)^2)/($I$5*MAX(((F34)+(H34)*(MAX($D$16,(AF104)-(J34))))*(MAX($D$16,(AF104)-(J34))),0.000001)))*1)+((((F35)*(MAX($D$16,(AF104)-(J35)))^2)/2+(H35)*(MAX($D$16,(AF104)-(J35)))^3/3+(ABS(J104)^2)/($I$5*MAX(((F35)+(H35)*(MAX($D$16,(AF104)-(J35))))*(MAX($D$16,(AF104)-(J35))),0.000001)))*0.30600918)))))))/MAX(((G32)*(MAX($D$16,(AF104)-(K32)))^2)/2+(I32)*(MAX($D$16,(AF104)-(K32)))^3/3+(ABS(G104)^2)/($I$5*MAX(((G32)+(I32)*(MAX($D$16,(AF104)-(K32))))*(MAX($D$16,(AF104)-(K32))),0.000001)),0.000001)</f>
        <v>3.904177561081449E-2</v>
      </c>
      <c r="W104">
        <f ca="1">ABS((IF(N6="None",P104,MAX(P104,Q104)))-D104)</f>
        <v>5.7059780542931549</v>
      </c>
      <c r="X104">
        <f ca="1">ABS((IF(AND(N7="None",N8="None"),E104,IF(N8="None",S104,IF(N7="None",T104,MAX(S104,T104)))))-E104)</f>
        <v>8.0492910341640709</v>
      </c>
      <c r="Y104">
        <f>IF(N6="None",1,MIN(0.98,MAX(0.02,B104+$D$14*((Q104-P104)/MAX(ABS(D104),1)))))</f>
        <v>1</v>
      </c>
      <c r="Z104">
        <f ca="1">IF(AND(N7="None",N8="None"),C104,IF(N8="None",1,IF(N7="None",0,MIN(0.98,MAX(0.02,C104+$D$14*((T104-S104)/MAX(ABS(E104),1)))))))</f>
        <v>0.98</v>
      </c>
      <c r="AA104">
        <f t="shared" ca="1" si="16"/>
        <v>636.34536430416722</v>
      </c>
      <c r="AB104">
        <f t="shared" ca="1" si="17"/>
        <v>634.74259262841213</v>
      </c>
      <c r="AC104">
        <f ca="1">IF($D$20=0,D104,IF(AC104=0,(IF(N6="None",P104,MAX(P104,Q104))),IF(ABS((IF(N6="None",P104,MAX(P104,Q104)))-AC104)&lt;$D$19,AC104,MAX((K31)+$D$16,AC104+$D$13*(((IF(N6="None",P104,MAX(P104,Q104)))-AC104))))))</f>
        <v>640.05475514453997</v>
      </c>
      <c r="AD104">
        <f ca="1">IF($D$20=0,E104,IF(AD104=0,(IF(AND(N7="None",N8="None"),E104,IF(N8="None",S104,IF(N7="None",T104,MAX(S104,T104))))),IF(ABS((IF(AND(N7="None",N8="None"),E104,IF(N8="None",S104,IF(N7="None",T104,MAX(S104,T104)))))-AD104)&lt;$D$19,AD104,MAX((K32)+$D$16,AD104+$D$13*(((IF(AND(N7="None",N8="None"),E104,IF(N8="None",S104,IF(N7="None",T104,MAX(S104,T104)))))-AD104))))))</f>
        <v>639.97526463330917</v>
      </c>
      <c r="AE104">
        <f ca="1">IF($D$20=0,D104,IF(AE104=0,O104,IF(ABS(U104)&lt;$D$19,AE104,MAX((K31)+$D$16,AE104+($D$13*(((O104)-AE104)+(U104*MAX(ABS(AE104-(K31)),1))))))))</f>
        <v>634.34799999999996</v>
      </c>
      <c r="AF104">
        <f ca="1">IF($D$20=0,E104,IF(AF104=0,R104,IF(ABS(V104)&lt;$D$19,AF104,MAX((K32)+$D$16,AF104+($D$13*(((R104)-AF104)+(V104*MAX(ABS(AF104-(K32)),1))))))))</f>
        <v>631.92499999999995</v>
      </c>
      <c r="AG104">
        <f ca="1">((G31)*(MAX($D$16,(AC104)-(K31)))^2)/2+(I31)*(MAX($D$16,(AC104)-(K31)))^3/3+(ABS(F104)^2)/($I$5*MAX(((G31)+(I31)*(MAX($D$16,(AC104)-(K31))))*(MAX($D$16,(AC104)-(K31))),0.000001))</f>
        <v>115.68980551184316</v>
      </c>
      <c r="AH104">
        <f ca="1">((G31)*(MAX($D$16,(AE104)-(K31)))^2)/2+(I31)*(MAX($D$16,(AE104)-(K31)))^3/3+(ABS(F104)^2)/($I$5*MAX(((G31)+(I31)*(MAX($D$16,(AE104)-(K31))))*(MAX($D$16,(AE104)-(K31))),0.000001))</f>
        <v>808.60110594434002</v>
      </c>
      <c r="AI104">
        <f ca="1">((G32)*(MAX($D$16,(AD104)-(K32)))^2)/2+(I32)*(MAX($D$16,(AD104)-(K32)))^3/3+(ABS(G104)^2)/($I$5*MAX(((G32)+(I32)*(MAX($D$16,(AD104)-(K32))))*(MAX($D$16,(AD104)-(K32))),0.000001))</f>
        <v>338.03683729018678</v>
      </c>
      <c r="AJ104">
        <f ca="1">((G32)*(MAX($D$16,(AF104)-(K32)))^2)/2+(I32)*(MAX($D$16,(AF104)-(K32)))^3/3+(ABS(G104)^2)/($I$5*MAX(((G32)+(I32)*(MAX($D$16,(AF104)-(K32))))*(MAX($D$16,(AF104)-(K32))),0.000001))</f>
        <v>519.58480272613974</v>
      </c>
      <c r="AK104" t="str">
        <f t="shared" ca="1" si="18"/>
        <v>Supercritical</v>
      </c>
      <c r="AL104" t="str">
        <f t="shared" ca="1" si="19"/>
        <v>Supercritical</v>
      </c>
      <c r="AM104">
        <f t="shared" ca="1" si="20"/>
        <v>634.34800000357825</v>
      </c>
      <c r="AN104">
        <f t="shared" ca="1" si="21"/>
        <v>631.92500000675386</v>
      </c>
      <c r="AO104">
        <f t="shared" ca="1" si="22"/>
        <v>5.505057742993813E-9</v>
      </c>
      <c r="AP104">
        <f t="shared" ca="1" si="23"/>
        <v>1.039063590724254E-8</v>
      </c>
    </row>
    <row r="105" spans="1:42" x14ac:dyDescent="0.35">
      <c r="A105">
        <v>62</v>
      </c>
      <c r="B105">
        <f t="shared" si="24"/>
        <v>1</v>
      </c>
      <c r="C105">
        <f t="shared" ca="1" si="25"/>
        <v>0.98</v>
      </c>
      <c r="D105">
        <f t="shared" ca="1" si="26"/>
        <v>634.34800000357825</v>
      </c>
      <c r="E105">
        <f t="shared" ca="1" si="27"/>
        <v>631.92500000675386</v>
      </c>
      <c r="F105">
        <f t="shared" si="15"/>
        <v>51</v>
      </c>
      <c r="G105">
        <f>IF(N6="None",F105,MAX(0,F105*B105))</f>
        <v>51</v>
      </c>
      <c r="H105">
        <f>IF(N6="None",0,MAX(0,F105-G105))</f>
        <v>0</v>
      </c>
      <c r="I105">
        <f ca="1">IF(AND(N7="None",N8="None"),0,IF(N8="None",G105,IF(N7="None",0,MAX(0,G105*C105))))</f>
        <v>49.98</v>
      </c>
      <c r="J105">
        <f ca="1">IF(AND(N7="None",N8="None"),0,IF(N8="None",0,IF(N7="None",G105,MAX(0,G105-I105))))</f>
        <v>1.0200000000000031</v>
      </c>
      <c r="K105">
        <f>P5</f>
        <v>637</v>
      </c>
      <c r="L105">
        <f>P6</f>
        <v>634.3119999999999</v>
      </c>
      <c r="M105">
        <f>P7</f>
        <v>635.5</v>
      </c>
      <c r="N105">
        <f>P8</f>
        <v>631.54999999999995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-2091.5872404992097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640.05397805979817</v>
      </c>
      <c r="Q105">
        <f ca="1">L105+((ABS(H105)/MAX(((G33)+(I33)*(MAX($D$16,(L105)-(K33))))*(MAX($D$16,(L105)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AC105)-(J33))))*(MAX($D$16,(AC105)-(J33))),0.000001)),$D$9*((((ABS(H105)/MAX(((G33)+(I33)*(MAX($D$16,(L105)-(K33))))*(MAX($D$16,(L105)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L105)-(K33))))*(MAX($D$16,(L105)-(K33))),0.000001))^2)/(2*$I$5)))))+($D$10*(ABS((X33)-(W33))/90)*MAX(((ABS(H105)/MAX(((F33)+(H33)*(MAX($D$16,(AC105)-(J33))))*(MAX($D$16,(AC105)-(J33))),0.000001))^2)/(2*$I$5),((ABS(H105)/MAX(((G33)+(I33)*(MAX($D$16,(L105)-(K33))))*(MAX($D$16,(L105)-(K33))),0.000001))^2)/(2*$I$5)))+(($D$11*0.00000015*(ABS(G105)/MAX(ABS(F105),0.000001))^2*MAX(((ABS(H105)/MAX(((F33)+(H33)*(MAX($D$16,(AC105)-(J33))))*(MAX($D$16,(AC105)-(J33))),0.000001))^2)/(2*$I$5),((ABS(H105)/MAX(((G33)+(I33)*(MAX($D$16,(L105)-(K33))))*(MAX($D$16,(L105)-(K33))),0.000001))^2)/(2*$I$5))))-((ABS(H105)/MAX(((F33)+(H33)*(MAX($D$16,(AC105)-(J33))))*(MAX($D$16,(AC105)-(J33))),0.000001))^2)/(2*$I$5)</f>
        <v>634.3119999999999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-292118.81246378768</v>
      </c>
      <c r="S105">
        <f ca="1">M105+((ABS(I105)/MAX(((G34)+(I34)*(MAX($D$16,(M105)-(K34))))*(MAX($D$16,(M105)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AD105)-(J34))))*(MAX($D$16,(AD105)-(J34))),0.000001)),$D$9*((((ABS(I105)/MAX(((G34)+(I34)*(MAX($D$16,(M105)-(K34))))*(MAX($D$16,(M105)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M105)-(K34))))*(MAX($D$16,(M105)-(K34))),0.000001))^2)/(2*$I$5)))))+($D$10*(ABS((X34)-(W34))/90)*MAX(((ABS(I105)/MAX(((F34)+(H34)*(MAX($D$16,(AD105)-(J34))))*(MAX($D$16,(AD105)-(J34))),0.000001))^2)/(2*$I$5),((ABS(I105)/MAX(((G34)+(I34)*(MAX($D$16,(M105)-(K34))))*(MAX($D$16,(M105)-(K34))),0.000001))^2)/(2*$I$5)))+(0)-((ABS(I105)/MAX(((F34)+(H34)*(MAX($D$16,(AD105)-(J34))))*(MAX($D$16,(AD105)-(J34))),0.000001))^2)/(2*$I$5)</f>
        <v>635.51128720958343</v>
      </c>
      <c r="T105">
        <f ca="1">N105+((ABS(J105)/MAX(((G35)+(I35)*(MAX($D$16,(N105)-(K35))))*(MAX($D$16,(N105)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AD105)-(J35))))*(MAX($D$16,(AD105)-(J35))),0.000001)),$D$9*((((ABS(J105)/MAX(((G35)+(I35)*(MAX($D$16,(N105)-(K35))))*(MAX($D$16,(N105)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N105)-(K35))))*(MAX($D$16,(N105)-(K35))),0.000001))^2)/(2*$I$5)))))+($D$10*(ABS((X35)-(W35))/90)*MAX(((ABS(J105)/MAX(((F35)+(H35)*(MAX($D$16,(AD105)-(J35))))*(MAX($D$16,(AD105)-(J35))),0.000001))^2)/(2*$I$5),((ABS(J105)/MAX(((G35)+(I35)*(MAX($D$16,(N105)-(K35))))*(MAX($D$16,(N105)-(K35))),0.000001))^2)/(2*$I$5)))+(($D$11*0.34699541*(ABS(I105)/MAX(ABS(G105),0.000001))^2*MAX(((ABS(J105)/MAX(((F35)+(H35)*(MAX($D$16,(AD105)-(J35))))*(MAX($D$16,(AD105)-(J35))),0.000001))^2)/(2*$I$5),((ABS(J105)/MAX(((G35)+(I35)*(MAX($D$16,(N105)-(K35))))*(MAX($D$16,(N105)-(K35))),0.000001))^2)/(2*$I$5))))-((ABS(J105)/MAX(((F35)+(H35)*(MAX($D$16,(AD105)-(J35))))*(MAX($D$16,(AD105)-(J35))),0.000001))^2)/(2*$I$5)</f>
        <v>639.97429104455466</v>
      </c>
      <c r="U105">
        <f ca="1">((((G31)*(MAX($D$16,(AE105)-(K31)))^2)/2+(I31)*(MAX($D$16,(AE105)-(K31)))^3/3+(ABS(F105)^2)/($I$5*MAX(((G31)+(I31)*(MAX($D$16,(AE105)-(K31))))*(MAX($D$16,(AE105)-(K31))),0.000001)))-(IF(N6="None",((((F32)*(MAX($D$16,(AE105)-(J32)))^2)/2+(H32)*(MAX($D$16,(AE105)-(J32)))^3/3+(ABS(G105)^2)/($I$5*MAX(((F32)+(H32)*(MAX($D$16,(AE105)-(J32))))*(MAX($D$16,(AE105)-(J32))),0.000001)))*0.72785025),(((((F32)*(MAX($D$16,(AE105)-(J32)))^2)/2+(H32)*(MAX($D$16,(AE105)-(J32)))^3/3+(ABS(G105)^2)/($I$5*MAX(((F32)+(H32)*(MAX($D$16,(AE105)-(J32))))*(MAX($D$16,(AE105)-(J32))),0.000001)))*0.72785025)+((((F33)*(MAX($D$16,(AE105)-(J33)))^2)/2+(H33)*(MAX($D$16,(AE105)-(J33)))^3/3+(ABS(H105)^2)/($I$5*MAX(((F33)+(H33)*(MAX($D$16,(AE105)-(J33))))*(MAX($D$16,(AE105)-(J33))),0.000001)))*0.99999971)))))/MAX(((G31)*(MAX($D$16,(AE105)-(K31)))^2)/2+(I31)*(MAX($D$16,(AE105)-(K31)))^3/3+(ABS(F105)^2)/($I$5*MAX(((G31)+(I31)*(MAX($D$16,(AE105)-(K31))))*(MAX($D$16,(AE105)-(K31))),0.000001)),0.000001)</f>
        <v>0.27214975000000002</v>
      </c>
      <c r="V105">
        <f ca="1">((((G32)*(MAX($D$16,(AF105)-(K32)))^2)/2+(I32)*(MAX($D$16,(AF105)-(K32)))^3/3+(ABS(G105)^2)/($I$5*MAX(((G32)+(I32)*(MAX($D$16,(AF105)-(K32))))*(MAX($D$16,(AF105)-(K32))),0.000001)))-(IF(AND(N7="None",N8="None"),0,IF(N8="None",((((F34)*(MAX($D$16,(AF105)-(J34)))^2)/2+(H34)*(MAX($D$16,(AF105)-(J34)))^3/3+(ABS(I105)^2)/($I$5*MAX(((F34)+(H34)*(MAX($D$16,(AF105)-(J34))))*(MAX($D$16,(AF105)-(J34))),0.000001)))*1),IF(N7="None",((((F35)*(MAX($D$16,(AF105)-(J35)))^2)/2+(H35)*(MAX($D$16,(AF105)-(J35)))^3/3+(ABS(J105)^2)/($I$5*MAX(((F35)+(H35)*(MAX($D$16,(AF105)-(J35))))*(MAX($D$16,(AF105)-(J35))),0.000001)))*0.30600918),(((((F34)*(MAX($D$16,(AF105)-(J34)))^2)/2+(H34)*(MAX($D$16,(AF105)-(J34)))^3/3+(ABS(I105)^2)/($I$5*MAX(((F34)+(H34)*(MAX($D$16,(AF105)-(J34))))*(MAX($D$16,(AF105)-(J34))),0.000001)))*1)+((((F35)*(MAX($D$16,(AF105)-(J35)))^2)/2+(H35)*(MAX($D$16,(AF105)-(J35)))^3/3+(ABS(J105)^2)/($I$5*MAX(((F35)+(H35)*(MAX($D$16,(AF105)-(J35))))*(MAX($D$16,(AF105)-(J35))),0.000001)))*0.30600918)))))))/MAX(((G32)*(MAX($D$16,(AF105)-(K32)))^2)/2+(I32)*(MAX($D$16,(AF105)-(K32)))^3/3+(ABS(G105)^2)/($I$5*MAX(((G32)+(I32)*(MAX($D$16,(AF105)-(K32))))*(MAX($D$16,(AF105)-(K32))),0.000001)),0.000001)</f>
        <v>3.904177561081449E-2</v>
      </c>
      <c r="W105">
        <f ca="1">ABS((IF(N6="None",P105,MAX(P105,Q105)))-D105)</f>
        <v>5.7059780562199194</v>
      </c>
      <c r="X105">
        <f ca="1">ABS((IF(AND(N7="None",N8="None"),E105,IF(N8="None",S105,IF(N7="None",T105,MAX(S105,T105)))))-E105)</f>
        <v>8.0492910378007991</v>
      </c>
      <c r="Y105">
        <f>IF(N6="None",1,MIN(0.98,MAX(0.02,B105+$D$14*((Q105-P105)/MAX(ABS(D105),1)))))</f>
        <v>1</v>
      </c>
      <c r="Z105">
        <f ca="1">IF(AND(N7="None",N8="None"),C105,IF(N8="None",1,IF(N7="None",0,MIN(0.98,MAX(0.02,C105+$D$14*((T105-S105)/MAX(ABS(E105),1)))))))</f>
        <v>0.98</v>
      </c>
      <c r="AA105">
        <f t="shared" ca="1" si="16"/>
        <v>636.34536430291485</v>
      </c>
      <c r="AB105">
        <f t="shared" ca="1" si="17"/>
        <v>634.74259262604824</v>
      </c>
      <c r="AC105">
        <f ca="1">IF($D$20=0,D105,IF(AC105=0,(IF(N6="None",P105,MAX(P105,Q105))),IF(ABS((IF(N6="None",P105,MAX(P105,Q105)))-AC105)&lt;$D$19,AC105,MAX((K31)+$D$16,AC105+$D$13*(((IF(N6="None",P105,MAX(P105,Q105)))-AC105))))))</f>
        <v>640.05475514453997</v>
      </c>
      <c r="AD105">
        <f ca="1">IF($D$20=0,E105,IF(AD105=0,(IF(AND(N7="None",N8="None"),E105,IF(N8="None",S105,IF(N7="None",T105,MAX(S105,T105))))),IF(ABS((IF(AND(N7="None",N8="None"),E105,IF(N8="None",S105,IF(N7="None",T105,MAX(S105,T105)))))-AD105)&lt;$D$19,AD105,MAX((K32)+$D$16,AD105+$D$13*(((IF(AND(N7="None",N8="None"),E105,IF(N8="None",S105,IF(N7="None",T105,MAX(S105,T105)))))-AD105))))))</f>
        <v>639.97526463330917</v>
      </c>
      <c r="AE105">
        <f ca="1">IF($D$20=0,D105,IF(AE105=0,O105,IF(ABS(U105)&lt;$D$19,AE105,MAX((K31)+$D$16,AE105+($D$13*(((O105)-AE105)+(U105*MAX(ABS(AE105-(K31)),1))))))))</f>
        <v>634.34799999999996</v>
      </c>
      <c r="AF105">
        <f ca="1">IF($D$20=0,E105,IF(AF105=0,R105,IF(ABS(V105)&lt;$D$19,AF105,MAX((K32)+$D$16,AF105+($D$13*(((R105)-AF105)+(V105*MAX(ABS(AF105-(K32)),1))))))))</f>
        <v>631.92499999999995</v>
      </c>
      <c r="AG105">
        <f ca="1">((G31)*(MAX($D$16,(AC105)-(K31)))^2)/2+(I31)*(MAX($D$16,(AC105)-(K31)))^3/3+(ABS(F105)^2)/($I$5*MAX(((G31)+(I31)*(MAX($D$16,(AC105)-(K31))))*(MAX($D$16,(AC105)-(K31))),0.000001))</f>
        <v>115.68980551184316</v>
      </c>
      <c r="AH105">
        <f ca="1">((G31)*(MAX($D$16,(AE105)-(K31)))^2)/2+(I31)*(MAX($D$16,(AE105)-(K31)))^3/3+(ABS(F105)^2)/($I$5*MAX(((G31)+(I31)*(MAX($D$16,(AE105)-(K31))))*(MAX($D$16,(AE105)-(K31))),0.000001))</f>
        <v>808.60110594434002</v>
      </c>
      <c r="AI105">
        <f ca="1">((G32)*(MAX($D$16,(AD105)-(K32)))^2)/2+(I32)*(MAX($D$16,(AD105)-(K32)))^3/3+(ABS(G105)^2)/($I$5*MAX(((G32)+(I32)*(MAX($D$16,(AD105)-(K32))))*(MAX($D$16,(AD105)-(K32))),0.000001))</f>
        <v>338.03683729018678</v>
      </c>
      <c r="AJ105">
        <f ca="1">((G32)*(MAX($D$16,(AF105)-(K32)))^2)/2+(I32)*(MAX($D$16,(AF105)-(K32)))^3/3+(ABS(G105)^2)/($I$5*MAX(((G32)+(I32)*(MAX($D$16,(AF105)-(K32))))*(MAX($D$16,(AF105)-(K32))),0.000001))</f>
        <v>519.58480272613974</v>
      </c>
      <c r="AK105" t="str">
        <f t="shared" ca="1" si="18"/>
        <v>Supercritical</v>
      </c>
      <c r="AL105" t="str">
        <f t="shared" ca="1" si="19"/>
        <v>Supercritical</v>
      </c>
      <c r="AM105">
        <f t="shared" ca="1" si="20"/>
        <v>634.34800000232588</v>
      </c>
      <c r="AN105">
        <f t="shared" ca="1" si="21"/>
        <v>631.92500000438997</v>
      </c>
      <c r="AO105">
        <f t="shared" ca="1" si="22"/>
        <v>3.5782932172878645E-9</v>
      </c>
      <c r="AP105">
        <f t="shared" ca="1" si="23"/>
        <v>6.7539076553657651E-9</v>
      </c>
    </row>
    <row r="106" spans="1:42" x14ac:dyDescent="0.35">
      <c r="A106">
        <v>63</v>
      </c>
      <c r="B106">
        <f t="shared" si="24"/>
        <v>1</v>
      </c>
      <c r="C106">
        <f t="shared" ca="1" si="25"/>
        <v>0.98</v>
      </c>
      <c r="D106">
        <f t="shared" ca="1" si="26"/>
        <v>634.34800000232588</v>
      </c>
      <c r="E106">
        <f t="shared" ca="1" si="27"/>
        <v>631.92500000438997</v>
      </c>
      <c r="F106">
        <f t="shared" si="15"/>
        <v>51</v>
      </c>
      <c r="G106">
        <f>IF(N6="None",F106,MAX(0,F106*B106))</f>
        <v>51</v>
      </c>
      <c r="H106">
        <f>IF(N6="None",0,MAX(0,F106-G106))</f>
        <v>0</v>
      </c>
      <c r="I106">
        <f ca="1">IF(AND(N7="None",N8="None"),0,IF(N8="None",G106,IF(N7="None",0,MAX(0,G106*C106))))</f>
        <v>49.98</v>
      </c>
      <c r="J106">
        <f ca="1">IF(AND(N7="None",N8="None"),0,IF(N8="None",0,IF(N7="None",G106,MAX(0,G106-I106))))</f>
        <v>1.0200000000000031</v>
      </c>
      <c r="K106">
        <f>P5</f>
        <v>637</v>
      </c>
      <c r="L106">
        <f>P6</f>
        <v>634.3119999999999</v>
      </c>
      <c r="M106">
        <f>P7</f>
        <v>635.5</v>
      </c>
      <c r="N106">
        <f>P8</f>
        <v>631.54999999999995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-2091.5872404992097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640.05397805979817</v>
      </c>
      <c r="Q106">
        <f ca="1">L106+((ABS(H106)/MAX(((G33)+(I33)*(MAX($D$16,(L106)-(K33))))*(MAX($D$16,(L106)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AC106)-(J33))))*(MAX($D$16,(AC106)-(J33))),0.000001)),$D$9*((((ABS(H106)/MAX(((G33)+(I33)*(MAX($D$16,(L106)-(K33))))*(MAX($D$16,(L106)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L106)-(K33))))*(MAX($D$16,(L106)-(K33))),0.000001))^2)/(2*$I$5)))))+($D$10*(ABS((X33)-(W33))/90)*MAX(((ABS(H106)/MAX(((F33)+(H33)*(MAX($D$16,(AC106)-(J33))))*(MAX($D$16,(AC106)-(J33))),0.000001))^2)/(2*$I$5),((ABS(H106)/MAX(((G33)+(I33)*(MAX($D$16,(L106)-(K33))))*(MAX($D$16,(L106)-(K33))),0.000001))^2)/(2*$I$5)))+(($D$11*0.00000015*(ABS(G106)/MAX(ABS(F106),0.000001))^2*MAX(((ABS(H106)/MAX(((F33)+(H33)*(MAX($D$16,(AC106)-(J33))))*(MAX($D$16,(AC106)-(J33))),0.000001))^2)/(2*$I$5),((ABS(H106)/MAX(((G33)+(I33)*(MAX($D$16,(L106)-(K33))))*(MAX($D$16,(L106)-(K33))),0.000001))^2)/(2*$I$5))))-((ABS(H106)/MAX(((F33)+(H33)*(MAX($D$16,(AC106)-(J33))))*(MAX($D$16,(AC106)-(J33))),0.000001))^2)/(2*$I$5)</f>
        <v>634.3119999999999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-292118.81246378768</v>
      </c>
      <c r="S106">
        <f ca="1">M106+((ABS(I106)/MAX(((G34)+(I34)*(MAX($D$16,(M106)-(K34))))*(MAX($D$16,(M106)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AD106)-(J34))))*(MAX($D$16,(AD106)-(J34))),0.000001)),$D$9*((((ABS(I106)/MAX(((G34)+(I34)*(MAX($D$16,(M106)-(K34))))*(MAX($D$16,(M106)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M106)-(K34))))*(MAX($D$16,(M106)-(K34))),0.000001))^2)/(2*$I$5)))))+($D$10*(ABS((X34)-(W34))/90)*MAX(((ABS(I106)/MAX(((F34)+(H34)*(MAX($D$16,(AD106)-(J34))))*(MAX($D$16,(AD106)-(J34))),0.000001))^2)/(2*$I$5),((ABS(I106)/MAX(((G34)+(I34)*(MAX($D$16,(M106)-(K34))))*(MAX($D$16,(M106)-(K34))),0.000001))^2)/(2*$I$5)))+(0)-((ABS(I106)/MAX(((F34)+(H34)*(MAX($D$16,(AD106)-(J34))))*(MAX($D$16,(AD106)-(J34))),0.000001))^2)/(2*$I$5)</f>
        <v>635.51128720958343</v>
      </c>
      <c r="T106">
        <f ca="1">N106+((ABS(J106)/MAX(((G35)+(I35)*(MAX($D$16,(N106)-(K35))))*(MAX($D$16,(N106)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AD106)-(J35))))*(MAX($D$16,(AD106)-(J35))),0.000001)),$D$9*((((ABS(J106)/MAX(((G35)+(I35)*(MAX($D$16,(N106)-(K35))))*(MAX($D$16,(N106)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N106)-(K35))))*(MAX($D$16,(N106)-(K35))),0.000001))^2)/(2*$I$5)))))+($D$10*(ABS((X35)-(W35))/90)*MAX(((ABS(J106)/MAX(((F35)+(H35)*(MAX($D$16,(AD106)-(J35))))*(MAX($D$16,(AD106)-(J35))),0.000001))^2)/(2*$I$5),((ABS(J106)/MAX(((G35)+(I35)*(MAX($D$16,(N106)-(K35))))*(MAX($D$16,(N106)-(K35))),0.000001))^2)/(2*$I$5)))+(($D$11*0.34699541*(ABS(I106)/MAX(ABS(G106),0.000001))^2*MAX(((ABS(J106)/MAX(((F35)+(H35)*(MAX($D$16,(AD106)-(J35))))*(MAX($D$16,(AD106)-(J35))),0.000001))^2)/(2*$I$5),((ABS(J106)/MAX(((G35)+(I35)*(MAX($D$16,(N106)-(K35))))*(MAX($D$16,(N106)-(K35))),0.000001))^2)/(2*$I$5))))-((ABS(J106)/MAX(((F35)+(H35)*(MAX($D$16,(AD106)-(J35))))*(MAX($D$16,(AD106)-(J35))),0.000001))^2)/(2*$I$5)</f>
        <v>639.97429104455466</v>
      </c>
      <c r="U106">
        <f ca="1">((((G31)*(MAX($D$16,(AE106)-(K31)))^2)/2+(I31)*(MAX($D$16,(AE106)-(K31)))^3/3+(ABS(F106)^2)/($I$5*MAX(((G31)+(I31)*(MAX($D$16,(AE106)-(K31))))*(MAX($D$16,(AE106)-(K31))),0.000001)))-(IF(N6="None",((((F32)*(MAX($D$16,(AE106)-(J32)))^2)/2+(H32)*(MAX($D$16,(AE106)-(J32)))^3/3+(ABS(G106)^2)/($I$5*MAX(((F32)+(H32)*(MAX($D$16,(AE106)-(J32))))*(MAX($D$16,(AE106)-(J32))),0.000001)))*0.72785025),(((((F32)*(MAX($D$16,(AE106)-(J32)))^2)/2+(H32)*(MAX($D$16,(AE106)-(J32)))^3/3+(ABS(G106)^2)/($I$5*MAX(((F32)+(H32)*(MAX($D$16,(AE106)-(J32))))*(MAX($D$16,(AE106)-(J32))),0.000001)))*0.72785025)+((((F33)*(MAX($D$16,(AE106)-(J33)))^2)/2+(H33)*(MAX($D$16,(AE106)-(J33)))^3/3+(ABS(H106)^2)/($I$5*MAX(((F33)+(H33)*(MAX($D$16,(AE106)-(J33))))*(MAX($D$16,(AE106)-(J33))),0.000001)))*0.99999971)))))/MAX(((G31)*(MAX($D$16,(AE106)-(K31)))^2)/2+(I31)*(MAX($D$16,(AE106)-(K31)))^3/3+(ABS(F106)^2)/($I$5*MAX(((G31)+(I31)*(MAX($D$16,(AE106)-(K31))))*(MAX($D$16,(AE106)-(K31))),0.000001)),0.000001)</f>
        <v>0.27214975000000002</v>
      </c>
      <c r="V106">
        <f ca="1">((((G32)*(MAX($D$16,(AF106)-(K32)))^2)/2+(I32)*(MAX($D$16,(AF106)-(K32)))^3/3+(ABS(G106)^2)/($I$5*MAX(((G32)+(I32)*(MAX($D$16,(AF106)-(K32))))*(MAX($D$16,(AF106)-(K32))),0.000001)))-(IF(AND(N7="None",N8="None"),0,IF(N8="None",((((F34)*(MAX($D$16,(AF106)-(J34)))^2)/2+(H34)*(MAX($D$16,(AF106)-(J34)))^3/3+(ABS(I106)^2)/($I$5*MAX(((F34)+(H34)*(MAX($D$16,(AF106)-(J34))))*(MAX($D$16,(AF106)-(J34))),0.000001)))*1),IF(N7="None",((((F35)*(MAX($D$16,(AF106)-(J35)))^2)/2+(H35)*(MAX($D$16,(AF106)-(J35)))^3/3+(ABS(J106)^2)/($I$5*MAX(((F35)+(H35)*(MAX($D$16,(AF106)-(J35))))*(MAX($D$16,(AF106)-(J35))),0.000001)))*0.30600918),(((((F34)*(MAX($D$16,(AF106)-(J34)))^2)/2+(H34)*(MAX($D$16,(AF106)-(J34)))^3/3+(ABS(I106)^2)/($I$5*MAX(((F34)+(H34)*(MAX($D$16,(AF106)-(J34))))*(MAX($D$16,(AF106)-(J34))),0.000001)))*1)+((((F35)*(MAX($D$16,(AF106)-(J35)))^2)/2+(H35)*(MAX($D$16,(AF106)-(J35)))^3/3+(ABS(J106)^2)/($I$5*MAX(((F35)+(H35)*(MAX($D$16,(AF106)-(J35))))*(MAX($D$16,(AF106)-(J35))),0.000001)))*0.30600918)))))))/MAX(((G32)*(MAX($D$16,(AF106)-(K32)))^2)/2+(I32)*(MAX($D$16,(AF106)-(K32)))^3/3+(ABS(G106)^2)/($I$5*MAX(((G32)+(I32)*(MAX($D$16,(AF106)-(K32))))*(MAX($D$16,(AF106)-(K32))),0.000001)),0.000001)</f>
        <v>3.904177561081449E-2</v>
      </c>
      <c r="W106">
        <f ca="1">ABS((IF(N6="None",P106,MAX(P106,Q106)))-D106)</f>
        <v>5.7059780574722936</v>
      </c>
      <c r="X106">
        <f ca="1">ABS((IF(AND(N7="None",N8="None"),E106,IF(N8="None",S106,IF(N7="None",T106,MAX(S106,T106)))))-E106)</f>
        <v>8.0492910401646895</v>
      </c>
      <c r="Y106">
        <f>IF(N6="None",1,MIN(0.98,MAX(0.02,B106+$D$14*((Q106-P106)/MAX(ABS(D106),1)))))</f>
        <v>1</v>
      </c>
      <c r="Z106">
        <f ca="1">IF(AND(N7="None",N8="None"),C106,IF(N8="None",1,IF(N7="None",0,MIN(0.98,MAX(0.02,C106+$D$14*((T106-S106)/MAX(ABS(E106),1)))))))</f>
        <v>0.98</v>
      </c>
      <c r="AA106">
        <f t="shared" ca="1" si="16"/>
        <v>636.34536430210085</v>
      </c>
      <c r="AB106">
        <f t="shared" ca="1" si="17"/>
        <v>634.74259262451164</v>
      </c>
      <c r="AC106">
        <f ca="1">IF($D$20=0,D106,IF(AC106=0,(IF(N6="None",P106,MAX(P106,Q106))),IF(ABS((IF(N6="None",P106,MAX(P106,Q106)))-AC106)&lt;$D$19,AC106,MAX((K31)+$D$16,AC106+$D$13*(((IF(N6="None",P106,MAX(P106,Q106)))-AC106))))))</f>
        <v>640.05475514453997</v>
      </c>
      <c r="AD106">
        <f ca="1">IF($D$20=0,E106,IF(AD106=0,(IF(AND(N7="None",N8="None"),E106,IF(N8="None",S106,IF(N7="None",T106,MAX(S106,T106))))),IF(ABS((IF(AND(N7="None",N8="None"),E106,IF(N8="None",S106,IF(N7="None",T106,MAX(S106,T106)))))-AD106)&lt;$D$19,AD106,MAX((K32)+$D$16,AD106+$D$13*(((IF(AND(N7="None",N8="None"),E106,IF(N8="None",S106,IF(N7="None",T106,MAX(S106,T106)))))-AD106))))))</f>
        <v>639.97526463330917</v>
      </c>
      <c r="AE106">
        <f ca="1">IF($D$20=0,D106,IF(AE106=0,O106,IF(ABS(U106)&lt;$D$19,AE106,MAX((K31)+$D$16,AE106+($D$13*(((O106)-AE106)+(U106*MAX(ABS(AE106-(K31)),1))))))))</f>
        <v>634.34799999999996</v>
      </c>
      <c r="AF106">
        <f ca="1">IF($D$20=0,E106,IF(AF106=0,R106,IF(ABS(V106)&lt;$D$19,AF106,MAX((K32)+$D$16,AF106+($D$13*(((R106)-AF106)+(V106*MAX(ABS(AF106-(K32)),1))))))))</f>
        <v>631.92499999999995</v>
      </c>
      <c r="AG106">
        <f ca="1">((G31)*(MAX($D$16,(AC106)-(K31)))^2)/2+(I31)*(MAX($D$16,(AC106)-(K31)))^3/3+(ABS(F106)^2)/($I$5*MAX(((G31)+(I31)*(MAX($D$16,(AC106)-(K31))))*(MAX($D$16,(AC106)-(K31))),0.000001))</f>
        <v>115.68980551184316</v>
      </c>
      <c r="AH106">
        <f ca="1">((G31)*(MAX($D$16,(AE106)-(K31)))^2)/2+(I31)*(MAX($D$16,(AE106)-(K31)))^3/3+(ABS(F106)^2)/($I$5*MAX(((G31)+(I31)*(MAX($D$16,(AE106)-(K31))))*(MAX($D$16,(AE106)-(K31))),0.000001))</f>
        <v>808.60110594434002</v>
      </c>
      <c r="AI106">
        <f ca="1">((G32)*(MAX($D$16,(AD106)-(K32)))^2)/2+(I32)*(MAX($D$16,(AD106)-(K32)))^3/3+(ABS(G106)^2)/($I$5*MAX(((G32)+(I32)*(MAX($D$16,(AD106)-(K32))))*(MAX($D$16,(AD106)-(K32))),0.000001))</f>
        <v>338.03683729018678</v>
      </c>
      <c r="AJ106">
        <f ca="1">((G32)*(MAX($D$16,(AF106)-(K32)))^2)/2+(I32)*(MAX($D$16,(AF106)-(K32)))^3/3+(ABS(G106)^2)/($I$5*MAX(((G32)+(I32)*(MAX($D$16,(AF106)-(K32))))*(MAX($D$16,(AF106)-(K32))),0.000001))</f>
        <v>519.58480272613974</v>
      </c>
      <c r="AK106" t="str">
        <f t="shared" ca="1" si="18"/>
        <v>Supercritical</v>
      </c>
      <c r="AL106" t="str">
        <f t="shared" ca="1" si="19"/>
        <v>Supercritical</v>
      </c>
      <c r="AM106">
        <f t="shared" ca="1" si="20"/>
        <v>634.34800000151176</v>
      </c>
      <c r="AN106">
        <f t="shared" ca="1" si="21"/>
        <v>631.92500000285349</v>
      </c>
      <c r="AO106">
        <f t="shared" ca="1" si="22"/>
        <v>2.3259190129465424E-9</v>
      </c>
      <c r="AP106">
        <f t="shared" ca="1" si="23"/>
        <v>4.390017238620203E-9</v>
      </c>
    </row>
    <row r="107" spans="1:42" x14ac:dyDescent="0.35">
      <c r="A107">
        <v>64</v>
      </c>
      <c r="B107">
        <f t="shared" si="24"/>
        <v>1</v>
      </c>
      <c r="C107">
        <f t="shared" ca="1" si="25"/>
        <v>0.98</v>
      </c>
      <c r="D107">
        <f t="shared" ca="1" si="26"/>
        <v>634.34800000151176</v>
      </c>
      <c r="E107">
        <f t="shared" ca="1" si="27"/>
        <v>631.92500000285349</v>
      </c>
      <c r="F107">
        <f t="shared" ref="F107:F122" si="28">$D$5</f>
        <v>51</v>
      </c>
      <c r="G107">
        <f>IF(N6="None",F107,MAX(0,F107*B107))</f>
        <v>51</v>
      </c>
      <c r="H107">
        <f>IF(N6="None",0,MAX(0,F107-G107))</f>
        <v>0</v>
      </c>
      <c r="I107">
        <f ca="1">IF(AND(N7="None",N8="None"),0,IF(N8="None",G107,IF(N7="None",0,MAX(0,G107*C107))))</f>
        <v>49.98</v>
      </c>
      <c r="J107">
        <f ca="1">IF(AND(N7="None",N8="None"),0,IF(N8="None",0,IF(N7="None",G107,MAX(0,G107-I107))))</f>
        <v>1.0200000000000031</v>
      </c>
      <c r="K107">
        <f>P5</f>
        <v>637</v>
      </c>
      <c r="L107">
        <f>P6</f>
        <v>634.3119999999999</v>
      </c>
      <c r="M107">
        <f>P7</f>
        <v>635.5</v>
      </c>
      <c r="N107">
        <f>P8</f>
        <v>631.54999999999995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-2091.5872404992097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640.05397805979817</v>
      </c>
      <c r="Q107">
        <f ca="1">L107+((ABS(H107)/MAX(((G33)+(I33)*(MAX($D$16,(L107)-(K33))))*(MAX($D$16,(L107)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AC107)-(J33))))*(MAX($D$16,(AC107)-(J33))),0.000001)),$D$9*((((ABS(H107)/MAX(((G33)+(I33)*(MAX($D$16,(L107)-(K33))))*(MAX($D$16,(L107)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L107)-(K33))))*(MAX($D$16,(L107)-(K33))),0.000001))^2)/(2*$I$5)))))+($D$10*(ABS((X33)-(W33))/90)*MAX(((ABS(H107)/MAX(((F33)+(H33)*(MAX($D$16,(AC107)-(J33))))*(MAX($D$16,(AC107)-(J33))),0.000001))^2)/(2*$I$5),((ABS(H107)/MAX(((G33)+(I33)*(MAX($D$16,(L107)-(K33))))*(MAX($D$16,(L107)-(K33))),0.000001))^2)/(2*$I$5)))+(($D$11*0.00000015*(ABS(G107)/MAX(ABS(F107),0.000001))^2*MAX(((ABS(H107)/MAX(((F33)+(H33)*(MAX($D$16,(AC107)-(J33))))*(MAX($D$16,(AC107)-(J33))),0.000001))^2)/(2*$I$5),((ABS(H107)/MAX(((G33)+(I33)*(MAX($D$16,(L107)-(K33))))*(MAX($D$16,(L107)-(K33))),0.000001))^2)/(2*$I$5))))-((ABS(H107)/MAX(((F33)+(H33)*(MAX($D$16,(AC107)-(J33))))*(MAX($D$16,(AC107)-(J33))),0.000001))^2)/(2*$I$5)</f>
        <v>634.3119999999999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-292118.81246378768</v>
      </c>
      <c r="S107">
        <f ca="1">M107+((ABS(I107)/MAX(((G34)+(I34)*(MAX($D$16,(M107)-(K34))))*(MAX($D$16,(M107)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AD107)-(J34))))*(MAX($D$16,(AD107)-(J34))),0.000001)),$D$9*((((ABS(I107)/MAX(((G34)+(I34)*(MAX($D$16,(M107)-(K34))))*(MAX($D$16,(M107)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M107)-(K34))))*(MAX($D$16,(M107)-(K34))),0.000001))^2)/(2*$I$5)))))+($D$10*(ABS((X34)-(W34))/90)*MAX(((ABS(I107)/MAX(((F34)+(H34)*(MAX($D$16,(AD107)-(J34))))*(MAX($D$16,(AD107)-(J34))),0.000001))^2)/(2*$I$5),((ABS(I107)/MAX(((G34)+(I34)*(MAX($D$16,(M107)-(K34))))*(MAX($D$16,(M107)-(K34))),0.000001))^2)/(2*$I$5)))+(0)-((ABS(I107)/MAX(((F34)+(H34)*(MAX($D$16,(AD107)-(J34))))*(MAX($D$16,(AD107)-(J34))),0.000001))^2)/(2*$I$5)</f>
        <v>635.51128720958343</v>
      </c>
      <c r="T107">
        <f ca="1">N107+((ABS(J107)/MAX(((G35)+(I35)*(MAX($D$16,(N107)-(K35))))*(MAX($D$16,(N107)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AD107)-(J35))))*(MAX($D$16,(AD107)-(J35))),0.000001)),$D$9*((((ABS(J107)/MAX(((G35)+(I35)*(MAX($D$16,(N107)-(K35))))*(MAX($D$16,(N107)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N107)-(K35))))*(MAX($D$16,(N107)-(K35))),0.000001))^2)/(2*$I$5)))))+($D$10*(ABS((X35)-(W35))/90)*MAX(((ABS(J107)/MAX(((F35)+(H35)*(MAX($D$16,(AD107)-(J35))))*(MAX($D$16,(AD107)-(J35))),0.000001))^2)/(2*$I$5),((ABS(J107)/MAX(((G35)+(I35)*(MAX($D$16,(N107)-(K35))))*(MAX($D$16,(N107)-(K35))),0.000001))^2)/(2*$I$5)))+(($D$11*0.34699541*(ABS(I107)/MAX(ABS(G107),0.000001))^2*MAX(((ABS(J107)/MAX(((F35)+(H35)*(MAX($D$16,(AD107)-(J35))))*(MAX($D$16,(AD107)-(J35))),0.000001))^2)/(2*$I$5),((ABS(J107)/MAX(((G35)+(I35)*(MAX($D$16,(N107)-(K35))))*(MAX($D$16,(N107)-(K35))),0.000001))^2)/(2*$I$5))))-((ABS(J107)/MAX(((F35)+(H35)*(MAX($D$16,(AD107)-(J35))))*(MAX($D$16,(AD107)-(J35))),0.000001))^2)/(2*$I$5)</f>
        <v>639.97429104455466</v>
      </c>
      <c r="U107">
        <f ca="1">((((G31)*(MAX($D$16,(AE107)-(K31)))^2)/2+(I31)*(MAX($D$16,(AE107)-(K31)))^3/3+(ABS(F107)^2)/($I$5*MAX(((G31)+(I31)*(MAX($D$16,(AE107)-(K31))))*(MAX($D$16,(AE107)-(K31))),0.000001)))-(IF(N6="None",((((F32)*(MAX($D$16,(AE107)-(J32)))^2)/2+(H32)*(MAX($D$16,(AE107)-(J32)))^3/3+(ABS(G107)^2)/($I$5*MAX(((F32)+(H32)*(MAX($D$16,(AE107)-(J32))))*(MAX($D$16,(AE107)-(J32))),0.000001)))*0.72785025),(((((F32)*(MAX($D$16,(AE107)-(J32)))^2)/2+(H32)*(MAX($D$16,(AE107)-(J32)))^3/3+(ABS(G107)^2)/($I$5*MAX(((F32)+(H32)*(MAX($D$16,(AE107)-(J32))))*(MAX($D$16,(AE107)-(J32))),0.000001)))*0.72785025)+((((F33)*(MAX($D$16,(AE107)-(J33)))^2)/2+(H33)*(MAX($D$16,(AE107)-(J33)))^3/3+(ABS(H107)^2)/($I$5*MAX(((F33)+(H33)*(MAX($D$16,(AE107)-(J33))))*(MAX($D$16,(AE107)-(J33))),0.000001)))*0.99999971)))))/MAX(((G31)*(MAX($D$16,(AE107)-(K31)))^2)/2+(I31)*(MAX($D$16,(AE107)-(K31)))^3/3+(ABS(F107)^2)/($I$5*MAX(((G31)+(I31)*(MAX($D$16,(AE107)-(K31))))*(MAX($D$16,(AE107)-(K31))),0.000001)),0.000001)</f>
        <v>0.27214975000000002</v>
      </c>
      <c r="V107">
        <f ca="1">((((G32)*(MAX($D$16,(AF107)-(K32)))^2)/2+(I32)*(MAX($D$16,(AF107)-(K32)))^3/3+(ABS(G107)^2)/($I$5*MAX(((G32)+(I32)*(MAX($D$16,(AF107)-(K32))))*(MAX($D$16,(AF107)-(K32))),0.000001)))-(IF(AND(N7="None",N8="None"),0,IF(N8="None",((((F34)*(MAX($D$16,(AF107)-(J34)))^2)/2+(H34)*(MAX($D$16,(AF107)-(J34)))^3/3+(ABS(I107)^2)/($I$5*MAX(((F34)+(H34)*(MAX($D$16,(AF107)-(J34))))*(MAX($D$16,(AF107)-(J34))),0.000001)))*1),IF(N7="None",((((F35)*(MAX($D$16,(AF107)-(J35)))^2)/2+(H35)*(MAX($D$16,(AF107)-(J35)))^3/3+(ABS(J107)^2)/($I$5*MAX(((F35)+(H35)*(MAX($D$16,(AF107)-(J35))))*(MAX($D$16,(AF107)-(J35))),0.000001)))*0.30600918),(((((F34)*(MAX($D$16,(AF107)-(J34)))^2)/2+(H34)*(MAX($D$16,(AF107)-(J34)))^3/3+(ABS(I107)^2)/($I$5*MAX(((F34)+(H34)*(MAX($D$16,(AF107)-(J34))))*(MAX($D$16,(AF107)-(J34))),0.000001)))*1)+((((F35)*(MAX($D$16,(AF107)-(J35)))^2)/2+(H35)*(MAX($D$16,(AF107)-(J35)))^3/3+(ABS(J107)^2)/($I$5*MAX(((F35)+(H35)*(MAX($D$16,(AF107)-(J35))))*(MAX($D$16,(AF107)-(J35))),0.000001)))*0.30600918)))))))/MAX(((G32)*(MAX($D$16,(AF107)-(K32)))^2)/2+(I32)*(MAX($D$16,(AF107)-(K32)))^3/3+(ABS(G107)^2)/($I$5*MAX(((G32)+(I32)*(MAX($D$16,(AF107)-(K32))))*(MAX($D$16,(AF107)-(K32))),0.000001)),0.000001)</f>
        <v>3.904177561081449E-2</v>
      </c>
      <c r="W107">
        <f ca="1">ABS((IF(N6="None",P107,MAX(P107,Q107)))-D107)</f>
        <v>5.705978058286405</v>
      </c>
      <c r="X107">
        <f ca="1">ABS((IF(AND(N7="None",N8="None"),E107,IF(N8="None",S107,IF(N7="None",T107,MAX(S107,T107)))))-E107)</f>
        <v>8.0492910417011672</v>
      </c>
      <c r="Y107">
        <f>IF(N6="None",1,MIN(0.98,MAX(0.02,B107+$D$14*((Q107-P107)/MAX(ABS(D107),1)))))</f>
        <v>1</v>
      </c>
      <c r="Z107">
        <f ca="1">IF(AND(N7="None",N8="None"),C107,IF(N8="None",1,IF(N7="None",0,MIN(0.98,MAX(0.02,C107+$D$14*((T107-S107)/MAX(ABS(E107),1)))))))</f>
        <v>0.98</v>
      </c>
      <c r="AA107">
        <f t="shared" ref="AA107:AA122" ca="1" si="29">D107+$D$13*(AC107-D107)</f>
        <v>636.34536430157164</v>
      </c>
      <c r="AB107">
        <f t="shared" ref="AB107:AB122" ca="1" si="30">E107+$D$13*(AD107-E107)</f>
        <v>634.74259262351302</v>
      </c>
      <c r="AC107">
        <f ca="1">IF($D$20=0,D107,IF(AC107=0,(IF(N6="None",P107,MAX(P107,Q107))),IF(ABS((IF(N6="None",P107,MAX(P107,Q107)))-AC107)&lt;$D$19,AC107,MAX((K31)+$D$16,AC107+$D$13*(((IF(N6="None",P107,MAX(P107,Q107)))-AC107))))))</f>
        <v>640.05475514453997</v>
      </c>
      <c r="AD107">
        <f ca="1">IF($D$20=0,E107,IF(AD107=0,(IF(AND(N7="None",N8="None"),E107,IF(N8="None",S107,IF(N7="None",T107,MAX(S107,T107))))),IF(ABS((IF(AND(N7="None",N8="None"),E107,IF(N8="None",S107,IF(N7="None",T107,MAX(S107,T107)))))-AD107)&lt;$D$19,AD107,MAX((K32)+$D$16,AD107+$D$13*(((IF(AND(N7="None",N8="None"),E107,IF(N8="None",S107,IF(N7="None",T107,MAX(S107,T107)))))-AD107))))))</f>
        <v>639.97526463330917</v>
      </c>
      <c r="AE107">
        <f ca="1">IF($D$20=0,D107,IF(AE107=0,O107,IF(ABS(U107)&lt;$D$19,AE107,MAX((K31)+$D$16,AE107+($D$13*(((O107)-AE107)+(U107*MAX(ABS(AE107-(K31)),1))))))))</f>
        <v>634.34799999999996</v>
      </c>
      <c r="AF107">
        <f ca="1">IF($D$20=0,E107,IF(AF107=0,R107,IF(ABS(V107)&lt;$D$19,AF107,MAX((K32)+$D$16,AF107+($D$13*(((R107)-AF107)+(V107*MAX(ABS(AF107-(K32)),1))))))))</f>
        <v>631.92499999999995</v>
      </c>
      <c r="AG107">
        <f ca="1">((G31)*(MAX($D$16,(AC107)-(K31)))^2)/2+(I31)*(MAX($D$16,(AC107)-(K31)))^3/3+(ABS(F107)^2)/($I$5*MAX(((G31)+(I31)*(MAX($D$16,(AC107)-(K31))))*(MAX($D$16,(AC107)-(K31))),0.000001))</f>
        <v>115.68980551184316</v>
      </c>
      <c r="AH107">
        <f ca="1">((G31)*(MAX($D$16,(AE107)-(K31)))^2)/2+(I31)*(MAX($D$16,(AE107)-(K31)))^3/3+(ABS(F107)^2)/($I$5*MAX(((G31)+(I31)*(MAX($D$16,(AE107)-(K31))))*(MAX($D$16,(AE107)-(K31))),0.000001))</f>
        <v>808.60110594434002</v>
      </c>
      <c r="AI107">
        <f ca="1">((G32)*(MAX($D$16,(AD107)-(K32)))^2)/2+(I32)*(MAX($D$16,(AD107)-(K32)))^3/3+(ABS(G107)^2)/($I$5*MAX(((G32)+(I32)*(MAX($D$16,(AD107)-(K32))))*(MAX($D$16,(AD107)-(K32))),0.000001))</f>
        <v>338.03683729018678</v>
      </c>
      <c r="AJ107">
        <f ca="1">((G32)*(MAX($D$16,(AF107)-(K32)))^2)/2+(I32)*(MAX($D$16,(AF107)-(K32)))^3/3+(ABS(G107)^2)/($I$5*MAX(((G32)+(I32)*(MAX($D$16,(AF107)-(K32))))*(MAX($D$16,(AF107)-(K32))),0.000001))</f>
        <v>519.58480272613974</v>
      </c>
      <c r="AK107" t="str">
        <f t="shared" ref="AK107:AK122" ca="1" si="31">IF(AH107&gt;=AG107,"Supercritical","Subcritical")</f>
        <v>Supercritical</v>
      </c>
      <c r="AL107" t="str">
        <f t="shared" ref="AL107:AL122" ca="1" si="32">IF(AJ107&gt;=AI107,"Supercritical","Subcritical")</f>
        <v>Supercritical</v>
      </c>
      <c r="AM107">
        <f t="shared" ref="AM107:AM122" ca="1" si="33">D107+$D$13*(IF(AK107="Supercritical",AE107,AC107)-D107)</f>
        <v>634.34800000098267</v>
      </c>
      <c r="AN107">
        <f t="shared" ref="AN107:AN122" ca="1" si="34">E107+$D$13*(IF(AL107="Supercritical",AF107,AD107)-E107)</f>
        <v>631.92500000185476</v>
      </c>
      <c r="AO107">
        <f t="shared" ref="AO107:AO122" ca="1" si="35">ABS(IF(AK107="Supercritical",AE107,AC107)-D107)</f>
        <v>1.51180756802205E-9</v>
      </c>
      <c r="AP107">
        <f t="shared" ref="AP107:AP122" ca="1" si="36">ABS(IF(AL107="Supercritical",AF107,AD107)-E107)</f>
        <v>2.8535396268125623E-9</v>
      </c>
    </row>
    <row r="108" spans="1:42" x14ac:dyDescent="0.35">
      <c r="A108">
        <v>65</v>
      </c>
      <c r="B108">
        <f t="shared" ref="B108:B122" si="37">Y107</f>
        <v>1</v>
      </c>
      <c r="C108">
        <f t="shared" ref="C108:C122" ca="1" si="38">Z107</f>
        <v>0.98</v>
      </c>
      <c r="D108">
        <f t="shared" ref="D108:D122" ca="1" si="39">AM107</f>
        <v>634.34800000098267</v>
      </c>
      <c r="E108">
        <f t="shared" ref="E108:E122" ca="1" si="40">AN107</f>
        <v>631.92500000185476</v>
      </c>
      <c r="F108">
        <f t="shared" si="28"/>
        <v>51</v>
      </c>
      <c r="G108">
        <f>IF(N6="None",F108,MAX(0,F108*B108))</f>
        <v>51</v>
      </c>
      <c r="H108">
        <f>IF(N6="None",0,MAX(0,F108-G108))</f>
        <v>0</v>
      </c>
      <c r="I108">
        <f ca="1">IF(AND(N7="None",N8="None"),0,IF(N8="None",G108,IF(N7="None",0,MAX(0,G108*C108))))</f>
        <v>49.98</v>
      </c>
      <c r="J108">
        <f ca="1">IF(AND(N7="None",N8="None"),0,IF(N8="None",0,IF(N7="None",G108,MAX(0,G108-I108))))</f>
        <v>1.0200000000000031</v>
      </c>
      <c r="K108">
        <f>P5</f>
        <v>637</v>
      </c>
      <c r="L108">
        <f>P6</f>
        <v>634.3119999999999</v>
      </c>
      <c r="M108">
        <f>P7</f>
        <v>635.5</v>
      </c>
      <c r="N108">
        <f>P8</f>
        <v>631.54999999999995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-2091.5872404992097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640.05397805979817</v>
      </c>
      <c r="Q108">
        <f ca="1">L108+((ABS(H108)/MAX(((G33)+(I33)*(MAX($D$16,(L108)-(K33))))*(MAX($D$16,(L108)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AC108)-(J33))))*(MAX($D$16,(AC108)-(J33))),0.000001)),$D$9*((((ABS(H108)/MAX(((G33)+(I33)*(MAX($D$16,(L108)-(K33))))*(MAX($D$16,(L108)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L108)-(K33))))*(MAX($D$16,(L108)-(K33))),0.000001))^2)/(2*$I$5)))))+($D$10*(ABS((X33)-(W33))/90)*MAX(((ABS(H108)/MAX(((F33)+(H33)*(MAX($D$16,(AC108)-(J33))))*(MAX($D$16,(AC108)-(J33))),0.000001))^2)/(2*$I$5),((ABS(H108)/MAX(((G33)+(I33)*(MAX($D$16,(L108)-(K33))))*(MAX($D$16,(L108)-(K33))),0.000001))^2)/(2*$I$5)))+(($D$11*0.00000015*(ABS(G108)/MAX(ABS(F108),0.000001))^2*MAX(((ABS(H108)/MAX(((F33)+(H33)*(MAX($D$16,(AC108)-(J33))))*(MAX($D$16,(AC108)-(J33))),0.000001))^2)/(2*$I$5),((ABS(H108)/MAX(((G33)+(I33)*(MAX($D$16,(L108)-(K33))))*(MAX($D$16,(L108)-(K33))),0.000001))^2)/(2*$I$5))))-((ABS(H108)/MAX(((F33)+(H33)*(MAX($D$16,(AC108)-(J33))))*(MAX($D$16,(AC108)-(J33))),0.000001))^2)/(2*$I$5)</f>
        <v>634.3119999999999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-292118.81246378768</v>
      </c>
      <c r="S108">
        <f ca="1">M108+((ABS(I108)/MAX(((G34)+(I34)*(MAX($D$16,(M108)-(K34))))*(MAX($D$16,(M108)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AD108)-(J34))))*(MAX($D$16,(AD108)-(J34))),0.000001)),$D$9*((((ABS(I108)/MAX(((G34)+(I34)*(MAX($D$16,(M108)-(K34))))*(MAX($D$16,(M108)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M108)-(K34))))*(MAX($D$16,(M108)-(K34))),0.000001))^2)/(2*$I$5)))))+($D$10*(ABS((X34)-(W34))/90)*MAX(((ABS(I108)/MAX(((F34)+(H34)*(MAX($D$16,(AD108)-(J34))))*(MAX($D$16,(AD108)-(J34))),0.000001))^2)/(2*$I$5),((ABS(I108)/MAX(((G34)+(I34)*(MAX($D$16,(M108)-(K34))))*(MAX($D$16,(M108)-(K34))),0.000001))^2)/(2*$I$5)))+(0)-((ABS(I108)/MAX(((F34)+(H34)*(MAX($D$16,(AD108)-(J34))))*(MAX($D$16,(AD108)-(J34))),0.000001))^2)/(2*$I$5)</f>
        <v>635.51128720958343</v>
      </c>
      <c r="T108">
        <f ca="1">N108+((ABS(J108)/MAX(((G35)+(I35)*(MAX($D$16,(N108)-(K35))))*(MAX($D$16,(N108)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AD108)-(J35))))*(MAX($D$16,(AD108)-(J35))),0.000001)),$D$9*((((ABS(J108)/MAX(((G35)+(I35)*(MAX($D$16,(N108)-(K35))))*(MAX($D$16,(N108)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N108)-(K35))))*(MAX($D$16,(N108)-(K35))),0.000001))^2)/(2*$I$5)))))+($D$10*(ABS((X35)-(W35))/90)*MAX(((ABS(J108)/MAX(((F35)+(H35)*(MAX($D$16,(AD108)-(J35))))*(MAX($D$16,(AD108)-(J35))),0.000001))^2)/(2*$I$5),((ABS(J108)/MAX(((G35)+(I35)*(MAX($D$16,(N108)-(K35))))*(MAX($D$16,(N108)-(K35))),0.000001))^2)/(2*$I$5)))+(($D$11*0.34699541*(ABS(I108)/MAX(ABS(G108),0.000001))^2*MAX(((ABS(J108)/MAX(((F35)+(H35)*(MAX($D$16,(AD108)-(J35))))*(MAX($D$16,(AD108)-(J35))),0.000001))^2)/(2*$I$5),((ABS(J108)/MAX(((G35)+(I35)*(MAX($D$16,(N108)-(K35))))*(MAX($D$16,(N108)-(K35))),0.000001))^2)/(2*$I$5))))-((ABS(J108)/MAX(((F35)+(H35)*(MAX($D$16,(AD108)-(J35))))*(MAX($D$16,(AD108)-(J35))),0.000001))^2)/(2*$I$5)</f>
        <v>639.97429104455466</v>
      </c>
      <c r="U108">
        <f ca="1">((((G31)*(MAX($D$16,(AE108)-(K31)))^2)/2+(I31)*(MAX($D$16,(AE108)-(K31)))^3/3+(ABS(F108)^2)/($I$5*MAX(((G31)+(I31)*(MAX($D$16,(AE108)-(K31))))*(MAX($D$16,(AE108)-(K31))),0.000001)))-(IF(N6="None",((((F32)*(MAX($D$16,(AE108)-(J32)))^2)/2+(H32)*(MAX($D$16,(AE108)-(J32)))^3/3+(ABS(G108)^2)/($I$5*MAX(((F32)+(H32)*(MAX($D$16,(AE108)-(J32))))*(MAX($D$16,(AE108)-(J32))),0.000001)))*0.72785025),(((((F32)*(MAX($D$16,(AE108)-(J32)))^2)/2+(H32)*(MAX($D$16,(AE108)-(J32)))^3/3+(ABS(G108)^2)/($I$5*MAX(((F32)+(H32)*(MAX($D$16,(AE108)-(J32))))*(MAX($D$16,(AE108)-(J32))),0.000001)))*0.72785025)+((((F33)*(MAX($D$16,(AE108)-(J33)))^2)/2+(H33)*(MAX($D$16,(AE108)-(J33)))^3/3+(ABS(H108)^2)/($I$5*MAX(((F33)+(H33)*(MAX($D$16,(AE108)-(J33))))*(MAX($D$16,(AE108)-(J33))),0.000001)))*0.99999971)))))/MAX(((G31)*(MAX($D$16,(AE108)-(K31)))^2)/2+(I31)*(MAX($D$16,(AE108)-(K31)))^3/3+(ABS(F108)^2)/($I$5*MAX(((G31)+(I31)*(MAX($D$16,(AE108)-(K31))))*(MAX($D$16,(AE108)-(K31))),0.000001)),0.000001)</f>
        <v>0.27214975000000002</v>
      </c>
      <c r="V108">
        <f ca="1">((((G32)*(MAX($D$16,(AF108)-(K32)))^2)/2+(I32)*(MAX($D$16,(AF108)-(K32)))^3/3+(ABS(G108)^2)/($I$5*MAX(((G32)+(I32)*(MAX($D$16,(AF108)-(K32))))*(MAX($D$16,(AF108)-(K32))),0.000001)))-(IF(AND(N7="None",N8="None"),0,IF(N8="None",((((F34)*(MAX($D$16,(AF108)-(J34)))^2)/2+(H34)*(MAX($D$16,(AF108)-(J34)))^3/3+(ABS(I108)^2)/($I$5*MAX(((F34)+(H34)*(MAX($D$16,(AF108)-(J34))))*(MAX($D$16,(AF108)-(J34))),0.000001)))*1),IF(N7="None",((((F35)*(MAX($D$16,(AF108)-(J35)))^2)/2+(H35)*(MAX($D$16,(AF108)-(J35)))^3/3+(ABS(J108)^2)/($I$5*MAX(((F35)+(H35)*(MAX($D$16,(AF108)-(J35))))*(MAX($D$16,(AF108)-(J35))),0.000001)))*0.30600918),(((((F34)*(MAX($D$16,(AF108)-(J34)))^2)/2+(H34)*(MAX($D$16,(AF108)-(J34)))^3/3+(ABS(I108)^2)/($I$5*MAX(((F34)+(H34)*(MAX($D$16,(AF108)-(J34))))*(MAX($D$16,(AF108)-(J34))),0.000001)))*1)+((((F35)*(MAX($D$16,(AF108)-(J35)))^2)/2+(H35)*(MAX($D$16,(AF108)-(J35)))^3/3+(ABS(J108)^2)/($I$5*MAX(((F35)+(H35)*(MAX($D$16,(AF108)-(J35))))*(MAX($D$16,(AF108)-(J35))),0.000001)))*0.30600918)))))))/MAX(((G32)*(MAX($D$16,(AF108)-(K32)))^2)/2+(I32)*(MAX($D$16,(AF108)-(K32)))^3/3+(ABS(G108)^2)/($I$5*MAX(((G32)+(I32)*(MAX($D$16,(AF108)-(K32))))*(MAX($D$16,(AF108)-(K32))),0.000001)),0.000001)</f>
        <v>3.904177561081449E-2</v>
      </c>
      <c r="W108">
        <f ca="1">ABS((IF(N6="None",P108,MAX(P108,Q108)))-D108)</f>
        <v>5.7059780588155036</v>
      </c>
      <c r="X108">
        <f ca="1">ABS((IF(AND(N7="None",N8="None"),E108,IF(N8="None",S108,IF(N7="None",T108,MAX(S108,T108)))))-E108)</f>
        <v>8.049291042699906</v>
      </c>
      <c r="Y108">
        <f>IF(N6="None",1,MIN(0.98,MAX(0.02,B108+$D$14*((Q108-P108)/MAX(ABS(D108),1)))))</f>
        <v>1</v>
      </c>
      <c r="Z108">
        <f ca="1">IF(AND(N7="None",N8="None"),C108,IF(N8="None",1,IF(N7="None",0,MIN(0.98,MAX(0.02,C108+$D$14*((T108-S108)/MAX(ABS(E108),1)))))))</f>
        <v>0.98</v>
      </c>
      <c r="AA108">
        <f t="shared" ca="1" si="29"/>
        <v>636.34536430122773</v>
      </c>
      <c r="AB108">
        <f t="shared" ca="1" si="30"/>
        <v>634.74259262286375</v>
      </c>
      <c r="AC108">
        <f ca="1">IF($D$20=0,D108,IF(AC108=0,(IF(N6="None",P108,MAX(P108,Q108))),IF(ABS((IF(N6="None",P108,MAX(P108,Q108)))-AC108)&lt;$D$19,AC108,MAX((K31)+$D$16,AC108+$D$13*(((IF(N6="None",P108,MAX(P108,Q108)))-AC108))))))</f>
        <v>640.05475514453997</v>
      </c>
      <c r="AD108">
        <f ca="1">IF($D$20=0,E108,IF(AD108=0,(IF(AND(N7="None",N8="None"),E108,IF(N8="None",S108,IF(N7="None",T108,MAX(S108,T108))))),IF(ABS((IF(AND(N7="None",N8="None"),E108,IF(N8="None",S108,IF(N7="None",T108,MAX(S108,T108)))))-AD108)&lt;$D$19,AD108,MAX((K32)+$D$16,AD108+$D$13*(((IF(AND(N7="None",N8="None"),E108,IF(N8="None",S108,IF(N7="None",T108,MAX(S108,T108)))))-AD108))))))</f>
        <v>639.97526463330917</v>
      </c>
      <c r="AE108">
        <f ca="1">IF($D$20=0,D108,IF(AE108=0,O108,IF(ABS(U108)&lt;$D$19,AE108,MAX((K31)+$D$16,AE108+($D$13*(((O108)-AE108)+(U108*MAX(ABS(AE108-(K31)),1))))))))</f>
        <v>634.34799999999996</v>
      </c>
      <c r="AF108">
        <f ca="1">IF($D$20=0,E108,IF(AF108=0,R108,IF(ABS(V108)&lt;$D$19,AF108,MAX((K32)+$D$16,AF108+($D$13*(((R108)-AF108)+(V108*MAX(ABS(AF108-(K32)),1))))))))</f>
        <v>631.92499999999995</v>
      </c>
      <c r="AG108">
        <f ca="1">((G31)*(MAX($D$16,(AC108)-(K31)))^2)/2+(I31)*(MAX($D$16,(AC108)-(K31)))^3/3+(ABS(F108)^2)/($I$5*MAX(((G31)+(I31)*(MAX($D$16,(AC108)-(K31))))*(MAX($D$16,(AC108)-(K31))),0.000001))</f>
        <v>115.68980551184316</v>
      </c>
      <c r="AH108">
        <f ca="1">((G31)*(MAX($D$16,(AE108)-(K31)))^2)/2+(I31)*(MAX($D$16,(AE108)-(K31)))^3/3+(ABS(F108)^2)/($I$5*MAX(((G31)+(I31)*(MAX($D$16,(AE108)-(K31))))*(MAX($D$16,(AE108)-(K31))),0.000001))</f>
        <v>808.60110594434002</v>
      </c>
      <c r="AI108">
        <f ca="1">((G32)*(MAX($D$16,(AD108)-(K32)))^2)/2+(I32)*(MAX($D$16,(AD108)-(K32)))^3/3+(ABS(G108)^2)/($I$5*MAX(((G32)+(I32)*(MAX($D$16,(AD108)-(K32))))*(MAX($D$16,(AD108)-(K32))),0.000001))</f>
        <v>338.03683729018678</v>
      </c>
      <c r="AJ108">
        <f ca="1">((G32)*(MAX($D$16,(AF108)-(K32)))^2)/2+(I32)*(MAX($D$16,(AF108)-(K32)))^3/3+(ABS(G108)^2)/($I$5*MAX(((G32)+(I32)*(MAX($D$16,(AF108)-(K32))))*(MAX($D$16,(AF108)-(K32))),0.000001))</f>
        <v>519.58480272613974</v>
      </c>
      <c r="AK108" t="str">
        <f t="shared" ca="1" si="31"/>
        <v>Supercritical</v>
      </c>
      <c r="AL108" t="str">
        <f t="shared" ca="1" si="32"/>
        <v>Supercritical</v>
      </c>
      <c r="AM108">
        <f t="shared" ca="1" si="33"/>
        <v>634.34800000063876</v>
      </c>
      <c r="AN108">
        <f t="shared" ca="1" si="34"/>
        <v>631.9250000012056</v>
      </c>
      <c r="AO108">
        <f t="shared" ca="1" si="35"/>
        <v>9.8270902526564896E-10</v>
      </c>
      <c r="AP108">
        <f t="shared" ca="1" si="36"/>
        <v>1.8548007574281655E-9</v>
      </c>
    </row>
    <row r="109" spans="1:42" x14ac:dyDescent="0.35">
      <c r="A109">
        <v>66</v>
      </c>
      <c r="B109">
        <f t="shared" si="37"/>
        <v>1</v>
      </c>
      <c r="C109">
        <f t="shared" ca="1" si="38"/>
        <v>0.98</v>
      </c>
      <c r="D109">
        <f t="shared" ca="1" si="39"/>
        <v>634.34800000063876</v>
      </c>
      <c r="E109">
        <f t="shared" ca="1" si="40"/>
        <v>631.9250000012056</v>
      </c>
      <c r="F109">
        <f t="shared" si="28"/>
        <v>51</v>
      </c>
      <c r="G109">
        <f>IF(N6="None",F109,MAX(0,F109*B109))</f>
        <v>51</v>
      </c>
      <c r="H109">
        <f>IF(N6="None",0,MAX(0,F109-G109))</f>
        <v>0</v>
      </c>
      <c r="I109">
        <f ca="1">IF(AND(N7="None",N8="None"),0,IF(N8="None",G109,IF(N7="None",0,MAX(0,G109*C109))))</f>
        <v>49.98</v>
      </c>
      <c r="J109">
        <f ca="1">IF(AND(N7="None",N8="None"),0,IF(N8="None",0,IF(N7="None",G109,MAX(0,G109-I109))))</f>
        <v>1.0200000000000031</v>
      </c>
      <c r="K109">
        <f>P5</f>
        <v>637</v>
      </c>
      <c r="L109">
        <f>P6</f>
        <v>634.3119999999999</v>
      </c>
      <c r="M109">
        <f>P7</f>
        <v>635.5</v>
      </c>
      <c r="N109">
        <f>P8</f>
        <v>631.54999999999995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-2091.5872404992097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640.05397805979817</v>
      </c>
      <c r="Q109">
        <f ca="1">L109+((ABS(H109)/MAX(((G33)+(I33)*(MAX($D$16,(L109)-(K33))))*(MAX($D$16,(L109)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AC109)-(J33))))*(MAX($D$16,(AC109)-(J33))),0.000001)),$D$9*((((ABS(H109)/MAX(((G33)+(I33)*(MAX($D$16,(L109)-(K33))))*(MAX($D$16,(L109)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L109)-(K33))))*(MAX($D$16,(L109)-(K33))),0.000001))^2)/(2*$I$5)))))+($D$10*(ABS((X33)-(W33))/90)*MAX(((ABS(H109)/MAX(((F33)+(H33)*(MAX($D$16,(AC109)-(J33))))*(MAX($D$16,(AC109)-(J33))),0.000001))^2)/(2*$I$5),((ABS(H109)/MAX(((G33)+(I33)*(MAX($D$16,(L109)-(K33))))*(MAX($D$16,(L109)-(K33))),0.000001))^2)/(2*$I$5)))+(($D$11*0.00000015*(ABS(G109)/MAX(ABS(F109),0.000001))^2*MAX(((ABS(H109)/MAX(((F33)+(H33)*(MAX($D$16,(AC109)-(J33))))*(MAX($D$16,(AC109)-(J33))),0.000001))^2)/(2*$I$5),((ABS(H109)/MAX(((G33)+(I33)*(MAX($D$16,(L109)-(K33))))*(MAX($D$16,(L109)-(K33))),0.000001))^2)/(2*$I$5))))-((ABS(H109)/MAX(((F33)+(H33)*(MAX($D$16,(AC109)-(J33))))*(MAX($D$16,(AC109)-(J33))),0.000001))^2)/(2*$I$5)</f>
        <v>634.3119999999999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-292118.81246378768</v>
      </c>
      <c r="S109">
        <f ca="1">M109+((ABS(I109)/MAX(((G34)+(I34)*(MAX($D$16,(M109)-(K34))))*(MAX($D$16,(M109)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AD109)-(J34))))*(MAX($D$16,(AD109)-(J34))),0.000001)),$D$9*((((ABS(I109)/MAX(((G34)+(I34)*(MAX($D$16,(M109)-(K34))))*(MAX($D$16,(M109)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M109)-(K34))))*(MAX($D$16,(M109)-(K34))),0.000001))^2)/(2*$I$5)))))+($D$10*(ABS((X34)-(W34))/90)*MAX(((ABS(I109)/MAX(((F34)+(H34)*(MAX($D$16,(AD109)-(J34))))*(MAX($D$16,(AD109)-(J34))),0.000001))^2)/(2*$I$5),((ABS(I109)/MAX(((G34)+(I34)*(MAX($D$16,(M109)-(K34))))*(MAX($D$16,(M109)-(K34))),0.000001))^2)/(2*$I$5)))+(0)-((ABS(I109)/MAX(((F34)+(H34)*(MAX($D$16,(AD109)-(J34))))*(MAX($D$16,(AD109)-(J34))),0.000001))^2)/(2*$I$5)</f>
        <v>635.51128720958343</v>
      </c>
      <c r="T109">
        <f ca="1">N109+((ABS(J109)/MAX(((G35)+(I35)*(MAX($D$16,(N109)-(K35))))*(MAX($D$16,(N109)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AD109)-(J35))))*(MAX($D$16,(AD109)-(J35))),0.000001)),$D$9*((((ABS(J109)/MAX(((G35)+(I35)*(MAX($D$16,(N109)-(K35))))*(MAX($D$16,(N109)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N109)-(K35))))*(MAX($D$16,(N109)-(K35))),0.000001))^2)/(2*$I$5)))))+($D$10*(ABS((X35)-(W35))/90)*MAX(((ABS(J109)/MAX(((F35)+(H35)*(MAX($D$16,(AD109)-(J35))))*(MAX($D$16,(AD109)-(J35))),0.000001))^2)/(2*$I$5),((ABS(J109)/MAX(((G35)+(I35)*(MAX($D$16,(N109)-(K35))))*(MAX($D$16,(N109)-(K35))),0.000001))^2)/(2*$I$5)))+(($D$11*0.34699541*(ABS(I109)/MAX(ABS(G109),0.000001))^2*MAX(((ABS(J109)/MAX(((F35)+(H35)*(MAX($D$16,(AD109)-(J35))))*(MAX($D$16,(AD109)-(J35))),0.000001))^2)/(2*$I$5),((ABS(J109)/MAX(((G35)+(I35)*(MAX($D$16,(N109)-(K35))))*(MAX($D$16,(N109)-(K35))),0.000001))^2)/(2*$I$5))))-((ABS(J109)/MAX(((F35)+(H35)*(MAX($D$16,(AD109)-(J35))))*(MAX($D$16,(AD109)-(J35))),0.000001))^2)/(2*$I$5)</f>
        <v>639.97429104455466</v>
      </c>
      <c r="U109">
        <f ca="1">((((G31)*(MAX($D$16,(AE109)-(K31)))^2)/2+(I31)*(MAX($D$16,(AE109)-(K31)))^3/3+(ABS(F109)^2)/($I$5*MAX(((G31)+(I31)*(MAX($D$16,(AE109)-(K31))))*(MAX($D$16,(AE109)-(K31))),0.000001)))-(IF(N6="None",((((F32)*(MAX($D$16,(AE109)-(J32)))^2)/2+(H32)*(MAX($D$16,(AE109)-(J32)))^3/3+(ABS(G109)^2)/($I$5*MAX(((F32)+(H32)*(MAX($D$16,(AE109)-(J32))))*(MAX($D$16,(AE109)-(J32))),0.000001)))*0.72785025),(((((F32)*(MAX($D$16,(AE109)-(J32)))^2)/2+(H32)*(MAX($D$16,(AE109)-(J32)))^3/3+(ABS(G109)^2)/($I$5*MAX(((F32)+(H32)*(MAX($D$16,(AE109)-(J32))))*(MAX($D$16,(AE109)-(J32))),0.000001)))*0.72785025)+((((F33)*(MAX($D$16,(AE109)-(J33)))^2)/2+(H33)*(MAX($D$16,(AE109)-(J33)))^3/3+(ABS(H109)^2)/($I$5*MAX(((F33)+(H33)*(MAX($D$16,(AE109)-(J33))))*(MAX($D$16,(AE109)-(J33))),0.000001)))*0.99999971)))))/MAX(((G31)*(MAX($D$16,(AE109)-(K31)))^2)/2+(I31)*(MAX($D$16,(AE109)-(K31)))^3/3+(ABS(F109)^2)/($I$5*MAX(((G31)+(I31)*(MAX($D$16,(AE109)-(K31))))*(MAX($D$16,(AE109)-(K31))),0.000001)),0.000001)</f>
        <v>0.27214975000000002</v>
      </c>
      <c r="V109">
        <f ca="1">((((G32)*(MAX($D$16,(AF109)-(K32)))^2)/2+(I32)*(MAX($D$16,(AF109)-(K32)))^3/3+(ABS(G109)^2)/($I$5*MAX(((G32)+(I32)*(MAX($D$16,(AF109)-(K32))))*(MAX($D$16,(AF109)-(K32))),0.000001)))-(IF(AND(N7="None",N8="None"),0,IF(N8="None",((((F34)*(MAX($D$16,(AF109)-(J34)))^2)/2+(H34)*(MAX($D$16,(AF109)-(J34)))^3/3+(ABS(I109)^2)/($I$5*MAX(((F34)+(H34)*(MAX($D$16,(AF109)-(J34))))*(MAX($D$16,(AF109)-(J34))),0.000001)))*1),IF(N7="None",((((F35)*(MAX($D$16,(AF109)-(J35)))^2)/2+(H35)*(MAX($D$16,(AF109)-(J35)))^3/3+(ABS(J109)^2)/($I$5*MAX(((F35)+(H35)*(MAX($D$16,(AF109)-(J35))))*(MAX($D$16,(AF109)-(J35))),0.000001)))*0.30600918),(((((F34)*(MAX($D$16,(AF109)-(J34)))^2)/2+(H34)*(MAX($D$16,(AF109)-(J34)))^3/3+(ABS(I109)^2)/($I$5*MAX(((F34)+(H34)*(MAX($D$16,(AF109)-(J34))))*(MAX($D$16,(AF109)-(J34))),0.000001)))*1)+((((F35)*(MAX($D$16,(AF109)-(J35)))^2)/2+(H35)*(MAX($D$16,(AF109)-(J35)))^3/3+(ABS(J109)^2)/($I$5*MAX(((F35)+(H35)*(MAX($D$16,(AF109)-(J35))))*(MAX($D$16,(AF109)-(J35))),0.000001)))*0.30600918)))))))/MAX(((G32)*(MAX($D$16,(AF109)-(K32)))^2)/2+(I32)*(MAX($D$16,(AF109)-(K32)))^3/3+(ABS(G109)^2)/($I$5*MAX(((G32)+(I32)*(MAX($D$16,(AF109)-(K32))))*(MAX($D$16,(AF109)-(K32))),0.000001)),0.000001)</f>
        <v>3.904177561081449E-2</v>
      </c>
      <c r="W109">
        <f ca="1">ABS((IF(N6="None",P109,MAX(P109,Q109)))-D109)</f>
        <v>5.7059780591594063</v>
      </c>
      <c r="X109">
        <f ca="1">ABS((IF(AND(N7="None",N8="None"),E109,IF(N8="None",S109,IF(N7="None",T109,MAX(S109,T109)))))-E109)</f>
        <v>8.0492910433490579</v>
      </c>
      <c r="Y109">
        <f>IF(N6="None",1,MIN(0.98,MAX(0.02,B109+$D$14*((Q109-P109)/MAX(ABS(D109),1)))))</f>
        <v>1</v>
      </c>
      <c r="Z109">
        <f ca="1">IF(AND(N7="None",N8="None"),C109,IF(N8="None",1,IF(N7="None",0,MIN(0.98,MAX(0.02,C109+$D$14*((T109-S109)/MAX(ABS(E109),1)))))))</f>
        <v>0.98</v>
      </c>
      <c r="AA109">
        <f t="shared" ca="1" si="29"/>
        <v>636.34536430100422</v>
      </c>
      <c r="AB109">
        <f t="shared" ca="1" si="30"/>
        <v>634.74259262244186</v>
      </c>
      <c r="AC109">
        <f ca="1">IF($D$20=0,D109,IF(AC109=0,(IF(N6="None",P109,MAX(P109,Q109))),IF(ABS((IF(N6="None",P109,MAX(P109,Q109)))-AC109)&lt;$D$19,AC109,MAX((K31)+$D$16,AC109+$D$13*(((IF(N6="None",P109,MAX(P109,Q109)))-AC109))))))</f>
        <v>640.05475514453997</v>
      </c>
      <c r="AD109">
        <f ca="1">IF($D$20=0,E109,IF(AD109=0,(IF(AND(N7="None",N8="None"),E109,IF(N8="None",S109,IF(N7="None",T109,MAX(S109,T109))))),IF(ABS((IF(AND(N7="None",N8="None"),E109,IF(N8="None",S109,IF(N7="None",T109,MAX(S109,T109)))))-AD109)&lt;$D$19,AD109,MAX((K32)+$D$16,AD109+$D$13*(((IF(AND(N7="None",N8="None"),E109,IF(N8="None",S109,IF(N7="None",T109,MAX(S109,T109)))))-AD109))))))</f>
        <v>639.97526463330917</v>
      </c>
      <c r="AE109">
        <f ca="1">IF($D$20=0,D109,IF(AE109=0,O109,IF(ABS(U109)&lt;$D$19,AE109,MAX((K31)+$D$16,AE109+($D$13*(((O109)-AE109)+(U109*MAX(ABS(AE109-(K31)),1))))))))</f>
        <v>634.34799999999996</v>
      </c>
      <c r="AF109">
        <f ca="1">IF($D$20=0,E109,IF(AF109=0,R109,IF(ABS(V109)&lt;$D$19,AF109,MAX((K32)+$D$16,AF109+($D$13*(((R109)-AF109)+(V109*MAX(ABS(AF109-(K32)),1))))))))</f>
        <v>631.92499999999995</v>
      </c>
      <c r="AG109">
        <f ca="1">((G31)*(MAX($D$16,(AC109)-(K31)))^2)/2+(I31)*(MAX($D$16,(AC109)-(K31)))^3/3+(ABS(F109)^2)/($I$5*MAX(((G31)+(I31)*(MAX($D$16,(AC109)-(K31))))*(MAX($D$16,(AC109)-(K31))),0.000001))</f>
        <v>115.68980551184316</v>
      </c>
      <c r="AH109">
        <f ca="1">((G31)*(MAX($D$16,(AE109)-(K31)))^2)/2+(I31)*(MAX($D$16,(AE109)-(K31)))^3/3+(ABS(F109)^2)/($I$5*MAX(((G31)+(I31)*(MAX($D$16,(AE109)-(K31))))*(MAX($D$16,(AE109)-(K31))),0.000001))</f>
        <v>808.60110594434002</v>
      </c>
      <c r="AI109">
        <f ca="1">((G32)*(MAX($D$16,(AD109)-(K32)))^2)/2+(I32)*(MAX($D$16,(AD109)-(K32)))^3/3+(ABS(G109)^2)/($I$5*MAX(((G32)+(I32)*(MAX($D$16,(AD109)-(K32))))*(MAX($D$16,(AD109)-(K32))),0.000001))</f>
        <v>338.03683729018678</v>
      </c>
      <c r="AJ109">
        <f ca="1">((G32)*(MAX($D$16,(AF109)-(K32)))^2)/2+(I32)*(MAX($D$16,(AF109)-(K32)))^3/3+(ABS(G109)^2)/($I$5*MAX(((G32)+(I32)*(MAX($D$16,(AF109)-(K32))))*(MAX($D$16,(AF109)-(K32))),0.000001))</f>
        <v>519.58480272613974</v>
      </c>
      <c r="AK109" t="str">
        <f t="shared" ca="1" si="31"/>
        <v>Supercritical</v>
      </c>
      <c r="AL109" t="str">
        <f t="shared" ca="1" si="32"/>
        <v>Supercritical</v>
      </c>
      <c r="AM109">
        <f t="shared" ca="1" si="33"/>
        <v>634.34800000041514</v>
      </c>
      <c r="AN109">
        <f t="shared" ca="1" si="34"/>
        <v>631.9250000007836</v>
      </c>
      <c r="AO109">
        <f t="shared" ca="1" si="35"/>
        <v>6.3880634115776047E-10</v>
      </c>
      <c r="AP109">
        <f t="shared" ca="1" si="36"/>
        <v>1.205648914037738E-9</v>
      </c>
    </row>
    <row r="110" spans="1:42" x14ac:dyDescent="0.35">
      <c r="A110">
        <v>67</v>
      </c>
      <c r="B110">
        <f t="shared" si="37"/>
        <v>1</v>
      </c>
      <c r="C110">
        <f t="shared" ca="1" si="38"/>
        <v>0.98</v>
      </c>
      <c r="D110">
        <f t="shared" ca="1" si="39"/>
        <v>634.34800000041514</v>
      </c>
      <c r="E110">
        <f t="shared" ca="1" si="40"/>
        <v>631.9250000007836</v>
      </c>
      <c r="F110">
        <f t="shared" si="28"/>
        <v>51</v>
      </c>
      <c r="G110">
        <f>IF(N6="None",F110,MAX(0,F110*B110))</f>
        <v>51</v>
      </c>
      <c r="H110">
        <f>IF(N6="None",0,MAX(0,F110-G110))</f>
        <v>0</v>
      </c>
      <c r="I110">
        <f ca="1">IF(AND(N7="None",N8="None"),0,IF(N8="None",G110,IF(N7="None",0,MAX(0,G110*C110))))</f>
        <v>49.98</v>
      </c>
      <c r="J110">
        <f ca="1">IF(AND(N7="None",N8="None"),0,IF(N8="None",0,IF(N7="None",G110,MAX(0,G110-I110))))</f>
        <v>1.0200000000000031</v>
      </c>
      <c r="K110">
        <f>P5</f>
        <v>637</v>
      </c>
      <c r="L110">
        <f>P6</f>
        <v>634.3119999999999</v>
      </c>
      <c r="M110">
        <f>P7</f>
        <v>635.5</v>
      </c>
      <c r="N110">
        <f>P8</f>
        <v>631.54999999999995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-2091.5872404992097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640.05397805979817</v>
      </c>
      <c r="Q110">
        <f ca="1">L110+((ABS(H110)/MAX(((G33)+(I33)*(MAX($D$16,(L110)-(K33))))*(MAX($D$16,(L110)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AC110)-(J33))))*(MAX($D$16,(AC110)-(J33))),0.000001)),$D$9*((((ABS(H110)/MAX(((G33)+(I33)*(MAX($D$16,(L110)-(K33))))*(MAX($D$16,(L110)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L110)-(K33))))*(MAX($D$16,(L110)-(K33))),0.000001))^2)/(2*$I$5)))))+($D$10*(ABS((X33)-(W33))/90)*MAX(((ABS(H110)/MAX(((F33)+(H33)*(MAX($D$16,(AC110)-(J33))))*(MAX($D$16,(AC110)-(J33))),0.000001))^2)/(2*$I$5),((ABS(H110)/MAX(((G33)+(I33)*(MAX($D$16,(L110)-(K33))))*(MAX($D$16,(L110)-(K33))),0.000001))^2)/(2*$I$5)))+(($D$11*0.00000015*(ABS(G110)/MAX(ABS(F110),0.000001))^2*MAX(((ABS(H110)/MAX(((F33)+(H33)*(MAX($D$16,(AC110)-(J33))))*(MAX($D$16,(AC110)-(J33))),0.000001))^2)/(2*$I$5),((ABS(H110)/MAX(((G33)+(I33)*(MAX($D$16,(L110)-(K33))))*(MAX($D$16,(L110)-(K33))),0.000001))^2)/(2*$I$5))))-((ABS(H110)/MAX(((F33)+(H33)*(MAX($D$16,(AC110)-(J33))))*(MAX($D$16,(AC110)-(J33))),0.000001))^2)/(2*$I$5)</f>
        <v>634.3119999999999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-292118.81246378768</v>
      </c>
      <c r="S110">
        <f ca="1">M110+((ABS(I110)/MAX(((G34)+(I34)*(MAX($D$16,(M110)-(K34))))*(MAX($D$16,(M110)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AD110)-(J34))))*(MAX($D$16,(AD110)-(J34))),0.000001)),$D$9*((((ABS(I110)/MAX(((G34)+(I34)*(MAX($D$16,(M110)-(K34))))*(MAX($D$16,(M110)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M110)-(K34))))*(MAX($D$16,(M110)-(K34))),0.000001))^2)/(2*$I$5)))))+($D$10*(ABS((X34)-(W34))/90)*MAX(((ABS(I110)/MAX(((F34)+(H34)*(MAX($D$16,(AD110)-(J34))))*(MAX($D$16,(AD110)-(J34))),0.000001))^2)/(2*$I$5),((ABS(I110)/MAX(((G34)+(I34)*(MAX($D$16,(M110)-(K34))))*(MAX($D$16,(M110)-(K34))),0.000001))^2)/(2*$I$5)))+(0)-((ABS(I110)/MAX(((F34)+(H34)*(MAX($D$16,(AD110)-(J34))))*(MAX($D$16,(AD110)-(J34))),0.000001))^2)/(2*$I$5)</f>
        <v>635.51128720958343</v>
      </c>
      <c r="T110">
        <f ca="1">N110+((ABS(J110)/MAX(((G35)+(I35)*(MAX($D$16,(N110)-(K35))))*(MAX($D$16,(N110)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AD110)-(J35))))*(MAX($D$16,(AD110)-(J35))),0.000001)),$D$9*((((ABS(J110)/MAX(((G35)+(I35)*(MAX($D$16,(N110)-(K35))))*(MAX($D$16,(N110)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N110)-(K35))))*(MAX($D$16,(N110)-(K35))),0.000001))^2)/(2*$I$5)))))+($D$10*(ABS((X35)-(W35))/90)*MAX(((ABS(J110)/MAX(((F35)+(H35)*(MAX($D$16,(AD110)-(J35))))*(MAX($D$16,(AD110)-(J35))),0.000001))^2)/(2*$I$5),((ABS(J110)/MAX(((G35)+(I35)*(MAX($D$16,(N110)-(K35))))*(MAX($D$16,(N110)-(K35))),0.000001))^2)/(2*$I$5)))+(($D$11*0.34699541*(ABS(I110)/MAX(ABS(G110),0.000001))^2*MAX(((ABS(J110)/MAX(((F35)+(H35)*(MAX($D$16,(AD110)-(J35))))*(MAX($D$16,(AD110)-(J35))),0.000001))^2)/(2*$I$5),((ABS(J110)/MAX(((G35)+(I35)*(MAX($D$16,(N110)-(K35))))*(MAX($D$16,(N110)-(K35))),0.000001))^2)/(2*$I$5))))-((ABS(J110)/MAX(((F35)+(H35)*(MAX($D$16,(AD110)-(J35))))*(MAX($D$16,(AD110)-(J35))),0.000001))^2)/(2*$I$5)</f>
        <v>639.97429104455466</v>
      </c>
      <c r="U110">
        <f ca="1">((((G31)*(MAX($D$16,(AE110)-(K31)))^2)/2+(I31)*(MAX($D$16,(AE110)-(K31)))^3/3+(ABS(F110)^2)/($I$5*MAX(((G31)+(I31)*(MAX($D$16,(AE110)-(K31))))*(MAX($D$16,(AE110)-(K31))),0.000001)))-(IF(N6="None",((((F32)*(MAX($D$16,(AE110)-(J32)))^2)/2+(H32)*(MAX($D$16,(AE110)-(J32)))^3/3+(ABS(G110)^2)/($I$5*MAX(((F32)+(H32)*(MAX($D$16,(AE110)-(J32))))*(MAX($D$16,(AE110)-(J32))),0.000001)))*0.72785025),(((((F32)*(MAX($D$16,(AE110)-(J32)))^2)/2+(H32)*(MAX($D$16,(AE110)-(J32)))^3/3+(ABS(G110)^2)/($I$5*MAX(((F32)+(H32)*(MAX($D$16,(AE110)-(J32))))*(MAX($D$16,(AE110)-(J32))),0.000001)))*0.72785025)+((((F33)*(MAX($D$16,(AE110)-(J33)))^2)/2+(H33)*(MAX($D$16,(AE110)-(J33)))^3/3+(ABS(H110)^2)/($I$5*MAX(((F33)+(H33)*(MAX($D$16,(AE110)-(J33))))*(MAX($D$16,(AE110)-(J33))),0.000001)))*0.99999971)))))/MAX(((G31)*(MAX($D$16,(AE110)-(K31)))^2)/2+(I31)*(MAX($D$16,(AE110)-(K31)))^3/3+(ABS(F110)^2)/($I$5*MAX(((G31)+(I31)*(MAX($D$16,(AE110)-(K31))))*(MAX($D$16,(AE110)-(K31))),0.000001)),0.000001)</f>
        <v>0.27214975000000002</v>
      </c>
      <c r="V110">
        <f ca="1">((((G32)*(MAX($D$16,(AF110)-(K32)))^2)/2+(I32)*(MAX($D$16,(AF110)-(K32)))^3/3+(ABS(G110)^2)/($I$5*MAX(((G32)+(I32)*(MAX($D$16,(AF110)-(K32))))*(MAX($D$16,(AF110)-(K32))),0.000001)))-(IF(AND(N7="None",N8="None"),0,IF(N8="None",((((F34)*(MAX($D$16,(AF110)-(J34)))^2)/2+(H34)*(MAX($D$16,(AF110)-(J34)))^3/3+(ABS(I110)^2)/($I$5*MAX(((F34)+(H34)*(MAX($D$16,(AF110)-(J34))))*(MAX($D$16,(AF110)-(J34))),0.000001)))*1),IF(N7="None",((((F35)*(MAX($D$16,(AF110)-(J35)))^2)/2+(H35)*(MAX($D$16,(AF110)-(J35)))^3/3+(ABS(J110)^2)/($I$5*MAX(((F35)+(H35)*(MAX($D$16,(AF110)-(J35))))*(MAX($D$16,(AF110)-(J35))),0.000001)))*0.30600918),(((((F34)*(MAX($D$16,(AF110)-(J34)))^2)/2+(H34)*(MAX($D$16,(AF110)-(J34)))^3/3+(ABS(I110)^2)/($I$5*MAX(((F34)+(H34)*(MAX($D$16,(AF110)-(J34))))*(MAX($D$16,(AF110)-(J34))),0.000001)))*1)+((((F35)*(MAX($D$16,(AF110)-(J35)))^2)/2+(H35)*(MAX($D$16,(AF110)-(J35)))^3/3+(ABS(J110)^2)/($I$5*MAX(((F35)+(H35)*(MAX($D$16,(AF110)-(J35))))*(MAX($D$16,(AF110)-(J35))),0.000001)))*0.30600918)))))))/MAX(((G32)*(MAX($D$16,(AF110)-(K32)))^2)/2+(I32)*(MAX($D$16,(AF110)-(K32)))^3/3+(ABS(G110)^2)/($I$5*MAX(((G32)+(I32)*(MAX($D$16,(AF110)-(K32))))*(MAX($D$16,(AF110)-(K32))),0.000001)),0.000001)</f>
        <v>3.904177561081449E-2</v>
      </c>
      <c r="W110">
        <f ca="1">ABS((IF(N6="None",P110,MAX(P110,Q110)))-D110)</f>
        <v>5.7059780593830283</v>
      </c>
      <c r="X110">
        <f ca="1">ABS((IF(AND(N7="None",N8="None"),E110,IF(N8="None",S110,IF(N7="None",T110,MAX(S110,T110)))))-E110)</f>
        <v>8.0492910437710634</v>
      </c>
      <c r="Y110">
        <f>IF(N6="None",1,MIN(0.98,MAX(0.02,B110+$D$14*((Q110-P110)/MAX(ABS(D110),1)))))</f>
        <v>1</v>
      </c>
      <c r="Z110">
        <f ca="1">IF(AND(N7="None",N8="None"),C110,IF(N8="None",1,IF(N7="None",0,MIN(0.98,MAX(0.02,C110+$D$14*((T110-S110)/MAX(ABS(E110),1)))))))</f>
        <v>0.98</v>
      </c>
      <c r="AA110">
        <f t="shared" ca="1" si="29"/>
        <v>636.34536430085882</v>
      </c>
      <c r="AB110">
        <f t="shared" ca="1" si="30"/>
        <v>634.74259262216754</v>
      </c>
      <c r="AC110">
        <f ca="1">IF($D$20=0,D110,IF(AC110=0,(IF(N6="None",P110,MAX(P110,Q110))),IF(ABS((IF(N6="None",P110,MAX(P110,Q110)))-AC110)&lt;$D$19,AC110,MAX((K31)+$D$16,AC110+$D$13*(((IF(N6="None",P110,MAX(P110,Q110)))-AC110))))))</f>
        <v>640.05475514453997</v>
      </c>
      <c r="AD110">
        <f ca="1">IF($D$20=0,E110,IF(AD110=0,(IF(AND(N7="None",N8="None"),E110,IF(N8="None",S110,IF(N7="None",T110,MAX(S110,T110))))),IF(ABS((IF(AND(N7="None",N8="None"),E110,IF(N8="None",S110,IF(N7="None",T110,MAX(S110,T110)))))-AD110)&lt;$D$19,AD110,MAX((K32)+$D$16,AD110+$D$13*(((IF(AND(N7="None",N8="None"),E110,IF(N8="None",S110,IF(N7="None",T110,MAX(S110,T110)))))-AD110))))))</f>
        <v>639.97526463330917</v>
      </c>
      <c r="AE110">
        <f ca="1">IF($D$20=0,D110,IF(AE110=0,O110,IF(ABS(U110)&lt;$D$19,AE110,MAX((K31)+$D$16,AE110+($D$13*(((O110)-AE110)+(U110*MAX(ABS(AE110-(K31)),1))))))))</f>
        <v>634.34799999999996</v>
      </c>
      <c r="AF110">
        <f ca="1">IF($D$20=0,E110,IF(AF110=0,R110,IF(ABS(V110)&lt;$D$19,AF110,MAX((K32)+$D$16,AF110+($D$13*(((R110)-AF110)+(V110*MAX(ABS(AF110-(K32)),1))))))))</f>
        <v>631.92499999999995</v>
      </c>
      <c r="AG110">
        <f ca="1">((G31)*(MAX($D$16,(AC110)-(K31)))^2)/2+(I31)*(MAX($D$16,(AC110)-(K31)))^3/3+(ABS(F110)^2)/($I$5*MAX(((G31)+(I31)*(MAX($D$16,(AC110)-(K31))))*(MAX($D$16,(AC110)-(K31))),0.000001))</f>
        <v>115.68980551184316</v>
      </c>
      <c r="AH110">
        <f ca="1">((G31)*(MAX($D$16,(AE110)-(K31)))^2)/2+(I31)*(MAX($D$16,(AE110)-(K31)))^3/3+(ABS(F110)^2)/($I$5*MAX(((G31)+(I31)*(MAX($D$16,(AE110)-(K31))))*(MAX($D$16,(AE110)-(K31))),0.000001))</f>
        <v>808.60110594434002</v>
      </c>
      <c r="AI110">
        <f ca="1">((G32)*(MAX($D$16,(AD110)-(K32)))^2)/2+(I32)*(MAX($D$16,(AD110)-(K32)))^3/3+(ABS(G110)^2)/($I$5*MAX(((G32)+(I32)*(MAX($D$16,(AD110)-(K32))))*(MAX($D$16,(AD110)-(K32))),0.000001))</f>
        <v>338.03683729018678</v>
      </c>
      <c r="AJ110">
        <f ca="1">((G32)*(MAX($D$16,(AF110)-(K32)))^2)/2+(I32)*(MAX($D$16,(AF110)-(K32)))^3/3+(ABS(G110)^2)/($I$5*MAX(((G32)+(I32)*(MAX($D$16,(AF110)-(K32))))*(MAX($D$16,(AF110)-(K32))),0.000001))</f>
        <v>519.58480272613974</v>
      </c>
      <c r="AK110" t="str">
        <f t="shared" ca="1" si="31"/>
        <v>Supercritical</v>
      </c>
      <c r="AL110" t="str">
        <f t="shared" ca="1" si="32"/>
        <v>Supercritical</v>
      </c>
      <c r="AM110">
        <f t="shared" ca="1" si="33"/>
        <v>634.34800000026985</v>
      </c>
      <c r="AN110">
        <f t="shared" ca="1" si="34"/>
        <v>631.92500000050927</v>
      </c>
      <c r="AO110">
        <f t="shared" ca="1" si="35"/>
        <v>4.1518433135934174E-10</v>
      </c>
      <c r="AP110">
        <f t="shared" ca="1" si="36"/>
        <v>7.8364337241509929E-10</v>
      </c>
    </row>
    <row r="111" spans="1:42" x14ac:dyDescent="0.35">
      <c r="A111">
        <v>68</v>
      </c>
      <c r="B111">
        <f t="shared" si="37"/>
        <v>1</v>
      </c>
      <c r="C111">
        <f t="shared" ca="1" si="38"/>
        <v>0.98</v>
      </c>
      <c r="D111">
        <f t="shared" ca="1" si="39"/>
        <v>634.34800000026985</v>
      </c>
      <c r="E111">
        <f t="shared" ca="1" si="40"/>
        <v>631.92500000050927</v>
      </c>
      <c r="F111">
        <f t="shared" si="28"/>
        <v>51</v>
      </c>
      <c r="G111">
        <f>IF(N6="None",F111,MAX(0,F111*B111))</f>
        <v>51</v>
      </c>
      <c r="H111">
        <f>IF(N6="None",0,MAX(0,F111-G111))</f>
        <v>0</v>
      </c>
      <c r="I111">
        <f ca="1">IF(AND(N7="None",N8="None"),0,IF(N8="None",G111,IF(N7="None",0,MAX(0,G111*C111))))</f>
        <v>49.98</v>
      </c>
      <c r="J111">
        <f ca="1">IF(AND(N7="None",N8="None"),0,IF(N8="None",0,IF(N7="None",G111,MAX(0,G111-I111))))</f>
        <v>1.0200000000000031</v>
      </c>
      <c r="K111">
        <f>P5</f>
        <v>637</v>
      </c>
      <c r="L111">
        <f>P6</f>
        <v>634.3119999999999</v>
      </c>
      <c r="M111">
        <f>P7</f>
        <v>635.5</v>
      </c>
      <c r="N111">
        <f>P8</f>
        <v>631.54999999999995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-2091.5872404992097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640.05397805979817</v>
      </c>
      <c r="Q111">
        <f ca="1">L111+((ABS(H111)/MAX(((G33)+(I33)*(MAX($D$16,(L111)-(K33))))*(MAX($D$16,(L111)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AC111)-(J33))))*(MAX($D$16,(AC111)-(J33))),0.000001)),$D$9*((((ABS(H111)/MAX(((G33)+(I33)*(MAX($D$16,(L111)-(K33))))*(MAX($D$16,(L111)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L111)-(K33))))*(MAX($D$16,(L111)-(K33))),0.000001))^2)/(2*$I$5)))))+($D$10*(ABS((X33)-(W33))/90)*MAX(((ABS(H111)/MAX(((F33)+(H33)*(MAX($D$16,(AC111)-(J33))))*(MAX($D$16,(AC111)-(J33))),0.000001))^2)/(2*$I$5),((ABS(H111)/MAX(((G33)+(I33)*(MAX($D$16,(L111)-(K33))))*(MAX($D$16,(L111)-(K33))),0.000001))^2)/(2*$I$5)))+(($D$11*0.00000015*(ABS(G111)/MAX(ABS(F111),0.000001))^2*MAX(((ABS(H111)/MAX(((F33)+(H33)*(MAX($D$16,(AC111)-(J33))))*(MAX($D$16,(AC111)-(J33))),0.000001))^2)/(2*$I$5),((ABS(H111)/MAX(((G33)+(I33)*(MAX($D$16,(L111)-(K33))))*(MAX($D$16,(L111)-(K33))),0.000001))^2)/(2*$I$5))))-((ABS(H111)/MAX(((F33)+(H33)*(MAX($D$16,(AC111)-(J33))))*(MAX($D$16,(AC111)-(J33))),0.000001))^2)/(2*$I$5)</f>
        <v>634.3119999999999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-292118.81246378768</v>
      </c>
      <c r="S111">
        <f ca="1">M111+((ABS(I111)/MAX(((G34)+(I34)*(MAX($D$16,(M111)-(K34))))*(MAX($D$16,(M111)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AD111)-(J34))))*(MAX($D$16,(AD111)-(J34))),0.000001)),$D$9*((((ABS(I111)/MAX(((G34)+(I34)*(MAX($D$16,(M111)-(K34))))*(MAX($D$16,(M111)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M111)-(K34))))*(MAX($D$16,(M111)-(K34))),0.000001))^2)/(2*$I$5)))))+($D$10*(ABS((X34)-(W34))/90)*MAX(((ABS(I111)/MAX(((F34)+(H34)*(MAX($D$16,(AD111)-(J34))))*(MAX($D$16,(AD111)-(J34))),0.000001))^2)/(2*$I$5),((ABS(I111)/MAX(((G34)+(I34)*(MAX($D$16,(M111)-(K34))))*(MAX($D$16,(M111)-(K34))),0.000001))^2)/(2*$I$5)))+(0)-((ABS(I111)/MAX(((F34)+(H34)*(MAX($D$16,(AD111)-(J34))))*(MAX($D$16,(AD111)-(J34))),0.000001))^2)/(2*$I$5)</f>
        <v>635.51128720958343</v>
      </c>
      <c r="T111">
        <f ca="1">N111+((ABS(J111)/MAX(((G35)+(I35)*(MAX($D$16,(N111)-(K35))))*(MAX($D$16,(N111)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AD111)-(J35))))*(MAX($D$16,(AD111)-(J35))),0.000001)),$D$9*((((ABS(J111)/MAX(((G35)+(I35)*(MAX($D$16,(N111)-(K35))))*(MAX($D$16,(N111)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N111)-(K35))))*(MAX($D$16,(N111)-(K35))),0.000001))^2)/(2*$I$5)))))+($D$10*(ABS((X35)-(W35))/90)*MAX(((ABS(J111)/MAX(((F35)+(H35)*(MAX($D$16,(AD111)-(J35))))*(MAX($D$16,(AD111)-(J35))),0.000001))^2)/(2*$I$5),((ABS(J111)/MAX(((G35)+(I35)*(MAX($D$16,(N111)-(K35))))*(MAX($D$16,(N111)-(K35))),0.000001))^2)/(2*$I$5)))+(($D$11*0.34699541*(ABS(I111)/MAX(ABS(G111),0.000001))^2*MAX(((ABS(J111)/MAX(((F35)+(H35)*(MAX($D$16,(AD111)-(J35))))*(MAX($D$16,(AD111)-(J35))),0.000001))^2)/(2*$I$5),((ABS(J111)/MAX(((G35)+(I35)*(MAX($D$16,(N111)-(K35))))*(MAX($D$16,(N111)-(K35))),0.000001))^2)/(2*$I$5))))-((ABS(J111)/MAX(((F35)+(H35)*(MAX($D$16,(AD111)-(J35))))*(MAX($D$16,(AD111)-(J35))),0.000001))^2)/(2*$I$5)</f>
        <v>639.97429104455466</v>
      </c>
      <c r="U111">
        <f ca="1">((((G31)*(MAX($D$16,(AE111)-(K31)))^2)/2+(I31)*(MAX($D$16,(AE111)-(K31)))^3/3+(ABS(F111)^2)/($I$5*MAX(((G31)+(I31)*(MAX($D$16,(AE111)-(K31))))*(MAX($D$16,(AE111)-(K31))),0.000001)))-(IF(N6="None",((((F32)*(MAX($D$16,(AE111)-(J32)))^2)/2+(H32)*(MAX($D$16,(AE111)-(J32)))^3/3+(ABS(G111)^2)/($I$5*MAX(((F32)+(H32)*(MAX($D$16,(AE111)-(J32))))*(MAX($D$16,(AE111)-(J32))),0.000001)))*0.72785025),(((((F32)*(MAX($D$16,(AE111)-(J32)))^2)/2+(H32)*(MAX($D$16,(AE111)-(J32)))^3/3+(ABS(G111)^2)/($I$5*MAX(((F32)+(H32)*(MAX($D$16,(AE111)-(J32))))*(MAX($D$16,(AE111)-(J32))),0.000001)))*0.72785025)+((((F33)*(MAX($D$16,(AE111)-(J33)))^2)/2+(H33)*(MAX($D$16,(AE111)-(J33)))^3/3+(ABS(H111)^2)/($I$5*MAX(((F33)+(H33)*(MAX($D$16,(AE111)-(J33))))*(MAX($D$16,(AE111)-(J33))),0.000001)))*0.99999971)))))/MAX(((G31)*(MAX($D$16,(AE111)-(K31)))^2)/2+(I31)*(MAX($D$16,(AE111)-(K31)))^3/3+(ABS(F111)^2)/($I$5*MAX(((G31)+(I31)*(MAX($D$16,(AE111)-(K31))))*(MAX($D$16,(AE111)-(K31))),0.000001)),0.000001)</f>
        <v>0.27214975000000002</v>
      </c>
      <c r="V111">
        <f ca="1">((((G32)*(MAX($D$16,(AF111)-(K32)))^2)/2+(I32)*(MAX($D$16,(AF111)-(K32)))^3/3+(ABS(G111)^2)/($I$5*MAX(((G32)+(I32)*(MAX($D$16,(AF111)-(K32))))*(MAX($D$16,(AF111)-(K32))),0.000001)))-(IF(AND(N7="None",N8="None"),0,IF(N8="None",((((F34)*(MAX($D$16,(AF111)-(J34)))^2)/2+(H34)*(MAX($D$16,(AF111)-(J34)))^3/3+(ABS(I111)^2)/($I$5*MAX(((F34)+(H34)*(MAX($D$16,(AF111)-(J34))))*(MAX($D$16,(AF111)-(J34))),0.000001)))*1),IF(N7="None",((((F35)*(MAX($D$16,(AF111)-(J35)))^2)/2+(H35)*(MAX($D$16,(AF111)-(J35)))^3/3+(ABS(J111)^2)/($I$5*MAX(((F35)+(H35)*(MAX($D$16,(AF111)-(J35))))*(MAX($D$16,(AF111)-(J35))),0.000001)))*0.30600918),(((((F34)*(MAX($D$16,(AF111)-(J34)))^2)/2+(H34)*(MAX($D$16,(AF111)-(J34)))^3/3+(ABS(I111)^2)/($I$5*MAX(((F34)+(H34)*(MAX($D$16,(AF111)-(J34))))*(MAX($D$16,(AF111)-(J34))),0.000001)))*1)+((((F35)*(MAX($D$16,(AF111)-(J35)))^2)/2+(H35)*(MAX($D$16,(AF111)-(J35)))^3/3+(ABS(J111)^2)/($I$5*MAX(((F35)+(H35)*(MAX($D$16,(AF111)-(J35))))*(MAX($D$16,(AF111)-(J35))),0.000001)))*0.30600918)))))))/MAX(((G32)*(MAX($D$16,(AF111)-(K32)))^2)/2+(I32)*(MAX($D$16,(AF111)-(K32)))^3/3+(ABS(G111)^2)/($I$5*MAX(((G32)+(I32)*(MAX($D$16,(AF111)-(K32))))*(MAX($D$16,(AF111)-(K32))),0.000001)),0.000001)</f>
        <v>3.904177561081449E-2</v>
      </c>
      <c r="W111">
        <f ca="1">ABS((IF(N6="None",P111,MAX(P111,Q111)))-D111)</f>
        <v>5.70597805952832</v>
      </c>
      <c r="X111">
        <f ca="1">ABS((IF(AND(N7="None",N8="None"),E111,IF(N8="None",S111,IF(N7="None",T111,MAX(S111,T111)))))-E111)</f>
        <v>8.0492910440453898</v>
      </c>
      <c r="Y111">
        <f>IF(N6="None",1,MIN(0.98,MAX(0.02,B111+$D$14*((Q111-P111)/MAX(ABS(D111),1)))))</f>
        <v>1</v>
      </c>
      <c r="Z111">
        <f ca="1">IF(AND(N7="None",N8="None"),C111,IF(N8="None",1,IF(N7="None",0,MIN(0.98,MAX(0.02,C111+$D$14*((T111-S111)/MAX(ABS(E111),1)))))))</f>
        <v>0.98</v>
      </c>
      <c r="AA111">
        <f t="shared" ca="1" si="29"/>
        <v>636.34536430076434</v>
      </c>
      <c r="AB111">
        <f t="shared" ca="1" si="30"/>
        <v>634.74259262198927</v>
      </c>
      <c r="AC111">
        <f ca="1">IF($D$20=0,D111,IF(AC111=0,(IF(N6="None",P111,MAX(P111,Q111))),IF(ABS((IF(N6="None",P111,MAX(P111,Q111)))-AC111)&lt;$D$19,AC111,MAX((K31)+$D$16,AC111+$D$13*(((IF(N6="None",P111,MAX(P111,Q111)))-AC111))))))</f>
        <v>640.05475514453997</v>
      </c>
      <c r="AD111">
        <f ca="1">IF($D$20=0,E111,IF(AD111=0,(IF(AND(N7="None",N8="None"),E111,IF(N8="None",S111,IF(N7="None",T111,MAX(S111,T111))))),IF(ABS((IF(AND(N7="None",N8="None"),E111,IF(N8="None",S111,IF(N7="None",T111,MAX(S111,T111)))))-AD111)&lt;$D$19,AD111,MAX((K32)+$D$16,AD111+$D$13*(((IF(AND(N7="None",N8="None"),E111,IF(N8="None",S111,IF(N7="None",T111,MAX(S111,T111)))))-AD111))))))</f>
        <v>639.97526463330917</v>
      </c>
      <c r="AE111">
        <f ca="1">IF($D$20=0,D111,IF(AE111=0,O111,IF(ABS(U111)&lt;$D$19,AE111,MAX((K31)+$D$16,AE111+($D$13*(((O111)-AE111)+(U111*MAX(ABS(AE111-(K31)),1))))))))</f>
        <v>634.34799999999996</v>
      </c>
      <c r="AF111">
        <f ca="1">IF($D$20=0,E111,IF(AF111=0,R111,IF(ABS(V111)&lt;$D$19,AF111,MAX((K32)+$D$16,AF111+($D$13*(((R111)-AF111)+(V111*MAX(ABS(AF111-(K32)),1))))))))</f>
        <v>631.92499999999995</v>
      </c>
      <c r="AG111">
        <f ca="1">((G31)*(MAX($D$16,(AC111)-(K31)))^2)/2+(I31)*(MAX($D$16,(AC111)-(K31)))^3/3+(ABS(F111)^2)/($I$5*MAX(((G31)+(I31)*(MAX($D$16,(AC111)-(K31))))*(MAX($D$16,(AC111)-(K31))),0.000001))</f>
        <v>115.68980551184316</v>
      </c>
      <c r="AH111">
        <f ca="1">((G31)*(MAX($D$16,(AE111)-(K31)))^2)/2+(I31)*(MAX($D$16,(AE111)-(K31)))^3/3+(ABS(F111)^2)/($I$5*MAX(((G31)+(I31)*(MAX($D$16,(AE111)-(K31))))*(MAX($D$16,(AE111)-(K31))),0.000001))</f>
        <v>808.60110594434002</v>
      </c>
      <c r="AI111">
        <f ca="1">((G32)*(MAX($D$16,(AD111)-(K32)))^2)/2+(I32)*(MAX($D$16,(AD111)-(K32)))^3/3+(ABS(G111)^2)/($I$5*MAX(((G32)+(I32)*(MAX($D$16,(AD111)-(K32))))*(MAX($D$16,(AD111)-(K32))),0.000001))</f>
        <v>338.03683729018678</v>
      </c>
      <c r="AJ111">
        <f ca="1">((G32)*(MAX($D$16,(AF111)-(K32)))^2)/2+(I32)*(MAX($D$16,(AF111)-(K32)))^3/3+(ABS(G111)^2)/($I$5*MAX(((G32)+(I32)*(MAX($D$16,(AF111)-(K32))))*(MAX($D$16,(AF111)-(K32))),0.000001))</f>
        <v>519.58480272613974</v>
      </c>
      <c r="AK111" t="str">
        <f t="shared" ca="1" si="31"/>
        <v>Supercritical</v>
      </c>
      <c r="AL111" t="str">
        <f t="shared" ca="1" si="32"/>
        <v>Supercritical</v>
      </c>
      <c r="AM111">
        <f t="shared" ca="1" si="33"/>
        <v>634.34800000017538</v>
      </c>
      <c r="AN111">
        <f t="shared" ca="1" si="34"/>
        <v>631.92500000033101</v>
      </c>
      <c r="AO111">
        <f t="shared" ca="1" si="35"/>
        <v>2.6989255275111645E-10</v>
      </c>
      <c r="AP111">
        <f t="shared" ca="1" si="36"/>
        <v>5.0931703299283981E-10</v>
      </c>
    </row>
    <row r="112" spans="1:42" x14ac:dyDescent="0.35">
      <c r="A112">
        <v>69</v>
      </c>
      <c r="B112">
        <f t="shared" si="37"/>
        <v>1</v>
      </c>
      <c r="C112">
        <f t="shared" ca="1" si="38"/>
        <v>0.98</v>
      </c>
      <c r="D112">
        <f t="shared" ca="1" si="39"/>
        <v>634.34800000017538</v>
      </c>
      <c r="E112">
        <f t="shared" ca="1" si="40"/>
        <v>631.92500000033101</v>
      </c>
      <c r="F112">
        <f t="shared" si="28"/>
        <v>51</v>
      </c>
      <c r="G112">
        <f>IF(N6="None",F112,MAX(0,F112*B112))</f>
        <v>51</v>
      </c>
      <c r="H112">
        <f>IF(N6="None",0,MAX(0,F112-G112))</f>
        <v>0</v>
      </c>
      <c r="I112">
        <f ca="1">IF(AND(N7="None",N8="None"),0,IF(N8="None",G112,IF(N7="None",0,MAX(0,G112*C112))))</f>
        <v>49.98</v>
      </c>
      <c r="J112">
        <f ca="1">IF(AND(N7="None",N8="None"),0,IF(N8="None",0,IF(N7="None",G112,MAX(0,G112-I112))))</f>
        <v>1.0200000000000031</v>
      </c>
      <c r="K112">
        <f>P5</f>
        <v>637</v>
      </c>
      <c r="L112">
        <f>P6</f>
        <v>634.3119999999999</v>
      </c>
      <c r="M112">
        <f>P7</f>
        <v>635.5</v>
      </c>
      <c r="N112">
        <f>P8</f>
        <v>631.54999999999995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-2091.5872404992097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640.05397805979817</v>
      </c>
      <c r="Q112">
        <f ca="1">L112+((ABS(H112)/MAX(((G33)+(I33)*(MAX($D$16,(L112)-(K33))))*(MAX($D$16,(L112)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AC112)-(J33))))*(MAX($D$16,(AC112)-(J33))),0.000001)),$D$9*((((ABS(H112)/MAX(((G33)+(I33)*(MAX($D$16,(L112)-(K33))))*(MAX($D$16,(L112)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L112)-(K33))))*(MAX($D$16,(L112)-(K33))),0.000001))^2)/(2*$I$5)))))+($D$10*(ABS((X33)-(W33))/90)*MAX(((ABS(H112)/MAX(((F33)+(H33)*(MAX($D$16,(AC112)-(J33))))*(MAX($D$16,(AC112)-(J33))),0.000001))^2)/(2*$I$5),((ABS(H112)/MAX(((G33)+(I33)*(MAX($D$16,(L112)-(K33))))*(MAX($D$16,(L112)-(K33))),0.000001))^2)/(2*$I$5)))+(($D$11*0.00000015*(ABS(G112)/MAX(ABS(F112),0.000001))^2*MAX(((ABS(H112)/MAX(((F33)+(H33)*(MAX($D$16,(AC112)-(J33))))*(MAX($D$16,(AC112)-(J33))),0.000001))^2)/(2*$I$5),((ABS(H112)/MAX(((G33)+(I33)*(MAX($D$16,(L112)-(K33))))*(MAX($D$16,(L112)-(K33))),0.000001))^2)/(2*$I$5))))-((ABS(H112)/MAX(((F33)+(H33)*(MAX($D$16,(AC112)-(J33))))*(MAX($D$16,(AC112)-(J33))),0.000001))^2)/(2*$I$5)</f>
        <v>634.3119999999999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-292118.81246378768</v>
      </c>
      <c r="S112">
        <f ca="1">M112+((ABS(I112)/MAX(((G34)+(I34)*(MAX($D$16,(M112)-(K34))))*(MAX($D$16,(M112)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AD112)-(J34))))*(MAX($D$16,(AD112)-(J34))),0.000001)),$D$9*((((ABS(I112)/MAX(((G34)+(I34)*(MAX($D$16,(M112)-(K34))))*(MAX($D$16,(M112)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M112)-(K34))))*(MAX($D$16,(M112)-(K34))),0.000001))^2)/(2*$I$5)))))+($D$10*(ABS((X34)-(W34))/90)*MAX(((ABS(I112)/MAX(((F34)+(H34)*(MAX($D$16,(AD112)-(J34))))*(MAX($D$16,(AD112)-(J34))),0.000001))^2)/(2*$I$5),((ABS(I112)/MAX(((G34)+(I34)*(MAX($D$16,(M112)-(K34))))*(MAX($D$16,(M112)-(K34))),0.000001))^2)/(2*$I$5)))+(0)-((ABS(I112)/MAX(((F34)+(H34)*(MAX($D$16,(AD112)-(J34))))*(MAX($D$16,(AD112)-(J34))),0.000001))^2)/(2*$I$5)</f>
        <v>635.51128720958343</v>
      </c>
      <c r="T112">
        <f ca="1">N112+((ABS(J112)/MAX(((G35)+(I35)*(MAX($D$16,(N112)-(K35))))*(MAX($D$16,(N112)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AD112)-(J35))))*(MAX($D$16,(AD112)-(J35))),0.000001)),$D$9*((((ABS(J112)/MAX(((G35)+(I35)*(MAX($D$16,(N112)-(K35))))*(MAX($D$16,(N112)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N112)-(K35))))*(MAX($D$16,(N112)-(K35))),0.000001))^2)/(2*$I$5)))))+($D$10*(ABS((X35)-(W35))/90)*MAX(((ABS(J112)/MAX(((F35)+(H35)*(MAX($D$16,(AD112)-(J35))))*(MAX($D$16,(AD112)-(J35))),0.000001))^2)/(2*$I$5),((ABS(J112)/MAX(((G35)+(I35)*(MAX($D$16,(N112)-(K35))))*(MAX($D$16,(N112)-(K35))),0.000001))^2)/(2*$I$5)))+(($D$11*0.34699541*(ABS(I112)/MAX(ABS(G112),0.000001))^2*MAX(((ABS(J112)/MAX(((F35)+(H35)*(MAX($D$16,(AD112)-(J35))))*(MAX($D$16,(AD112)-(J35))),0.000001))^2)/(2*$I$5),((ABS(J112)/MAX(((G35)+(I35)*(MAX($D$16,(N112)-(K35))))*(MAX($D$16,(N112)-(K35))),0.000001))^2)/(2*$I$5))))-((ABS(J112)/MAX(((F35)+(H35)*(MAX($D$16,(AD112)-(J35))))*(MAX($D$16,(AD112)-(J35))),0.000001))^2)/(2*$I$5)</f>
        <v>639.97429104455466</v>
      </c>
      <c r="U112">
        <f ca="1">((((G31)*(MAX($D$16,(AE112)-(K31)))^2)/2+(I31)*(MAX($D$16,(AE112)-(K31)))^3/3+(ABS(F112)^2)/($I$5*MAX(((G31)+(I31)*(MAX($D$16,(AE112)-(K31))))*(MAX($D$16,(AE112)-(K31))),0.000001)))-(IF(N6="None",((((F32)*(MAX($D$16,(AE112)-(J32)))^2)/2+(H32)*(MAX($D$16,(AE112)-(J32)))^3/3+(ABS(G112)^2)/($I$5*MAX(((F32)+(H32)*(MAX($D$16,(AE112)-(J32))))*(MAX($D$16,(AE112)-(J32))),0.000001)))*0.72785025),(((((F32)*(MAX($D$16,(AE112)-(J32)))^2)/2+(H32)*(MAX($D$16,(AE112)-(J32)))^3/3+(ABS(G112)^2)/($I$5*MAX(((F32)+(H32)*(MAX($D$16,(AE112)-(J32))))*(MAX($D$16,(AE112)-(J32))),0.000001)))*0.72785025)+((((F33)*(MAX($D$16,(AE112)-(J33)))^2)/2+(H33)*(MAX($D$16,(AE112)-(J33)))^3/3+(ABS(H112)^2)/($I$5*MAX(((F33)+(H33)*(MAX($D$16,(AE112)-(J33))))*(MAX($D$16,(AE112)-(J33))),0.000001)))*0.99999971)))))/MAX(((G31)*(MAX($D$16,(AE112)-(K31)))^2)/2+(I31)*(MAX($D$16,(AE112)-(K31)))^3/3+(ABS(F112)^2)/($I$5*MAX(((G31)+(I31)*(MAX($D$16,(AE112)-(K31))))*(MAX($D$16,(AE112)-(K31))),0.000001)),0.000001)</f>
        <v>0.27214975000000002</v>
      </c>
      <c r="V112">
        <f ca="1">((((G32)*(MAX($D$16,(AF112)-(K32)))^2)/2+(I32)*(MAX($D$16,(AF112)-(K32)))^3/3+(ABS(G112)^2)/($I$5*MAX(((G32)+(I32)*(MAX($D$16,(AF112)-(K32))))*(MAX($D$16,(AF112)-(K32))),0.000001)))-(IF(AND(N7="None",N8="None"),0,IF(N8="None",((((F34)*(MAX($D$16,(AF112)-(J34)))^2)/2+(H34)*(MAX($D$16,(AF112)-(J34)))^3/3+(ABS(I112)^2)/($I$5*MAX(((F34)+(H34)*(MAX($D$16,(AF112)-(J34))))*(MAX($D$16,(AF112)-(J34))),0.000001)))*1),IF(N7="None",((((F35)*(MAX($D$16,(AF112)-(J35)))^2)/2+(H35)*(MAX($D$16,(AF112)-(J35)))^3/3+(ABS(J112)^2)/($I$5*MAX(((F35)+(H35)*(MAX($D$16,(AF112)-(J35))))*(MAX($D$16,(AF112)-(J35))),0.000001)))*0.30600918),(((((F34)*(MAX($D$16,(AF112)-(J34)))^2)/2+(H34)*(MAX($D$16,(AF112)-(J34)))^3/3+(ABS(I112)^2)/($I$5*MAX(((F34)+(H34)*(MAX($D$16,(AF112)-(J34))))*(MAX($D$16,(AF112)-(J34))),0.000001)))*1)+((((F35)*(MAX($D$16,(AF112)-(J35)))^2)/2+(H35)*(MAX($D$16,(AF112)-(J35)))^3/3+(ABS(J112)^2)/($I$5*MAX(((F35)+(H35)*(MAX($D$16,(AF112)-(J35))))*(MAX($D$16,(AF112)-(J35))),0.000001)))*0.30600918)))))))/MAX(((G32)*(MAX($D$16,(AF112)-(K32)))^2)/2+(I32)*(MAX($D$16,(AF112)-(K32)))^3/3+(ABS(G112)^2)/($I$5*MAX(((G32)+(I32)*(MAX($D$16,(AF112)-(K32))))*(MAX($D$16,(AF112)-(K32))),0.000001)),0.000001)</f>
        <v>3.904177561081449E-2</v>
      </c>
      <c r="W112">
        <f ca="1">ABS((IF(N6="None",P112,MAX(P112,Q112)))-D112)</f>
        <v>5.7059780596227938</v>
      </c>
      <c r="X112">
        <f ca="1">ABS((IF(AND(N7="None",N8="None"),E112,IF(N8="None",S112,IF(N7="None",T112,MAX(S112,T112)))))-E112)</f>
        <v>8.0492910442236507</v>
      </c>
      <c r="Y112">
        <f>IF(N6="None",1,MIN(0.98,MAX(0.02,B112+$D$14*((Q112-P112)/MAX(ABS(D112),1)))))</f>
        <v>1</v>
      </c>
      <c r="Z112">
        <f ca="1">IF(AND(N7="None",N8="None"),C112,IF(N8="None",1,IF(N7="None",0,MIN(0.98,MAX(0.02,C112+$D$14*((T112-S112)/MAX(ABS(E112),1)))))))</f>
        <v>0.98</v>
      </c>
      <c r="AA112">
        <f t="shared" ca="1" si="29"/>
        <v>636.34536430070295</v>
      </c>
      <c r="AB112">
        <f t="shared" ca="1" si="30"/>
        <v>634.74259262187331</v>
      </c>
      <c r="AC112">
        <f ca="1">IF($D$20=0,D112,IF(AC112=0,(IF(N6="None",P112,MAX(P112,Q112))),IF(ABS((IF(N6="None",P112,MAX(P112,Q112)))-AC112)&lt;$D$19,AC112,MAX((K31)+$D$16,AC112+$D$13*(((IF(N6="None",P112,MAX(P112,Q112)))-AC112))))))</f>
        <v>640.05475514453997</v>
      </c>
      <c r="AD112">
        <f ca="1">IF($D$20=0,E112,IF(AD112=0,(IF(AND(N7="None",N8="None"),E112,IF(N8="None",S112,IF(N7="None",T112,MAX(S112,T112))))),IF(ABS((IF(AND(N7="None",N8="None"),E112,IF(N8="None",S112,IF(N7="None",T112,MAX(S112,T112)))))-AD112)&lt;$D$19,AD112,MAX((K32)+$D$16,AD112+$D$13*(((IF(AND(N7="None",N8="None"),E112,IF(N8="None",S112,IF(N7="None",T112,MAX(S112,T112)))))-AD112))))))</f>
        <v>639.97526463330917</v>
      </c>
      <c r="AE112">
        <f ca="1">IF($D$20=0,D112,IF(AE112=0,O112,IF(ABS(U112)&lt;$D$19,AE112,MAX((K31)+$D$16,AE112+($D$13*(((O112)-AE112)+(U112*MAX(ABS(AE112-(K31)),1))))))))</f>
        <v>634.34799999999996</v>
      </c>
      <c r="AF112">
        <f ca="1">IF($D$20=0,E112,IF(AF112=0,R112,IF(ABS(V112)&lt;$D$19,AF112,MAX((K32)+$D$16,AF112+($D$13*(((R112)-AF112)+(V112*MAX(ABS(AF112-(K32)),1))))))))</f>
        <v>631.92499999999995</v>
      </c>
      <c r="AG112">
        <f ca="1">((G31)*(MAX($D$16,(AC112)-(K31)))^2)/2+(I31)*(MAX($D$16,(AC112)-(K31)))^3/3+(ABS(F112)^2)/($I$5*MAX(((G31)+(I31)*(MAX($D$16,(AC112)-(K31))))*(MAX($D$16,(AC112)-(K31))),0.000001))</f>
        <v>115.68980551184316</v>
      </c>
      <c r="AH112">
        <f ca="1">((G31)*(MAX($D$16,(AE112)-(K31)))^2)/2+(I31)*(MAX($D$16,(AE112)-(K31)))^3/3+(ABS(F112)^2)/($I$5*MAX(((G31)+(I31)*(MAX($D$16,(AE112)-(K31))))*(MAX($D$16,(AE112)-(K31))),0.000001))</f>
        <v>808.60110594434002</v>
      </c>
      <c r="AI112">
        <f ca="1">((G32)*(MAX($D$16,(AD112)-(K32)))^2)/2+(I32)*(MAX($D$16,(AD112)-(K32)))^3/3+(ABS(G112)^2)/($I$5*MAX(((G32)+(I32)*(MAX($D$16,(AD112)-(K32))))*(MAX($D$16,(AD112)-(K32))),0.000001))</f>
        <v>338.03683729018678</v>
      </c>
      <c r="AJ112">
        <f ca="1">((G32)*(MAX($D$16,(AF112)-(K32)))^2)/2+(I32)*(MAX($D$16,(AF112)-(K32)))^3/3+(ABS(G112)^2)/($I$5*MAX(((G32)+(I32)*(MAX($D$16,(AF112)-(K32))))*(MAX($D$16,(AF112)-(K32))),0.000001))</f>
        <v>519.58480272613974</v>
      </c>
      <c r="AK112" t="str">
        <f t="shared" ca="1" si="31"/>
        <v>Supercritical</v>
      </c>
      <c r="AL112" t="str">
        <f t="shared" ca="1" si="32"/>
        <v>Supercritical</v>
      </c>
      <c r="AM112">
        <f t="shared" ca="1" si="33"/>
        <v>634.34800000011398</v>
      </c>
      <c r="AN112">
        <f t="shared" ca="1" si="34"/>
        <v>631.92500000021516</v>
      </c>
      <c r="AO112">
        <f t="shared" ca="1" si="35"/>
        <v>1.7541879060445353E-10</v>
      </c>
      <c r="AP112">
        <f t="shared" ca="1" si="36"/>
        <v>3.3105607144534588E-10</v>
      </c>
    </row>
    <row r="113" spans="1:42" x14ac:dyDescent="0.35">
      <c r="A113">
        <v>70</v>
      </c>
      <c r="B113">
        <f t="shared" si="37"/>
        <v>1</v>
      </c>
      <c r="C113">
        <f t="shared" ca="1" si="38"/>
        <v>0.98</v>
      </c>
      <c r="D113">
        <f t="shared" ca="1" si="39"/>
        <v>634.34800000011398</v>
      </c>
      <c r="E113">
        <f t="shared" ca="1" si="40"/>
        <v>631.92500000021516</v>
      </c>
      <c r="F113">
        <f t="shared" si="28"/>
        <v>51</v>
      </c>
      <c r="G113">
        <f>IF(N6="None",F113,MAX(0,F113*B113))</f>
        <v>51</v>
      </c>
      <c r="H113">
        <f>IF(N6="None",0,MAX(0,F113-G113))</f>
        <v>0</v>
      </c>
      <c r="I113">
        <f ca="1">IF(AND(N7="None",N8="None"),0,IF(N8="None",G113,IF(N7="None",0,MAX(0,G113*C113))))</f>
        <v>49.98</v>
      </c>
      <c r="J113">
        <f ca="1">IF(AND(N7="None",N8="None"),0,IF(N8="None",0,IF(N7="None",G113,MAX(0,G113-I113))))</f>
        <v>1.0200000000000031</v>
      </c>
      <c r="K113">
        <f>P5</f>
        <v>637</v>
      </c>
      <c r="L113">
        <f>P6</f>
        <v>634.3119999999999</v>
      </c>
      <c r="M113">
        <f>P7</f>
        <v>635.5</v>
      </c>
      <c r="N113">
        <f>P8</f>
        <v>631.54999999999995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-2091.5872404992097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640.05397805979817</v>
      </c>
      <c r="Q113">
        <f ca="1">L113+((ABS(H113)/MAX(((G33)+(I33)*(MAX($D$16,(L113)-(K33))))*(MAX($D$16,(L113)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AC113)-(J33))))*(MAX($D$16,(AC113)-(J33))),0.000001)),$D$9*((((ABS(H113)/MAX(((G33)+(I33)*(MAX($D$16,(L113)-(K33))))*(MAX($D$16,(L113)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L113)-(K33))))*(MAX($D$16,(L113)-(K33))),0.000001))^2)/(2*$I$5)))))+($D$10*(ABS((X33)-(W33))/90)*MAX(((ABS(H113)/MAX(((F33)+(H33)*(MAX($D$16,(AC113)-(J33))))*(MAX($D$16,(AC113)-(J33))),0.000001))^2)/(2*$I$5),((ABS(H113)/MAX(((G33)+(I33)*(MAX($D$16,(L113)-(K33))))*(MAX($D$16,(L113)-(K33))),0.000001))^2)/(2*$I$5)))+(($D$11*0.00000015*(ABS(G113)/MAX(ABS(F113),0.000001))^2*MAX(((ABS(H113)/MAX(((F33)+(H33)*(MAX($D$16,(AC113)-(J33))))*(MAX($D$16,(AC113)-(J33))),0.000001))^2)/(2*$I$5),((ABS(H113)/MAX(((G33)+(I33)*(MAX($D$16,(L113)-(K33))))*(MAX($D$16,(L113)-(K33))),0.000001))^2)/(2*$I$5))))-((ABS(H113)/MAX(((F33)+(H33)*(MAX($D$16,(AC113)-(J33))))*(MAX($D$16,(AC113)-(J33))),0.000001))^2)/(2*$I$5)</f>
        <v>634.3119999999999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-292118.81246378768</v>
      </c>
      <c r="S113">
        <f ca="1">M113+((ABS(I113)/MAX(((G34)+(I34)*(MAX($D$16,(M113)-(K34))))*(MAX($D$16,(M113)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AD113)-(J34))))*(MAX($D$16,(AD113)-(J34))),0.000001)),$D$9*((((ABS(I113)/MAX(((G34)+(I34)*(MAX($D$16,(M113)-(K34))))*(MAX($D$16,(M113)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M113)-(K34))))*(MAX($D$16,(M113)-(K34))),0.000001))^2)/(2*$I$5)))))+($D$10*(ABS((X34)-(W34))/90)*MAX(((ABS(I113)/MAX(((F34)+(H34)*(MAX($D$16,(AD113)-(J34))))*(MAX($D$16,(AD113)-(J34))),0.000001))^2)/(2*$I$5),((ABS(I113)/MAX(((G34)+(I34)*(MAX($D$16,(M113)-(K34))))*(MAX($D$16,(M113)-(K34))),0.000001))^2)/(2*$I$5)))+(0)-((ABS(I113)/MAX(((F34)+(H34)*(MAX($D$16,(AD113)-(J34))))*(MAX($D$16,(AD113)-(J34))),0.000001))^2)/(2*$I$5)</f>
        <v>635.51128720958343</v>
      </c>
      <c r="T113">
        <f ca="1">N113+((ABS(J113)/MAX(((G35)+(I35)*(MAX($D$16,(N113)-(K35))))*(MAX($D$16,(N113)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AD113)-(J35))))*(MAX($D$16,(AD113)-(J35))),0.000001)),$D$9*((((ABS(J113)/MAX(((G35)+(I35)*(MAX($D$16,(N113)-(K35))))*(MAX($D$16,(N113)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N113)-(K35))))*(MAX($D$16,(N113)-(K35))),0.000001))^2)/(2*$I$5)))))+($D$10*(ABS((X35)-(W35))/90)*MAX(((ABS(J113)/MAX(((F35)+(H35)*(MAX($D$16,(AD113)-(J35))))*(MAX($D$16,(AD113)-(J35))),0.000001))^2)/(2*$I$5),((ABS(J113)/MAX(((G35)+(I35)*(MAX($D$16,(N113)-(K35))))*(MAX($D$16,(N113)-(K35))),0.000001))^2)/(2*$I$5)))+(($D$11*0.34699541*(ABS(I113)/MAX(ABS(G113),0.000001))^2*MAX(((ABS(J113)/MAX(((F35)+(H35)*(MAX($D$16,(AD113)-(J35))))*(MAX($D$16,(AD113)-(J35))),0.000001))^2)/(2*$I$5),((ABS(J113)/MAX(((G35)+(I35)*(MAX($D$16,(N113)-(K35))))*(MAX($D$16,(N113)-(K35))),0.000001))^2)/(2*$I$5))))-((ABS(J113)/MAX(((F35)+(H35)*(MAX($D$16,(AD113)-(J35))))*(MAX($D$16,(AD113)-(J35))),0.000001))^2)/(2*$I$5)</f>
        <v>639.97429104455466</v>
      </c>
      <c r="U113">
        <f ca="1">((((G31)*(MAX($D$16,(AE113)-(K31)))^2)/2+(I31)*(MAX($D$16,(AE113)-(K31)))^3/3+(ABS(F113)^2)/($I$5*MAX(((G31)+(I31)*(MAX($D$16,(AE113)-(K31))))*(MAX($D$16,(AE113)-(K31))),0.000001)))-(IF(N6="None",((((F32)*(MAX($D$16,(AE113)-(J32)))^2)/2+(H32)*(MAX($D$16,(AE113)-(J32)))^3/3+(ABS(G113)^2)/($I$5*MAX(((F32)+(H32)*(MAX($D$16,(AE113)-(J32))))*(MAX($D$16,(AE113)-(J32))),0.000001)))*0.72785025),(((((F32)*(MAX($D$16,(AE113)-(J32)))^2)/2+(H32)*(MAX($D$16,(AE113)-(J32)))^3/3+(ABS(G113)^2)/($I$5*MAX(((F32)+(H32)*(MAX($D$16,(AE113)-(J32))))*(MAX($D$16,(AE113)-(J32))),0.000001)))*0.72785025)+((((F33)*(MAX($D$16,(AE113)-(J33)))^2)/2+(H33)*(MAX($D$16,(AE113)-(J33)))^3/3+(ABS(H113)^2)/($I$5*MAX(((F33)+(H33)*(MAX($D$16,(AE113)-(J33))))*(MAX($D$16,(AE113)-(J33))),0.000001)))*0.99999971)))))/MAX(((G31)*(MAX($D$16,(AE113)-(K31)))^2)/2+(I31)*(MAX($D$16,(AE113)-(K31)))^3/3+(ABS(F113)^2)/($I$5*MAX(((G31)+(I31)*(MAX($D$16,(AE113)-(K31))))*(MAX($D$16,(AE113)-(K31))),0.000001)),0.000001)</f>
        <v>0.27214975000000002</v>
      </c>
      <c r="V113">
        <f ca="1">((((G32)*(MAX($D$16,(AF113)-(K32)))^2)/2+(I32)*(MAX($D$16,(AF113)-(K32)))^3/3+(ABS(G113)^2)/($I$5*MAX(((G32)+(I32)*(MAX($D$16,(AF113)-(K32))))*(MAX($D$16,(AF113)-(K32))),0.000001)))-(IF(AND(N7="None",N8="None"),0,IF(N8="None",((((F34)*(MAX($D$16,(AF113)-(J34)))^2)/2+(H34)*(MAX($D$16,(AF113)-(J34)))^3/3+(ABS(I113)^2)/($I$5*MAX(((F34)+(H34)*(MAX($D$16,(AF113)-(J34))))*(MAX($D$16,(AF113)-(J34))),0.000001)))*1),IF(N7="None",((((F35)*(MAX($D$16,(AF113)-(J35)))^2)/2+(H35)*(MAX($D$16,(AF113)-(J35)))^3/3+(ABS(J113)^2)/($I$5*MAX(((F35)+(H35)*(MAX($D$16,(AF113)-(J35))))*(MAX($D$16,(AF113)-(J35))),0.000001)))*0.30600918),(((((F34)*(MAX($D$16,(AF113)-(J34)))^2)/2+(H34)*(MAX($D$16,(AF113)-(J34)))^3/3+(ABS(I113)^2)/($I$5*MAX(((F34)+(H34)*(MAX($D$16,(AF113)-(J34))))*(MAX($D$16,(AF113)-(J34))),0.000001)))*1)+((((F35)*(MAX($D$16,(AF113)-(J35)))^2)/2+(H35)*(MAX($D$16,(AF113)-(J35)))^3/3+(ABS(J113)^2)/($I$5*MAX(((F35)+(H35)*(MAX($D$16,(AF113)-(J35))))*(MAX($D$16,(AF113)-(J35))),0.000001)))*0.30600918)))))))/MAX(((G32)*(MAX($D$16,(AF113)-(K32)))^2)/2+(I32)*(MAX($D$16,(AF113)-(K32)))^3/3+(ABS(G113)^2)/($I$5*MAX(((G32)+(I32)*(MAX($D$16,(AF113)-(K32))))*(MAX($D$16,(AF113)-(K32))),0.000001)),0.000001)</f>
        <v>3.904177561081449E-2</v>
      </c>
      <c r="W113">
        <f ca="1">ABS((IF(N6="None",P113,MAX(P113,Q113)))-D113)</f>
        <v>5.7059780596841847</v>
      </c>
      <c r="X113">
        <f ca="1">ABS((IF(AND(N7="None",N8="None"),E113,IF(N8="None",S113,IF(N7="None",T113,MAX(S113,T113)))))-E113)</f>
        <v>8.0492910443394976</v>
      </c>
      <c r="Y113">
        <f>IF(N6="None",1,MIN(0.98,MAX(0.02,B113+$D$14*((Q113-P113)/MAX(ABS(D113),1)))))</f>
        <v>1</v>
      </c>
      <c r="Z113">
        <f ca="1">IF(AND(N7="None",N8="None"),C113,IF(N8="None",1,IF(N7="None",0,MIN(0.98,MAX(0.02,C113+$D$14*((T113-S113)/MAX(ABS(E113),1)))))))</f>
        <v>0.98</v>
      </c>
      <c r="AA113">
        <f t="shared" ca="1" si="29"/>
        <v>636.34536430066305</v>
      </c>
      <c r="AB113">
        <f t="shared" ca="1" si="30"/>
        <v>634.74259262179805</v>
      </c>
      <c r="AC113">
        <f ca="1">IF($D$20=0,D113,IF(AC113=0,(IF(N6="None",P113,MAX(P113,Q113))),IF(ABS((IF(N6="None",P113,MAX(P113,Q113)))-AC113)&lt;$D$19,AC113,MAX((K31)+$D$16,AC113+$D$13*(((IF(N6="None",P113,MAX(P113,Q113)))-AC113))))))</f>
        <v>640.05475514453997</v>
      </c>
      <c r="AD113">
        <f ca="1">IF($D$20=0,E113,IF(AD113=0,(IF(AND(N7="None",N8="None"),E113,IF(N8="None",S113,IF(N7="None",T113,MAX(S113,T113))))),IF(ABS((IF(AND(N7="None",N8="None"),E113,IF(N8="None",S113,IF(N7="None",T113,MAX(S113,T113)))))-AD113)&lt;$D$19,AD113,MAX((K32)+$D$16,AD113+$D$13*(((IF(AND(N7="None",N8="None"),E113,IF(N8="None",S113,IF(N7="None",T113,MAX(S113,T113)))))-AD113))))))</f>
        <v>639.97526463330917</v>
      </c>
      <c r="AE113">
        <f ca="1">IF($D$20=0,D113,IF(AE113=0,O113,IF(ABS(U113)&lt;$D$19,AE113,MAX((K31)+$D$16,AE113+($D$13*(((O113)-AE113)+(U113*MAX(ABS(AE113-(K31)),1))))))))</f>
        <v>634.34799999999996</v>
      </c>
      <c r="AF113">
        <f ca="1">IF($D$20=0,E113,IF(AF113=0,R113,IF(ABS(V113)&lt;$D$19,AF113,MAX((K32)+$D$16,AF113+($D$13*(((R113)-AF113)+(V113*MAX(ABS(AF113-(K32)),1))))))))</f>
        <v>631.92499999999995</v>
      </c>
      <c r="AG113">
        <f ca="1">((G31)*(MAX($D$16,(AC113)-(K31)))^2)/2+(I31)*(MAX($D$16,(AC113)-(K31)))^3/3+(ABS(F113)^2)/($I$5*MAX(((G31)+(I31)*(MAX($D$16,(AC113)-(K31))))*(MAX($D$16,(AC113)-(K31))),0.000001))</f>
        <v>115.68980551184316</v>
      </c>
      <c r="AH113">
        <f ca="1">((G31)*(MAX($D$16,(AE113)-(K31)))^2)/2+(I31)*(MAX($D$16,(AE113)-(K31)))^3/3+(ABS(F113)^2)/($I$5*MAX(((G31)+(I31)*(MAX($D$16,(AE113)-(K31))))*(MAX($D$16,(AE113)-(K31))),0.000001))</f>
        <v>808.60110594434002</v>
      </c>
      <c r="AI113">
        <f ca="1">((G32)*(MAX($D$16,(AD113)-(K32)))^2)/2+(I32)*(MAX($D$16,(AD113)-(K32)))^3/3+(ABS(G113)^2)/($I$5*MAX(((G32)+(I32)*(MAX($D$16,(AD113)-(K32))))*(MAX($D$16,(AD113)-(K32))),0.000001))</f>
        <v>338.03683729018678</v>
      </c>
      <c r="AJ113">
        <f ca="1">((G32)*(MAX($D$16,(AF113)-(K32)))^2)/2+(I32)*(MAX($D$16,(AF113)-(K32)))^3/3+(ABS(G113)^2)/($I$5*MAX(((G32)+(I32)*(MAX($D$16,(AF113)-(K32))))*(MAX($D$16,(AF113)-(K32))),0.000001))</f>
        <v>519.58480272613974</v>
      </c>
      <c r="AK113" t="str">
        <f t="shared" ca="1" si="31"/>
        <v>Supercritical</v>
      </c>
      <c r="AL113" t="str">
        <f t="shared" ca="1" si="32"/>
        <v>Supercritical</v>
      </c>
      <c r="AM113">
        <f t="shared" ca="1" si="33"/>
        <v>634.34800000007408</v>
      </c>
      <c r="AN113">
        <f t="shared" ca="1" si="34"/>
        <v>631.92500000013979</v>
      </c>
      <c r="AO113">
        <f t="shared" ca="1" si="35"/>
        <v>1.1402789823478088E-10</v>
      </c>
      <c r="AP113">
        <f t="shared" ca="1" si="36"/>
        <v>2.1520918380701914E-10</v>
      </c>
    </row>
    <row r="114" spans="1:42" x14ac:dyDescent="0.35">
      <c r="A114">
        <v>71</v>
      </c>
      <c r="B114">
        <f t="shared" si="37"/>
        <v>1</v>
      </c>
      <c r="C114">
        <f t="shared" ca="1" si="38"/>
        <v>0.98</v>
      </c>
      <c r="D114">
        <f t="shared" ca="1" si="39"/>
        <v>634.34800000007408</v>
      </c>
      <c r="E114">
        <f t="shared" ca="1" si="40"/>
        <v>631.92500000013979</v>
      </c>
      <c r="F114">
        <f t="shared" si="28"/>
        <v>51</v>
      </c>
      <c r="G114">
        <f>IF(N6="None",F114,MAX(0,F114*B114))</f>
        <v>51</v>
      </c>
      <c r="H114">
        <f>IF(N6="None",0,MAX(0,F114-G114))</f>
        <v>0</v>
      </c>
      <c r="I114">
        <f ca="1">IF(AND(N7="None",N8="None"),0,IF(N8="None",G114,IF(N7="None",0,MAX(0,G114*C114))))</f>
        <v>49.98</v>
      </c>
      <c r="J114">
        <f ca="1">IF(AND(N7="None",N8="None"),0,IF(N8="None",0,IF(N7="None",G114,MAX(0,G114-I114))))</f>
        <v>1.0200000000000031</v>
      </c>
      <c r="K114">
        <f>P5</f>
        <v>637</v>
      </c>
      <c r="L114">
        <f>P6</f>
        <v>634.3119999999999</v>
      </c>
      <c r="M114">
        <f>P7</f>
        <v>635.5</v>
      </c>
      <c r="N114">
        <f>P8</f>
        <v>631.54999999999995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-2091.5872404992097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640.05397805979817</v>
      </c>
      <c r="Q114">
        <f ca="1">L114+((ABS(H114)/MAX(((G33)+(I33)*(MAX($D$16,(L114)-(K33))))*(MAX($D$16,(L114)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AC114)-(J33))))*(MAX($D$16,(AC114)-(J33))),0.000001)),$D$9*((((ABS(H114)/MAX(((G33)+(I33)*(MAX($D$16,(L114)-(K33))))*(MAX($D$16,(L114)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L114)-(K33))))*(MAX($D$16,(L114)-(K33))),0.000001))^2)/(2*$I$5)))))+($D$10*(ABS((X33)-(W33))/90)*MAX(((ABS(H114)/MAX(((F33)+(H33)*(MAX($D$16,(AC114)-(J33))))*(MAX($D$16,(AC114)-(J33))),0.000001))^2)/(2*$I$5),((ABS(H114)/MAX(((G33)+(I33)*(MAX($D$16,(L114)-(K33))))*(MAX($D$16,(L114)-(K33))),0.000001))^2)/(2*$I$5)))+(($D$11*0.00000015*(ABS(G114)/MAX(ABS(F114),0.000001))^2*MAX(((ABS(H114)/MAX(((F33)+(H33)*(MAX($D$16,(AC114)-(J33))))*(MAX($D$16,(AC114)-(J33))),0.000001))^2)/(2*$I$5),((ABS(H114)/MAX(((G33)+(I33)*(MAX($D$16,(L114)-(K33))))*(MAX($D$16,(L114)-(K33))),0.000001))^2)/(2*$I$5))))-((ABS(H114)/MAX(((F33)+(H33)*(MAX($D$16,(AC114)-(J33))))*(MAX($D$16,(AC114)-(J33))),0.000001))^2)/(2*$I$5)</f>
        <v>634.3119999999999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-292118.81246378768</v>
      </c>
      <c r="S114">
        <f ca="1">M114+((ABS(I114)/MAX(((G34)+(I34)*(MAX($D$16,(M114)-(K34))))*(MAX($D$16,(M114)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AD114)-(J34))))*(MAX($D$16,(AD114)-(J34))),0.000001)),$D$9*((((ABS(I114)/MAX(((G34)+(I34)*(MAX($D$16,(M114)-(K34))))*(MAX($D$16,(M114)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M114)-(K34))))*(MAX($D$16,(M114)-(K34))),0.000001))^2)/(2*$I$5)))))+($D$10*(ABS((X34)-(W34))/90)*MAX(((ABS(I114)/MAX(((F34)+(H34)*(MAX($D$16,(AD114)-(J34))))*(MAX($D$16,(AD114)-(J34))),0.000001))^2)/(2*$I$5),((ABS(I114)/MAX(((G34)+(I34)*(MAX($D$16,(M114)-(K34))))*(MAX($D$16,(M114)-(K34))),0.000001))^2)/(2*$I$5)))+(0)-((ABS(I114)/MAX(((F34)+(H34)*(MAX($D$16,(AD114)-(J34))))*(MAX($D$16,(AD114)-(J34))),0.000001))^2)/(2*$I$5)</f>
        <v>635.51128720958343</v>
      </c>
      <c r="T114">
        <f ca="1">N114+((ABS(J114)/MAX(((G35)+(I35)*(MAX($D$16,(N114)-(K35))))*(MAX($D$16,(N114)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AD114)-(J35))))*(MAX($D$16,(AD114)-(J35))),0.000001)),$D$9*((((ABS(J114)/MAX(((G35)+(I35)*(MAX($D$16,(N114)-(K35))))*(MAX($D$16,(N114)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N114)-(K35))))*(MAX($D$16,(N114)-(K35))),0.000001))^2)/(2*$I$5)))))+($D$10*(ABS((X35)-(W35))/90)*MAX(((ABS(J114)/MAX(((F35)+(H35)*(MAX($D$16,(AD114)-(J35))))*(MAX($D$16,(AD114)-(J35))),0.000001))^2)/(2*$I$5),((ABS(J114)/MAX(((G35)+(I35)*(MAX($D$16,(N114)-(K35))))*(MAX($D$16,(N114)-(K35))),0.000001))^2)/(2*$I$5)))+(($D$11*0.34699541*(ABS(I114)/MAX(ABS(G114),0.000001))^2*MAX(((ABS(J114)/MAX(((F35)+(H35)*(MAX($D$16,(AD114)-(J35))))*(MAX($D$16,(AD114)-(J35))),0.000001))^2)/(2*$I$5),((ABS(J114)/MAX(((G35)+(I35)*(MAX($D$16,(N114)-(K35))))*(MAX($D$16,(N114)-(K35))),0.000001))^2)/(2*$I$5))))-((ABS(J114)/MAX(((F35)+(H35)*(MAX($D$16,(AD114)-(J35))))*(MAX($D$16,(AD114)-(J35))),0.000001))^2)/(2*$I$5)</f>
        <v>639.97429104455466</v>
      </c>
      <c r="U114">
        <f ca="1">((((G31)*(MAX($D$16,(AE114)-(K31)))^2)/2+(I31)*(MAX($D$16,(AE114)-(K31)))^3/3+(ABS(F114)^2)/($I$5*MAX(((G31)+(I31)*(MAX($D$16,(AE114)-(K31))))*(MAX($D$16,(AE114)-(K31))),0.000001)))-(IF(N6="None",((((F32)*(MAX($D$16,(AE114)-(J32)))^2)/2+(H32)*(MAX($D$16,(AE114)-(J32)))^3/3+(ABS(G114)^2)/($I$5*MAX(((F32)+(H32)*(MAX($D$16,(AE114)-(J32))))*(MAX($D$16,(AE114)-(J32))),0.000001)))*0.72785025),(((((F32)*(MAX($D$16,(AE114)-(J32)))^2)/2+(H32)*(MAX($D$16,(AE114)-(J32)))^3/3+(ABS(G114)^2)/($I$5*MAX(((F32)+(H32)*(MAX($D$16,(AE114)-(J32))))*(MAX($D$16,(AE114)-(J32))),0.000001)))*0.72785025)+((((F33)*(MAX($D$16,(AE114)-(J33)))^2)/2+(H33)*(MAX($D$16,(AE114)-(J33)))^3/3+(ABS(H114)^2)/($I$5*MAX(((F33)+(H33)*(MAX($D$16,(AE114)-(J33))))*(MAX($D$16,(AE114)-(J33))),0.000001)))*0.99999971)))))/MAX(((G31)*(MAX($D$16,(AE114)-(K31)))^2)/2+(I31)*(MAX($D$16,(AE114)-(K31)))^3/3+(ABS(F114)^2)/($I$5*MAX(((G31)+(I31)*(MAX($D$16,(AE114)-(K31))))*(MAX($D$16,(AE114)-(K31))),0.000001)),0.000001)</f>
        <v>0.27214975000000002</v>
      </c>
      <c r="V114">
        <f ca="1">((((G32)*(MAX($D$16,(AF114)-(K32)))^2)/2+(I32)*(MAX($D$16,(AF114)-(K32)))^3/3+(ABS(G114)^2)/($I$5*MAX(((G32)+(I32)*(MAX($D$16,(AF114)-(K32))))*(MAX($D$16,(AF114)-(K32))),0.000001)))-(IF(AND(N7="None",N8="None"),0,IF(N8="None",((((F34)*(MAX($D$16,(AF114)-(J34)))^2)/2+(H34)*(MAX($D$16,(AF114)-(J34)))^3/3+(ABS(I114)^2)/($I$5*MAX(((F34)+(H34)*(MAX($D$16,(AF114)-(J34))))*(MAX($D$16,(AF114)-(J34))),0.000001)))*1),IF(N7="None",((((F35)*(MAX($D$16,(AF114)-(J35)))^2)/2+(H35)*(MAX($D$16,(AF114)-(J35)))^3/3+(ABS(J114)^2)/($I$5*MAX(((F35)+(H35)*(MAX($D$16,(AF114)-(J35))))*(MAX($D$16,(AF114)-(J35))),0.000001)))*0.30600918),(((((F34)*(MAX($D$16,(AF114)-(J34)))^2)/2+(H34)*(MAX($D$16,(AF114)-(J34)))^3/3+(ABS(I114)^2)/($I$5*MAX(((F34)+(H34)*(MAX($D$16,(AF114)-(J34))))*(MAX($D$16,(AF114)-(J34))),0.000001)))*1)+((((F35)*(MAX($D$16,(AF114)-(J35)))^2)/2+(H35)*(MAX($D$16,(AF114)-(J35)))^3/3+(ABS(J114)^2)/($I$5*MAX(((F35)+(H35)*(MAX($D$16,(AF114)-(J35))))*(MAX($D$16,(AF114)-(J35))),0.000001)))*0.30600918)))))))/MAX(((G32)*(MAX($D$16,(AF114)-(K32)))^2)/2+(I32)*(MAX($D$16,(AF114)-(K32)))^3/3+(ABS(G114)^2)/($I$5*MAX(((G32)+(I32)*(MAX($D$16,(AF114)-(K32))))*(MAX($D$16,(AF114)-(K32))),0.000001)),0.000001)</f>
        <v>3.904177561081449E-2</v>
      </c>
      <c r="W114">
        <f ca="1">ABS((IF(N6="None",P114,MAX(P114,Q114)))-D114)</f>
        <v>5.7059780597240888</v>
      </c>
      <c r="X114">
        <f ca="1">ABS((IF(AND(N7="None",N8="None"),E114,IF(N8="None",S114,IF(N7="None",T114,MAX(S114,T114)))))-E114)</f>
        <v>8.049291044414872</v>
      </c>
      <c r="Y114">
        <f>IF(N6="None",1,MIN(0.98,MAX(0.02,B114+$D$14*((Q114-P114)/MAX(ABS(D114),1)))))</f>
        <v>1</v>
      </c>
      <c r="Z114">
        <f ca="1">IF(AND(N7="None",N8="None"),C114,IF(N8="None",1,IF(N7="None",0,MIN(0.98,MAX(0.02,C114+$D$14*((T114-S114)/MAX(ABS(E114),1)))))))</f>
        <v>0.98</v>
      </c>
      <c r="AA114">
        <f t="shared" ca="1" si="29"/>
        <v>636.34536430063713</v>
      </c>
      <c r="AB114">
        <f t="shared" ca="1" si="30"/>
        <v>634.74259262174905</v>
      </c>
      <c r="AC114">
        <f ca="1">IF($D$20=0,D114,IF(AC114=0,(IF(N6="None",P114,MAX(P114,Q114))),IF(ABS((IF(N6="None",P114,MAX(P114,Q114)))-AC114)&lt;$D$19,AC114,MAX((K31)+$D$16,AC114+$D$13*(((IF(N6="None",P114,MAX(P114,Q114)))-AC114))))))</f>
        <v>640.05475514453997</v>
      </c>
      <c r="AD114">
        <f ca="1">IF($D$20=0,E114,IF(AD114=0,(IF(AND(N7="None",N8="None"),E114,IF(N8="None",S114,IF(N7="None",T114,MAX(S114,T114))))),IF(ABS((IF(AND(N7="None",N8="None"),E114,IF(N8="None",S114,IF(N7="None",T114,MAX(S114,T114)))))-AD114)&lt;$D$19,AD114,MAX((K32)+$D$16,AD114+$D$13*(((IF(AND(N7="None",N8="None"),E114,IF(N8="None",S114,IF(N7="None",T114,MAX(S114,T114)))))-AD114))))))</f>
        <v>639.97526463330917</v>
      </c>
      <c r="AE114">
        <f ca="1">IF($D$20=0,D114,IF(AE114=0,O114,IF(ABS(U114)&lt;$D$19,AE114,MAX((K31)+$D$16,AE114+($D$13*(((O114)-AE114)+(U114*MAX(ABS(AE114-(K31)),1))))))))</f>
        <v>634.34799999999996</v>
      </c>
      <c r="AF114">
        <f ca="1">IF($D$20=0,E114,IF(AF114=0,R114,IF(ABS(V114)&lt;$D$19,AF114,MAX((K32)+$D$16,AF114+($D$13*(((R114)-AF114)+(V114*MAX(ABS(AF114-(K32)),1))))))))</f>
        <v>631.92499999999995</v>
      </c>
      <c r="AG114">
        <f ca="1">((G31)*(MAX($D$16,(AC114)-(K31)))^2)/2+(I31)*(MAX($D$16,(AC114)-(K31)))^3/3+(ABS(F114)^2)/($I$5*MAX(((G31)+(I31)*(MAX($D$16,(AC114)-(K31))))*(MAX($D$16,(AC114)-(K31))),0.000001))</f>
        <v>115.68980551184316</v>
      </c>
      <c r="AH114">
        <f ca="1">((G31)*(MAX($D$16,(AE114)-(K31)))^2)/2+(I31)*(MAX($D$16,(AE114)-(K31)))^3/3+(ABS(F114)^2)/($I$5*MAX(((G31)+(I31)*(MAX($D$16,(AE114)-(K31))))*(MAX($D$16,(AE114)-(K31))),0.000001))</f>
        <v>808.60110594434002</v>
      </c>
      <c r="AI114">
        <f ca="1">((G32)*(MAX($D$16,(AD114)-(K32)))^2)/2+(I32)*(MAX($D$16,(AD114)-(K32)))^3/3+(ABS(G114)^2)/($I$5*MAX(((G32)+(I32)*(MAX($D$16,(AD114)-(K32))))*(MAX($D$16,(AD114)-(K32))),0.000001))</f>
        <v>338.03683729018678</v>
      </c>
      <c r="AJ114">
        <f ca="1">((G32)*(MAX($D$16,(AF114)-(K32)))^2)/2+(I32)*(MAX($D$16,(AF114)-(K32)))^3/3+(ABS(G114)^2)/($I$5*MAX(((G32)+(I32)*(MAX($D$16,(AF114)-(K32))))*(MAX($D$16,(AF114)-(K32))),0.000001))</f>
        <v>519.58480272613974</v>
      </c>
      <c r="AK114" t="str">
        <f t="shared" ca="1" si="31"/>
        <v>Supercritical</v>
      </c>
      <c r="AL114" t="str">
        <f t="shared" ca="1" si="32"/>
        <v>Supercritical</v>
      </c>
      <c r="AM114">
        <f t="shared" ca="1" si="33"/>
        <v>634.34800000004816</v>
      </c>
      <c r="AN114">
        <f t="shared" ca="1" si="34"/>
        <v>631.9250000000909</v>
      </c>
      <c r="AO114">
        <f t="shared" ca="1" si="35"/>
        <v>7.4123818194493651E-11</v>
      </c>
      <c r="AP114">
        <f t="shared" ca="1" si="36"/>
        <v>1.3983481039758772E-10</v>
      </c>
    </row>
    <row r="115" spans="1:42" x14ac:dyDescent="0.35">
      <c r="A115">
        <v>72</v>
      </c>
      <c r="B115">
        <f t="shared" si="37"/>
        <v>1</v>
      </c>
      <c r="C115">
        <f t="shared" ca="1" si="38"/>
        <v>0.98</v>
      </c>
      <c r="D115">
        <f t="shared" ca="1" si="39"/>
        <v>634.34800000004816</v>
      </c>
      <c r="E115">
        <f t="shared" ca="1" si="40"/>
        <v>631.9250000000909</v>
      </c>
      <c r="F115">
        <f t="shared" si="28"/>
        <v>51</v>
      </c>
      <c r="G115">
        <f>IF(N6="None",F115,MAX(0,F115*B115))</f>
        <v>51</v>
      </c>
      <c r="H115">
        <f>IF(N6="None",0,MAX(0,F115-G115))</f>
        <v>0</v>
      </c>
      <c r="I115">
        <f ca="1">IF(AND(N7="None",N8="None"),0,IF(N8="None",G115,IF(N7="None",0,MAX(0,G115*C115))))</f>
        <v>49.98</v>
      </c>
      <c r="J115">
        <f ca="1">IF(AND(N7="None",N8="None"),0,IF(N8="None",0,IF(N7="None",G115,MAX(0,G115-I115))))</f>
        <v>1.0200000000000031</v>
      </c>
      <c r="K115">
        <f>P5</f>
        <v>637</v>
      </c>
      <c r="L115">
        <f>P6</f>
        <v>634.3119999999999</v>
      </c>
      <c r="M115">
        <f>P7</f>
        <v>635.5</v>
      </c>
      <c r="N115">
        <f>P8</f>
        <v>631.54999999999995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-2091.5872404992097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640.05397805979817</v>
      </c>
      <c r="Q115">
        <f ca="1">L115+((ABS(H115)/MAX(((G33)+(I33)*(MAX($D$16,(L115)-(K33))))*(MAX($D$16,(L115)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AC115)-(J33))))*(MAX($D$16,(AC115)-(J33))),0.000001)),$D$9*((((ABS(H115)/MAX(((G33)+(I33)*(MAX($D$16,(L115)-(K33))))*(MAX($D$16,(L115)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L115)-(K33))))*(MAX($D$16,(L115)-(K33))),0.000001))^2)/(2*$I$5)))))+($D$10*(ABS((X33)-(W33))/90)*MAX(((ABS(H115)/MAX(((F33)+(H33)*(MAX($D$16,(AC115)-(J33))))*(MAX($D$16,(AC115)-(J33))),0.000001))^2)/(2*$I$5),((ABS(H115)/MAX(((G33)+(I33)*(MAX($D$16,(L115)-(K33))))*(MAX($D$16,(L115)-(K33))),0.000001))^2)/(2*$I$5)))+(($D$11*0.00000015*(ABS(G115)/MAX(ABS(F115),0.000001))^2*MAX(((ABS(H115)/MAX(((F33)+(H33)*(MAX($D$16,(AC115)-(J33))))*(MAX($D$16,(AC115)-(J33))),0.000001))^2)/(2*$I$5),((ABS(H115)/MAX(((G33)+(I33)*(MAX($D$16,(L115)-(K33))))*(MAX($D$16,(L115)-(K33))),0.000001))^2)/(2*$I$5))))-((ABS(H115)/MAX(((F33)+(H33)*(MAX($D$16,(AC115)-(J33))))*(MAX($D$16,(AC115)-(J33))),0.000001))^2)/(2*$I$5)</f>
        <v>634.3119999999999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-292118.81246378768</v>
      </c>
      <c r="S115">
        <f ca="1">M115+((ABS(I115)/MAX(((G34)+(I34)*(MAX($D$16,(M115)-(K34))))*(MAX($D$16,(M115)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AD115)-(J34))))*(MAX($D$16,(AD115)-(J34))),0.000001)),$D$9*((((ABS(I115)/MAX(((G34)+(I34)*(MAX($D$16,(M115)-(K34))))*(MAX($D$16,(M115)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M115)-(K34))))*(MAX($D$16,(M115)-(K34))),0.000001))^2)/(2*$I$5)))))+($D$10*(ABS((X34)-(W34))/90)*MAX(((ABS(I115)/MAX(((F34)+(H34)*(MAX($D$16,(AD115)-(J34))))*(MAX($D$16,(AD115)-(J34))),0.000001))^2)/(2*$I$5),((ABS(I115)/MAX(((G34)+(I34)*(MAX($D$16,(M115)-(K34))))*(MAX($D$16,(M115)-(K34))),0.000001))^2)/(2*$I$5)))+(0)-((ABS(I115)/MAX(((F34)+(H34)*(MAX($D$16,(AD115)-(J34))))*(MAX($D$16,(AD115)-(J34))),0.000001))^2)/(2*$I$5)</f>
        <v>635.51128720958343</v>
      </c>
      <c r="T115">
        <f ca="1">N115+((ABS(J115)/MAX(((G35)+(I35)*(MAX($D$16,(N115)-(K35))))*(MAX($D$16,(N115)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AD115)-(J35))))*(MAX($D$16,(AD115)-(J35))),0.000001)),$D$9*((((ABS(J115)/MAX(((G35)+(I35)*(MAX($D$16,(N115)-(K35))))*(MAX($D$16,(N115)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N115)-(K35))))*(MAX($D$16,(N115)-(K35))),0.000001))^2)/(2*$I$5)))))+($D$10*(ABS((X35)-(W35))/90)*MAX(((ABS(J115)/MAX(((F35)+(H35)*(MAX($D$16,(AD115)-(J35))))*(MAX($D$16,(AD115)-(J35))),0.000001))^2)/(2*$I$5),((ABS(J115)/MAX(((G35)+(I35)*(MAX($D$16,(N115)-(K35))))*(MAX($D$16,(N115)-(K35))),0.000001))^2)/(2*$I$5)))+(($D$11*0.34699541*(ABS(I115)/MAX(ABS(G115),0.000001))^2*MAX(((ABS(J115)/MAX(((F35)+(H35)*(MAX($D$16,(AD115)-(J35))))*(MAX($D$16,(AD115)-(J35))),0.000001))^2)/(2*$I$5),((ABS(J115)/MAX(((G35)+(I35)*(MAX($D$16,(N115)-(K35))))*(MAX($D$16,(N115)-(K35))),0.000001))^2)/(2*$I$5))))-((ABS(J115)/MAX(((F35)+(H35)*(MAX($D$16,(AD115)-(J35))))*(MAX($D$16,(AD115)-(J35))),0.000001))^2)/(2*$I$5)</f>
        <v>639.97429104455466</v>
      </c>
      <c r="U115">
        <f ca="1">((((G31)*(MAX($D$16,(AE115)-(K31)))^2)/2+(I31)*(MAX($D$16,(AE115)-(K31)))^3/3+(ABS(F115)^2)/($I$5*MAX(((G31)+(I31)*(MAX($D$16,(AE115)-(K31))))*(MAX($D$16,(AE115)-(K31))),0.000001)))-(IF(N6="None",((((F32)*(MAX($D$16,(AE115)-(J32)))^2)/2+(H32)*(MAX($D$16,(AE115)-(J32)))^3/3+(ABS(G115)^2)/($I$5*MAX(((F32)+(H32)*(MAX($D$16,(AE115)-(J32))))*(MAX($D$16,(AE115)-(J32))),0.000001)))*0.72785025),(((((F32)*(MAX($D$16,(AE115)-(J32)))^2)/2+(H32)*(MAX($D$16,(AE115)-(J32)))^3/3+(ABS(G115)^2)/($I$5*MAX(((F32)+(H32)*(MAX($D$16,(AE115)-(J32))))*(MAX($D$16,(AE115)-(J32))),0.000001)))*0.72785025)+((((F33)*(MAX($D$16,(AE115)-(J33)))^2)/2+(H33)*(MAX($D$16,(AE115)-(J33)))^3/3+(ABS(H115)^2)/($I$5*MAX(((F33)+(H33)*(MAX($D$16,(AE115)-(J33))))*(MAX($D$16,(AE115)-(J33))),0.000001)))*0.99999971)))))/MAX(((G31)*(MAX($D$16,(AE115)-(K31)))^2)/2+(I31)*(MAX($D$16,(AE115)-(K31)))^3/3+(ABS(F115)^2)/($I$5*MAX(((G31)+(I31)*(MAX($D$16,(AE115)-(K31))))*(MAX($D$16,(AE115)-(K31))),0.000001)),0.000001)</f>
        <v>0.27214975000000002</v>
      </c>
      <c r="V115">
        <f ca="1">((((G32)*(MAX($D$16,(AF115)-(K32)))^2)/2+(I32)*(MAX($D$16,(AF115)-(K32)))^3/3+(ABS(G115)^2)/($I$5*MAX(((G32)+(I32)*(MAX($D$16,(AF115)-(K32))))*(MAX($D$16,(AF115)-(K32))),0.000001)))-(IF(AND(N7="None",N8="None"),0,IF(N8="None",((((F34)*(MAX($D$16,(AF115)-(J34)))^2)/2+(H34)*(MAX($D$16,(AF115)-(J34)))^3/3+(ABS(I115)^2)/($I$5*MAX(((F34)+(H34)*(MAX($D$16,(AF115)-(J34))))*(MAX($D$16,(AF115)-(J34))),0.000001)))*1),IF(N7="None",((((F35)*(MAX($D$16,(AF115)-(J35)))^2)/2+(H35)*(MAX($D$16,(AF115)-(J35)))^3/3+(ABS(J115)^2)/($I$5*MAX(((F35)+(H35)*(MAX($D$16,(AF115)-(J35))))*(MAX($D$16,(AF115)-(J35))),0.000001)))*0.30600918),(((((F34)*(MAX($D$16,(AF115)-(J34)))^2)/2+(H34)*(MAX($D$16,(AF115)-(J34)))^3/3+(ABS(I115)^2)/($I$5*MAX(((F34)+(H34)*(MAX($D$16,(AF115)-(J34))))*(MAX($D$16,(AF115)-(J34))),0.000001)))*1)+((((F35)*(MAX($D$16,(AF115)-(J35)))^2)/2+(H35)*(MAX($D$16,(AF115)-(J35)))^3/3+(ABS(J115)^2)/($I$5*MAX(((F35)+(H35)*(MAX($D$16,(AF115)-(J35))))*(MAX($D$16,(AF115)-(J35))),0.000001)))*0.30600918)))))))/MAX(((G32)*(MAX($D$16,(AF115)-(K32)))^2)/2+(I32)*(MAX($D$16,(AF115)-(K32)))^3/3+(ABS(G115)^2)/($I$5*MAX(((G32)+(I32)*(MAX($D$16,(AF115)-(K32))))*(MAX($D$16,(AF115)-(K32))),0.000001)),0.000001)</f>
        <v>3.904177561081449E-2</v>
      </c>
      <c r="W115">
        <f ca="1">ABS((IF(N6="None",P115,MAX(P115,Q115)))-D115)</f>
        <v>5.7059780597500094</v>
      </c>
      <c r="X115">
        <f ca="1">ABS((IF(AND(N7="None",N8="None"),E115,IF(N8="None",S115,IF(N7="None",T115,MAX(S115,T115)))))-E115)</f>
        <v>8.0492910444637573</v>
      </c>
      <c r="Y115">
        <f>IF(N6="None",1,MIN(0.98,MAX(0.02,B115+$D$14*((Q115-P115)/MAX(ABS(D115),1)))))</f>
        <v>1</v>
      </c>
      <c r="Z115">
        <f ca="1">IF(AND(N7="None",N8="None"),C115,IF(N8="None",1,IF(N7="None",0,MIN(0.98,MAX(0.02,C115+$D$14*((T115-S115)/MAX(ABS(E115),1)))))))</f>
        <v>0.98</v>
      </c>
      <c r="AA115">
        <f t="shared" ca="1" si="29"/>
        <v>636.3453643006203</v>
      </c>
      <c r="AB115">
        <f t="shared" ca="1" si="30"/>
        <v>634.74259262171734</v>
      </c>
      <c r="AC115">
        <f ca="1">IF($D$20=0,D115,IF(AC115=0,(IF(N6="None",P115,MAX(P115,Q115))),IF(ABS((IF(N6="None",P115,MAX(P115,Q115)))-AC115)&lt;$D$19,AC115,MAX((K31)+$D$16,AC115+$D$13*(((IF(N6="None",P115,MAX(P115,Q115)))-AC115))))))</f>
        <v>640.05475514453997</v>
      </c>
      <c r="AD115">
        <f ca="1">IF($D$20=0,E115,IF(AD115=0,(IF(AND(N7="None",N8="None"),E115,IF(N8="None",S115,IF(N7="None",T115,MAX(S115,T115))))),IF(ABS((IF(AND(N7="None",N8="None"),E115,IF(N8="None",S115,IF(N7="None",T115,MAX(S115,T115)))))-AD115)&lt;$D$19,AD115,MAX((K32)+$D$16,AD115+$D$13*(((IF(AND(N7="None",N8="None"),E115,IF(N8="None",S115,IF(N7="None",T115,MAX(S115,T115)))))-AD115))))))</f>
        <v>639.97526463330917</v>
      </c>
      <c r="AE115">
        <f ca="1">IF($D$20=0,D115,IF(AE115=0,O115,IF(ABS(U115)&lt;$D$19,AE115,MAX((K31)+$D$16,AE115+($D$13*(((O115)-AE115)+(U115*MAX(ABS(AE115-(K31)),1))))))))</f>
        <v>634.34799999999996</v>
      </c>
      <c r="AF115">
        <f ca="1">IF($D$20=0,E115,IF(AF115=0,R115,IF(ABS(V115)&lt;$D$19,AF115,MAX((K32)+$D$16,AF115+($D$13*(((R115)-AF115)+(V115*MAX(ABS(AF115-(K32)),1))))))))</f>
        <v>631.92499999999995</v>
      </c>
      <c r="AG115">
        <f ca="1">((G31)*(MAX($D$16,(AC115)-(K31)))^2)/2+(I31)*(MAX($D$16,(AC115)-(K31)))^3/3+(ABS(F115)^2)/($I$5*MAX(((G31)+(I31)*(MAX($D$16,(AC115)-(K31))))*(MAX($D$16,(AC115)-(K31))),0.000001))</f>
        <v>115.68980551184316</v>
      </c>
      <c r="AH115">
        <f ca="1">((G31)*(MAX($D$16,(AE115)-(K31)))^2)/2+(I31)*(MAX($D$16,(AE115)-(K31)))^3/3+(ABS(F115)^2)/($I$5*MAX(((G31)+(I31)*(MAX($D$16,(AE115)-(K31))))*(MAX($D$16,(AE115)-(K31))),0.000001))</f>
        <v>808.60110594434002</v>
      </c>
      <c r="AI115">
        <f ca="1">((G32)*(MAX($D$16,(AD115)-(K32)))^2)/2+(I32)*(MAX($D$16,(AD115)-(K32)))^3/3+(ABS(G115)^2)/($I$5*MAX(((G32)+(I32)*(MAX($D$16,(AD115)-(K32))))*(MAX($D$16,(AD115)-(K32))),0.000001))</f>
        <v>338.03683729018678</v>
      </c>
      <c r="AJ115">
        <f ca="1">((G32)*(MAX($D$16,(AF115)-(K32)))^2)/2+(I32)*(MAX($D$16,(AF115)-(K32)))^3/3+(ABS(G115)^2)/($I$5*MAX(((G32)+(I32)*(MAX($D$16,(AF115)-(K32))))*(MAX($D$16,(AF115)-(K32))),0.000001))</f>
        <v>519.58480272613974</v>
      </c>
      <c r="AK115" t="str">
        <f t="shared" ca="1" si="31"/>
        <v>Supercritical</v>
      </c>
      <c r="AL115" t="str">
        <f t="shared" ca="1" si="32"/>
        <v>Supercritical</v>
      </c>
      <c r="AM115">
        <f t="shared" ca="1" si="33"/>
        <v>634.34800000003133</v>
      </c>
      <c r="AN115">
        <f t="shared" ca="1" si="34"/>
        <v>631.92500000005907</v>
      </c>
      <c r="AO115">
        <f t="shared" ca="1" si="35"/>
        <v>4.8203219193965197E-11</v>
      </c>
      <c r="AP115">
        <f t="shared" ca="1" si="36"/>
        <v>9.0949470177292824E-11</v>
      </c>
    </row>
    <row r="116" spans="1:42" x14ac:dyDescent="0.35">
      <c r="A116">
        <v>73</v>
      </c>
      <c r="B116">
        <f t="shared" si="37"/>
        <v>1</v>
      </c>
      <c r="C116">
        <f t="shared" ca="1" si="38"/>
        <v>0.98</v>
      </c>
      <c r="D116">
        <f t="shared" ca="1" si="39"/>
        <v>634.34800000003133</v>
      </c>
      <c r="E116">
        <f t="shared" ca="1" si="40"/>
        <v>631.92500000005907</v>
      </c>
      <c r="F116">
        <f t="shared" si="28"/>
        <v>51</v>
      </c>
      <c r="G116">
        <f>IF(N6="None",F116,MAX(0,F116*B116))</f>
        <v>51</v>
      </c>
      <c r="H116">
        <f>IF(N6="None",0,MAX(0,F116-G116))</f>
        <v>0</v>
      </c>
      <c r="I116">
        <f ca="1">IF(AND(N7="None",N8="None"),0,IF(N8="None",G116,IF(N7="None",0,MAX(0,G116*C116))))</f>
        <v>49.98</v>
      </c>
      <c r="J116">
        <f ca="1">IF(AND(N7="None",N8="None"),0,IF(N8="None",0,IF(N7="None",G116,MAX(0,G116-I116))))</f>
        <v>1.0200000000000031</v>
      </c>
      <c r="K116">
        <f>P5</f>
        <v>637</v>
      </c>
      <c r="L116">
        <f>P6</f>
        <v>634.3119999999999</v>
      </c>
      <c r="M116">
        <f>P7</f>
        <v>635.5</v>
      </c>
      <c r="N116">
        <f>P8</f>
        <v>631.54999999999995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-2091.5872404992097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640.05397805979817</v>
      </c>
      <c r="Q116">
        <f ca="1">L116+((ABS(H116)/MAX(((G33)+(I33)*(MAX($D$16,(L116)-(K33))))*(MAX($D$16,(L116)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AC116)-(J33))))*(MAX($D$16,(AC116)-(J33))),0.000001)),$D$9*((((ABS(H116)/MAX(((G33)+(I33)*(MAX($D$16,(L116)-(K33))))*(MAX($D$16,(L116)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L116)-(K33))))*(MAX($D$16,(L116)-(K33))),0.000001))^2)/(2*$I$5)))))+($D$10*(ABS((X33)-(W33))/90)*MAX(((ABS(H116)/MAX(((F33)+(H33)*(MAX($D$16,(AC116)-(J33))))*(MAX($D$16,(AC116)-(J33))),0.000001))^2)/(2*$I$5),((ABS(H116)/MAX(((G33)+(I33)*(MAX($D$16,(L116)-(K33))))*(MAX($D$16,(L116)-(K33))),0.000001))^2)/(2*$I$5)))+(($D$11*0.00000015*(ABS(G116)/MAX(ABS(F116),0.000001))^2*MAX(((ABS(H116)/MAX(((F33)+(H33)*(MAX($D$16,(AC116)-(J33))))*(MAX($D$16,(AC116)-(J33))),0.000001))^2)/(2*$I$5),((ABS(H116)/MAX(((G33)+(I33)*(MAX($D$16,(L116)-(K33))))*(MAX($D$16,(L116)-(K33))),0.000001))^2)/(2*$I$5))))-((ABS(H116)/MAX(((F33)+(H33)*(MAX($D$16,(AC116)-(J33))))*(MAX($D$16,(AC116)-(J33))),0.000001))^2)/(2*$I$5)</f>
        <v>634.3119999999999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-292118.81246378768</v>
      </c>
      <c r="S116">
        <f ca="1">M116+((ABS(I116)/MAX(((G34)+(I34)*(MAX($D$16,(M116)-(K34))))*(MAX($D$16,(M116)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AD116)-(J34))))*(MAX($D$16,(AD116)-(J34))),0.000001)),$D$9*((((ABS(I116)/MAX(((G34)+(I34)*(MAX($D$16,(M116)-(K34))))*(MAX($D$16,(M116)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M116)-(K34))))*(MAX($D$16,(M116)-(K34))),0.000001))^2)/(2*$I$5)))))+($D$10*(ABS((X34)-(W34))/90)*MAX(((ABS(I116)/MAX(((F34)+(H34)*(MAX($D$16,(AD116)-(J34))))*(MAX($D$16,(AD116)-(J34))),0.000001))^2)/(2*$I$5),((ABS(I116)/MAX(((G34)+(I34)*(MAX($D$16,(M116)-(K34))))*(MAX($D$16,(M116)-(K34))),0.000001))^2)/(2*$I$5)))+(0)-((ABS(I116)/MAX(((F34)+(H34)*(MAX($D$16,(AD116)-(J34))))*(MAX($D$16,(AD116)-(J34))),0.000001))^2)/(2*$I$5)</f>
        <v>635.51128720958343</v>
      </c>
      <c r="T116">
        <f ca="1">N116+((ABS(J116)/MAX(((G35)+(I35)*(MAX($D$16,(N116)-(K35))))*(MAX($D$16,(N116)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AD116)-(J35))))*(MAX($D$16,(AD116)-(J35))),0.000001)),$D$9*((((ABS(J116)/MAX(((G35)+(I35)*(MAX($D$16,(N116)-(K35))))*(MAX($D$16,(N116)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N116)-(K35))))*(MAX($D$16,(N116)-(K35))),0.000001))^2)/(2*$I$5)))))+($D$10*(ABS((X35)-(W35))/90)*MAX(((ABS(J116)/MAX(((F35)+(H35)*(MAX($D$16,(AD116)-(J35))))*(MAX($D$16,(AD116)-(J35))),0.000001))^2)/(2*$I$5),((ABS(J116)/MAX(((G35)+(I35)*(MAX($D$16,(N116)-(K35))))*(MAX($D$16,(N116)-(K35))),0.000001))^2)/(2*$I$5)))+(($D$11*0.34699541*(ABS(I116)/MAX(ABS(G116),0.000001))^2*MAX(((ABS(J116)/MAX(((F35)+(H35)*(MAX($D$16,(AD116)-(J35))))*(MAX($D$16,(AD116)-(J35))),0.000001))^2)/(2*$I$5),((ABS(J116)/MAX(((G35)+(I35)*(MAX($D$16,(N116)-(K35))))*(MAX($D$16,(N116)-(K35))),0.000001))^2)/(2*$I$5))))-((ABS(J116)/MAX(((F35)+(H35)*(MAX($D$16,(AD116)-(J35))))*(MAX($D$16,(AD116)-(J35))),0.000001))^2)/(2*$I$5)</f>
        <v>639.97429104455466</v>
      </c>
      <c r="U116">
        <f ca="1">((((G31)*(MAX($D$16,(AE116)-(K31)))^2)/2+(I31)*(MAX($D$16,(AE116)-(K31)))^3/3+(ABS(F116)^2)/($I$5*MAX(((G31)+(I31)*(MAX($D$16,(AE116)-(K31))))*(MAX($D$16,(AE116)-(K31))),0.000001)))-(IF(N6="None",((((F32)*(MAX($D$16,(AE116)-(J32)))^2)/2+(H32)*(MAX($D$16,(AE116)-(J32)))^3/3+(ABS(G116)^2)/($I$5*MAX(((F32)+(H32)*(MAX($D$16,(AE116)-(J32))))*(MAX($D$16,(AE116)-(J32))),0.000001)))*0.72785025),(((((F32)*(MAX($D$16,(AE116)-(J32)))^2)/2+(H32)*(MAX($D$16,(AE116)-(J32)))^3/3+(ABS(G116)^2)/($I$5*MAX(((F32)+(H32)*(MAX($D$16,(AE116)-(J32))))*(MAX($D$16,(AE116)-(J32))),0.000001)))*0.72785025)+((((F33)*(MAX($D$16,(AE116)-(J33)))^2)/2+(H33)*(MAX($D$16,(AE116)-(J33)))^3/3+(ABS(H116)^2)/($I$5*MAX(((F33)+(H33)*(MAX($D$16,(AE116)-(J33))))*(MAX($D$16,(AE116)-(J33))),0.000001)))*0.99999971)))))/MAX(((G31)*(MAX($D$16,(AE116)-(K31)))^2)/2+(I31)*(MAX($D$16,(AE116)-(K31)))^3/3+(ABS(F116)^2)/($I$5*MAX(((G31)+(I31)*(MAX($D$16,(AE116)-(K31))))*(MAX($D$16,(AE116)-(K31))),0.000001)),0.000001)</f>
        <v>0.27214975000000002</v>
      </c>
      <c r="V116">
        <f ca="1">((((G32)*(MAX($D$16,(AF116)-(K32)))^2)/2+(I32)*(MAX($D$16,(AF116)-(K32)))^3/3+(ABS(G116)^2)/($I$5*MAX(((G32)+(I32)*(MAX($D$16,(AF116)-(K32))))*(MAX($D$16,(AF116)-(K32))),0.000001)))-(IF(AND(N7="None",N8="None"),0,IF(N8="None",((((F34)*(MAX($D$16,(AF116)-(J34)))^2)/2+(H34)*(MAX($D$16,(AF116)-(J34)))^3/3+(ABS(I116)^2)/($I$5*MAX(((F34)+(H34)*(MAX($D$16,(AF116)-(J34))))*(MAX($D$16,(AF116)-(J34))),0.000001)))*1),IF(N7="None",((((F35)*(MAX($D$16,(AF116)-(J35)))^2)/2+(H35)*(MAX($D$16,(AF116)-(J35)))^3/3+(ABS(J116)^2)/($I$5*MAX(((F35)+(H35)*(MAX($D$16,(AF116)-(J35))))*(MAX($D$16,(AF116)-(J35))),0.000001)))*0.30600918),(((((F34)*(MAX($D$16,(AF116)-(J34)))^2)/2+(H34)*(MAX($D$16,(AF116)-(J34)))^3/3+(ABS(I116)^2)/($I$5*MAX(((F34)+(H34)*(MAX($D$16,(AF116)-(J34))))*(MAX($D$16,(AF116)-(J34))),0.000001)))*1)+((((F35)*(MAX($D$16,(AF116)-(J35)))^2)/2+(H35)*(MAX($D$16,(AF116)-(J35)))^3/3+(ABS(J116)^2)/($I$5*MAX(((F35)+(H35)*(MAX($D$16,(AF116)-(J35))))*(MAX($D$16,(AF116)-(J35))),0.000001)))*0.30600918)))))))/MAX(((G32)*(MAX($D$16,(AF116)-(K32)))^2)/2+(I32)*(MAX($D$16,(AF116)-(K32)))^3/3+(ABS(G116)^2)/($I$5*MAX(((G32)+(I32)*(MAX($D$16,(AF116)-(K32))))*(MAX($D$16,(AF116)-(K32))),0.000001)),0.000001)</f>
        <v>3.904177561081449E-2</v>
      </c>
      <c r="W116">
        <f ca="1">ABS((IF(N6="None",P116,MAX(P116,Q116)))-D116)</f>
        <v>5.705978059766835</v>
      </c>
      <c r="X116">
        <f ca="1">ABS((IF(AND(N7="None",N8="None"),E116,IF(N8="None",S116,IF(N7="None",T116,MAX(S116,T116)))))-E116)</f>
        <v>8.0492910444955896</v>
      </c>
      <c r="Y116">
        <f>IF(N6="None",1,MIN(0.98,MAX(0.02,B116+$D$14*((Q116-P116)/MAX(ABS(D116),1)))))</f>
        <v>1</v>
      </c>
      <c r="Z116">
        <f ca="1">IF(AND(N7="None",N8="None"),C116,IF(N8="None",1,IF(N7="None",0,MIN(0.98,MAX(0.02,C116+$D$14*((T116-S116)/MAX(ABS(E116),1)))))))</f>
        <v>0.98</v>
      </c>
      <c r="AA116">
        <f t="shared" ca="1" si="29"/>
        <v>636.34536430060939</v>
      </c>
      <c r="AB116">
        <f t="shared" ca="1" si="30"/>
        <v>634.74259262169664</v>
      </c>
      <c r="AC116">
        <f ca="1">IF($D$20=0,D116,IF(AC116=0,(IF(N6="None",P116,MAX(P116,Q116))),IF(ABS((IF(N6="None",P116,MAX(P116,Q116)))-AC116)&lt;$D$19,AC116,MAX((K31)+$D$16,AC116+$D$13*(((IF(N6="None",P116,MAX(P116,Q116)))-AC116))))))</f>
        <v>640.05475514453997</v>
      </c>
      <c r="AD116">
        <f ca="1">IF($D$20=0,E116,IF(AD116=0,(IF(AND(N7="None",N8="None"),E116,IF(N8="None",S116,IF(N7="None",T116,MAX(S116,T116))))),IF(ABS((IF(AND(N7="None",N8="None"),E116,IF(N8="None",S116,IF(N7="None",T116,MAX(S116,T116)))))-AD116)&lt;$D$19,AD116,MAX((K32)+$D$16,AD116+$D$13*(((IF(AND(N7="None",N8="None"),E116,IF(N8="None",S116,IF(N7="None",T116,MAX(S116,T116)))))-AD116))))))</f>
        <v>639.97526463330917</v>
      </c>
      <c r="AE116">
        <f ca="1">IF($D$20=0,D116,IF(AE116=0,O116,IF(ABS(U116)&lt;$D$19,AE116,MAX((K31)+$D$16,AE116+($D$13*(((O116)-AE116)+(U116*MAX(ABS(AE116-(K31)),1))))))))</f>
        <v>634.34799999999996</v>
      </c>
      <c r="AF116">
        <f ca="1">IF($D$20=0,E116,IF(AF116=0,R116,IF(ABS(V116)&lt;$D$19,AF116,MAX((K32)+$D$16,AF116+($D$13*(((R116)-AF116)+(V116*MAX(ABS(AF116-(K32)),1))))))))</f>
        <v>631.92499999999995</v>
      </c>
      <c r="AG116">
        <f ca="1">((G31)*(MAX($D$16,(AC116)-(K31)))^2)/2+(I31)*(MAX($D$16,(AC116)-(K31)))^3/3+(ABS(F116)^2)/($I$5*MAX(((G31)+(I31)*(MAX($D$16,(AC116)-(K31))))*(MAX($D$16,(AC116)-(K31))),0.000001))</f>
        <v>115.68980551184316</v>
      </c>
      <c r="AH116">
        <f ca="1">((G31)*(MAX($D$16,(AE116)-(K31)))^2)/2+(I31)*(MAX($D$16,(AE116)-(K31)))^3/3+(ABS(F116)^2)/($I$5*MAX(((G31)+(I31)*(MAX($D$16,(AE116)-(K31))))*(MAX($D$16,(AE116)-(K31))),0.000001))</f>
        <v>808.60110594434002</v>
      </c>
      <c r="AI116">
        <f ca="1">((G32)*(MAX($D$16,(AD116)-(K32)))^2)/2+(I32)*(MAX($D$16,(AD116)-(K32)))^3/3+(ABS(G116)^2)/($I$5*MAX(((G32)+(I32)*(MAX($D$16,(AD116)-(K32))))*(MAX($D$16,(AD116)-(K32))),0.000001))</f>
        <v>338.03683729018678</v>
      </c>
      <c r="AJ116">
        <f ca="1">((G32)*(MAX($D$16,(AF116)-(K32)))^2)/2+(I32)*(MAX($D$16,(AF116)-(K32)))^3/3+(ABS(G116)^2)/($I$5*MAX(((G32)+(I32)*(MAX($D$16,(AF116)-(K32))))*(MAX($D$16,(AF116)-(K32))),0.000001))</f>
        <v>519.58480272613974</v>
      </c>
      <c r="AK116" t="str">
        <f t="shared" ca="1" si="31"/>
        <v>Supercritical</v>
      </c>
      <c r="AL116" t="str">
        <f t="shared" ca="1" si="32"/>
        <v>Supercritical</v>
      </c>
      <c r="AM116">
        <f t="shared" ca="1" si="33"/>
        <v>634.34800000002031</v>
      </c>
      <c r="AN116">
        <f t="shared" ca="1" si="34"/>
        <v>631.92500000003838</v>
      </c>
      <c r="AO116">
        <f t="shared" ca="1" si="35"/>
        <v>3.1377567211166024E-11</v>
      </c>
      <c r="AP116">
        <f t="shared" ca="1" si="36"/>
        <v>5.9117155615240335E-11</v>
      </c>
    </row>
    <row r="117" spans="1:42" x14ac:dyDescent="0.35">
      <c r="A117">
        <v>74</v>
      </c>
      <c r="B117">
        <f t="shared" si="37"/>
        <v>1</v>
      </c>
      <c r="C117">
        <f t="shared" ca="1" si="38"/>
        <v>0.98</v>
      </c>
      <c r="D117">
        <f t="shared" ca="1" si="39"/>
        <v>634.34800000002031</v>
      </c>
      <c r="E117">
        <f t="shared" ca="1" si="40"/>
        <v>631.92500000003838</v>
      </c>
      <c r="F117">
        <f t="shared" si="28"/>
        <v>51</v>
      </c>
      <c r="G117">
        <f>IF(N6="None",F117,MAX(0,F117*B117))</f>
        <v>51</v>
      </c>
      <c r="H117">
        <f>IF(N6="None",0,MAX(0,F117-G117))</f>
        <v>0</v>
      </c>
      <c r="I117">
        <f ca="1">IF(AND(N7="None",N8="None"),0,IF(N8="None",G117,IF(N7="None",0,MAX(0,G117*C117))))</f>
        <v>49.98</v>
      </c>
      <c r="J117">
        <f ca="1">IF(AND(N7="None",N8="None"),0,IF(N8="None",0,IF(N7="None",G117,MAX(0,G117-I117))))</f>
        <v>1.0200000000000031</v>
      </c>
      <c r="K117">
        <f>P5</f>
        <v>637</v>
      </c>
      <c r="L117">
        <f>P6</f>
        <v>634.3119999999999</v>
      </c>
      <c r="M117">
        <f>P7</f>
        <v>635.5</v>
      </c>
      <c r="N117">
        <f>P8</f>
        <v>631.54999999999995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-2091.5872404992097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640.05397805979817</v>
      </c>
      <c r="Q117">
        <f ca="1">L117+((ABS(H117)/MAX(((G33)+(I33)*(MAX($D$16,(L117)-(K33))))*(MAX($D$16,(L117)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AC117)-(J33))))*(MAX($D$16,(AC117)-(J33))),0.000001)),$D$9*((((ABS(H117)/MAX(((G33)+(I33)*(MAX($D$16,(L117)-(K33))))*(MAX($D$16,(L117)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L117)-(K33))))*(MAX($D$16,(L117)-(K33))),0.000001))^2)/(2*$I$5)))))+($D$10*(ABS((X33)-(W33))/90)*MAX(((ABS(H117)/MAX(((F33)+(H33)*(MAX($D$16,(AC117)-(J33))))*(MAX($D$16,(AC117)-(J33))),0.000001))^2)/(2*$I$5),((ABS(H117)/MAX(((G33)+(I33)*(MAX($D$16,(L117)-(K33))))*(MAX($D$16,(L117)-(K33))),0.000001))^2)/(2*$I$5)))+(($D$11*0.00000015*(ABS(G117)/MAX(ABS(F117),0.000001))^2*MAX(((ABS(H117)/MAX(((F33)+(H33)*(MAX($D$16,(AC117)-(J33))))*(MAX($D$16,(AC117)-(J33))),0.000001))^2)/(2*$I$5),((ABS(H117)/MAX(((G33)+(I33)*(MAX($D$16,(L117)-(K33))))*(MAX($D$16,(L117)-(K33))),0.000001))^2)/(2*$I$5))))-((ABS(H117)/MAX(((F33)+(H33)*(MAX($D$16,(AC117)-(J33))))*(MAX($D$16,(AC117)-(J33))),0.000001))^2)/(2*$I$5)</f>
        <v>634.3119999999999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-292118.81246378768</v>
      </c>
      <c r="S117">
        <f ca="1">M117+((ABS(I117)/MAX(((G34)+(I34)*(MAX($D$16,(M117)-(K34))))*(MAX($D$16,(M117)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AD117)-(J34))))*(MAX($D$16,(AD117)-(J34))),0.000001)),$D$9*((((ABS(I117)/MAX(((G34)+(I34)*(MAX($D$16,(M117)-(K34))))*(MAX($D$16,(M117)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M117)-(K34))))*(MAX($D$16,(M117)-(K34))),0.000001))^2)/(2*$I$5)))))+($D$10*(ABS((X34)-(W34))/90)*MAX(((ABS(I117)/MAX(((F34)+(H34)*(MAX($D$16,(AD117)-(J34))))*(MAX($D$16,(AD117)-(J34))),0.000001))^2)/(2*$I$5),((ABS(I117)/MAX(((G34)+(I34)*(MAX($D$16,(M117)-(K34))))*(MAX($D$16,(M117)-(K34))),0.000001))^2)/(2*$I$5)))+(0)-((ABS(I117)/MAX(((F34)+(H34)*(MAX($D$16,(AD117)-(J34))))*(MAX($D$16,(AD117)-(J34))),0.000001))^2)/(2*$I$5)</f>
        <v>635.51128720958343</v>
      </c>
      <c r="T117">
        <f ca="1">N117+((ABS(J117)/MAX(((G35)+(I35)*(MAX($D$16,(N117)-(K35))))*(MAX($D$16,(N117)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AD117)-(J35))))*(MAX($D$16,(AD117)-(J35))),0.000001)),$D$9*((((ABS(J117)/MAX(((G35)+(I35)*(MAX($D$16,(N117)-(K35))))*(MAX($D$16,(N117)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N117)-(K35))))*(MAX($D$16,(N117)-(K35))),0.000001))^2)/(2*$I$5)))))+($D$10*(ABS((X35)-(W35))/90)*MAX(((ABS(J117)/MAX(((F35)+(H35)*(MAX($D$16,(AD117)-(J35))))*(MAX($D$16,(AD117)-(J35))),0.000001))^2)/(2*$I$5),((ABS(J117)/MAX(((G35)+(I35)*(MAX($D$16,(N117)-(K35))))*(MAX($D$16,(N117)-(K35))),0.000001))^2)/(2*$I$5)))+(($D$11*0.34699541*(ABS(I117)/MAX(ABS(G117),0.000001))^2*MAX(((ABS(J117)/MAX(((F35)+(H35)*(MAX($D$16,(AD117)-(J35))))*(MAX($D$16,(AD117)-(J35))),0.000001))^2)/(2*$I$5),((ABS(J117)/MAX(((G35)+(I35)*(MAX($D$16,(N117)-(K35))))*(MAX($D$16,(N117)-(K35))),0.000001))^2)/(2*$I$5))))-((ABS(J117)/MAX(((F35)+(H35)*(MAX($D$16,(AD117)-(J35))))*(MAX($D$16,(AD117)-(J35))),0.000001))^2)/(2*$I$5)</f>
        <v>639.97429104455466</v>
      </c>
      <c r="U117">
        <f ca="1">((((G31)*(MAX($D$16,(AE117)-(K31)))^2)/2+(I31)*(MAX($D$16,(AE117)-(K31)))^3/3+(ABS(F117)^2)/($I$5*MAX(((G31)+(I31)*(MAX($D$16,(AE117)-(K31))))*(MAX($D$16,(AE117)-(K31))),0.000001)))-(IF(N6="None",((((F32)*(MAX($D$16,(AE117)-(J32)))^2)/2+(H32)*(MAX($D$16,(AE117)-(J32)))^3/3+(ABS(G117)^2)/($I$5*MAX(((F32)+(H32)*(MAX($D$16,(AE117)-(J32))))*(MAX($D$16,(AE117)-(J32))),0.000001)))*0.72785025),(((((F32)*(MAX($D$16,(AE117)-(J32)))^2)/2+(H32)*(MAX($D$16,(AE117)-(J32)))^3/3+(ABS(G117)^2)/($I$5*MAX(((F32)+(H32)*(MAX($D$16,(AE117)-(J32))))*(MAX($D$16,(AE117)-(J32))),0.000001)))*0.72785025)+((((F33)*(MAX($D$16,(AE117)-(J33)))^2)/2+(H33)*(MAX($D$16,(AE117)-(J33)))^3/3+(ABS(H117)^2)/($I$5*MAX(((F33)+(H33)*(MAX($D$16,(AE117)-(J33))))*(MAX($D$16,(AE117)-(J33))),0.000001)))*0.99999971)))))/MAX(((G31)*(MAX($D$16,(AE117)-(K31)))^2)/2+(I31)*(MAX($D$16,(AE117)-(K31)))^3/3+(ABS(F117)^2)/($I$5*MAX(((G31)+(I31)*(MAX($D$16,(AE117)-(K31))))*(MAX($D$16,(AE117)-(K31))),0.000001)),0.000001)</f>
        <v>0.27214975000000002</v>
      </c>
      <c r="V117">
        <f ca="1">((((G32)*(MAX($D$16,(AF117)-(K32)))^2)/2+(I32)*(MAX($D$16,(AF117)-(K32)))^3/3+(ABS(G117)^2)/($I$5*MAX(((G32)+(I32)*(MAX($D$16,(AF117)-(K32))))*(MAX($D$16,(AF117)-(K32))),0.000001)))-(IF(AND(N7="None",N8="None"),0,IF(N8="None",((((F34)*(MAX($D$16,(AF117)-(J34)))^2)/2+(H34)*(MAX($D$16,(AF117)-(J34)))^3/3+(ABS(I117)^2)/($I$5*MAX(((F34)+(H34)*(MAX($D$16,(AF117)-(J34))))*(MAX($D$16,(AF117)-(J34))),0.000001)))*1),IF(N7="None",((((F35)*(MAX($D$16,(AF117)-(J35)))^2)/2+(H35)*(MAX($D$16,(AF117)-(J35)))^3/3+(ABS(J117)^2)/($I$5*MAX(((F35)+(H35)*(MAX($D$16,(AF117)-(J35))))*(MAX($D$16,(AF117)-(J35))),0.000001)))*0.30600918),(((((F34)*(MAX($D$16,(AF117)-(J34)))^2)/2+(H34)*(MAX($D$16,(AF117)-(J34)))^3/3+(ABS(I117)^2)/($I$5*MAX(((F34)+(H34)*(MAX($D$16,(AF117)-(J34))))*(MAX($D$16,(AF117)-(J34))),0.000001)))*1)+((((F35)*(MAX($D$16,(AF117)-(J35)))^2)/2+(H35)*(MAX($D$16,(AF117)-(J35)))^3/3+(ABS(J117)^2)/($I$5*MAX(((F35)+(H35)*(MAX($D$16,(AF117)-(J35))))*(MAX($D$16,(AF117)-(J35))),0.000001)))*0.30600918)))))))/MAX(((G32)*(MAX($D$16,(AF117)-(K32)))^2)/2+(I32)*(MAX($D$16,(AF117)-(K32)))^3/3+(ABS(G117)^2)/($I$5*MAX(((G32)+(I32)*(MAX($D$16,(AF117)-(K32))))*(MAX($D$16,(AF117)-(K32))),0.000001)),0.000001)</f>
        <v>3.904177561081449E-2</v>
      </c>
      <c r="W117">
        <f ca="1">ABS((IF(N6="None",P117,MAX(P117,Q117)))-D117)</f>
        <v>5.7059780597778627</v>
      </c>
      <c r="X117">
        <f ca="1">ABS((IF(AND(N7="None",N8="None"),E117,IF(N8="None",S117,IF(N7="None",T117,MAX(S117,T117)))))-E117)</f>
        <v>8.0492910445162806</v>
      </c>
      <c r="Y117">
        <f>IF(N6="None",1,MIN(0.98,MAX(0.02,B117+$D$14*((Q117-P117)/MAX(ABS(D117),1)))))</f>
        <v>1</v>
      </c>
      <c r="Z117">
        <f ca="1">IF(AND(N7="None",N8="None"),C117,IF(N8="None",1,IF(N7="None",0,MIN(0.98,MAX(0.02,C117+$D$14*((T117-S117)/MAX(ABS(E117),1)))))))</f>
        <v>0.98</v>
      </c>
      <c r="AA117">
        <f t="shared" ca="1" si="29"/>
        <v>636.34536430060223</v>
      </c>
      <c r="AB117">
        <f t="shared" ca="1" si="30"/>
        <v>634.74259262168312</v>
      </c>
      <c r="AC117">
        <f ca="1">IF($D$20=0,D117,IF(AC117=0,(IF(N6="None",P117,MAX(P117,Q117))),IF(ABS((IF(N6="None",P117,MAX(P117,Q117)))-AC117)&lt;$D$19,AC117,MAX((K31)+$D$16,AC117+$D$13*(((IF(N6="None",P117,MAX(P117,Q117)))-AC117))))))</f>
        <v>640.05475514453997</v>
      </c>
      <c r="AD117">
        <f ca="1">IF($D$20=0,E117,IF(AD117=0,(IF(AND(N7="None",N8="None"),E117,IF(N8="None",S117,IF(N7="None",T117,MAX(S117,T117))))),IF(ABS((IF(AND(N7="None",N8="None"),E117,IF(N8="None",S117,IF(N7="None",T117,MAX(S117,T117)))))-AD117)&lt;$D$19,AD117,MAX((K32)+$D$16,AD117+$D$13*(((IF(AND(N7="None",N8="None"),E117,IF(N8="None",S117,IF(N7="None",T117,MAX(S117,T117)))))-AD117))))))</f>
        <v>639.97526463330917</v>
      </c>
      <c r="AE117">
        <f ca="1">IF($D$20=0,D117,IF(AE117=0,O117,IF(ABS(U117)&lt;$D$19,AE117,MAX((K31)+$D$16,AE117+($D$13*(((O117)-AE117)+(U117*MAX(ABS(AE117-(K31)),1))))))))</f>
        <v>634.34799999999996</v>
      </c>
      <c r="AF117">
        <f ca="1">IF($D$20=0,E117,IF(AF117=0,R117,IF(ABS(V117)&lt;$D$19,AF117,MAX((K32)+$D$16,AF117+($D$13*(((R117)-AF117)+(V117*MAX(ABS(AF117-(K32)),1))))))))</f>
        <v>631.92499999999995</v>
      </c>
      <c r="AG117">
        <f ca="1">((G31)*(MAX($D$16,(AC117)-(K31)))^2)/2+(I31)*(MAX($D$16,(AC117)-(K31)))^3/3+(ABS(F117)^2)/($I$5*MAX(((G31)+(I31)*(MAX($D$16,(AC117)-(K31))))*(MAX($D$16,(AC117)-(K31))),0.000001))</f>
        <v>115.68980551184316</v>
      </c>
      <c r="AH117">
        <f ca="1">((G31)*(MAX($D$16,(AE117)-(K31)))^2)/2+(I31)*(MAX($D$16,(AE117)-(K31)))^3/3+(ABS(F117)^2)/($I$5*MAX(((G31)+(I31)*(MAX($D$16,(AE117)-(K31))))*(MAX($D$16,(AE117)-(K31))),0.000001))</f>
        <v>808.60110594434002</v>
      </c>
      <c r="AI117">
        <f ca="1">((G32)*(MAX($D$16,(AD117)-(K32)))^2)/2+(I32)*(MAX($D$16,(AD117)-(K32)))^3/3+(ABS(G117)^2)/($I$5*MAX(((G32)+(I32)*(MAX($D$16,(AD117)-(K32))))*(MAX($D$16,(AD117)-(K32))),0.000001))</f>
        <v>338.03683729018678</v>
      </c>
      <c r="AJ117">
        <f ca="1">((G32)*(MAX($D$16,(AF117)-(K32)))^2)/2+(I32)*(MAX($D$16,(AF117)-(K32)))^3/3+(ABS(G117)^2)/($I$5*MAX(((G32)+(I32)*(MAX($D$16,(AF117)-(K32))))*(MAX($D$16,(AF117)-(K32))),0.000001))</f>
        <v>519.58480272613974</v>
      </c>
      <c r="AK117" t="str">
        <f t="shared" ca="1" si="31"/>
        <v>Supercritical</v>
      </c>
      <c r="AL117" t="str">
        <f t="shared" ca="1" si="32"/>
        <v>Supercritical</v>
      </c>
      <c r="AM117">
        <f t="shared" ca="1" si="33"/>
        <v>634.34800000001314</v>
      </c>
      <c r="AN117">
        <f t="shared" ca="1" si="34"/>
        <v>631.92500000002497</v>
      </c>
      <c r="AO117">
        <f t="shared" ca="1" si="35"/>
        <v>2.0349943952169269E-11</v>
      </c>
      <c r="AP117">
        <f t="shared" ca="1" si="36"/>
        <v>3.8426151149906218E-11</v>
      </c>
    </row>
    <row r="118" spans="1:42" x14ac:dyDescent="0.35">
      <c r="A118">
        <v>75</v>
      </c>
      <c r="B118">
        <f t="shared" si="37"/>
        <v>1</v>
      </c>
      <c r="C118">
        <f t="shared" ca="1" si="38"/>
        <v>0.98</v>
      </c>
      <c r="D118">
        <f t="shared" ca="1" si="39"/>
        <v>634.34800000001314</v>
      </c>
      <c r="E118">
        <f t="shared" ca="1" si="40"/>
        <v>631.92500000002497</v>
      </c>
      <c r="F118">
        <f t="shared" si="28"/>
        <v>51</v>
      </c>
      <c r="G118">
        <f>IF(N6="None",F118,MAX(0,F118*B118))</f>
        <v>51</v>
      </c>
      <c r="H118">
        <f>IF(N6="None",0,MAX(0,F118-G118))</f>
        <v>0</v>
      </c>
      <c r="I118">
        <f ca="1">IF(AND(N7="None",N8="None"),0,IF(N8="None",G118,IF(N7="None",0,MAX(0,G118*C118))))</f>
        <v>49.98</v>
      </c>
      <c r="J118">
        <f ca="1">IF(AND(N7="None",N8="None"),0,IF(N8="None",0,IF(N7="None",G118,MAX(0,G118-I118))))</f>
        <v>1.0200000000000031</v>
      </c>
      <c r="K118">
        <f>P5</f>
        <v>637</v>
      </c>
      <c r="L118">
        <f>P6</f>
        <v>634.3119999999999</v>
      </c>
      <c r="M118">
        <f>P7</f>
        <v>635.5</v>
      </c>
      <c r="N118">
        <f>P8</f>
        <v>631.54999999999995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-2091.5872404992097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640.05397805979817</v>
      </c>
      <c r="Q118">
        <f ca="1">L118+((ABS(H118)/MAX(((G33)+(I33)*(MAX($D$16,(L118)-(K33))))*(MAX($D$16,(L118)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AC118)-(J33))))*(MAX($D$16,(AC118)-(J33))),0.000001)),$D$9*((((ABS(H118)/MAX(((G33)+(I33)*(MAX($D$16,(L118)-(K33))))*(MAX($D$16,(L118)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L118)-(K33))))*(MAX($D$16,(L118)-(K33))),0.000001))^2)/(2*$I$5)))))+($D$10*(ABS((X33)-(W33))/90)*MAX(((ABS(H118)/MAX(((F33)+(H33)*(MAX($D$16,(AC118)-(J33))))*(MAX($D$16,(AC118)-(J33))),0.000001))^2)/(2*$I$5),((ABS(H118)/MAX(((G33)+(I33)*(MAX($D$16,(L118)-(K33))))*(MAX($D$16,(L118)-(K33))),0.000001))^2)/(2*$I$5)))+(($D$11*0.00000015*(ABS(G118)/MAX(ABS(F118),0.000001))^2*MAX(((ABS(H118)/MAX(((F33)+(H33)*(MAX($D$16,(AC118)-(J33))))*(MAX($D$16,(AC118)-(J33))),0.000001))^2)/(2*$I$5),((ABS(H118)/MAX(((G33)+(I33)*(MAX($D$16,(L118)-(K33))))*(MAX($D$16,(L118)-(K33))),0.000001))^2)/(2*$I$5))))-((ABS(H118)/MAX(((F33)+(H33)*(MAX($D$16,(AC118)-(J33))))*(MAX($D$16,(AC118)-(J33))),0.000001))^2)/(2*$I$5)</f>
        <v>634.3119999999999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-292118.81246378768</v>
      </c>
      <c r="S118">
        <f ca="1">M118+((ABS(I118)/MAX(((G34)+(I34)*(MAX($D$16,(M118)-(K34))))*(MAX($D$16,(M118)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AD118)-(J34))))*(MAX($D$16,(AD118)-(J34))),0.000001)),$D$9*((((ABS(I118)/MAX(((G34)+(I34)*(MAX($D$16,(M118)-(K34))))*(MAX($D$16,(M118)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M118)-(K34))))*(MAX($D$16,(M118)-(K34))),0.000001))^2)/(2*$I$5)))))+($D$10*(ABS((X34)-(W34))/90)*MAX(((ABS(I118)/MAX(((F34)+(H34)*(MAX($D$16,(AD118)-(J34))))*(MAX($D$16,(AD118)-(J34))),0.000001))^2)/(2*$I$5),((ABS(I118)/MAX(((G34)+(I34)*(MAX($D$16,(M118)-(K34))))*(MAX($D$16,(M118)-(K34))),0.000001))^2)/(2*$I$5)))+(0)-((ABS(I118)/MAX(((F34)+(H34)*(MAX($D$16,(AD118)-(J34))))*(MAX($D$16,(AD118)-(J34))),0.000001))^2)/(2*$I$5)</f>
        <v>635.51128720958343</v>
      </c>
      <c r="T118">
        <f ca="1">N118+((ABS(J118)/MAX(((G35)+(I35)*(MAX($D$16,(N118)-(K35))))*(MAX($D$16,(N118)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AD118)-(J35))))*(MAX($D$16,(AD118)-(J35))),0.000001)),$D$9*((((ABS(J118)/MAX(((G35)+(I35)*(MAX($D$16,(N118)-(K35))))*(MAX($D$16,(N118)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N118)-(K35))))*(MAX($D$16,(N118)-(K35))),0.000001))^2)/(2*$I$5)))))+($D$10*(ABS((X35)-(W35))/90)*MAX(((ABS(J118)/MAX(((F35)+(H35)*(MAX($D$16,(AD118)-(J35))))*(MAX($D$16,(AD118)-(J35))),0.000001))^2)/(2*$I$5),((ABS(J118)/MAX(((G35)+(I35)*(MAX($D$16,(N118)-(K35))))*(MAX($D$16,(N118)-(K35))),0.000001))^2)/(2*$I$5)))+(($D$11*0.34699541*(ABS(I118)/MAX(ABS(G118),0.000001))^2*MAX(((ABS(J118)/MAX(((F35)+(H35)*(MAX($D$16,(AD118)-(J35))))*(MAX($D$16,(AD118)-(J35))),0.000001))^2)/(2*$I$5),((ABS(J118)/MAX(((G35)+(I35)*(MAX($D$16,(N118)-(K35))))*(MAX($D$16,(N118)-(K35))),0.000001))^2)/(2*$I$5))))-((ABS(J118)/MAX(((F35)+(H35)*(MAX($D$16,(AD118)-(J35))))*(MAX($D$16,(AD118)-(J35))),0.000001))^2)/(2*$I$5)</f>
        <v>639.97429104455466</v>
      </c>
      <c r="U118">
        <f ca="1">((((G31)*(MAX($D$16,(AE118)-(K31)))^2)/2+(I31)*(MAX($D$16,(AE118)-(K31)))^3/3+(ABS(F118)^2)/($I$5*MAX(((G31)+(I31)*(MAX($D$16,(AE118)-(K31))))*(MAX($D$16,(AE118)-(K31))),0.000001)))-(IF(N6="None",((((F32)*(MAX($D$16,(AE118)-(J32)))^2)/2+(H32)*(MAX($D$16,(AE118)-(J32)))^3/3+(ABS(G118)^2)/($I$5*MAX(((F32)+(H32)*(MAX($D$16,(AE118)-(J32))))*(MAX($D$16,(AE118)-(J32))),0.000001)))*0.72785025),(((((F32)*(MAX($D$16,(AE118)-(J32)))^2)/2+(H32)*(MAX($D$16,(AE118)-(J32)))^3/3+(ABS(G118)^2)/($I$5*MAX(((F32)+(H32)*(MAX($D$16,(AE118)-(J32))))*(MAX($D$16,(AE118)-(J32))),0.000001)))*0.72785025)+((((F33)*(MAX($D$16,(AE118)-(J33)))^2)/2+(H33)*(MAX($D$16,(AE118)-(J33)))^3/3+(ABS(H118)^2)/($I$5*MAX(((F33)+(H33)*(MAX($D$16,(AE118)-(J33))))*(MAX($D$16,(AE118)-(J33))),0.000001)))*0.99999971)))))/MAX(((G31)*(MAX($D$16,(AE118)-(K31)))^2)/2+(I31)*(MAX($D$16,(AE118)-(K31)))^3/3+(ABS(F118)^2)/($I$5*MAX(((G31)+(I31)*(MAX($D$16,(AE118)-(K31))))*(MAX($D$16,(AE118)-(K31))),0.000001)),0.000001)</f>
        <v>0.27214975000000002</v>
      </c>
      <c r="V118">
        <f ca="1">((((G32)*(MAX($D$16,(AF118)-(K32)))^2)/2+(I32)*(MAX($D$16,(AF118)-(K32)))^3/3+(ABS(G118)^2)/($I$5*MAX(((G32)+(I32)*(MAX($D$16,(AF118)-(K32))))*(MAX($D$16,(AF118)-(K32))),0.000001)))-(IF(AND(N7="None",N8="None"),0,IF(N8="None",((((F34)*(MAX($D$16,(AF118)-(J34)))^2)/2+(H34)*(MAX($D$16,(AF118)-(J34)))^3/3+(ABS(I118)^2)/($I$5*MAX(((F34)+(H34)*(MAX($D$16,(AF118)-(J34))))*(MAX($D$16,(AF118)-(J34))),0.000001)))*1),IF(N7="None",((((F35)*(MAX($D$16,(AF118)-(J35)))^2)/2+(H35)*(MAX($D$16,(AF118)-(J35)))^3/3+(ABS(J118)^2)/($I$5*MAX(((F35)+(H35)*(MAX($D$16,(AF118)-(J35))))*(MAX($D$16,(AF118)-(J35))),0.000001)))*0.30600918),(((((F34)*(MAX($D$16,(AF118)-(J34)))^2)/2+(H34)*(MAX($D$16,(AF118)-(J34)))^3/3+(ABS(I118)^2)/($I$5*MAX(((F34)+(H34)*(MAX($D$16,(AF118)-(J34))))*(MAX($D$16,(AF118)-(J34))),0.000001)))*1)+((((F35)*(MAX($D$16,(AF118)-(J35)))^2)/2+(H35)*(MAX($D$16,(AF118)-(J35)))^3/3+(ABS(J118)^2)/($I$5*MAX(((F35)+(H35)*(MAX($D$16,(AF118)-(J35))))*(MAX($D$16,(AF118)-(J35))),0.000001)))*0.30600918)))))))/MAX(((G32)*(MAX($D$16,(AF118)-(K32)))^2)/2+(I32)*(MAX($D$16,(AF118)-(K32)))^3/3+(ABS(G118)^2)/($I$5*MAX(((G32)+(I32)*(MAX($D$16,(AF118)-(K32))))*(MAX($D$16,(AF118)-(K32))),0.000001)),0.000001)</f>
        <v>3.904177561081449E-2</v>
      </c>
      <c r="W118">
        <f ca="1">ABS((IF(N6="None",P118,MAX(P118,Q118)))-D118)</f>
        <v>5.7059780597850249</v>
      </c>
      <c r="X118">
        <f ca="1">ABS((IF(AND(N7="None",N8="None"),E118,IF(N8="None",S118,IF(N7="None",T118,MAX(S118,T118)))))-E118)</f>
        <v>8.0492910445296957</v>
      </c>
      <c r="Y118">
        <f>IF(N6="None",1,MIN(0.98,MAX(0.02,B118+$D$14*((Q118-P118)/MAX(ABS(D118),1)))))</f>
        <v>1</v>
      </c>
      <c r="Z118">
        <f ca="1">IF(AND(N7="None",N8="None"),C118,IF(N8="None",1,IF(N7="None",0,MIN(0.98,MAX(0.02,C118+$D$14*((T118-S118)/MAX(ABS(E118),1)))))))</f>
        <v>0.98</v>
      </c>
      <c r="AA118">
        <f t="shared" ca="1" si="29"/>
        <v>636.34536430059757</v>
      </c>
      <c r="AB118">
        <f t="shared" ca="1" si="30"/>
        <v>634.74259262167448</v>
      </c>
      <c r="AC118">
        <f ca="1">IF($D$20=0,D118,IF(AC118=0,(IF(N6="None",P118,MAX(P118,Q118))),IF(ABS((IF(N6="None",P118,MAX(P118,Q118)))-AC118)&lt;$D$19,AC118,MAX((K31)+$D$16,AC118+$D$13*(((IF(N6="None",P118,MAX(P118,Q118)))-AC118))))))</f>
        <v>640.05475514453997</v>
      </c>
      <c r="AD118">
        <f ca="1">IF($D$20=0,E118,IF(AD118=0,(IF(AND(N7="None",N8="None"),E118,IF(N8="None",S118,IF(N7="None",T118,MAX(S118,T118))))),IF(ABS((IF(AND(N7="None",N8="None"),E118,IF(N8="None",S118,IF(N7="None",T118,MAX(S118,T118)))))-AD118)&lt;$D$19,AD118,MAX((K32)+$D$16,AD118+$D$13*(((IF(AND(N7="None",N8="None"),E118,IF(N8="None",S118,IF(N7="None",T118,MAX(S118,T118)))))-AD118))))))</f>
        <v>639.97526463330917</v>
      </c>
      <c r="AE118">
        <f ca="1">IF($D$20=0,D118,IF(AE118=0,O118,IF(ABS(U118)&lt;$D$19,AE118,MAX((K31)+$D$16,AE118+($D$13*(((O118)-AE118)+(U118*MAX(ABS(AE118-(K31)),1))))))))</f>
        <v>634.34799999999996</v>
      </c>
      <c r="AF118">
        <f ca="1">IF($D$20=0,E118,IF(AF118=0,R118,IF(ABS(V118)&lt;$D$19,AF118,MAX((K32)+$D$16,AF118+($D$13*(((R118)-AF118)+(V118*MAX(ABS(AF118-(K32)),1))))))))</f>
        <v>631.92499999999995</v>
      </c>
      <c r="AG118">
        <f ca="1">((G31)*(MAX($D$16,(AC118)-(K31)))^2)/2+(I31)*(MAX($D$16,(AC118)-(K31)))^3/3+(ABS(F118)^2)/($I$5*MAX(((G31)+(I31)*(MAX($D$16,(AC118)-(K31))))*(MAX($D$16,(AC118)-(K31))),0.000001))</f>
        <v>115.68980551184316</v>
      </c>
      <c r="AH118">
        <f ca="1">((G31)*(MAX($D$16,(AE118)-(K31)))^2)/2+(I31)*(MAX($D$16,(AE118)-(K31)))^3/3+(ABS(F118)^2)/($I$5*MAX(((G31)+(I31)*(MAX($D$16,(AE118)-(K31))))*(MAX($D$16,(AE118)-(K31))),0.000001))</f>
        <v>808.60110594434002</v>
      </c>
      <c r="AI118">
        <f ca="1">((G32)*(MAX($D$16,(AD118)-(K32)))^2)/2+(I32)*(MAX($D$16,(AD118)-(K32)))^3/3+(ABS(G118)^2)/($I$5*MAX(((G32)+(I32)*(MAX($D$16,(AD118)-(K32))))*(MAX($D$16,(AD118)-(K32))),0.000001))</f>
        <v>338.03683729018678</v>
      </c>
      <c r="AJ118">
        <f ca="1">((G32)*(MAX($D$16,(AF118)-(K32)))^2)/2+(I32)*(MAX($D$16,(AF118)-(K32)))^3/3+(ABS(G118)^2)/($I$5*MAX(((G32)+(I32)*(MAX($D$16,(AF118)-(K32))))*(MAX($D$16,(AF118)-(K32))),0.000001))</f>
        <v>519.58480272613974</v>
      </c>
      <c r="AK118" t="str">
        <f t="shared" ca="1" si="31"/>
        <v>Supercritical</v>
      </c>
      <c r="AL118" t="str">
        <f t="shared" ca="1" si="32"/>
        <v>Supercritical</v>
      </c>
      <c r="AM118">
        <f t="shared" ca="1" si="33"/>
        <v>634.34800000000848</v>
      </c>
      <c r="AN118">
        <f t="shared" ca="1" si="34"/>
        <v>631.92500000001621</v>
      </c>
      <c r="AO118">
        <f t="shared" ca="1" si="35"/>
        <v>1.3187673175707459E-11</v>
      </c>
      <c r="AP118">
        <f t="shared" ca="1" si="36"/>
        <v>2.5011104298755527E-11</v>
      </c>
    </row>
    <row r="119" spans="1:42" x14ac:dyDescent="0.35">
      <c r="A119">
        <v>76</v>
      </c>
      <c r="B119">
        <f t="shared" si="37"/>
        <v>1</v>
      </c>
      <c r="C119">
        <f t="shared" ca="1" si="38"/>
        <v>0.98</v>
      </c>
      <c r="D119">
        <f t="shared" ca="1" si="39"/>
        <v>634.34800000000848</v>
      </c>
      <c r="E119">
        <f t="shared" ca="1" si="40"/>
        <v>631.92500000001621</v>
      </c>
      <c r="F119">
        <f t="shared" si="28"/>
        <v>51</v>
      </c>
      <c r="G119">
        <f>IF(N6="None",F119,MAX(0,F119*B119))</f>
        <v>51</v>
      </c>
      <c r="H119">
        <f>IF(N6="None",0,MAX(0,F119-G119))</f>
        <v>0</v>
      </c>
      <c r="I119">
        <f ca="1">IF(AND(N7="None",N8="None"),0,IF(N8="None",G119,IF(N7="None",0,MAX(0,G119*C119))))</f>
        <v>49.98</v>
      </c>
      <c r="J119">
        <f ca="1">IF(AND(N7="None",N8="None"),0,IF(N8="None",0,IF(N7="None",G119,MAX(0,G119-I119))))</f>
        <v>1.0200000000000031</v>
      </c>
      <c r="K119">
        <f>P5</f>
        <v>637</v>
      </c>
      <c r="L119">
        <f>P6</f>
        <v>634.3119999999999</v>
      </c>
      <c r="M119">
        <f>P7</f>
        <v>635.5</v>
      </c>
      <c r="N119">
        <f>P8</f>
        <v>631.54999999999995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-2091.5872404992097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640.05397805979817</v>
      </c>
      <c r="Q119">
        <f ca="1">L119+((ABS(H119)/MAX(((G33)+(I33)*(MAX($D$16,(L119)-(K33))))*(MAX($D$16,(L119)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AC119)-(J33))))*(MAX($D$16,(AC119)-(J33))),0.000001)),$D$9*((((ABS(H119)/MAX(((G33)+(I33)*(MAX($D$16,(L119)-(K33))))*(MAX($D$16,(L119)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L119)-(K33))))*(MAX($D$16,(L119)-(K33))),0.000001))^2)/(2*$I$5)))))+($D$10*(ABS((X33)-(W33))/90)*MAX(((ABS(H119)/MAX(((F33)+(H33)*(MAX($D$16,(AC119)-(J33))))*(MAX($D$16,(AC119)-(J33))),0.000001))^2)/(2*$I$5),((ABS(H119)/MAX(((G33)+(I33)*(MAX($D$16,(L119)-(K33))))*(MAX($D$16,(L119)-(K33))),0.000001))^2)/(2*$I$5)))+(($D$11*0.00000015*(ABS(G119)/MAX(ABS(F119),0.000001))^2*MAX(((ABS(H119)/MAX(((F33)+(H33)*(MAX($D$16,(AC119)-(J33))))*(MAX($D$16,(AC119)-(J33))),0.000001))^2)/(2*$I$5),((ABS(H119)/MAX(((G33)+(I33)*(MAX($D$16,(L119)-(K33))))*(MAX($D$16,(L119)-(K33))),0.000001))^2)/(2*$I$5))))-((ABS(H119)/MAX(((F33)+(H33)*(MAX($D$16,(AC119)-(J33))))*(MAX($D$16,(AC119)-(J33))),0.000001))^2)/(2*$I$5)</f>
        <v>634.3119999999999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-292118.81246378768</v>
      </c>
      <c r="S119">
        <f ca="1">M119+((ABS(I119)/MAX(((G34)+(I34)*(MAX($D$16,(M119)-(K34))))*(MAX($D$16,(M119)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AD119)-(J34))))*(MAX($D$16,(AD119)-(J34))),0.000001)),$D$9*((((ABS(I119)/MAX(((G34)+(I34)*(MAX($D$16,(M119)-(K34))))*(MAX($D$16,(M119)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M119)-(K34))))*(MAX($D$16,(M119)-(K34))),0.000001))^2)/(2*$I$5)))))+($D$10*(ABS((X34)-(W34))/90)*MAX(((ABS(I119)/MAX(((F34)+(H34)*(MAX($D$16,(AD119)-(J34))))*(MAX($D$16,(AD119)-(J34))),0.000001))^2)/(2*$I$5),((ABS(I119)/MAX(((G34)+(I34)*(MAX($D$16,(M119)-(K34))))*(MAX($D$16,(M119)-(K34))),0.000001))^2)/(2*$I$5)))+(0)-((ABS(I119)/MAX(((F34)+(H34)*(MAX($D$16,(AD119)-(J34))))*(MAX($D$16,(AD119)-(J34))),0.000001))^2)/(2*$I$5)</f>
        <v>635.51128720958343</v>
      </c>
      <c r="T119">
        <f ca="1">N119+((ABS(J119)/MAX(((G35)+(I35)*(MAX($D$16,(N119)-(K35))))*(MAX($D$16,(N119)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AD119)-(J35))))*(MAX($D$16,(AD119)-(J35))),0.000001)),$D$9*((((ABS(J119)/MAX(((G35)+(I35)*(MAX($D$16,(N119)-(K35))))*(MAX($D$16,(N119)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N119)-(K35))))*(MAX($D$16,(N119)-(K35))),0.000001))^2)/(2*$I$5)))))+($D$10*(ABS((X35)-(W35))/90)*MAX(((ABS(J119)/MAX(((F35)+(H35)*(MAX($D$16,(AD119)-(J35))))*(MAX($D$16,(AD119)-(J35))),0.000001))^2)/(2*$I$5),((ABS(J119)/MAX(((G35)+(I35)*(MAX($D$16,(N119)-(K35))))*(MAX($D$16,(N119)-(K35))),0.000001))^2)/(2*$I$5)))+(($D$11*0.34699541*(ABS(I119)/MAX(ABS(G119),0.000001))^2*MAX(((ABS(J119)/MAX(((F35)+(H35)*(MAX($D$16,(AD119)-(J35))))*(MAX($D$16,(AD119)-(J35))),0.000001))^2)/(2*$I$5),((ABS(J119)/MAX(((G35)+(I35)*(MAX($D$16,(N119)-(K35))))*(MAX($D$16,(N119)-(K35))),0.000001))^2)/(2*$I$5))))-((ABS(J119)/MAX(((F35)+(H35)*(MAX($D$16,(AD119)-(J35))))*(MAX($D$16,(AD119)-(J35))),0.000001))^2)/(2*$I$5)</f>
        <v>639.97429104455466</v>
      </c>
      <c r="U119">
        <f ca="1">((((G31)*(MAX($D$16,(AE119)-(K31)))^2)/2+(I31)*(MAX($D$16,(AE119)-(K31)))^3/3+(ABS(F119)^2)/($I$5*MAX(((G31)+(I31)*(MAX($D$16,(AE119)-(K31))))*(MAX($D$16,(AE119)-(K31))),0.000001)))-(IF(N6="None",((((F32)*(MAX($D$16,(AE119)-(J32)))^2)/2+(H32)*(MAX($D$16,(AE119)-(J32)))^3/3+(ABS(G119)^2)/($I$5*MAX(((F32)+(H32)*(MAX($D$16,(AE119)-(J32))))*(MAX($D$16,(AE119)-(J32))),0.000001)))*0.72785025),(((((F32)*(MAX($D$16,(AE119)-(J32)))^2)/2+(H32)*(MAX($D$16,(AE119)-(J32)))^3/3+(ABS(G119)^2)/($I$5*MAX(((F32)+(H32)*(MAX($D$16,(AE119)-(J32))))*(MAX($D$16,(AE119)-(J32))),0.000001)))*0.72785025)+((((F33)*(MAX($D$16,(AE119)-(J33)))^2)/2+(H33)*(MAX($D$16,(AE119)-(J33)))^3/3+(ABS(H119)^2)/($I$5*MAX(((F33)+(H33)*(MAX($D$16,(AE119)-(J33))))*(MAX($D$16,(AE119)-(J33))),0.000001)))*0.99999971)))))/MAX(((G31)*(MAX($D$16,(AE119)-(K31)))^2)/2+(I31)*(MAX($D$16,(AE119)-(K31)))^3/3+(ABS(F119)^2)/($I$5*MAX(((G31)+(I31)*(MAX($D$16,(AE119)-(K31))))*(MAX($D$16,(AE119)-(K31))),0.000001)),0.000001)</f>
        <v>0.27214975000000002</v>
      </c>
      <c r="V119">
        <f ca="1">((((G32)*(MAX($D$16,(AF119)-(K32)))^2)/2+(I32)*(MAX($D$16,(AF119)-(K32)))^3/3+(ABS(G119)^2)/($I$5*MAX(((G32)+(I32)*(MAX($D$16,(AF119)-(K32))))*(MAX($D$16,(AF119)-(K32))),0.000001)))-(IF(AND(N7="None",N8="None"),0,IF(N8="None",((((F34)*(MAX($D$16,(AF119)-(J34)))^2)/2+(H34)*(MAX($D$16,(AF119)-(J34)))^3/3+(ABS(I119)^2)/($I$5*MAX(((F34)+(H34)*(MAX($D$16,(AF119)-(J34))))*(MAX($D$16,(AF119)-(J34))),0.000001)))*1),IF(N7="None",((((F35)*(MAX($D$16,(AF119)-(J35)))^2)/2+(H35)*(MAX($D$16,(AF119)-(J35)))^3/3+(ABS(J119)^2)/($I$5*MAX(((F35)+(H35)*(MAX($D$16,(AF119)-(J35))))*(MAX($D$16,(AF119)-(J35))),0.000001)))*0.30600918),(((((F34)*(MAX($D$16,(AF119)-(J34)))^2)/2+(H34)*(MAX($D$16,(AF119)-(J34)))^3/3+(ABS(I119)^2)/($I$5*MAX(((F34)+(H34)*(MAX($D$16,(AF119)-(J34))))*(MAX($D$16,(AF119)-(J34))),0.000001)))*1)+((((F35)*(MAX($D$16,(AF119)-(J35)))^2)/2+(H35)*(MAX($D$16,(AF119)-(J35)))^3/3+(ABS(J119)^2)/($I$5*MAX(((F35)+(H35)*(MAX($D$16,(AF119)-(J35))))*(MAX($D$16,(AF119)-(J35))),0.000001)))*0.30600918)))))))/MAX(((G32)*(MAX($D$16,(AF119)-(K32)))^2)/2+(I32)*(MAX($D$16,(AF119)-(K32)))^3/3+(ABS(G119)^2)/($I$5*MAX(((G32)+(I32)*(MAX($D$16,(AF119)-(K32))))*(MAX($D$16,(AF119)-(K32))),0.000001)),0.000001)</f>
        <v>3.904177561081449E-2</v>
      </c>
      <c r="W119">
        <f ca="1">ABS((IF(N6="None",P119,MAX(P119,Q119)))-D119)</f>
        <v>5.7059780597896861</v>
      </c>
      <c r="X119">
        <f ca="1">ABS((IF(AND(N7="None",N8="None"),E119,IF(N8="None",S119,IF(N7="None",T119,MAX(S119,T119)))))-E119)</f>
        <v>8.0492910445384496</v>
      </c>
      <c r="Y119">
        <f>IF(N6="None",1,MIN(0.98,MAX(0.02,B119+$D$14*((Q119-P119)/MAX(ABS(D119),1)))))</f>
        <v>1</v>
      </c>
      <c r="Z119">
        <f ca="1">IF(AND(N7="None",N8="None"),C119,IF(N8="None",1,IF(N7="None",0,MIN(0.98,MAX(0.02,C119+$D$14*((T119-S119)/MAX(ABS(E119),1)))))))</f>
        <v>0.98</v>
      </c>
      <c r="AA119">
        <f t="shared" ca="1" si="29"/>
        <v>636.3453643005945</v>
      </c>
      <c r="AB119">
        <f t="shared" ca="1" si="30"/>
        <v>634.74259262166879</v>
      </c>
      <c r="AC119">
        <f ca="1">IF($D$20=0,D119,IF(AC119=0,(IF(N6="None",P119,MAX(P119,Q119))),IF(ABS((IF(N6="None",P119,MAX(P119,Q119)))-AC119)&lt;$D$19,AC119,MAX((K31)+$D$16,AC119+$D$13*(((IF(N6="None",P119,MAX(P119,Q119)))-AC119))))))</f>
        <v>640.05475514453997</v>
      </c>
      <c r="AD119">
        <f ca="1">IF($D$20=0,E119,IF(AD119=0,(IF(AND(N7="None",N8="None"),E119,IF(N8="None",S119,IF(N7="None",T119,MAX(S119,T119))))),IF(ABS((IF(AND(N7="None",N8="None"),E119,IF(N8="None",S119,IF(N7="None",T119,MAX(S119,T119)))))-AD119)&lt;$D$19,AD119,MAX((K32)+$D$16,AD119+$D$13*(((IF(AND(N7="None",N8="None"),E119,IF(N8="None",S119,IF(N7="None",T119,MAX(S119,T119)))))-AD119))))))</f>
        <v>639.97526463330917</v>
      </c>
      <c r="AE119">
        <f ca="1">IF($D$20=0,D119,IF(AE119=0,O119,IF(ABS(U119)&lt;$D$19,AE119,MAX((K31)+$D$16,AE119+($D$13*(((O119)-AE119)+(U119*MAX(ABS(AE119-(K31)),1))))))))</f>
        <v>634.34799999999996</v>
      </c>
      <c r="AF119">
        <f ca="1">IF($D$20=0,E119,IF(AF119=0,R119,IF(ABS(V119)&lt;$D$19,AF119,MAX((K32)+$D$16,AF119+($D$13*(((R119)-AF119)+(V119*MAX(ABS(AF119-(K32)),1))))))))</f>
        <v>631.92499999999995</v>
      </c>
      <c r="AG119">
        <f ca="1">((G31)*(MAX($D$16,(AC119)-(K31)))^2)/2+(I31)*(MAX($D$16,(AC119)-(K31)))^3/3+(ABS(F119)^2)/($I$5*MAX(((G31)+(I31)*(MAX($D$16,(AC119)-(K31))))*(MAX($D$16,(AC119)-(K31))),0.000001))</f>
        <v>115.68980551184316</v>
      </c>
      <c r="AH119">
        <f ca="1">((G31)*(MAX($D$16,(AE119)-(K31)))^2)/2+(I31)*(MAX($D$16,(AE119)-(K31)))^3/3+(ABS(F119)^2)/($I$5*MAX(((G31)+(I31)*(MAX($D$16,(AE119)-(K31))))*(MAX($D$16,(AE119)-(K31))),0.000001))</f>
        <v>808.60110594434002</v>
      </c>
      <c r="AI119">
        <f ca="1">((G32)*(MAX($D$16,(AD119)-(K32)))^2)/2+(I32)*(MAX($D$16,(AD119)-(K32)))^3/3+(ABS(G119)^2)/($I$5*MAX(((G32)+(I32)*(MAX($D$16,(AD119)-(K32))))*(MAX($D$16,(AD119)-(K32))),0.000001))</f>
        <v>338.03683729018678</v>
      </c>
      <c r="AJ119">
        <f ca="1">((G32)*(MAX($D$16,(AF119)-(K32)))^2)/2+(I32)*(MAX($D$16,(AF119)-(K32)))^3/3+(ABS(G119)^2)/($I$5*MAX(((G32)+(I32)*(MAX($D$16,(AF119)-(K32))))*(MAX($D$16,(AF119)-(K32))),0.000001))</f>
        <v>519.58480272613974</v>
      </c>
      <c r="AK119" t="str">
        <f t="shared" ca="1" si="31"/>
        <v>Supercritical</v>
      </c>
      <c r="AL119" t="str">
        <f t="shared" ca="1" si="32"/>
        <v>Supercritical</v>
      </c>
      <c r="AM119">
        <f t="shared" ca="1" si="33"/>
        <v>634.34800000000553</v>
      </c>
      <c r="AN119">
        <f t="shared" ca="1" si="34"/>
        <v>631.92500000001053</v>
      </c>
      <c r="AO119">
        <f t="shared" ca="1" si="35"/>
        <v>8.5265128291212022E-12</v>
      </c>
      <c r="AP119">
        <f t="shared" ca="1" si="36"/>
        <v>1.6257217794191092E-11</v>
      </c>
    </row>
    <row r="120" spans="1:42" x14ac:dyDescent="0.35">
      <c r="A120">
        <v>77</v>
      </c>
      <c r="B120">
        <f t="shared" si="37"/>
        <v>1</v>
      </c>
      <c r="C120">
        <f t="shared" ca="1" si="38"/>
        <v>0.98</v>
      </c>
      <c r="D120">
        <f t="shared" ca="1" si="39"/>
        <v>634.34800000000553</v>
      </c>
      <c r="E120">
        <f t="shared" ca="1" si="40"/>
        <v>631.92500000001053</v>
      </c>
      <c r="F120">
        <f t="shared" si="28"/>
        <v>51</v>
      </c>
      <c r="G120">
        <f>IF(N6="None",F120,MAX(0,F120*B120))</f>
        <v>51</v>
      </c>
      <c r="H120">
        <f>IF(N6="None",0,MAX(0,F120-G120))</f>
        <v>0</v>
      </c>
      <c r="I120">
        <f ca="1">IF(AND(N7="None",N8="None"),0,IF(N8="None",G120,IF(N7="None",0,MAX(0,G120*C120))))</f>
        <v>49.98</v>
      </c>
      <c r="J120">
        <f ca="1">IF(AND(N7="None",N8="None"),0,IF(N8="None",0,IF(N7="None",G120,MAX(0,G120-I120))))</f>
        <v>1.0200000000000031</v>
      </c>
      <c r="K120">
        <f>P5</f>
        <v>637</v>
      </c>
      <c r="L120">
        <f>P6</f>
        <v>634.3119999999999</v>
      </c>
      <c r="M120">
        <f>P7</f>
        <v>635.5</v>
      </c>
      <c r="N120">
        <f>P8</f>
        <v>631.54999999999995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-2091.5872404992097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640.05397805979817</v>
      </c>
      <c r="Q120">
        <f ca="1">L120+((ABS(H120)/MAX(((G33)+(I33)*(MAX($D$16,(L120)-(K33))))*(MAX($D$16,(L120)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AC120)-(J33))))*(MAX($D$16,(AC120)-(J33))),0.000001)),$D$9*((((ABS(H120)/MAX(((G33)+(I33)*(MAX($D$16,(L120)-(K33))))*(MAX($D$16,(L120)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L120)-(K33))))*(MAX($D$16,(L120)-(K33))),0.000001))^2)/(2*$I$5)))))+($D$10*(ABS((X33)-(W33))/90)*MAX(((ABS(H120)/MAX(((F33)+(H33)*(MAX($D$16,(AC120)-(J33))))*(MAX($D$16,(AC120)-(J33))),0.000001))^2)/(2*$I$5),((ABS(H120)/MAX(((G33)+(I33)*(MAX($D$16,(L120)-(K33))))*(MAX($D$16,(L120)-(K33))),0.000001))^2)/(2*$I$5)))+(($D$11*0.00000015*(ABS(G120)/MAX(ABS(F120),0.000001))^2*MAX(((ABS(H120)/MAX(((F33)+(H33)*(MAX($D$16,(AC120)-(J33))))*(MAX($D$16,(AC120)-(J33))),0.000001))^2)/(2*$I$5),((ABS(H120)/MAX(((G33)+(I33)*(MAX($D$16,(L120)-(K33))))*(MAX($D$16,(L120)-(K33))),0.000001))^2)/(2*$I$5))))-((ABS(H120)/MAX(((F33)+(H33)*(MAX($D$16,(AC120)-(J33))))*(MAX($D$16,(AC120)-(J33))),0.000001))^2)/(2*$I$5)</f>
        <v>634.3119999999999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-292118.81246378768</v>
      </c>
      <c r="S120">
        <f ca="1">M120+((ABS(I120)/MAX(((G34)+(I34)*(MAX($D$16,(M120)-(K34))))*(MAX($D$16,(M120)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AD120)-(J34))))*(MAX($D$16,(AD120)-(J34))),0.000001)),$D$9*((((ABS(I120)/MAX(((G34)+(I34)*(MAX($D$16,(M120)-(K34))))*(MAX($D$16,(M120)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M120)-(K34))))*(MAX($D$16,(M120)-(K34))),0.000001))^2)/(2*$I$5)))))+($D$10*(ABS((X34)-(W34))/90)*MAX(((ABS(I120)/MAX(((F34)+(H34)*(MAX($D$16,(AD120)-(J34))))*(MAX($D$16,(AD120)-(J34))),0.000001))^2)/(2*$I$5),((ABS(I120)/MAX(((G34)+(I34)*(MAX($D$16,(M120)-(K34))))*(MAX($D$16,(M120)-(K34))),0.000001))^2)/(2*$I$5)))+(0)-((ABS(I120)/MAX(((F34)+(H34)*(MAX($D$16,(AD120)-(J34))))*(MAX($D$16,(AD120)-(J34))),0.000001))^2)/(2*$I$5)</f>
        <v>635.51128720958343</v>
      </c>
      <c r="T120">
        <f ca="1">N120+((ABS(J120)/MAX(((G35)+(I35)*(MAX($D$16,(N120)-(K35))))*(MAX($D$16,(N120)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AD120)-(J35))))*(MAX($D$16,(AD120)-(J35))),0.000001)),$D$9*((((ABS(J120)/MAX(((G35)+(I35)*(MAX($D$16,(N120)-(K35))))*(MAX($D$16,(N120)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N120)-(K35))))*(MAX($D$16,(N120)-(K35))),0.000001))^2)/(2*$I$5)))))+($D$10*(ABS((X35)-(W35))/90)*MAX(((ABS(J120)/MAX(((F35)+(H35)*(MAX($D$16,(AD120)-(J35))))*(MAX($D$16,(AD120)-(J35))),0.000001))^2)/(2*$I$5),((ABS(J120)/MAX(((G35)+(I35)*(MAX($D$16,(N120)-(K35))))*(MAX($D$16,(N120)-(K35))),0.000001))^2)/(2*$I$5)))+(($D$11*0.34699541*(ABS(I120)/MAX(ABS(G120),0.000001))^2*MAX(((ABS(J120)/MAX(((F35)+(H35)*(MAX($D$16,(AD120)-(J35))))*(MAX($D$16,(AD120)-(J35))),0.000001))^2)/(2*$I$5),((ABS(J120)/MAX(((G35)+(I35)*(MAX($D$16,(N120)-(K35))))*(MAX($D$16,(N120)-(K35))),0.000001))^2)/(2*$I$5))))-((ABS(J120)/MAX(((F35)+(H35)*(MAX($D$16,(AD120)-(J35))))*(MAX($D$16,(AD120)-(J35))),0.000001))^2)/(2*$I$5)</f>
        <v>639.97429104455466</v>
      </c>
      <c r="U120">
        <f ca="1">((((G31)*(MAX($D$16,(AE120)-(K31)))^2)/2+(I31)*(MAX($D$16,(AE120)-(K31)))^3/3+(ABS(F120)^2)/($I$5*MAX(((G31)+(I31)*(MAX($D$16,(AE120)-(K31))))*(MAX($D$16,(AE120)-(K31))),0.000001)))-(IF(N6="None",((((F32)*(MAX($D$16,(AE120)-(J32)))^2)/2+(H32)*(MAX($D$16,(AE120)-(J32)))^3/3+(ABS(G120)^2)/($I$5*MAX(((F32)+(H32)*(MAX($D$16,(AE120)-(J32))))*(MAX($D$16,(AE120)-(J32))),0.000001)))*0.72785025),(((((F32)*(MAX($D$16,(AE120)-(J32)))^2)/2+(H32)*(MAX($D$16,(AE120)-(J32)))^3/3+(ABS(G120)^2)/($I$5*MAX(((F32)+(H32)*(MAX($D$16,(AE120)-(J32))))*(MAX($D$16,(AE120)-(J32))),0.000001)))*0.72785025)+((((F33)*(MAX($D$16,(AE120)-(J33)))^2)/2+(H33)*(MAX($D$16,(AE120)-(J33)))^3/3+(ABS(H120)^2)/($I$5*MAX(((F33)+(H33)*(MAX($D$16,(AE120)-(J33))))*(MAX($D$16,(AE120)-(J33))),0.000001)))*0.99999971)))))/MAX(((G31)*(MAX($D$16,(AE120)-(K31)))^2)/2+(I31)*(MAX($D$16,(AE120)-(K31)))^3/3+(ABS(F120)^2)/($I$5*MAX(((G31)+(I31)*(MAX($D$16,(AE120)-(K31))))*(MAX($D$16,(AE120)-(K31))),0.000001)),0.000001)</f>
        <v>0.27214975000000002</v>
      </c>
      <c r="V120">
        <f ca="1">((((G32)*(MAX($D$16,(AF120)-(K32)))^2)/2+(I32)*(MAX($D$16,(AF120)-(K32)))^3/3+(ABS(G120)^2)/($I$5*MAX(((G32)+(I32)*(MAX($D$16,(AF120)-(K32))))*(MAX($D$16,(AF120)-(K32))),0.000001)))-(IF(AND(N7="None",N8="None"),0,IF(N8="None",((((F34)*(MAX($D$16,(AF120)-(J34)))^2)/2+(H34)*(MAX($D$16,(AF120)-(J34)))^3/3+(ABS(I120)^2)/($I$5*MAX(((F34)+(H34)*(MAX($D$16,(AF120)-(J34))))*(MAX($D$16,(AF120)-(J34))),0.000001)))*1),IF(N7="None",((((F35)*(MAX($D$16,(AF120)-(J35)))^2)/2+(H35)*(MAX($D$16,(AF120)-(J35)))^3/3+(ABS(J120)^2)/($I$5*MAX(((F35)+(H35)*(MAX($D$16,(AF120)-(J35))))*(MAX($D$16,(AF120)-(J35))),0.000001)))*0.30600918),(((((F34)*(MAX($D$16,(AF120)-(J34)))^2)/2+(H34)*(MAX($D$16,(AF120)-(J34)))^3/3+(ABS(I120)^2)/($I$5*MAX(((F34)+(H34)*(MAX($D$16,(AF120)-(J34))))*(MAX($D$16,(AF120)-(J34))),0.000001)))*1)+((((F35)*(MAX($D$16,(AF120)-(J35)))^2)/2+(H35)*(MAX($D$16,(AF120)-(J35)))^3/3+(ABS(J120)^2)/($I$5*MAX(((F35)+(H35)*(MAX($D$16,(AF120)-(J35))))*(MAX($D$16,(AF120)-(J35))),0.000001)))*0.30600918)))))))/MAX(((G32)*(MAX($D$16,(AF120)-(K32)))^2)/2+(I32)*(MAX($D$16,(AF120)-(K32)))^3/3+(ABS(G120)^2)/($I$5*MAX(((G32)+(I32)*(MAX($D$16,(AF120)-(K32))))*(MAX($D$16,(AF120)-(K32))),0.000001)),0.000001)</f>
        <v>3.904177561081449E-2</v>
      </c>
      <c r="W120">
        <f ca="1">ABS((IF(N6="None",P120,MAX(P120,Q120)))-D120)</f>
        <v>5.7059780597926419</v>
      </c>
      <c r="X120">
        <f ca="1">ABS((IF(AND(N7="None",N8="None"),E120,IF(N8="None",S120,IF(N7="None",T120,MAX(S120,T120)))))-E120)</f>
        <v>8.0492910445441339</v>
      </c>
      <c r="Y120">
        <f>IF(N6="None",1,MIN(0.98,MAX(0.02,B120+$D$14*((Q120-P120)/MAX(ABS(D120),1)))))</f>
        <v>1</v>
      </c>
      <c r="Z120">
        <f ca="1">IF(AND(N7="None",N8="None"),C120,IF(N8="None",1,IF(N7="None",0,MIN(0.98,MAX(0.02,C120+$D$14*((T120-S120)/MAX(ABS(E120),1)))))))</f>
        <v>0.98</v>
      </c>
      <c r="AA120">
        <f t="shared" ca="1" si="29"/>
        <v>636.34536430059256</v>
      </c>
      <c r="AB120">
        <f t="shared" ca="1" si="30"/>
        <v>634.74259262166504</v>
      </c>
      <c r="AC120">
        <f ca="1">IF($D$20=0,D120,IF(AC120=0,(IF(N6="None",P120,MAX(P120,Q120))),IF(ABS((IF(N6="None",P120,MAX(P120,Q120)))-AC120)&lt;$D$19,AC120,MAX((K31)+$D$16,AC120+$D$13*(((IF(N6="None",P120,MAX(P120,Q120)))-AC120))))))</f>
        <v>640.05475514453997</v>
      </c>
      <c r="AD120">
        <f ca="1">IF($D$20=0,E120,IF(AD120=0,(IF(AND(N7="None",N8="None"),E120,IF(N8="None",S120,IF(N7="None",T120,MAX(S120,T120))))),IF(ABS((IF(AND(N7="None",N8="None"),E120,IF(N8="None",S120,IF(N7="None",T120,MAX(S120,T120)))))-AD120)&lt;$D$19,AD120,MAX((K32)+$D$16,AD120+$D$13*(((IF(AND(N7="None",N8="None"),E120,IF(N8="None",S120,IF(N7="None",T120,MAX(S120,T120)))))-AD120))))))</f>
        <v>639.97526463330917</v>
      </c>
      <c r="AE120">
        <f ca="1">IF($D$20=0,D120,IF(AE120=0,O120,IF(ABS(U120)&lt;$D$19,AE120,MAX((K31)+$D$16,AE120+($D$13*(((O120)-AE120)+(U120*MAX(ABS(AE120-(K31)),1))))))))</f>
        <v>634.34799999999996</v>
      </c>
      <c r="AF120">
        <f ca="1">IF($D$20=0,E120,IF(AF120=0,R120,IF(ABS(V120)&lt;$D$19,AF120,MAX((K32)+$D$16,AF120+($D$13*(((R120)-AF120)+(V120*MAX(ABS(AF120-(K32)),1))))))))</f>
        <v>631.92499999999995</v>
      </c>
      <c r="AG120">
        <f ca="1">((G31)*(MAX($D$16,(AC120)-(K31)))^2)/2+(I31)*(MAX($D$16,(AC120)-(K31)))^3/3+(ABS(F120)^2)/($I$5*MAX(((G31)+(I31)*(MAX($D$16,(AC120)-(K31))))*(MAX($D$16,(AC120)-(K31))),0.000001))</f>
        <v>115.68980551184316</v>
      </c>
      <c r="AH120">
        <f ca="1">((G31)*(MAX($D$16,(AE120)-(K31)))^2)/2+(I31)*(MAX($D$16,(AE120)-(K31)))^3/3+(ABS(F120)^2)/($I$5*MAX(((G31)+(I31)*(MAX($D$16,(AE120)-(K31))))*(MAX($D$16,(AE120)-(K31))),0.000001))</f>
        <v>808.60110594434002</v>
      </c>
      <c r="AI120">
        <f ca="1">((G32)*(MAX($D$16,(AD120)-(K32)))^2)/2+(I32)*(MAX($D$16,(AD120)-(K32)))^3/3+(ABS(G120)^2)/($I$5*MAX(((G32)+(I32)*(MAX($D$16,(AD120)-(K32))))*(MAX($D$16,(AD120)-(K32))),0.000001))</f>
        <v>338.03683729018678</v>
      </c>
      <c r="AJ120">
        <f ca="1">((G32)*(MAX($D$16,(AF120)-(K32)))^2)/2+(I32)*(MAX($D$16,(AF120)-(K32)))^3/3+(ABS(G120)^2)/($I$5*MAX(((G32)+(I32)*(MAX($D$16,(AF120)-(K32))))*(MAX($D$16,(AF120)-(K32))),0.000001))</f>
        <v>519.58480272613974</v>
      </c>
      <c r="AK120" t="str">
        <f t="shared" ca="1" si="31"/>
        <v>Supercritical</v>
      </c>
      <c r="AL120" t="str">
        <f t="shared" ca="1" si="32"/>
        <v>Supercritical</v>
      </c>
      <c r="AM120">
        <f t="shared" ca="1" si="33"/>
        <v>634.34800000000359</v>
      </c>
      <c r="AN120">
        <f t="shared" ca="1" si="34"/>
        <v>631.92500000000678</v>
      </c>
      <c r="AO120">
        <f t="shared" ca="1" si="35"/>
        <v>5.5706550483591855E-12</v>
      </c>
      <c r="AP120">
        <f t="shared" ca="1" si="36"/>
        <v>1.0572875908110291E-11</v>
      </c>
    </row>
    <row r="121" spans="1:42" x14ac:dyDescent="0.35">
      <c r="A121">
        <v>78</v>
      </c>
      <c r="B121">
        <f t="shared" si="37"/>
        <v>1</v>
      </c>
      <c r="C121">
        <f t="shared" ca="1" si="38"/>
        <v>0.98</v>
      </c>
      <c r="D121">
        <f t="shared" ca="1" si="39"/>
        <v>634.34800000000359</v>
      </c>
      <c r="E121">
        <f t="shared" ca="1" si="40"/>
        <v>631.92500000000678</v>
      </c>
      <c r="F121">
        <f t="shared" si="28"/>
        <v>51</v>
      </c>
      <c r="G121">
        <f>IF(N6="None",F121,MAX(0,F121*B121))</f>
        <v>51</v>
      </c>
      <c r="H121">
        <f>IF(N6="None",0,MAX(0,F121-G121))</f>
        <v>0</v>
      </c>
      <c r="I121">
        <f ca="1">IF(AND(N7="None",N8="None"),0,IF(N8="None",G121,IF(N7="None",0,MAX(0,G121*C121))))</f>
        <v>49.98</v>
      </c>
      <c r="J121">
        <f ca="1">IF(AND(N7="None",N8="None"),0,IF(N8="None",0,IF(N7="None",G121,MAX(0,G121-I121))))</f>
        <v>1.0200000000000031</v>
      </c>
      <c r="K121">
        <f>P5</f>
        <v>637</v>
      </c>
      <c r="L121">
        <f>P6</f>
        <v>634.3119999999999</v>
      </c>
      <c r="M121">
        <f>P7</f>
        <v>635.5</v>
      </c>
      <c r="N121">
        <f>P8</f>
        <v>631.54999999999995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-2091.5872404992097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640.05397805979817</v>
      </c>
      <c r="Q121">
        <f ca="1">L121+((ABS(H121)/MAX(((G33)+(I33)*(MAX($D$16,(L121)-(K33))))*(MAX($D$16,(L121)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AC121)-(J33))))*(MAX($D$16,(AC121)-(J33))),0.000001)),$D$9*((((ABS(H121)/MAX(((G33)+(I33)*(MAX($D$16,(L121)-(K33))))*(MAX($D$16,(L121)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L121)-(K33))))*(MAX($D$16,(L121)-(K33))),0.000001))^2)/(2*$I$5)))))+($D$10*(ABS((X33)-(W33))/90)*MAX(((ABS(H121)/MAX(((F33)+(H33)*(MAX($D$16,(AC121)-(J33))))*(MAX($D$16,(AC121)-(J33))),0.000001))^2)/(2*$I$5),((ABS(H121)/MAX(((G33)+(I33)*(MAX($D$16,(L121)-(K33))))*(MAX($D$16,(L121)-(K33))),0.000001))^2)/(2*$I$5)))+(($D$11*0.00000015*(ABS(G121)/MAX(ABS(F121),0.000001))^2*MAX(((ABS(H121)/MAX(((F33)+(H33)*(MAX($D$16,(AC121)-(J33))))*(MAX($D$16,(AC121)-(J33))),0.000001))^2)/(2*$I$5),((ABS(H121)/MAX(((G33)+(I33)*(MAX($D$16,(L121)-(K33))))*(MAX($D$16,(L121)-(K33))),0.000001))^2)/(2*$I$5))))-((ABS(H121)/MAX(((F33)+(H33)*(MAX($D$16,(AC121)-(J33))))*(MAX($D$16,(AC121)-(J33))),0.000001))^2)/(2*$I$5)</f>
        <v>634.3119999999999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-292118.81246378768</v>
      </c>
      <c r="S121">
        <f ca="1">M121+((ABS(I121)/MAX(((G34)+(I34)*(MAX($D$16,(M121)-(K34))))*(MAX($D$16,(M121)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AD121)-(J34))))*(MAX($D$16,(AD121)-(J34))),0.000001)),$D$9*((((ABS(I121)/MAX(((G34)+(I34)*(MAX($D$16,(M121)-(K34))))*(MAX($D$16,(M121)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M121)-(K34))))*(MAX($D$16,(M121)-(K34))),0.000001))^2)/(2*$I$5)))))+($D$10*(ABS((X34)-(W34))/90)*MAX(((ABS(I121)/MAX(((F34)+(H34)*(MAX($D$16,(AD121)-(J34))))*(MAX($D$16,(AD121)-(J34))),0.000001))^2)/(2*$I$5),((ABS(I121)/MAX(((G34)+(I34)*(MAX($D$16,(M121)-(K34))))*(MAX($D$16,(M121)-(K34))),0.000001))^2)/(2*$I$5)))+(0)-((ABS(I121)/MAX(((F34)+(H34)*(MAX($D$16,(AD121)-(J34))))*(MAX($D$16,(AD121)-(J34))),0.000001))^2)/(2*$I$5)</f>
        <v>635.51128720958343</v>
      </c>
      <c r="T121">
        <f ca="1">N121+((ABS(J121)/MAX(((G35)+(I35)*(MAX($D$16,(N121)-(K35))))*(MAX($D$16,(N121)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AD121)-(J35))))*(MAX($D$16,(AD121)-(J35))),0.000001)),$D$9*((((ABS(J121)/MAX(((G35)+(I35)*(MAX($D$16,(N121)-(K35))))*(MAX($D$16,(N121)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N121)-(K35))))*(MAX($D$16,(N121)-(K35))),0.000001))^2)/(2*$I$5)))))+($D$10*(ABS((X35)-(W35))/90)*MAX(((ABS(J121)/MAX(((F35)+(H35)*(MAX($D$16,(AD121)-(J35))))*(MAX($D$16,(AD121)-(J35))),0.000001))^2)/(2*$I$5),((ABS(J121)/MAX(((G35)+(I35)*(MAX($D$16,(N121)-(K35))))*(MAX($D$16,(N121)-(K35))),0.000001))^2)/(2*$I$5)))+(($D$11*0.34699541*(ABS(I121)/MAX(ABS(G121),0.000001))^2*MAX(((ABS(J121)/MAX(((F35)+(H35)*(MAX($D$16,(AD121)-(J35))))*(MAX($D$16,(AD121)-(J35))),0.000001))^2)/(2*$I$5),((ABS(J121)/MAX(((G35)+(I35)*(MAX($D$16,(N121)-(K35))))*(MAX($D$16,(N121)-(K35))),0.000001))^2)/(2*$I$5))))-((ABS(J121)/MAX(((F35)+(H35)*(MAX($D$16,(AD121)-(J35))))*(MAX($D$16,(AD121)-(J35))),0.000001))^2)/(2*$I$5)</f>
        <v>639.97429104455466</v>
      </c>
      <c r="U121">
        <f ca="1">((((G31)*(MAX($D$16,(AE121)-(K31)))^2)/2+(I31)*(MAX($D$16,(AE121)-(K31)))^3/3+(ABS(F121)^2)/($I$5*MAX(((G31)+(I31)*(MAX($D$16,(AE121)-(K31))))*(MAX($D$16,(AE121)-(K31))),0.000001)))-(IF(N6="None",((((F32)*(MAX($D$16,(AE121)-(J32)))^2)/2+(H32)*(MAX($D$16,(AE121)-(J32)))^3/3+(ABS(G121)^2)/($I$5*MAX(((F32)+(H32)*(MAX($D$16,(AE121)-(J32))))*(MAX($D$16,(AE121)-(J32))),0.000001)))*0.72785025),(((((F32)*(MAX($D$16,(AE121)-(J32)))^2)/2+(H32)*(MAX($D$16,(AE121)-(J32)))^3/3+(ABS(G121)^2)/($I$5*MAX(((F32)+(H32)*(MAX($D$16,(AE121)-(J32))))*(MAX($D$16,(AE121)-(J32))),0.000001)))*0.72785025)+((((F33)*(MAX($D$16,(AE121)-(J33)))^2)/2+(H33)*(MAX($D$16,(AE121)-(J33)))^3/3+(ABS(H121)^2)/($I$5*MAX(((F33)+(H33)*(MAX($D$16,(AE121)-(J33))))*(MAX($D$16,(AE121)-(J33))),0.000001)))*0.99999971)))))/MAX(((G31)*(MAX($D$16,(AE121)-(K31)))^2)/2+(I31)*(MAX($D$16,(AE121)-(K31)))^3/3+(ABS(F121)^2)/($I$5*MAX(((G31)+(I31)*(MAX($D$16,(AE121)-(K31))))*(MAX($D$16,(AE121)-(K31))),0.000001)),0.000001)</f>
        <v>0.27214975000000002</v>
      </c>
      <c r="V121">
        <f ca="1">((((G32)*(MAX($D$16,(AF121)-(K32)))^2)/2+(I32)*(MAX($D$16,(AF121)-(K32)))^3/3+(ABS(G121)^2)/($I$5*MAX(((G32)+(I32)*(MAX($D$16,(AF121)-(K32))))*(MAX($D$16,(AF121)-(K32))),0.000001)))-(IF(AND(N7="None",N8="None"),0,IF(N8="None",((((F34)*(MAX($D$16,(AF121)-(J34)))^2)/2+(H34)*(MAX($D$16,(AF121)-(J34)))^3/3+(ABS(I121)^2)/($I$5*MAX(((F34)+(H34)*(MAX($D$16,(AF121)-(J34))))*(MAX($D$16,(AF121)-(J34))),0.000001)))*1),IF(N7="None",((((F35)*(MAX($D$16,(AF121)-(J35)))^2)/2+(H35)*(MAX($D$16,(AF121)-(J35)))^3/3+(ABS(J121)^2)/($I$5*MAX(((F35)+(H35)*(MAX($D$16,(AF121)-(J35))))*(MAX($D$16,(AF121)-(J35))),0.000001)))*0.30600918),(((((F34)*(MAX($D$16,(AF121)-(J34)))^2)/2+(H34)*(MAX($D$16,(AF121)-(J34)))^3/3+(ABS(I121)^2)/($I$5*MAX(((F34)+(H34)*(MAX($D$16,(AF121)-(J34))))*(MAX($D$16,(AF121)-(J34))),0.000001)))*1)+((((F35)*(MAX($D$16,(AF121)-(J35)))^2)/2+(H35)*(MAX($D$16,(AF121)-(J35)))^3/3+(ABS(J121)^2)/($I$5*MAX(((F35)+(H35)*(MAX($D$16,(AF121)-(J35))))*(MAX($D$16,(AF121)-(J35))),0.000001)))*0.30600918)))))))/MAX(((G32)*(MAX($D$16,(AF121)-(K32)))^2)/2+(I32)*(MAX($D$16,(AF121)-(K32)))^3/3+(ABS(G121)^2)/($I$5*MAX(((G32)+(I32)*(MAX($D$16,(AF121)-(K32))))*(MAX($D$16,(AF121)-(K32))),0.000001)),0.000001)</f>
        <v>3.904177561081449E-2</v>
      </c>
      <c r="W121">
        <f ca="1">ABS((IF(N6="None",P121,MAX(P121,Q121)))-D121)</f>
        <v>5.7059780597945746</v>
      </c>
      <c r="X121">
        <f ca="1">ABS((IF(AND(N7="None",N8="None"),E121,IF(N8="None",S121,IF(N7="None",T121,MAX(S121,T121)))))-E121)</f>
        <v>8.0492910445478856</v>
      </c>
      <c r="Y121">
        <f>IF(N6="None",1,MIN(0.98,MAX(0.02,B121+$D$14*((Q121-P121)/MAX(ABS(D121),1)))))</f>
        <v>1</v>
      </c>
      <c r="Z121">
        <f ca="1">IF(AND(N7="None",N8="None"),C121,IF(N8="None",1,IF(N7="None",0,MIN(0.98,MAX(0.02,C121+$D$14*((T121-S121)/MAX(ABS(E121),1)))))))</f>
        <v>0.98</v>
      </c>
      <c r="AA121">
        <f t="shared" ca="1" si="29"/>
        <v>636.34536430059131</v>
      </c>
      <c r="AB121">
        <f t="shared" ca="1" si="30"/>
        <v>634.74259262166265</v>
      </c>
      <c r="AC121">
        <f ca="1">IF($D$20=0,D121,IF(AC121=0,(IF(N6="None",P121,MAX(P121,Q121))),IF(ABS((IF(N6="None",P121,MAX(P121,Q121)))-AC121)&lt;$D$19,AC121,MAX((K31)+$D$16,AC121+$D$13*(((IF(N6="None",P121,MAX(P121,Q121)))-AC121))))))</f>
        <v>640.05475514453997</v>
      </c>
      <c r="AD121">
        <f ca="1">IF($D$20=0,E121,IF(AD121=0,(IF(AND(N7="None",N8="None"),E121,IF(N8="None",S121,IF(N7="None",T121,MAX(S121,T121))))),IF(ABS((IF(AND(N7="None",N8="None"),E121,IF(N8="None",S121,IF(N7="None",T121,MAX(S121,T121)))))-AD121)&lt;$D$19,AD121,MAX((K32)+$D$16,AD121+$D$13*(((IF(AND(N7="None",N8="None"),E121,IF(N8="None",S121,IF(N7="None",T121,MAX(S121,T121)))))-AD121))))))</f>
        <v>639.97526463330917</v>
      </c>
      <c r="AE121">
        <f ca="1">IF($D$20=0,D121,IF(AE121=0,O121,IF(ABS(U121)&lt;$D$19,AE121,MAX((K31)+$D$16,AE121+($D$13*(((O121)-AE121)+(U121*MAX(ABS(AE121-(K31)),1))))))))</f>
        <v>634.34799999999996</v>
      </c>
      <c r="AF121">
        <f ca="1">IF($D$20=0,E121,IF(AF121=0,R121,IF(ABS(V121)&lt;$D$19,AF121,MAX((K32)+$D$16,AF121+($D$13*(((R121)-AF121)+(V121*MAX(ABS(AF121-(K32)),1))))))))</f>
        <v>631.92499999999995</v>
      </c>
      <c r="AG121">
        <f ca="1">((G31)*(MAX($D$16,(AC121)-(K31)))^2)/2+(I31)*(MAX($D$16,(AC121)-(K31)))^3/3+(ABS(F121)^2)/($I$5*MAX(((G31)+(I31)*(MAX($D$16,(AC121)-(K31))))*(MAX($D$16,(AC121)-(K31))),0.000001))</f>
        <v>115.68980551184316</v>
      </c>
      <c r="AH121">
        <f ca="1">((G31)*(MAX($D$16,(AE121)-(K31)))^2)/2+(I31)*(MAX($D$16,(AE121)-(K31)))^3/3+(ABS(F121)^2)/($I$5*MAX(((G31)+(I31)*(MAX($D$16,(AE121)-(K31))))*(MAX($D$16,(AE121)-(K31))),0.000001))</f>
        <v>808.60110594434002</v>
      </c>
      <c r="AI121">
        <f ca="1">((G32)*(MAX($D$16,(AD121)-(K32)))^2)/2+(I32)*(MAX($D$16,(AD121)-(K32)))^3/3+(ABS(G121)^2)/($I$5*MAX(((G32)+(I32)*(MAX($D$16,(AD121)-(K32))))*(MAX($D$16,(AD121)-(K32))),0.000001))</f>
        <v>338.03683729018678</v>
      </c>
      <c r="AJ121">
        <f ca="1">((G32)*(MAX($D$16,(AF121)-(K32)))^2)/2+(I32)*(MAX($D$16,(AF121)-(K32)))^3/3+(ABS(G121)^2)/($I$5*MAX(((G32)+(I32)*(MAX($D$16,(AF121)-(K32))))*(MAX($D$16,(AF121)-(K32))),0.000001))</f>
        <v>519.58480272613974</v>
      </c>
      <c r="AK121" t="str">
        <f t="shared" ca="1" si="31"/>
        <v>Supercritical</v>
      </c>
      <c r="AL121" t="str">
        <f t="shared" ca="1" si="32"/>
        <v>Supercritical</v>
      </c>
      <c r="AM121">
        <f t="shared" ca="1" si="33"/>
        <v>634.34800000000234</v>
      </c>
      <c r="AN121">
        <f t="shared" ca="1" si="34"/>
        <v>631.92500000000439</v>
      </c>
      <c r="AO121">
        <f t="shared" ca="1" si="35"/>
        <v>3.637978807091713E-12</v>
      </c>
      <c r="AP121">
        <f t="shared" ca="1" si="36"/>
        <v>6.8212102632969618E-12</v>
      </c>
    </row>
    <row r="122" spans="1:42" x14ac:dyDescent="0.35">
      <c r="A122">
        <v>79</v>
      </c>
      <c r="B122">
        <f t="shared" si="37"/>
        <v>1</v>
      </c>
      <c r="C122">
        <f t="shared" ca="1" si="38"/>
        <v>0.98</v>
      </c>
      <c r="D122">
        <f t="shared" ca="1" si="39"/>
        <v>634.34800000000234</v>
      </c>
      <c r="E122">
        <f t="shared" ca="1" si="40"/>
        <v>631.92500000000439</v>
      </c>
      <c r="F122">
        <f t="shared" si="28"/>
        <v>51</v>
      </c>
      <c r="G122">
        <f>IF(N6="None",F122,MAX(0,F122*B122))</f>
        <v>51</v>
      </c>
      <c r="H122">
        <f>IF(N6="None",0,MAX(0,F122-G122))</f>
        <v>0</v>
      </c>
      <c r="I122">
        <f ca="1">IF(AND(N7="None",N8="None"),0,IF(N8="None",G122,IF(N7="None",0,MAX(0,G122*C122))))</f>
        <v>49.98</v>
      </c>
      <c r="J122">
        <f ca="1">IF(AND(N7="None",N8="None"),0,IF(N8="None",0,IF(N7="None",G122,MAX(0,G122-I122))))</f>
        <v>1.0200000000000031</v>
      </c>
      <c r="K122">
        <f>P5</f>
        <v>637</v>
      </c>
      <c r="L122">
        <f>P6</f>
        <v>634.3119999999999</v>
      </c>
      <c r="M122">
        <f>P7</f>
        <v>635.5</v>
      </c>
      <c r="N122">
        <f>P8</f>
        <v>631.54999999999995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-2091.5872404992097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640.05397805979817</v>
      </c>
      <c r="Q122">
        <f ca="1">L122+((ABS(H122)/MAX(((G33)+(I33)*(MAX($D$16,(L122)-(K33))))*(MAX($D$16,(L122)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AC122)-(J33))))*(MAX($D$16,(AC122)-(J33))),0.000001)),$D$9*((((ABS(H122)/MAX(((G33)+(I33)*(MAX($D$16,(L122)-(K33))))*(MAX($D$16,(L122)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L122)-(K33))))*(MAX($D$16,(L122)-(K33))),0.000001))^2)/(2*$I$5)))))+($D$10*(ABS((X33)-(W33))/90)*MAX(((ABS(H122)/MAX(((F33)+(H33)*(MAX($D$16,(AC122)-(J33))))*(MAX($D$16,(AC122)-(J33))),0.000001))^2)/(2*$I$5),((ABS(H122)/MAX(((G33)+(I33)*(MAX($D$16,(L122)-(K33))))*(MAX($D$16,(L122)-(K33))),0.000001))^2)/(2*$I$5)))+(($D$11*0.00000015*(ABS(G122)/MAX(ABS(F122),0.000001))^2*MAX(((ABS(H122)/MAX(((F33)+(H33)*(MAX($D$16,(AC122)-(J33))))*(MAX($D$16,(AC122)-(J33))),0.000001))^2)/(2*$I$5),((ABS(H122)/MAX(((G33)+(I33)*(MAX($D$16,(L122)-(K33))))*(MAX($D$16,(L122)-(K33))),0.000001))^2)/(2*$I$5))))-((ABS(H122)/MAX(((F33)+(H33)*(MAX($D$16,(AC122)-(J33))))*(MAX($D$16,(AC122)-(J33))),0.000001))^2)/(2*$I$5)</f>
        <v>634.3119999999999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-292118.81246378768</v>
      </c>
      <c r="S122">
        <f ca="1">M122+((ABS(I122)/MAX(((G34)+(I34)*(MAX($D$16,(M122)-(K34))))*(MAX($D$16,(M122)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AD122)-(J34))))*(MAX($D$16,(AD122)-(J34))),0.000001)),$D$9*((((ABS(I122)/MAX(((G34)+(I34)*(MAX($D$16,(M122)-(K34))))*(MAX($D$16,(M122)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M122)-(K34))))*(MAX($D$16,(M122)-(K34))),0.000001))^2)/(2*$I$5)))))+($D$10*(ABS((X34)-(W34))/90)*MAX(((ABS(I122)/MAX(((F34)+(H34)*(MAX($D$16,(AD122)-(J34))))*(MAX($D$16,(AD122)-(J34))),0.000001))^2)/(2*$I$5),((ABS(I122)/MAX(((G34)+(I34)*(MAX($D$16,(M122)-(K34))))*(MAX($D$16,(M122)-(K34))),0.000001))^2)/(2*$I$5)))+(0)-((ABS(I122)/MAX(((F34)+(H34)*(MAX($D$16,(AD122)-(J34))))*(MAX($D$16,(AD122)-(J34))),0.000001))^2)/(2*$I$5)</f>
        <v>635.51128720958343</v>
      </c>
      <c r="T122">
        <f ca="1">N122+((ABS(J122)/MAX(((G35)+(I35)*(MAX($D$16,(N122)-(K35))))*(MAX($D$16,(N122)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AD122)-(J35))))*(MAX($D$16,(AD122)-(J35))),0.000001)),$D$9*((((ABS(J122)/MAX(((G35)+(I35)*(MAX($D$16,(N122)-(K35))))*(MAX($D$16,(N122)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N122)-(K35))))*(MAX($D$16,(N122)-(K35))),0.000001))^2)/(2*$I$5)))))+($D$10*(ABS((X35)-(W35))/90)*MAX(((ABS(J122)/MAX(((F35)+(H35)*(MAX($D$16,(AD122)-(J35))))*(MAX($D$16,(AD122)-(J35))),0.000001))^2)/(2*$I$5),((ABS(J122)/MAX(((G35)+(I35)*(MAX($D$16,(N122)-(K35))))*(MAX($D$16,(N122)-(K35))),0.000001))^2)/(2*$I$5)))+(($D$11*0.34699541*(ABS(I122)/MAX(ABS(G122),0.000001))^2*MAX(((ABS(J122)/MAX(((F35)+(H35)*(MAX($D$16,(AD122)-(J35))))*(MAX($D$16,(AD122)-(J35))),0.000001))^2)/(2*$I$5),((ABS(J122)/MAX(((G35)+(I35)*(MAX($D$16,(N122)-(K35))))*(MAX($D$16,(N122)-(K35))),0.000001))^2)/(2*$I$5))))-((ABS(J122)/MAX(((F35)+(H35)*(MAX($D$16,(AD122)-(J35))))*(MAX($D$16,(AD122)-(J35))),0.000001))^2)/(2*$I$5)</f>
        <v>639.97429104455466</v>
      </c>
      <c r="U122">
        <f ca="1">((((G31)*(MAX($D$16,(AE122)-(K31)))^2)/2+(I31)*(MAX($D$16,(AE122)-(K31)))^3/3+(ABS(F122)^2)/($I$5*MAX(((G31)+(I31)*(MAX($D$16,(AE122)-(K31))))*(MAX($D$16,(AE122)-(K31))),0.000001)))-(IF(N6="None",((((F32)*(MAX($D$16,(AE122)-(J32)))^2)/2+(H32)*(MAX($D$16,(AE122)-(J32)))^3/3+(ABS(G122)^2)/($I$5*MAX(((F32)+(H32)*(MAX($D$16,(AE122)-(J32))))*(MAX($D$16,(AE122)-(J32))),0.000001)))*0.72785025),(((((F32)*(MAX($D$16,(AE122)-(J32)))^2)/2+(H32)*(MAX($D$16,(AE122)-(J32)))^3/3+(ABS(G122)^2)/($I$5*MAX(((F32)+(H32)*(MAX($D$16,(AE122)-(J32))))*(MAX($D$16,(AE122)-(J32))),0.000001)))*0.72785025)+((((F33)*(MAX($D$16,(AE122)-(J33)))^2)/2+(H33)*(MAX($D$16,(AE122)-(J33)))^3/3+(ABS(H122)^2)/($I$5*MAX(((F33)+(H33)*(MAX($D$16,(AE122)-(J33))))*(MAX($D$16,(AE122)-(J33))),0.000001)))*0.99999971)))))/MAX(((G31)*(MAX($D$16,(AE122)-(K31)))^2)/2+(I31)*(MAX($D$16,(AE122)-(K31)))^3/3+(ABS(F122)^2)/($I$5*MAX(((G31)+(I31)*(MAX($D$16,(AE122)-(K31))))*(MAX($D$16,(AE122)-(K31))),0.000001)),0.000001)</f>
        <v>0.27214975000000002</v>
      </c>
      <c r="V122">
        <f ca="1">((((G32)*(MAX($D$16,(AF122)-(K32)))^2)/2+(I32)*(MAX($D$16,(AF122)-(K32)))^3/3+(ABS(G122)^2)/($I$5*MAX(((G32)+(I32)*(MAX($D$16,(AF122)-(K32))))*(MAX($D$16,(AF122)-(K32))),0.000001)))-(IF(AND(N7="None",N8="None"),0,IF(N8="None",((((F34)*(MAX($D$16,(AF122)-(J34)))^2)/2+(H34)*(MAX($D$16,(AF122)-(J34)))^3/3+(ABS(I122)^2)/($I$5*MAX(((F34)+(H34)*(MAX($D$16,(AF122)-(J34))))*(MAX($D$16,(AF122)-(J34))),0.000001)))*1),IF(N7="None",((((F35)*(MAX($D$16,(AF122)-(J35)))^2)/2+(H35)*(MAX($D$16,(AF122)-(J35)))^3/3+(ABS(J122)^2)/($I$5*MAX(((F35)+(H35)*(MAX($D$16,(AF122)-(J35))))*(MAX($D$16,(AF122)-(J35))),0.000001)))*0.30600918),(((((F34)*(MAX($D$16,(AF122)-(J34)))^2)/2+(H34)*(MAX($D$16,(AF122)-(J34)))^3/3+(ABS(I122)^2)/($I$5*MAX(((F34)+(H34)*(MAX($D$16,(AF122)-(J34))))*(MAX($D$16,(AF122)-(J34))),0.000001)))*1)+((((F35)*(MAX($D$16,(AF122)-(J35)))^2)/2+(H35)*(MAX($D$16,(AF122)-(J35)))^3/3+(ABS(J122)^2)/($I$5*MAX(((F35)+(H35)*(MAX($D$16,(AF122)-(J35))))*(MAX($D$16,(AF122)-(J35))),0.000001)))*0.30600918)))))))/MAX(((G32)*(MAX($D$16,(AF122)-(K32)))^2)/2+(I32)*(MAX($D$16,(AF122)-(K32)))^3/3+(ABS(G122)^2)/($I$5*MAX(((G32)+(I32)*(MAX($D$16,(AF122)-(K32))))*(MAX($D$16,(AF122)-(K32))),0.000001)),0.000001)</f>
        <v>3.904177561081449E-2</v>
      </c>
      <c r="W122">
        <f ca="1">ABS((IF(N6="None",P122,MAX(P122,Q122)))-D122)</f>
        <v>5.7059780597958252</v>
      </c>
      <c r="X122">
        <f ca="1">ABS((IF(AND(N7="None",N8="None"),E122,IF(N8="None",S122,IF(N7="None",T122,MAX(S122,T122)))))-E122)</f>
        <v>8.049291044550273</v>
      </c>
      <c r="Y122">
        <f>IF(N6="None",1,MIN(0.98,MAX(0.02,B122+$D$14*((Q122-P122)/MAX(ABS(D122),1)))))</f>
        <v>1</v>
      </c>
      <c r="Z122">
        <f ca="1">IF(AND(N7="None",N8="None"),C122,IF(N8="None",1,IF(N7="None",0,MIN(0.98,MAX(0.02,C122+$D$14*((T122-S122)/MAX(ABS(E122),1)))))))</f>
        <v>0.98</v>
      </c>
      <c r="AA122">
        <f t="shared" ca="1" si="29"/>
        <v>636.34536430059052</v>
      </c>
      <c r="AB122">
        <f t="shared" ca="1" si="30"/>
        <v>634.74259262166106</v>
      </c>
      <c r="AC122">
        <f ca="1">IF($D$20=0,D122,IF(AC122=0,(IF(N6="None",P122,MAX(P122,Q122))),IF(ABS((IF(N6="None",P122,MAX(P122,Q122)))-AC122)&lt;$D$19,AC122,MAX((K31)+$D$16,AC122+$D$13*(((IF(N6="None",P122,MAX(P122,Q122)))-AC122))))))</f>
        <v>640.05475514453997</v>
      </c>
      <c r="AD122">
        <f ca="1">IF($D$20=0,E122,IF(AD122=0,(IF(AND(N7="None",N8="None"),E122,IF(N8="None",S122,IF(N7="None",T122,MAX(S122,T122))))),IF(ABS((IF(AND(N7="None",N8="None"),E122,IF(N8="None",S122,IF(N7="None",T122,MAX(S122,T122)))))-AD122)&lt;$D$19,AD122,MAX((K32)+$D$16,AD122+$D$13*(((IF(AND(N7="None",N8="None"),E122,IF(N8="None",S122,IF(N7="None",T122,MAX(S122,T122)))))-AD122))))))</f>
        <v>639.97526463330917</v>
      </c>
      <c r="AE122">
        <f ca="1">IF($D$20=0,D122,IF(AE122=0,O122,IF(ABS(U122)&lt;$D$19,AE122,MAX((K31)+$D$16,AE122+($D$13*(((O122)-AE122)+(U122*MAX(ABS(AE122-(K31)),1))))))))</f>
        <v>634.34799999999996</v>
      </c>
      <c r="AF122">
        <f ca="1">IF($D$20=0,E122,IF(AF122=0,R122,IF(ABS(V122)&lt;$D$19,AF122,MAX((K32)+$D$16,AF122+($D$13*(((R122)-AF122)+(V122*MAX(ABS(AF122-(K32)),1))))))))</f>
        <v>631.92499999999995</v>
      </c>
      <c r="AG122">
        <f ca="1">((G31)*(MAX($D$16,(AC122)-(K31)))^2)/2+(I31)*(MAX($D$16,(AC122)-(K31)))^3/3+(ABS(F122)^2)/($I$5*MAX(((G31)+(I31)*(MAX($D$16,(AC122)-(K31))))*(MAX($D$16,(AC122)-(K31))),0.000001))</f>
        <v>115.68980551184316</v>
      </c>
      <c r="AH122">
        <f ca="1">((G31)*(MAX($D$16,(AE122)-(K31)))^2)/2+(I31)*(MAX($D$16,(AE122)-(K31)))^3/3+(ABS(F122)^2)/($I$5*MAX(((G31)+(I31)*(MAX($D$16,(AE122)-(K31))))*(MAX($D$16,(AE122)-(K31))),0.000001))</f>
        <v>808.60110594434002</v>
      </c>
      <c r="AI122">
        <f ca="1">((G32)*(MAX($D$16,(AD122)-(K32)))^2)/2+(I32)*(MAX($D$16,(AD122)-(K32)))^3/3+(ABS(G122)^2)/($I$5*MAX(((G32)+(I32)*(MAX($D$16,(AD122)-(K32))))*(MAX($D$16,(AD122)-(K32))),0.000001))</f>
        <v>338.03683729018678</v>
      </c>
      <c r="AJ122">
        <f ca="1">((G32)*(MAX($D$16,(AF122)-(K32)))^2)/2+(I32)*(MAX($D$16,(AF122)-(K32)))^3/3+(ABS(G122)^2)/($I$5*MAX(((G32)+(I32)*(MAX($D$16,(AF122)-(K32))))*(MAX($D$16,(AF122)-(K32))),0.000001))</f>
        <v>519.58480272613974</v>
      </c>
      <c r="AK122" t="str">
        <f t="shared" ca="1" si="31"/>
        <v>Supercritical</v>
      </c>
      <c r="AL122" t="str">
        <f t="shared" ca="1" si="32"/>
        <v>Supercritical</v>
      </c>
      <c r="AM122">
        <f t="shared" ca="1" si="33"/>
        <v>634.34800000000155</v>
      </c>
      <c r="AN122">
        <f t="shared" ca="1" si="34"/>
        <v>631.9250000000028</v>
      </c>
      <c r="AO122">
        <f t="shared" ca="1" si="35"/>
        <v>2.3874235921539366E-12</v>
      </c>
      <c r="AP122">
        <f t="shared" ca="1" si="36"/>
        <v>4.4337866711430252E-12</v>
      </c>
    </row>
    <row r="130" spans="1:45" x14ac:dyDescent="0.35">
      <c r="A130" t="s">
        <v>140</v>
      </c>
      <c r="E130">
        <f>E31</f>
        <v>10.742000000000001</v>
      </c>
      <c r="F130" t="s">
        <v>141</v>
      </c>
      <c r="H130">
        <f>N31</f>
        <v>51</v>
      </c>
      <c r="I130" t="s">
        <v>13</v>
      </c>
      <c r="K130" t="str">
        <f>V31</f>
        <v>Mixed</v>
      </c>
      <c r="L130" t="s">
        <v>142</v>
      </c>
    </row>
    <row r="131" spans="1:45" x14ac:dyDescent="0.35">
      <c r="A131" t="s">
        <v>143</v>
      </c>
      <c r="B131" t="s">
        <v>144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9</v>
      </c>
      <c r="I131" t="s">
        <v>150</v>
      </c>
      <c r="J131" t="s">
        <v>151</v>
      </c>
      <c r="K131" t="s">
        <v>152</v>
      </c>
      <c r="L131" t="s">
        <v>153</v>
      </c>
      <c r="M131" t="s">
        <v>154</v>
      </c>
      <c r="N131" t="s">
        <v>155</v>
      </c>
      <c r="O131" t="s">
        <v>156</v>
      </c>
      <c r="P131" t="s">
        <v>157</v>
      </c>
      <c r="Q131" t="s">
        <v>158</v>
      </c>
      <c r="R131" t="s">
        <v>159</v>
      </c>
      <c r="S131" t="s">
        <v>160</v>
      </c>
      <c r="T131" t="s">
        <v>161</v>
      </c>
      <c r="U131" t="s">
        <v>162</v>
      </c>
      <c r="V131" t="s">
        <v>163</v>
      </c>
      <c r="W131" t="s">
        <v>164</v>
      </c>
      <c r="X131" t="s">
        <v>165</v>
      </c>
      <c r="Y131" t="s">
        <v>166</v>
      </c>
      <c r="Z131" t="s">
        <v>167</v>
      </c>
      <c r="AA131" t="s">
        <v>168</v>
      </c>
      <c r="AB131" t="s">
        <v>169</v>
      </c>
      <c r="AC131" t="s">
        <v>170</v>
      </c>
      <c r="AD131" t="s">
        <v>171</v>
      </c>
      <c r="AE131" t="s">
        <v>172</v>
      </c>
      <c r="AF131" t="s">
        <v>173</v>
      </c>
      <c r="AG131" t="s">
        <v>174</v>
      </c>
      <c r="AH131" t="s">
        <v>175</v>
      </c>
      <c r="AI131" t="s">
        <v>176</v>
      </c>
      <c r="AJ131" t="s">
        <v>177</v>
      </c>
      <c r="AK131" t="s">
        <v>178</v>
      </c>
      <c r="AL131" t="s">
        <v>179</v>
      </c>
      <c r="AM131" t="s">
        <v>180</v>
      </c>
      <c r="AN131" t="s">
        <v>181</v>
      </c>
      <c r="AO131" t="s">
        <v>182</v>
      </c>
      <c r="AP131" t="s">
        <v>183</v>
      </c>
      <c r="AQ131" t="s">
        <v>184</v>
      </c>
      <c r="AR131" t="s">
        <v>185</v>
      </c>
      <c r="AS131" t="s">
        <v>186</v>
      </c>
    </row>
    <row r="132" spans="1:45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187</v>
      </c>
      <c r="J132" t="s">
        <v>52</v>
      </c>
      <c r="K132" t="s">
        <v>13</v>
      </c>
      <c r="L132" t="s">
        <v>52</v>
      </c>
      <c r="M132" t="s">
        <v>188</v>
      </c>
      <c r="N132" t="s">
        <v>52</v>
      </c>
      <c r="O132" t="s">
        <v>189</v>
      </c>
      <c r="P132" t="s">
        <v>52</v>
      </c>
      <c r="Q132" t="s">
        <v>52</v>
      </c>
      <c r="R132" t="s">
        <v>22</v>
      </c>
      <c r="S132" t="s">
        <v>22</v>
      </c>
      <c r="T132" t="s">
        <v>190</v>
      </c>
      <c r="U132" t="s">
        <v>52</v>
      </c>
      <c r="V132" t="s">
        <v>22</v>
      </c>
      <c r="W132" t="s">
        <v>52</v>
      </c>
      <c r="X132" t="s">
        <v>188</v>
      </c>
      <c r="Y132" t="s">
        <v>52</v>
      </c>
      <c r="Z132" t="s">
        <v>189</v>
      </c>
      <c r="AA132" t="s">
        <v>52</v>
      </c>
      <c r="AB132" t="s">
        <v>52</v>
      </c>
      <c r="AC132" t="s">
        <v>22</v>
      </c>
      <c r="AD132" t="s">
        <v>22</v>
      </c>
      <c r="AE132" t="s">
        <v>190</v>
      </c>
      <c r="AF132" t="s">
        <v>52</v>
      </c>
      <c r="AG132" t="s">
        <v>22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191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1">((F133)+(G133)*(L133))*(L133)</f>
        <v>16.088039999999701</v>
      </c>
      <c r="N133">
        <f t="shared" ref="N133:N144" si="42">(((F133)+(G133)*(L133))*(L133))/MAX((F133)+2*(L133)*SQRT(1+(G133)^2),0.000001)</f>
        <v>1.415826806301139</v>
      </c>
      <c r="O133">
        <f t="shared" ref="O133:O144" si="43">ABS(K133)/MAX(((F133)+(G133)*(L133))*(L133),0.000001)</f>
        <v>3.1700567626635032</v>
      </c>
      <c r="P133">
        <f t="shared" ref="P133:P144" si="44">E133+L133</f>
        <v>637</v>
      </c>
      <c r="Q133">
        <f t="shared" ref="Q133:Q144" si="45">P133+((ABS(K133)/MAX(((F133)+(G133)*(L133))*(L133),0.000001))^2)/(2*$I$5)</f>
        <v>637.51219469309422</v>
      </c>
      <c r="R133">
        <f t="shared" ref="R133:R144" si="46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47">ABS(ABS(K133)/MAX(((F133)+(G133)*(L133))*(L133),0.000001))/SQRT($I$5*MAX((((F133)+(G133)*(L133))*(L133))/MAX((F133)+2*(G133)*(L133),0.000001),0.000001))</f>
        <v>0.61825144204660709</v>
      </c>
      <c r="T133">
        <f t="shared" ref="T133:T144" si="48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49">IF(OR($D$20=0,AG134=0),W134,IF(OR(W133=0,AD134&gt;1),MAX($D$16,POWER((ABS(K133)^2)/($I$5*MAX(F133,0.1)^2),1/3)),IF(AF133&gt;0,MAX($D$16,W133+((AF133)*$D$18*IF((AD133)&lt;1,1,-1))),IF(AF133&lt;0,IF(ABS((MAX($D$16,POWER((ABS(K133)^2)/($I$5*MAX(F133,0.1)^2),1/3)))-W133)&gt;$D$19,MAX($D$16,W133+($D$18*((MAX($D$16,POWER((ABS(K133)^2)/($I$5*MAX(F133,0.1)^2),1/3)))-W133))),MAX($D$16,POWER((ABS(K133)^2)/($I$5*MAX(F133,0.1)^2),1/3))),W133))))</f>
        <v>1.8893271869920374</v>
      </c>
      <c r="X133">
        <f t="shared" ref="X133:X144" ca="1" si="50">((F133)+(G133)*(W133))*(W133)</f>
        <v>11.341631103513201</v>
      </c>
      <c r="Y133">
        <f t="shared" ref="Y133:Y144" ca="1" si="51">(((F133)+(G133)*(W133))*(W133))/MAX((F133)+2*(W133)*SQRT(1+(G133)^2),0.000001)</f>
        <v>1.1594798456259241</v>
      </c>
      <c r="Z133">
        <f t="shared" ref="Z133:Z144" ca="1" si="52">ABS(K133)/MAX(((F133)+(G133)*(W133))*(W133),0.000001)</f>
        <v>4.4967077076067268</v>
      </c>
      <c r="AA133">
        <f t="shared" ref="AA133:AA144" ca="1" si="53">E133+W133</f>
        <v>636.20932718699214</v>
      </c>
      <c r="AB133">
        <f t="shared" ref="AB133:AB144" ca="1" si="54">AA133+((ABS(K133)/MAX(((F133)+(G133)*(W133))*(W133),0.000001))^2)/(2*$I$5)</f>
        <v>637.23992760532292</v>
      </c>
      <c r="AC133">
        <f t="shared" ref="AC133:AC144" ca="1" si="55">((ABS(K133)*$D$6)/(MAX(((F133)+(G133)*(W133))*(W133),0.000001)*MAX(((((F133)+(G133)*(W133))*(W133))/MAX((F133)+2*(W133)*SQRT(1+(G133)^2),0.000001))^(2/3),0.000001)))^2</f>
        <v>3.7349738331182267E-3</v>
      </c>
      <c r="AD133">
        <f t="shared" ref="AD133:AD144" ca="1" si="56">ABS(ABS(K133)/MAX(((F133)+(G133)*(W133))*(W133),0.000001))/SQRT($I$5*MAX((((F133)+(G133)*(W133))*(W133))/MAX((F133)+2*(G133)*(W133),0.000001),0.000001))</f>
        <v>1.0444954874447601</v>
      </c>
      <c r="AE133">
        <f t="shared" ref="AE133:AE144" ca="1" si="57">((F133)*(W133)^2)/2+(G133)*(W133)^3/3+(ABS(K133)^2)/($I$5*MAX(((F133)+(G133)*(W133))*(W133),0.000001))</f>
        <v>34.091405514018994</v>
      </c>
      <c r="AF133">
        <f t="shared" ref="AF133:AF143" ca="1" si="58">AB134+(((AC133+AC134)/2)*J134)+(IF(Z133&gt;Z134,$D$8*((Z133^2-Z134^2)/(2*$I$5)),$D$9*((Z134^2-Z133^2)/(2*$I$5)))+($D$10*(ABS(I134)/90)*(MAX(Z133^2,Z134^2)/(2*$I$5))))-AB133</f>
        <v>1.7349738330949549E-3</v>
      </c>
      <c r="AG133">
        <f t="shared" ref="AG133:AG143" ca="1" si="59">IF(ROUND(AD133,3)=1,1,IF(AND(ABS(AF133)&lt;$D$19,AD133&lt;1),1,0))</f>
        <v>0</v>
      </c>
      <c r="AH133">
        <f ca="1">IF(V31="Supercritical",L133,IF(V31="Subcritical",W133,IF(AND(V133=1,AG133=1),IF(T133&gt;=AE133,L133,W133),IF(V133=1,L133,IF(AG133=1,W133,MAX($D$16,POWER((ABS(K133)^2)/($I$5*MAX(F133,0.1)^2),1/3)))))))</f>
        <v>2.67999999999995</v>
      </c>
      <c r="AI133">
        <f t="shared" ref="AI133:AI144" ca="1" si="60">E133+AH133</f>
        <v>637</v>
      </c>
      <c r="AJ133">
        <f t="shared" ref="AJ133:AJ144" ca="1" si="61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62">AM133+AN133</f>
        <v>0</v>
      </c>
      <c r="AP133">
        <f>AO133</f>
        <v>0</v>
      </c>
      <c r="AQ133">
        <f t="shared" ref="AQ133:AQ144" ca="1" si="63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64">IF(AQ133&lt;1,"Subcritical","Supercritical")</f>
        <v>Subcritical</v>
      </c>
      <c r="AS133">
        <f t="shared" ref="AS133:AS144" ca="1" si="65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191</v>
      </c>
      <c r="I134">
        <v>0</v>
      </c>
      <c r="J134">
        <f t="shared" ref="J134:J144" si="66">B134-B133</f>
        <v>1</v>
      </c>
      <c r="K134">
        <f t="shared" ref="K134:K144" si="67">MAX(0,K133-AO133)</f>
        <v>51</v>
      </c>
      <c r="L134">
        <f t="shared" ref="L134:L144" ca="1" si="68">IF(OR($D$20=0,V133=0),L133,IF(OR(L134=0,S133&lt;1,S134&lt;1),MAX($D$16,POWER((ABS(K134)^2)/($I$5*MAX(F134,0.1)^2),1/3)),IF(U134&gt;0,MAX($D$16,L134+((U134)*$D$18*IF((S134)&lt;1,1,-1))),IF(U134&lt;0,IF(ABS((MAX($D$16,POWER((ABS(K134)^2)/($I$5*MAX(F134,0.1)^2),1/3)))-L134)&gt;$D$19,MAX($D$16,L134+($D$18*((MAX($D$16,POWER((ABS(K134)^2)/($I$5*MAX(F134,0.1)^2),1/3)))-L134))),MAX($D$16,POWER((ABS(K134)^2)/($I$5*MAX(F134,0.1)^2),1/3))),L134))))</f>
        <v>1.9449639349259837</v>
      </c>
      <c r="M134">
        <f t="shared" ca="1" si="41"/>
        <v>11.675618501360681</v>
      </c>
      <c r="N134">
        <f t="shared" ca="1" si="42"/>
        <v>1.1801984867332698</v>
      </c>
      <c r="O134">
        <f t="shared" ca="1" si="43"/>
        <v>4.3680769454788573</v>
      </c>
      <c r="P134">
        <f t="shared" ca="1" si="44"/>
        <v>636.26296393492601</v>
      </c>
      <c r="Q134">
        <f t="shared" ca="1" si="45"/>
        <v>637.23544590238896</v>
      </c>
      <c r="R134">
        <f t="shared" ca="1" si="46"/>
        <v>3.4420962243487683E-3</v>
      </c>
      <c r="S134">
        <f t="shared" ca="1" si="47"/>
        <v>1</v>
      </c>
      <c r="T134">
        <f t="shared" ca="1" si="48"/>
        <v>34.062985354651637</v>
      </c>
      <c r="U134">
        <f t="shared" ref="U134:U144" ca="1" si="69">Q133-(((R133+R134)/2)*J134)-(IF(O133&gt;O134,$D$8*((O133^2-O134^2)/(2*$I$5)),$D$9*((O134^2-O133^2)/(2*$I$5)))+($D$10*(ABS(I134)/90)*(MAX(O133^2,O134^2)/(2*$I$5))))-Q134</f>
        <v>0.22828790028825097</v>
      </c>
      <c r="V134">
        <f t="shared" ref="V134:V144" ca="1" si="70">IF(ROUND(S134,3)=1,1,IF(AND(ABS(U134)&lt;$D$19,S134&gt;1),1,0))</f>
        <v>1</v>
      </c>
      <c r="W134">
        <f t="shared" ca="1" si="49"/>
        <v>1.8868702596883655</v>
      </c>
      <c r="X134">
        <f t="shared" ca="1" si="50"/>
        <v>11.326882168909258</v>
      </c>
      <c r="Y134">
        <f t="shared" ca="1" si="51"/>
        <v>1.1585540340832683</v>
      </c>
      <c r="Z134">
        <f t="shared" ca="1" si="52"/>
        <v>4.5025629506403826</v>
      </c>
      <c r="AA134">
        <f t="shared" ca="1" si="53"/>
        <v>636.20487025968839</v>
      </c>
      <c r="AB134">
        <f t="shared" ca="1" si="54"/>
        <v>637.23815635165977</v>
      </c>
      <c r="AC134">
        <f t="shared" ca="1" si="55"/>
        <v>3.7486973566030913E-3</v>
      </c>
      <c r="AD134">
        <f t="shared" ca="1" si="56"/>
        <v>1.0465362356178602</v>
      </c>
      <c r="AE134">
        <f t="shared" ca="1" si="57"/>
        <v>34.093998170820868</v>
      </c>
      <c r="AF134">
        <f t="shared" ca="1" si="58"/>
        <v>1.5572388200553178E-3</v>
      </c>
      <c r="AG134">
        <f t="shared" ca="1" si="59"/>
        <v>0</v>
      </c>
      <c r="AH134">
        <f ca="1">IF(V31="Supercritical",L134,IF(V31="Subcritical",W134,IF(AND(V134=1,AG134=1),IF(T134&gt;=AE134,L134,W134),IF(V134=1,L134,IF(AG134=1,W134,MAX($D$16,POWER((ABS(K134)^2)/($I$5*MAX(F134,0.1)^2),1/3)))))))</f>
        <v>1.9449639349259837</v>
      </c>
      <c r="AI134">
        <f t="shared" ca="1" si="60"/>
        <v>636.26296393492601</v>
      </c>
      <c r="AJ134">
        <f t="shared" ca="1" si="61"/>
        <v>637.23544590238896</v>
      </c>
      <c r="AM134">
        <v>0</v>
      </c>
      <c r="AN134">
        <v>0</v>
      </c>
      <c r="AO134">
        <f t="shared" si="62"/>
        <v>0</v>
      </c>
      <c r="AP134">
        <f t="shared" ref="AP134:AP144" si="71">AP133+AO134</f>
        <v>0</v>
      </c>
      <c r="AQ134">
        <f t="shared" ca="1" si="63"/>
        <v>1</v>
      </c>
      <c r="AR134" t="str">
        <f t="shared" ca="1" si="64"/>
        <v>Supercritical</v>
      </c>
      <c r="AS134">
        <f t="shared" ca="1" si="65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191</v>
      </c>
      <c r="I135">
        <v>2.7E-2</v>
      </c>
      <c r="J135">
        <f t="shared" si="66"/>
        <v>1.0009999999999999</v>
      </c>
      <c r="K135">
        <f t="shared" si="67"/>
        <v>51</v>
      </c>
      <c r="L135">
        <f t="shared" ca="1" si="68"/>
        <v>1.9447479658020994</v>
      </c>
      <c r="M135">
        <f t="shared" ca="1" si="41"/>
        <v>11.676266786675804</v>
      </c>
      <c r="N135">
        <f t="shared" ca="1" si="42"/>
        <v>1.1801962488685771</v>
      </c>
      <c r="O135">
        <f t="shared" ca="1" si="43"/>
        <v>4.3678344227452808</v>
      </c>
      <c r="P135">
        <f t="shared" ca="1" si="44"/>
        <v>636.26074796580212</v>
      </c>
      <c r="Q135">
        <f t="shared" ca="1" si="45"/>
        <v>637.23312194870323</v>
      </c>
      <c r="R135">
        <f t="shared" ca="1" si="46"/>
        <v>3.4417227148850105E-3</v>
      </c>
      <c r="S135">
        <f t="shared" ca="1" si="47"/>
        <v>1.0000000000000002</v>
      </c>
      <c r="T135">
        <f t="shared" ca="1" si="48"/>
        <v>34.061094122325578</v>
      </c>
      <c r="U135">
        <f t="shared" ca="1" si="69"/>
        <v>-1.1975547505471695E-3</v>
      </c>
      <c r="V135">
        <f t="shared" ca="1" si="70"/>
        <v>1</v>
      </c>
      <c r="W135">
        <f t="shared" ca="1" si="49"/>
        <v>1.8843253678677774</v>
      </c>
      <c r="X135">
        <f t="shared" ca="1" si="50"/>
        <v>11.313489508678135</v>
      </c>
      <c r="Y135">
        <f t="shared" ca="1" si="51"/>
        <v>1.1576684580886749</v>
      </c>
      <c r="Z135">
        <f t="shared" ca="1" si="52"/>
        <v>4.5078929857034735</v>
      </c>
      <c r="AA135">
        <f t="shared" ca="1" si="53"/>
        <v>636.20032536786778</v>
      </c>
      <c r="AB135">
        <f t="shared" ca="1" si="54"/>
        <v>637.23605927054643</v>
      </c>
      <c r="AC135">
        <f t="shared" ca="1" si="55"/>
        <v>3.7614109040762849E-3</v>
      </c>
      <c r="AD135">
        <f t="shared" ca="1" si="56"/>
        <v>1.0484824043147771</v>
      </c>
      <c r="AE135">
        <f t="shared" ca="1" si="57"/>
        <v>34.094676923627794</v>
      </c>
      <c r="AF135">
        <f t="shared" ca="1" si="58"/>
        <v>1.804257518756458E-3</v>
      </c>
      <c r="AG135">
        <f t="shared" ca="1" si="59"/>
        <v>0</v>
      </c>
      <c r="AH135">
        <f ca="1">IF(V31="Supercritical",L135,IF(V31="Subcritical",W135,IF(AND(V135=1,AG135=1),IF(T135&gt;=AE135,L135,W135),IF(V135=1,L135,IF(AG135=1,W135,MAX($D$16,POWER((ABS(K135)^2)/($I$5*MAX(F135,0.1)^2),1/3)))))))</f>
        <v>1.9447479658020994</v>
      </c>
      <c r="AI135">
        <f t="shared" ca="1" si="60"/>
        <v>636.26074796580212</v>
      </c>
      <c r="AJ135">
        <f t="shared" ca="1" si="61"/>
        <v>637.23312194870323</v>
      </c>
      <c r="AM135">
        <v>0</v>
      </c>
      <c r="AN135">
        <v>0</v>
      </c>
      <c r="AO135">
        <f t="shared" si="62"/>
        <v>0</v>
      </c>
      <c r="AP135">
        <f t="shared" si="71"/>
        <v>0</v>
      </c>
      <c r="AQ135">
        <f t="shared" ca="1" si="63"/>
        <v>1.0000000000000002</v>
      </c>
      <c r="AR135" t="str">
        <f t="shared" ca="1" si="64"/>
        <v>Supercritical</v>
      </c>
      <c r="AS135">
        <f t="shared" ca="1" si="65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191</v>
      </c>
      <c r="I136">
        <v>2.7E-2</v>
      </c>
      <c r="J136">
        <f t="shared" si="66"/>
        <v>0.99900000000000011</v>
      </c>
      <c r="K136">
        <f t="shared" si="67"/>
        <v>51</v>
      </c>
      <c r="L136">
        <f t="shared" ca="1" si="68"/>
        <v>1.9447479658020994</v>
      </c>
      <c r="M136">
        <f t="shared" ca="1" si="41"/>
        <v>11.676266786675804</v>
      </c>
      <c r="N136">
        <f t="shared" ca="1" si="42"/>
        <v>1.1801962488685771</v>
      </c>
      <c r="O136">
        <f t="shared" ca="1" si="43"/>
        <v>4.3678344227452808</v>
      </c>
      <c r="P136">
        <f t="shared" ca="1" si="44"/>
        <v>636.25874796580206</v>
      </c>
      <c r="Q136">
        <f t="shared" ca="1" si="45"/>
        <v>637.23112194870316</v>
      </c>
      <c r="R136">
        <f t="shared" ca="1" si="46"/>
        <v>3.4417227148850105E-3</v>
      </c>
      <c r="S136">
        <f t="shared" ca="1" si="47"/>
        <v>1.0000000000000002</v>
      </c>
      <c r="T136">
        <f t="shared" ca="1" si="48"/>
        <v>34.061094122325578</v>
      </c>
      <c r="U136">
        <f t="shared" ca="1" si="69"/>
        <v>-1.4820378213471486E-3</v>
      </c>
      <c r="V136">
        <f t="shared" ca="1" si="70"/>
        <v>1</v>
      </c>
      <c r="W136">
        <f t="shared" ca="1" si="49"/>
        <v>1.8816905187672921</v>
      </c>
      <c r="X136">
        <f t="shared" ca="1" si="50"/>
        <v>11.297669874678821</v>
      </c>
      <c r="Y136">
        <f t="shared" ca="1" si="51"/>
        <v>1.1566734041872193</v>
      </c>
      <c r="Z136">
        <f t="shared" ca="1" si="52"/>
        <v>4.514205191488645</v>
      </c>
      <c r="AA136">
        <f t="shared" ca="1" si="53"/>
        <v>636.19569051876726</v>
      </c>
      <c r="AB136">
        <f t="shared" ca="1" si="54"/>
        <v>637.23432703817923</v>
      </c>
      <c r="AC136">
        <f t="shared" ca="1" si="55"/>
        <v>3.7762793188344281E-3</v>
      </c>
      <c r="AD136">
        <f t="shared" ca="1" si="56"/>
        <v>1.0506853912709069</v>
      </c>
      <c r="AE136">
        <f t="shared" ca="1" si="57"/>
        <v>34.097704175876956</v>
      </c>
      <c r="AF136">
        <f t="shared" ca="1" si="58"/>
        <v>1.5333624683080416E-3</v>
      </c>
      <c r="AG136">
        <f t="shared" ca="1" si="59"/>
        <v>0</v>
      </c>
      <c r="AH136">
        <f ca="1">IF(V31="Supercritical",L136,IF(V31="Subcritical",W136,IF(AND(V136=1,AG136=1),IF(T136&gt;=AE136,L136,W136),IF(V136=1,L136,IF(AG136=1,W136,MAX($D$16,POWER((ABS(K136)^2)/($I$5*MAX(F136,0.1)^2),1/3)))))))</f>
        <v>1.9447479658020994</v>
      </c>
      <c r="AI136">
        <f t="shared" ca="1" si="60"/>
        <v>636.25874796580206</v>
      </c>
      <c r="AJ136">
        <f t="shared" ca="1" si="61"/>
        <v>637.23112194870316</v>
      </c>
      <c r="AM136">
        <v>0</v>
      </c>
      <c r="AN136">
        <v>0</v>
      </c>
      <c r="AO136">
        <f t="shared" si="62"/>
        <v>0</v>
      </c>
      <c r="AP136">
        <f t="shared" si="71"/>
        <v>0</v>
      </c>
      <c r="AQ136">
        <f t="shared" ca="1" si="63"/>
        <v>1.0000000000000002</v>
      </c>
      <c r="AR136" t="str">
        <f t="shared" ca="1" si="64"/>
        <v>Supercritical</v>
      </c>
      <c r="AS136">
        <f t="shared" ca="1" si="65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191</v>
      </c>
      <c r="I137">
        <v>0</v>
      </c>
      <c r="J137">
        <f t="shared" si="66"/>
        <v>1</v>
      </c>
      <c r="K137">
        <f t="shared" si="67"/>
        <v>51</v>
      </c>
      <c r="L137">
        <f t="shared" ca="1" si="68"/>
        <v>1.9445320566213506</v>
      </c>
      <c r="M137">
        <f t="shared" ca="1" si="41"/>
        <v>11.67691500001121</v>
      </c>
      <c r="N137">
        <f t="shared" ca="1" si="42"/>
        <v>1.180193989685417</v>
      </c>
      <c r="O137">
        <f t="shared" ca="1" si="43"/>
        <v>4.3675919538637595</v>
      </c>
      <c r="P137">
        <f t="shared" ca="1" si="44"/>
        <v>636.25653205662138</v>
      </c>
      <c r="Q137">
        <f t="shared" ca="1" si="45"/>
        <v>637.22879808493201</v>
      </c>
      <c r="R137">
        <f t="shared" ca="1" si="46"/>
        <v>3.4413493924957731E-3</v>
      </c>
      <c r="S137">
        <f t="shared" ca="1" si="47"/>
        <v>1</v>
      </c>
      <c r="T137">
        <f t="shared" ca="1" si="48"/>
        <v>34.059203309946746</v>
      </c>
      <c r="U137">
        <f t="shared" ca="1" si="69"/>
        <v>-1.1500586597321671E-3</v>
      </c>
      <c r="V137">
        <f t="shared" ca="1" si="70"/>
        <v>1</v>
      </c>
      <c r="W137">
        <f t="shared" ca="1" si="49"/>
        <v>1.8789637793481266</v>
      </c>
      <c r="X137">
        <f t="shared" ca="1" si="50"/>
        <v>11.2831774949855</v>
      </c>
      <c r="Y137">
        <f t="shared" ca="1" si="51"/>
        <v>1.1557166052036405</v>
      </c>
      <c r="Z137">
        <f t="shared" ca="1" si="52"/>
        <v>4.5200033432661639</v>
      </c>
      <c r="AA137">
        <f t="shared" ca="1" si="53"/>
        <v>636.19096377934818</v>
      </c>
      <c r="AB137">
        <f t="shared" ca="1" si="54"/>
        <v>637.23227011080269</v>
      </c>
      <c r="AC137">
        <f t="shared" ca="1" si="55"/>
        <v>3.7901659518906963E-3</v>
      </c>
      <c r="AD137">
        <f t="shared" ca="1" si="56"/>
        <v>1.0527979926103004</v>
      </c>
      <c r="AE137">
        <f t="shared" ca="1" si="57"/>
        <v>34.098829243423502</v>
      </c>
      <c r="AF137">
        <f t="shared" ca="1" si="58"/>
        <v>1.7939561178081931E-3</v>
      </c>
      <c r="AG137">
        <f t="shared" ca="1" si="59"/>
        <v>0</v>
      </c>
      <c r="AH137">
        <f ca="1">IF(V31="Supercritical",L137,IF(V31="Subcritical",W137,IF(AND(V137=1,AG137=1),IF(T137&gt;=AE137,L137,W137),IF(V137=1,L137,IF(AG137=1,W137,MAX($D$16,POWER((ABS(K137)^2)/($I$5*MAX(F137,0.1)^2),1/3)))))))</f>
        <v>1.9445320566213506</v>
      </c>
      <c r="AI137">
        <f t="shared" ca="1" si="60"/>
        <v>636.25653205662138</v>
      </c>
      <c r="AJ137">
        <f t="shared" ca="1" si="61"/>
        <v>637.22879808493201</v>
      </c>
      <c r="AM137">
        <v>0</v>
      </c>
      <c r="AN137">
        <v>0</v>
      </c>
      <c r="AO137">
        <f t="shared" si="62"/>
        <v>0</v>
      </c>
      <c r="AP137">
        <f t="shared" si="71"/>
        <v>0</v>
      </c>
      <c r="AQ137">
        <f t="shared" ca="1" si="63"/>
        <v>1</v>
      </c>
      <c r="AR137" t="str">
        <f t="shared" ca="1" si="64"/>
        <v>Supercritical</v>
      </c>
      <c r="AS137">
        <f t="shared" ca="1" si="65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191</v>
      </c>
      <c r="I138">
        <v>0</v>
      </c>
      <c r="J138">
        <f t="shared" si="66"/>
        <v>1.0010000000000003</v>
      </c>
      <c r="K138">
        <f t="shared" si="67"/>
        <v>51</v>
      </c>
      <c r="L138">
        <f t="shared" ca="1" si="68"/>
        <v>1.9445320566213506</v>
      </c>
      <c r="M138">
        <f t="shared" ca="1" si="41"/>
        <v>11.67691500001121</v>
      </c>
      <c r="N138">
        <f t="shared" ca="1" si="42"/>
        <v>1.180193989685417</v>
      </c>
      <c r="O138">
        <f t="shared" ca="1" si="43"/>
        <v>4.3675919538637595</v>
      </c>
      <c r="P138">
        <f t="shared" ca="1" si="44"/>
        <v>636.25453205662131</v>
      </c>
      <c r="Q138">
        <f t="shared" ca="1" si="45"/>
        <v>637.22679808493194</v>
      </c>
      <c r="R138">
        <f t="shared" ca="1" si="46"/>
        <v>3.4413493924957731E-3</v>
      </c>
      <c r="S138">
        <f t="shared" ca="1" si="47"/>
        <v>1</v>
      </c>
      <c r="T138">
        <f t="shared" ca="1" si="48"/>
        <v>34.059203309946746</v>
      </c>
      <c r="U138">
        <f t="shared" ca="1" si="69"/>
        <v>-1.4447907418571049E-3</v>
      </c>
      <c r="V138">
        <f t="shared" ca="1" si="70"/>
        <v>1</v>
      </c>
      <c r="W138">
        <f t="shared" ca="1" si="49"/>
        <v>1.8761432879929463</v>
      </c>
      <c r="X138">
        <f t="shared" ca="1" si="50"/>
        <v>11.266240444397642</v>
      </c>
      <c r="Y138">
        <f t="shared" ca="1" si="51"/>
        <v>1.1546489238233</v>
      </c>
      <c r="Z138">
        <f t="shared" ca="1" si="52"/>
        <v>4.5267984694362475</v>
      </c>
      <c r="AA138">
        <f t="shared" ca="1" si="53"/>
        <v>636.18614328799288</v>
      </c>
      <c r="AB138">
        <f t="shared" ca="1" si="54"/>
        <v>637.23058285898628</v>
      </c>
      <c r="AC138">
        <f t="shared" ca="1" si="55"/>
        <v>3.8062580811666427E-3</v>
      </c>
      <c r="AD138">
        <f t="shared" ca="1" si="56"/>
        <v>1.0551729631584743</v>
      </c>
      <c r="AE138">
        <f t="shared" ca="1" si="57"/>
        <v>34.10235536824581</v>
      </c>
      <c r="AF138">
        <f t="shared" ca="1" si="58"/>
        <v>1.6090229127030398E-3</v>
      </c>
      <c r="AG138">
        <f t="shared" ca="1" si="59"/>
        <v>0</v>
      </c>
      <c r="AH138">
        <f ca="1">IF(V31="Supercritical",L138,IF(V31="Subcritical",W138,IF(AND(V138=1,AG138=1),IF(T138&gt;=AE138,L138,W138),IF(V138=1,L138,IF(AG138=1,W138,MAX($D$16,POWER((ABS(K138)^2)/($I$5*MAX(F138,0.1)^2),1/3)))))))</f>
        <v>1.9445320566213506</v>
      </c>
      <c r="AI138">
        <f t="shared" ca="1" si="60"/>
        <v>636.25453205662131</v>
      </c>
      <c r="AJ138">
        <f t="shared" ca="1" si="61"/>
        <v>637.22679808493194</v>
      </c>
      <c r="AM138">
        <v>0</v>
      </c>
      <c r="AN138">
        <v>0</v>
      </c>
      <c r="AO138">
        <f t="shared" si="62"/>
        <v>0</v>
      </c>
      <c r="AP138">
        <f t="shared" si="71"/>
        <v>0</v>
      </c>
      <c r="AQ138">
        <f t="shared" ca="1" si="63"/>
        <v>1</v>
      </c>
      <c r="AR138" t="str">
        <f t="shared" ca="1" si="64"/>
        <v>Supercritical</v>
      </c>
      <c r="AS138">
        <f t="shared" ca="1" si="65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191</v>
      </c>
      <c r="I139">
        <v>2.7E-2</v>
      </c>
      <c r="J139">
        <f t="shared" si="66"/>
        <v>1</v>
      </c>
      <c r="K139">
        <f t="shared" si="67"/>
        <v>51</v>
      </c>
      <c r="L139">
        <f t="shared" ca="1" si="68"/>
        <v>1.9443162073571221</v>
      </c>
      <c r="M139">
        <f t="shared" ca="1" si="41"/>
        <v>11.677563141386875</v>
      </c>
      <c r="N139">
        <f t="shared" ca="1" si="42"/>
        <v>1.1801917091959115</v>
      </c>
      <c r="O139">
        <f t="shared" ca="1" si="43"/>
        <v>4.3673495388133725</v>
      </c>
      <c r="P139">
        <f t="shared" ca="1" si="44"/>
        <v>636.25231620735713</v>
      </c>
      <c r="Q139">
        <f t="shared" ca="1" si="45"/>
        <v>637.22447431103569</v>
      </c>
      <c r="R139">
        <f t="shared" ca="1" si="46"/>
        <v>3.4409762570611312E-3</v>
      </c>
      <c r="S139">
        <f t="shared" ca="1" si="47"/>
        <v>1.0000000000000002</v>
      </c>
      <c r="T139">
        <f t="shared" ca="1" si="48"/>
        <v>34.057312917351979</v>
      </c>
      <c r="U139">
        <f t="shared" ca="1" si="69"/>
        <v>-1.1935182893694218E-3</v>
      </c>
      <c r="V139">
        <f t="shared" ca="1" si="70"/>
        <v>1</v>
      </c>
      <c r="W139">
        <f t="shared" ca="1" si="49"/>
        <v>1.8732272669709606</v>
      </c>
      <c r="X139">
        <f t="shared" ca="1" si="50"/>
        <v>11.250602965427589</v>
      </c>
      <c r="Y139">
        <f t="shared" ca="1" si="51"/>
        <v>1.1536175766081853</v>
      </c>
      <c r="Z139">
        <f t="shared" ca="1" si="52"/>
        <v>4.5330903736199621</v>
      </c>
      <c r="AA139">
        <f t="shared" ca="1" si="53"/>
        <v>636.18122726697095</v>
      </c>
      <c r="AB139">
        <f t="shared" ca="1" si="54"/>
        <v>637.22857223819449</v>
      </c>
      <c r="AC139">
        <f t="shared" ca="1" si="55"/>
        <v>3.8213966668788671E-3</v>
      </c>
      <c r="AD139">
        <f t="shared" ca="1" si="56"/>
        <v>1.057461679608257</v>
      </c>
      <c r="AE139">
        <f t="shared" ca="1" si="57"/>
        <v>34.103993000498249</v>
      </c>
      <c r="AF139">
        <f t="shared" ca="1" si="58"/>
        <v>1.8647057939915612E-3</v>
      </c>
      <c r="AG139">
        <f t="shared" ca="1" si="59"/>
        <v>0</v>
      </c>
      <c r="AH139">
        <f ca="1">IF(V31="Supercritical",L139,IF(V31="Subcritical",W139,IF(AND(V139=1,AG139=1),IF(T139&gt;=AE139,L139,W139),IF(V139=1,L139,IF(AG139=1,W139,MAX($D$16,POWER((ABS(K139)^2)/($I$5*MAX(F139,0.1)^2),1/3)))))))</f>
        <v>1.9443162073571221</v>
      </c>
      <c r="AI139">
        <f t="shared" ca="1" si="60"/>
        <v>636.25231620735713</v>
      </c>
      <c r="AJ139">
        <f t="shared" ca="1" si="61"/>
        <v>637.22447431103569</v>
      </c>
      <c r="AM139">
        <v>0</v>
      </c>
      <c r="AN139">
        <v>0</v>
      </c>
      <c r="AO139">
        <f t="shared" si="62"/>
        <v>0</v>
      </c>
      <c r="AP139">
        <f t="shared" si="71"/>
        <v>0</v>
      </c>
      <c r="AQ139">
        <f t="shared" ca="1" si="63"/>
        <v>1.0000000000000002</v>
      </c>
      <c r="AR139" t="str">
        <f t="shared" ca="1" si="64"/>
        <v>Supercritical</v>
      </c>
      <c r="AS139">
        <f t="shared" ca="1" si="65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191</v>
      </c>
      <c r="I140">
        <v>2.7E-2</v>
      </c>
      <c r="J140">
        <f t="shared" si="66"/>
        <v>0.99899999999999967</v>
      </c>
      <c r="K140">
        <f t="shared" si="67"/>
        <v>51</v>
      </c>
      <c r="L140">
        <f t="shared" ca="1" si="68"/>
        <v>1.9443162073571221</v>
      </c>
      <c r="M140">
        <f t="shared" ca="1" si="41"/>
        <v>11.677563141386875</v>
      </c>
      <c r="N140">
        <f t="shared" ca="1" si="42"/>
        <v>1.1801917091959115</v>
      </c>
      <c r="O140">
        <f t="shared" ca="1" si="43"/>
        <v>4.3673495388133725</v>
      </c>
      <c r="P140">
        <f t="shared" ca="1" si="44"/>
        <v>636.25031620735717</v>
      </c>
      <c r="Q140">
        <f t="shared" ca="1" si="45"/>
        <v>637.22247431103574</v>
      </c>
      <c r="R140">
        <f t="shared" ca="1" si="46"/>
        <v>3.4409762570611312E-3</v>
      </c>
      <c r="S140">
        <f t="shared" ca="1" si="47"/>
        <v>1.0000000000000002</v>
      </c>
      <c r="T140">
        <f t="shared" ca="1" si="48"/>
        <v>34.057312917351979</v>
      </c>
      <c r="U140">
        <f t="shared" ca="1" si="69"/>
        <v>-1.4812823955026033E-3</v>
      </c>
      <c r="V140">
        <f t="shared" ca="1" si="70"/>
        <v>1</v>
      </c>
      <c r="W140">
        <f t="shared" ca="1" si="49"/>
        <v>1.8702140356663823</v>
      </c>
      <c r="X140">
        <f t="shared" ca="1" si="50"/>
        <v>11.232505498212292</v>
      </c>
      <c r="Y140">
        <f t="shared" ca="1" si="51"/>
        <v>1.1524740567521898</v>
      </c>
      <c r="Z140">
        <f t="shared" ca="1" si="52"/>
        <v>4.5403939493389869</v>
      </c>
      <c r="AA140">
        <f t="shared" ca="1" si="53"/>
        <v>636.17621403566648</v>
      </c>
      <c r="AB140">
        <f t="shared" ca="1" si="54"/>
        <v>637.22693662563563</v>
      </c>
      <c r="AC140">
        <f t="shared" ca="1" si="55"/>
        <v>3.8387931709187497E-3</v>
      </c>
      <c r="AD140">
        <f t="shared" ca="1" si="56"/>
        <v>1.0600183332953421</v>
      </c>
      <c r="AE140">
        <f t="shared" ca="1" si="57"/>
        <v>34.108089257076166</v>
      </c>
      <c r="AF140">
        <f t="shared" ca="1" si="58"/>
        <v>1.5969661915278266E-3</v>
      </c>
      <c r="AG140">
        <f t="shared" ca="1" si="59"/>
        <v>0</v>
      </c>
      <c r="AH140">
        <f ca="1">IF(V31="Supercritical",L140,IF(V31="Subcritical",W140,IF(AND(V140=1,AG140=1),IF(T140&gt;=AE140,L140,W140),IF(V140=1,L140,IF(AG140=1,W140,MAX($D$16,POWER((ABS(K140)^2)/($I$5*MAX(F140,0.1)^2),1/3)))))))</f>
        <v>1.9443162073571221</v>
      </c>
      <c r="AI140">
        <f t="shared" ca="1" si="60"/>
        <v>636.25031620735717</v>
      </c>
      <c r="AJ140">
        <f t="shared" ca="1" si="61"/>
        <v>637.22247431103574</v>
      </c>
      <c r="AM140">
        <v>0</v>
      </c>
      <c r="AN140">
        <v>0</v>
      </c>
      <c r="AO140">
        <f t="shared" si="62"/>
        <v>0</v>
      </c>
      <c r="AP140">
        <f t="shared" si="71"/>
        <v>0</v>
      </c>
      <c r="AQ140">
        <f t="shared" ca="1" si="63"/>
        <v>1.0000000000000002</v>
      </c>
      <c r="AR140" t="str">
        <f t="shared" ca="1" si="64"/>
        <v>Supercritical</v>
      </c>
      <c r="AS140">
        <f t="shared" ca="1" si="65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191</v>
      </c>
      <c r="I141">
        <v>0</v>
      </c>
      <c r="J141">
        <f t="shared" si="66"/>
        <v>1.0009999999999994</v>
      </c>
      <c r="K141">
        <f t="shared" si="67"/>
        <v>51</v>
      </c>
      <c r="L141">
        <f t="shared" ca="1" si="68"/>
        <v>1.944100417982815</v>
      </c>
      <c r="M141">
        <f t="shared" ca="1" si="41"/>
        <v>11.678211210822768</v>
      </c>
      <c r="N141">
        <f t="shared" ca="1" si="42"/>
        <v>1.1801894074121784</v>
      </c>
      <c r="O141">
        <f t="shared" ca="1" si="43"/>
        <v>4.3671071775732067</v>
      </c>
      <c r="P141">
        <f t="shared" ca="1" si="44"/>
        <v>636.24810041798276</v>
      </c>
      <c r="Q141">
        <f t="shared" ca="1" si="45"/>
        <v>637.22015062697415</v>
      </c>
      <c r="R141">
        <f t="shared" ca="1" si="46"/>
        <v>3.440603308461247E-3</v>
      </c>
      <c r="S141">
        <f t="shared" ca="1" si="47"/>
        <v>1</v>
      </c>
      <c r="T141">
        <f t="shared" ca="1" si="48"/>
        <v>34.055422944378215</v>
      </c>
      <c r="U141">
        <f t="shared" ca="1" si="69"/>
        <v>-1.1529149170428354E-3</v>
      </c>
      <c r="V141">
        <f t="shared" ca="1" si="70"/>
        <v>1</v>
      </c>
      <c r="W141">
        <f t="shared" ca="1" si="49"/>
        <v>1.8671020245574572</v>
      </c>
      <c r="X141">
        <f t="shared" ca="1" si="50"/>
        <v>11.215681861516645</v>
      </c>
      <c r="Y141">
        <f t="shared" ca="1" si="51"/>
        <v>1.1513650473768384</v>
      </c>
      <c r="Z141">
        <f t="shared" ca="1" si="52"/>
        <v>4.5472045863739847</v>
      </c>
      <c r="AA141">
        <f t="shared" ca="1" si="53"/>
        <v>636.1711020245574</v>
      </c>
      <c r="AB141">
        <f t="shared" ca="1" si="54"/>
        <v>637.22497916779594</v>
      </c>
      <c r="AC141">
        <f t="shared" ca="1" si="55"/>
        <v>3.8552639597997217E-3</v>
      </c>
      <c r="AD141">
        <f t="shared" ca="1" si="56"/>
        <v>1.0624927264361712</v>
      </c>
      <c r="AE141">
        <f t="shared" ca="1" si="57"/>
        <v>34.110312674590496</v>
      </c>
      <c r="AF141">
        <f t="shared" ca="1" si="58"/>
        <v>2.1414897557974655E-2</v>
      </c>
      <c r="AG141">
        <f t="shared" ca="1" si="59"/>
        <v>0</v>
      </c>
      <c r="AH141">
        <f ca="1">IF(V31="Supercritical",L141,IF(V31="Subcritical",W141,IF(AND(V141=1,AG141=1),IF(T141&gt;=AE141,L141,W141),IF(V141=1,L141,IF(AG141=1,W141,MAX($D$16,POWER((ABS(K141)^2)/($I$5*MAX(F141,0.1)^2),1/3)))))))</f>
        <v>1.944100417982815</v>
      </c>
      <c r="AI141">
        <f t="shared" ca="1" si="60"/>
        <v>636.24810041798276</v>
      </c>
      <c r="AJ141">
        <f t="shared" ca="1" si="61"/>
        <v>637.22015062697415</v>
      </c>
      <c r="AM141">
        <v>0</v>
      </c>
      <c r="AN141">
        <v>0</v>
      </c>
      <c r="AO141">
        <f t="shared" si="62"/>
        <v>0</v>
      </c>
      <c r="AP141">
        <f t="shared" si="71"/>
        <v>0</v>
      </c>
      <c r="AQ141">
        <f t="shared" ca="1" si="63"/>
        <v>1</v>
      </c>
      <c r="AR141" t="str">
        <f t="shared" ca="1" si="64"/>
        <v>Supercritical</v>
      </c>
      <c r="AS141">
        <f t="shared" ca="1" si="65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191</v>
      </c>
      <c r="I142">
        <v>2.7E-2</v>
      </c>
      <c r="J142">
        <f t="shared" si="66"/>
        <v>1</v>
      </c>
      <c r="K142">
        <f t="shared" si="67"/>
        <v>51</v>
      </c>
      <c r="L142">
        <f t="shared" ca="1" si="68"/>
        <v>1.944100417982815</v>
      </c>
      <c r="M142">
        <f t="shared" ca="1" si="41"/>
        <v>11.678211210822768</v>
      </c>
      <c r="N142">
        <f t="shared" ca="1" si="42"/>
        <v>1.1801894074121784</v>
      </c>
      <c r="O142">
        <f t="shared" ca="1" si="43"/>
        <v>4.3671071775732067</v>
      </c>
      <c r="P142">
        <f t="shared" ca="1" si="44"/>
        <v>636.2461004179828</v>
      </c>
      <c r="Q142">
        <f t="shared" ca="1" si="45"/>
        <v>637.21815062697419</v>
      </c>
      <c r="R142">
        <f t="shared" ca="1" si="46"/>
        <v>3.440603308461247E-3</v>
      </c>
      <c r="S142">
        <f t="shared" ca="1" si="47"/>
        <v>1</v>
      </c>
      <c r="T142">
        <f t="shared" ca="1" si="48"/>
        <v>34.055422944378215</v>
      </c>
      <c r="U142">
        <f t="shared" ca="1" si="69"/>
        <v>-1.4843455679738327E-3</v>
      </c>
      <c r="V142">
        <f t="shared" ca="1" si="70"/>
        <v>1</v>
      </c>
      <c r="W142">
        <f t="shared" ca="1" si="49"/>
        <v>1.944100417982815</v>
      </c>
      <c r="X142">
        <f t="shared" ca="1" si="50"/>
        <v>11.678211210822768</v>
      </c>
      <c r="Y142">
        <f t="shared" ca="1" si="51"/>
        <v>1.1801894074121784</v>
      </c>
      <c r="Z142">
        <f t="shared" ca="1" si="52"/>
        <v>4.3671071775732067</v>
      </c>
      <c r="AA142">
        <f t="shared" ca="1" si="53"/>
        <v>636.2461004179828</v>
      </c>
      <c r="AB142">
        <f t="shared" ca="1" si="54"/>
        <v>637.21815062697419</v>
      </c>
      <c r="AC142">
        <f t="shared" ca="1" si="55"/>
        <v>3.440603308461247E-3</v>
      </c>
      <c r="AD142">
        <f t="shared" ca="1" si="56"/>
        <v>1</v>
      </c>
      <c r="AE142">
        <f t="shared" ca="1" si="57"/>
        <v>34.055422944378215</v>
      </c>
      <c r="AF142">
        <f t="shared" ca="1" si="58"/>
        <v>-0.11231805634781722</v>
      </c>
      <c r="AG142">
        <f t="shared" ca="1" si="59"/>
        <v>1</v>
      </c>
      <c r="AH142">
        <f ca="1">IF(V31="Supercritical",L142,IF(V31="Subcritical",W142,IF(AND(V142=1,AG142=1),IF(T142&gt;=AE142,L142,W142),IF(V142=1,L142,IF(AG142=1,W142,MAX($D$16,POWER((ABS(K142)^2)/($I$5*MAX(F142,0.1)^2),1/3)))))))</f>
        <v>1.944100417982815</v>
      </c>
      <c r="AI142">
        <f t="shared" ca="1" si="60"/>
        <v>636.2461004179828</v>
      </c>
      <c r="AJ142">
        <f t="shared" ca="1" si="61"/>
        <v>637.21815062697419</v>
      </c>
      <c r="AM142">
        <v>0</v>
      </c>
      <c r="AN142">
        <v>0</v>
      </c>
      <c r="AO142">
        <f t="shared" si="62"/>
        <v>0</v>
      </c>
      <c r="AP142">
        <f t="shared" si="71"/>
        <v>0</v>
      </c>
      <c r="AQ142">
        <f t="shared" ca="1" si="63"/>
        <v>1</v>
      </c>
      <c r="AR142" t="str">
        <f t="shared" ca="1" si="64"/>
        <v>Supercritical</v>
      </c>
      <c r="AS142">
        <f t="shared" ca="1" si="65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191</v>
      </c>
      <c r="I143">
        <v>7.0999999999999994E-2</v>
      </c>
      <c r="J143">
        <f t="shared" si="66"/>
        <v>0.99900000000000055</v>
      </c>
      <c r="K143">
        <f t="shared" si="67"/>
        <v>51</v>
      </c>
      <c r="L143">
        <f t="shared" ca="1" si="68"/>
        <v>1.5635753531203276</v>
      </c>
      <c r="M143">
        <f t="shared" ca="1" si="41"/>
        <v>10.038153767032503</v>
      </c>
      <c r="N143">
        <f t="shared" ca="1" si="42"/>
        <v>1.0514292772681273</v>
      </c>
      <c r="O143">
        <f t="shared" ca="1" si="43"/>
        <v>5.0806155378387583</v>
      </c>
      <c r="P143">
        <f t="shared" ca="1" si="44"/>
        <v>635.86357535312027</v>
      </c>
      <c r="Q143">
        <f t="shared" ca="1" si="45"/>
        <v>637.17920502913091</v>
      </c>
      <c r="R143">
        <f t="shared" ca="1" si="46"/>
        <v>5.4321917848407881E-3</v>
      </c>
      <c r="S143">
        <f t="shared" ca="1" si="47"/>
        <v>1.2972462394182251</v>
      </c>
      <c r="T143">
        <f t="shared" ca="1" si="48"/>
        <v>34.260690887013766</v>
      </c>
      <c r="U143">
        <f t="shared" ca="1" si="69"/>
        <v>7.1472641138825566E-9</v>
      </c>
      <c r="V143">
        <f t="shared" ca="1" si="70"/>
        <v>1</v>
      </c>
      <c r="W143">
        <f t="shared" ca="1" si="49"/>
        <v>1.8598036522055255</v>
      </c>
      <c r="X143">
        <f t="shared" ca="1" si="50"/>
        <v>11.939939447159473</v>
      </c>
      <c r="Y143">
        <f t="shared" ca="1" si="51"/>
        <v>1.1775544248114245</v>
      </c>
      <c r="Z143">
        <f t="shared" ca="1" si="52"/>
        <v>4.271378445904344</v>
      </c>
      <c r="AA143">
        <f t="shared" ca="1" si="53"/>
        <v>636.15980365220548</v>
      </c>
      <c r="AB143">
        <f t="shared" ca="1" si="54"/>
        <v>637.08970547830825</v>
      </c>
      <c r="AC143">
        <f t="shared" ca="1" si="55"/>
        <v>3.3012415565477522E-3</v>
      </c>
      <c r="AD143">
        <f t="shared" ca="1" si="56"/>
        <v>1</v>
      </c>
      <c r="AE143">
        <f t="shared" ca="1" si="57"/>
        <v>33.308914486410018</v>
      </c>
      <c r="AF143">
        <f t="shared" ca="1" si="58"/>
        <v>1465.3145945754636</v>
      </c>
      <c r="AG143">
        <f t="shared" ca="1" si="59"/>
        <v>1</v>
      </c>
      <c r="AH143">
        <f ca="1">IF(V31="Supercritical",L143,IF(V31="Subcritical",W143,IF(AND(V143=1,AG143=1),IF(T143&gt;=AE143,L143,W143),IF(V143=1,L143,IF(AG143=1,W143,MAX($D$16,POWER((ABS(K143)^2)/($I$5*MAX(F143,0.1)^2),1/3)))))))</f>
        <v>1.5635753531203276</v>
      </c>
      <c r="AI143">
        <f t="shared" ca="1" si="60"/>
        <v>635.86357535312027</v>
      </c>
      <c r="AJ143">
        <f t="shared" ca="1" si="61"/>
        <v>637.17920502913091</v>
      </c>
      <c r="AM143">
        <v>0</v>
      </c>
      <c r="AN143">
        <v>0</v>
      </c>
      <c r="AO143">
        <f t="shared" si="62"/>
        <v>0</v>
      </c>
      <c r="AP143">
        <f t="shared" si="71"/>
        <v>0</v>
      </c>
      <c r="AQ143">
        <f t="shared" ca="1" si="63"/>
        <v>1.2972462394182251</v>
      </c>
      <c r="AR143" t="str">
        <f t="shared" ca="1" si="64"/>
        <v>Supercritical</v>
      </c>
      <c r="AS143">
        <f t="shared" ca="1" si="65"/>
        <v>5.4321917848407881E-3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192</v>
      </c>
      <c r="I144">
        <v>0</v>
      </c>
      <c r="J144">
        <f t="shared" si="66"/>
        <v>0.74200000000000088</v>
      </c>
      <c r="K144">
        <f t="shared" si="67"/>
        <v>51</v>
      </c>
      <c r="L144">
        <f t="shared" ca="1" si="68"/>
        <v>1.4984173320065814</v>
      </c>
      <c r="M144">
        <f t="shared" ca="1" si="41"/>
        <v>9.8266208632991603</v>
      </c>
      <c r="N144">
        <f t="shared" ca="1" si="42"/>
        <v>1.0284448877288939</v>
      </c>
      <c r="O144">
        <f t="shared" ca="1" si="43"/>
        <v>5.189983485622891</v>
      </c>
      <c r="P144">
        <f t="shared" ca="1" si="44"/>
        <v>635.79641733200663</v>
      </c>
      <c r="Q144">
        <f t="shared" ca="1" si="45"/>
        <v>637.16929850331337</v>
      </c>
      <c r="R144">
        <f t="shared" ca="1" si="46"/>
        <v>5.838121177363995E-3</v>
      </c>
      <c r="S144">
        <f t="shared" ca="1" si="47"/>
        <v>1.3536770883727336</v>
      </c>
      <c r="T144">
        <f t="shared" ca="1" si="48"/>
        <v>34.343755029899363</v>
      </c>
      <c r="U144">
        <f t="shared" ca="1" si="69"/>
        <v>9.017890079121571E-8</v>
      </c>
      <c r="V144">
        <f t="shared" ca="1" si="70"/>
        <v>1</v>
      </c>
      <c r="W144">
        <f ca="1">MAX($D$16,($I$13)-E144)</f>
        <v>5.0000000001546141E-2</v>
      </c>
      <c r="X144">
        <f t="shared" ca="1" si="50"/>
        <v>0.32790000001013958</v>
      </c>
      <c r="Y144">
        <f t="shared" ca="1" si="51"/>
        <v>4.9249023732350149E-2</v>
      </c>
      <c r="Z144">
        <f t="shared" ca="1" si="52"/>
        <v>155.53522414889582</v>
      </c>
      <c r="AA144">
        <f t="shared" ca="1" si="53"/>
        <v>634.34800000000155</v>
      </c>
      <c r="AB144">
        <f t="shared" ca="1" si="54"/>
        <v>1867.3350515314626</v>
      </c>
      <c r="AC144">
        <f t="shared" ca="1" si="55"/>
        <v>301.51565711901873</v>
      </c>
      <c r="AD144">
        <f t="shared" ca="1" si="56"/>
        <v>222.07990017048672</v>
      </c>
      <c r="AE144">
        <f t="shared" ca="1" si="57"/>
        <v>808.60110591933653</v>
      </c>
      <c r="AF144">
        <v>0</v>
      </c>
      <c r="AG144">
        <v>1</v>
      </c>
      <c r="AH144">
        <f ca="1">IF(V31="Supercritical",L144,IF(V31="Subcritical",W144,IF(AND(V144=1,AG144=1),IF(T144&gt;=AE144,L144,W144),IF(V144=1,L144,IF(AG144=1,W144,MAX($D$16,POWER((ABS(K144)^2)/($I$5*MAX(F144,0.1)^2),1/3)))))))</f>
        <v>5.0000000001546141E-2</v>
      </c>
      <c r="AI144">
        <f t="shared" ca="1" si="60"/>
        <v>634.34800000000155</v>
      </c>
      <c r="AJ144">
        <f t="shared" ca="1" si="61"/>
        <v>1867.3350515314626</v>
      </c>
      <c r="AM144">
        <v>0</v>
      </c>
      <c r="AN144">
        <v>0</v>
      </c>
      <c r="AO144">
        <f t="shared" si="62"/>
        <v>0</v>
      </c>
      <c r="AP144">
        <f t="shared" si="71"/>
        <v>0</v>
      </c>
      <c r="AQ144">
        <f t="shared" ca="1" si="63"/>
        <v>222.07990017048672</v>
      </c>
      <c r="AR144" t="str">
        <f t="shared" ca="1" si="64"/>
        <v>Supercritical</v>
      </c>
      <c r="AS144">
        <f t="shared" ca="1" si="65"/>
        <v>301.51565711901873</v>
      </c>
    </row>
    <row r="147" spans="1:45" x14ac:dyDescent="0.35">
      <c r="A147" t="s">
        <v>193</v>
      </c>
      <c r="E147">
        <f>E32</f>
        <v>1382.3979999999999</v>
      </c>
      <c r="F147" t="s">
        <v>141</v>
      </c>
      <c r="H147">
        <f>N32</f>
        <v>51</v>
      </c>
      <c r="I147" t="s">
        <v>13</v>
      </c>
      <c r="K147" t="str">
        <f>V32</f>
        <v>Mixed</v>
      </c>
      <c r="L147" t="s">
        <v>142</v>
      </c>
    </row>
    <row r="148" spans="1:45" x14ac:dyDescent="0.35">
      <c r="A148" t="s">
        <v>143</v>
      </c>
      <c r="B148" t="s">
        <v>144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9</v>
      </c>
      <c r="I148" t="s">
        <v>150</v>
      </c>
      <c r="J148" t="s">
        <v>151</v>
      </c>
      <c r="K148" t="s">
        <v>152</v>
      </c>
      <c r="L148" t="s">
        <v>153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 t="s">
        <v>160</v>
      </c>
      <c r="T148" t="s">
        <v>161</v>
      </c>
      <c r="U148" t="s">
        <v>162</v>
      </c>
      <c r="V148" t="s">
        <v>163</v>
      </c>
      <c r="W148" t="s">
        <v>164</v>
      </c>
      <c r="X148" t="s">
        <v>165</v>
      </c>
      <c r="Y148" t="s">
        <v>166</v>
      </c>
      <c r="Z148" t="s">
        <v>167</v>
      </c>
      <c r="AA148" t="s">
        <v>168</v>
      </c>
      <c r="AB148" t="s">
        <v>169</v>
      </c>
      <c r="AC148" t="s">
        <v>170</v>
      </c>
      <c r="AD148" t="s">
        <v>171</v>
      </c>
      <c r="AE148" t="s">
        <v>172</v>
      </c>
      <c r="AF148" t="s">
        <v>173</v>
      </c>
      <c r="AG148" t="s">
        <v>174</v>
      </c>
      <c r="AH148" t="s">
        <v>175</v>
      </c>
      <c r="AI148" t="s">
        <v>176</v>
      </c>
      <c r="AJ148" t="s">
        <v>177</v>
      </c>
      <c r="AK148" t="s">
        <v>178</v>
      </c>
      <c r="AL148" t="s">
        <v>179</v>
      </c>
      <c r="AM148" t="s">
        <v>180</v>
      </c>
      <c r="AN148" t="s">
        <v>181</v>
      </c>
      <c r="AO148" t="s">
        <v>182</v>
      </c>
      <c r="AP148" t="s">
        <v>183</v>
      </c>
      <c r="AQ148" t="s">
        <v>184</v>
      </c>
      <c r="AR148" t="s">
        <v>185</v>
      </c>
      <c r="AS148" t="s">
        <v>186</v>
      </c>
    </row>
    <row r="149" spans="1:45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187</v>
      </c>
      <c r="J149" t="s">
        <v>52</v>
      </c>
      <c r="K149" t="s">
        <v>13</v>
      </c>
      <c r="L149" t="s">
        <v>52</v>
      </c>
      <c r="M149" t="s">
        <v>188</v>
      </c>
      <c r="N149" t="s">
        <v>52</v>
      </c>
      <c r="O149" t="s">
        <v>189</v>
      </c>
      <c r="P149" t="s">
        <v>52</v>
      </c>
      <c r="Q149" t="s">
        <v>52</v>
      </c>
      <c r="R149" t="s">
        <v>22</v>
      </c>
      <c r="S149" t="s">
        <v>22</v>
      </c>
      <c r="T149" t="s">
        <v>190</v>
      </c>
      <c r="U149" t="s">
        <v>52</v>
      </c>
      <c r="V149" t="s">
        <v>22</v>
      </c>
      <c r="W149" t="s">
        <v>52</v>
      </c>
      <c r="X149" t="s">
        <v>188</v>
      </c>
      <c r="Y149" t="s">
        <v>52</v>
      </c>
      <c r="Z149" t="s">
        <v>189</v>
      </c>
      <c r="AA149" t="s">
        <v>52</v>
      </c>
      <c r="AB149" t="s">
        <v>52</v>
      </c>
      <c r="AC149" t="s">
        <v>22</v>
      </c>
      <c r="AD149" t="s">
        <v>22</v>
      </c>
      <c r="AE149" t="s">
        <v>190</v>
      </c>
      <c r="AF149" t="s">
        <v>52</v>
      </c>
      <c r="AG149" t="s">
        <v>22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192</v>
      </c>
      <c r="I150">
        <v>0</v>
      </c>
      <c r="J150">
        <v>0</v>
      </c>
      <c r="K150">
        <f>N32</f>
        <v>51</v>
      </c>
      <c r="L150">
        <f ca="1">MAX($D$16,($I$13)-E150)</f>
        <v>5.0000000001546141E-2</v>
      </c>
      <c r="M150">
        <f t="shared" ref="M150:M213" ca="1" si="72">((F150)+(G150)*(L150))*(L150)</f>
        <v>0.32790000001013958</v>
      </c>
      <c r="N150">
        <f t="shared" ref="N150:N213" ca="1" si="73">(((F150)+(G150)*(L150))*(L150))/MAX((F150)+2*(L150)*SQRT(1+(G150)^2),0.000001)</f>
        <v>4.9249023732350149E-2</v>
      </c>
      <c r="O150">
        <f t="shared" ref="O150:O213" ca="1" si="74">ABS(K150)/MAX(((F150)+(G150)*(L150))*(L150),0.000001)</f>
        <v>155.53522414889582</v>
      </c>
      <c r="P150">
        <f t="shared" ref="P150:P213" ca="1" si="75">E150+L150</f>
        <v>634.34800000000155</v>
      </c>
      <c r="Q150">
        <f t="shared" ref="Q150:Q213" ca="1" si="76">P150+((ABS(K150)/MAX(((F150)+(G150)*(L150))*(L150),0.000001))^2)/(2*$I$5)</f>
        <v>1867.3350515314626</v>
      </c>
      <c r="R150">
        <f t="shared" ref="R150:R213" ca="1" si="77">((ABS(K150)*$D$6)/(MAX(((F150)+(G150)*(L150))*(L150),0.000001)*MAX(((((F150)+(G150)*(L150))*(L150))/MAX((F150)+2*(L150)*SQRT(1+(G150)^2),0.000001))^(2/3),0.000001)))^2</f>
        <v>301.51565711901873</v>
      </c>
      <c r="S150">
        <f t="shared" ref="S150:S213" ca="1" si="78">ABS(ABS(K150)/MAX(((F150)+(G150)*(L150))*(L150),0.000001))/SQRT($I$5*MAX((((F150)+(G150)*(L150))*(L150))/MAX((F150)+2*(G150)*(L150),0.000001),0.000001))</f>
        <v>222.07990017048672</v>
      </c>
      <c r="T150">
        <f t="shared" ref="T150:T213" ca="1" si="79">((F150)*(L150)^2)/2+(G150)*(L150)^3/3+(ABS(K150)^2)/($I$5*MAX(((F150)+(G150)*(L150))*(L150),0.000001))</f>
        <v>808.60110591933653</v>
      </c>
      <c r="U150">
        <v>0</v>
      </c>
      <c r="V150">
        <v>1</v>
      </c>
      <c r="W150">
        <f t="shared" ref="W150:W213" ca="1" si="80">IF(OR($D$20=0,AG151=0),W151,IF(OR(W150=0,AD151&gt;1),MAX($D$16,POWER((ABS(K150)^2)/($I$5*MAX(F150,0.1)^2),1/3)),IF(AF150&gt;0,MAX($D$16,W150+((AF150)*$D$18*IF((AD150)&lt;1,1,-1))),IF(AF150&lt;0,IF(ABS((MAX($D$16,POWER((ABS(K150)^2)/($I$5*MAX(F150,0.1)^2),1/3)))-W150)&gt;$D$19,MAX($D$16,W150+($D$18*((MAX($D$16,POWER((ABS(K150)^2)/($I$5*MAX(F150,0.1)^2),1/3)))-W150))),MAX($D$16,POWER((ABS(K150)^2)/($I$5*MAX(F150,0.1)^2),1/3))),W150))))</f>
        <v>0.05</v>
      </c>
      <c r="X150">
        <f t="shared" ref="X150:X213" ca="1" si="81">((F150)+(G150)*(W150))*(W150)</f>
        <v>0.32790000000000002</v>
      </c>
      <c r="Y150">
        <f t="shared" ref="Y150:Y213" ca="1" si="82">(((F150)+(G150)*(W150))*(W150))/MAX((F150)+2*(W150)*SQRT(1+(G150)^2),0.000001)</f>
        <v>4.9249023730850112E-2</v>
      </c>
      <c r="Z150">
        <f t="shared" ref="Z150:Z213" ca="1" si="83">ABS(K150)/MAX(((F150)+(G150)*(W150))*(W150),0.000001)</f>
        <v>155.5352241537054</v>
      </c>
      <c r="AA150">
        <f t="shared" ref="AA150:AA213" ca="1" si="84">E150+W150</f>
        <v>634.34799999999996</v>
      </c>
      <c r="AB150">
        <f t="shared" ref="AB150:AB213" ca="1" si="85">AA150+((ABS(K150)/MAX(((F150)+(G150)*(W150))*(W150),0.000001))^2)/(2*$I$5)</f>
        <v>1867.3350516077157</v>
      </c>
      <c r="AC150">
        <f t="shared" ref="AC150:AC213" ca="1" si="86">((ABS(K150)*$D$6)/(MAX(((F150)+(G150)*(W150))*(W150),0.000001)*MAX(((((F150)+(G150)*(W150))*(W150))/MAX((F150)+2*(W150)*SQRT(1+(G150)^2),0.000001))^(2/3),0.000001)))^2</f>
        <v>301.51565714991079</v>
      </c>
      <c r="AD150">
        <f t="shared" ref="AD150:AD213" ca="1" si="87">ABS(ABS(K150)/MAX(((F150)+(G150)*(W150))*(W150),0.000001))/SQRT($I$5*MAX((((F150)+(G150)*(W150))*(W150))/MAX((F150)+2*(G150)*(W150),0.000001),0.000001))</f>
        <v>222.07990018078769</v>
      </c>
      <c r="AE150">
        <f t="shared" ref="AE150:AE213" ca="1" si="88">((F150)*(W150)^2)/2+(G150)*(W150)^3/3+(ABS(K150)^2)/($I$5*MAX(((F150)+(G150)*(W150))*(W150),0.000001))</f>
        <v>808.60110594434002</v>
      </c>
      <c r="AF150">
        <f t="shared" ref="AF150:AF213" ca="1" si="89">AB151+(((AC150+AC151)/2)*J151)+(IF(Z150&gt;Z151,$D$8*((Z150^2-Z151^2)/(2*$I$5)),$D$9*((Z151^2-Z150^2)/(2*$I$5)))+($D$10*(ABS(I151)/90)*(MAX(Z150^2,Z151^2)/(2*$I$5))))-AB150</f>
        <v>130.76813119780923</v>
      </c>
      <c r="AG150">
        <f t="shared" ref="AG150:AG213" ca="1" si="90">IF(ROUND(AD150,3)=1,1,IF(AND(ABS(AF150)&lt;$D$19,AD150&lt;1),1,0))</f>
        <v>0</v>
      </c>
      <c r="AH150">
        <f ca="1">IF(V32="Supercritical",L150,IF(V32="Subcritical",W150,IF(AND(V150=1,AG150=1),IF(T150&gt;=AE150,L150,W150),IF(V150=1,L150,IF(AG150=1,W150,MAX($D$16,POWER((ABS(K150)^2)/($I$5*MAX(F150,0.1)^2),1/3)))))))</f>
        <v>5.0000000001546141E-2</v>
      </c>
      <c r="AI150">
        <f t="shared" ref="AI150:AI213" ca="1" si="91">E150+AH150</f>
        <v>634.34800000000155</v>
      </c>
      <c r="AJ150">
        <f t="shared" ref="AJ150:AJ213" ca="1" si="92">AI150+((ABS(K150)/MAX(((F150)+(G150)*(AH150))*(AH150),0.000001))^2)/(2*$I$5)</f>
        <v>1867.3350515314626</v>
      </c>
      <c r="AM150">
        <v>0</v>
      </c>
      <c r="AN150">
        <v>0</v>
      </c>
      <c r="AO150">
        <f t="shared" ref="AO150:AO213" si="93">AM150+AN150</f>
        <v>0</v>
      </c>
      <c r="AP150">
        <f>AO150</f>
        <v>0</v>
      </c>
      <c r="AQ150">
        <f t="shared" ref="AQ150:AQ213" ca="1" si="94">ABS(ABS(K150)/MAX(((F150)+(G150)*(AH150))*(AH150),0.000001))/SQRT($I$5*MAX((((F150)+(G150)*(AH150))*(AH150))/MAX((F150)+2*(G150)*(AH150),0.000001),0.000001))</f>
        <v>222.07990017048672</v>
      </c>
      <c r="AR150" t="str">
        <f t="shared" ref="AR150:AR213" ca="1" si="95">IF(AQ150&lt;1,"Subcritical","Supercritical")</f>
        <v>Supercritical</v>
      </c>
      <c r="AS150">
        <f t="shared" ref="AS150:AS213" ca="1" si="96">((ABS(K150)*$D$6)/(MAX(((F150)+(G150)*(AH150))*(AH150),0.000001)*MAX(((((F150)+(G150)*(AH150))*(AH150))/MAX((F150)+2*(AH150)*SQRT(1+(G150)^2),0.000001))^(2/3),0.000001)))^2</f>
        <v>301.51565711901873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192</v>
      </c>
      <c r="I151">
        <v>5.3999999999999999E-2</v>
      </c>
      <c r="J151">
        <f t="shared" ref="J151:J214" si="97">B151-B150</f>
        <v>1</v>
      </c>
      <c r="K151">
        <f t="shared" ref="K151:K214" si="98">MAX(0,K150-AO150)</f>
        <v>51</v>
      </c>
      <c r="L151">
        <f t="shared" ref="L151:L214" ca="1" si="99">IF(OR($D$20=0,V150=0),L150,IF(OR(L151=0,S150&lt;1,S151&lt;1),MAX($D$16,POWER((ABS(K151)^2)/($I$5*MAX(F151,0.1)^2),1/3)),IF(U151&gt;0,MAX($D$16,L151+((U151)*$D$18*IF((S151)&lt;1,1,-1))),IF(U151&lt;0,IF(ABS((MAX($D$16,POWER((ABS(K151)^2)/($I$5*MAX(F151,0.1)^2),1/3)))-L151)&gt;$D$19,MAX($D$16,L151+($D$18*((MAX($D$16,POWER((ABS(K151)^2)/($I$5*MAX(F151,0.1)^2),1/3)))-L151))),MAX($D$16,POWER((ABS(K151)^2)/($I$5*MAX(F151,0.1)^2),1/3))),L151))))</f>
        <v>0.05</v>
      </c>
      <c r="M151">
        <f t="shared" ca="1" si="72"/>
        <v>0.35955000000000004</v>
      </c>
      <c r="N151">
        <f t="shared" ca="1" si="73"/>
        <v>4.9314223014675633E-2</v>
      </c>
      <c r="O151">
        <f t="shared" ca="1" si="74"/>
        <v>141.84397163120565</v>
      </c>
      <c r="P151">
        <f t="shared" ca="1" si="75"/>
        <v>634.346</v>
      </c>
      <c r="Q151">
        <f t="shared" ca="1" si="76"/>
        <v>1659.8155355817671</v>
      </c>
      <c r="R151">
        <f t="shared" ca="1" si="77"/>
        <v>250.32719001274637</v>
      </c>
      <c r="S151">
        <f t="shared" ca="1" si="78"/>
        <v>202.53093942227861</v>
      </c>
      <c r="T151">
        <f t="shared" ca="1" si="79"/>
        <v>737.42413178684887</v>
      </c>
      <c r="U151">
        <f t="shared" ref="U151:U214" ca="1" si="100">Q150-(((R150+R151)/2)*J151)-(IF(O150&gt;O151,$D$8*((O150^2-O151^2)/(2*$I$5)),$D$9*((O151^2-O150^2)/(2*$I$5)))+($D$10*(ABS(I151)/90)*(MAX(O150^2,O151^2)/(2*$I$5))))-Q151</f>
        <v>-130.76813123573311</v>
      </c>
      <c r="V151">
        <f t="shared" ref="V151:V214" ca="1" si="101">IF(ROUND(S151,3)=1,1,IF(AND(ABS(U151)&lt;$D$19,S151&gt;1),1,0))</f>
        <v>0</v>
      </c>
      <c r="W151">
        <f t="shared" ca="1" si="80"/>
        <v>0.05</v>
      </c>
      <c r="X151">
        <f t="shared" ca="1" si="81"/>
        <v>0.35955000000000004</v>
      </c>
      <c r="Y151">
        <f t="shared" ca="1" si="82"/>
        <v>4.9314223014675633E-2</v>
      </c>
      <c r="Z151">
        <f t="shared" ca="1" si="83"/>
        <v>141.84397163120565</v>
      </c>
      <c r="AA151">
        <f t="shared" ca="1" si="84"/>
        <v>634.346</v>
      </c>
      <c r="AB151">
        <f t="shared" ca="1" si="85"/>
        <v>1659.8155355817671</v>
      </c>
      <c r="AC151">
        <f t="shared" ca="1" si="86"/>
        <v>250.32719001274637</v>
      </c>
      <c r="AD151">
        <f t="shared" ca="1" si="87"/>
        <v>202.53093942227861</v>
      </c>
      <c r="AE151">
        <f t="shared" ca="1" si="88"/>
        <v>737.42413178684887</v>
      </c>
      <c r="AF151">
        <f t="shared" ca="1" si="89"/>
        <v>100.97074176932756</v>
      </c>
      <c r="AG151">
        <f t="shared" ca="1" si="90"/>
        <v>0</v>
      </c>
      <c r="AH151">
        <f ca="1">IF(V32="Supercritical",L151,IF(V32="Subcritical",W151,IF(AND(V151=1,AG151=1),IF(T151&gt;=AE151,L151,W151),IF(V151=1,L151,IF(AG151=1,W151,MAX($D$16,POWER((ABS(K151)^2)/($I$5*MAX(F151,0.1)^2),1/3)))))))</f>
        <v>1.7243718419034404</v>
      </c>
      <c r="AI151">
        <f t="shared" ca="1" si="91"/>
        <v>636.02037184190351</v>
      </c>
      <c r="AJ151">
        <f t="shared" ca="1" si="92"/>
        <v>636.88255776285519</v>
      </c>
      <c r="AM151">
        <v>0</v>
      </c>
      <c r="AN151">
        <v>0</v>
      </c>
      <c r="AO151">
        <f t="shared" si="93"/>
        <v>0</v>
      </c>
      <c r="AP151">
        <f t="shared" ref="AP151:AP214" si="102">AP150+AO151</f>
        <v>0</v>
      </c>
      <c r="AQ151">
        <f t="shared" ca="1" si="94"/>
        <v>1</v>
      </c>
      <c r="AR151" t="str">
        <f t="shared" ca="1" si="95"/>
        <v>Supercritical</v>
      </c>
      <c r="AS151">
        <f t="shared" ca="1" si="96"/>
        <v>3.1033473465011006E-3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192</v>
      </c>
      <c r="I152">
        <v>5.3999999999999999E-2</v>
      </c>
      <c r="J152">
        <f t="shared" si="97"/>
        <v>1</v>
      </c>
      <c r="K152">
        <f t="shared" si="98"/>
        <v>51</v>
      </c>
      <c r="L152">
        <f t="shared" ca="1" si="99"/>
        <v>0.05</v>
      </c>
      <c r="M152">
        <f t="shared" ca="1" si="72"/>
        <v>0.39634999999999998</v>
      </c>
      <c r="N152">
        <f t="shared" ca="1" si="73"/>
        <v>4.9377102279805657E-2</v>
      </c>
      <c r="O152">
        <f t="shared" ca="1" si="74"/>
        <v>128.67415163365712</v>
      </c>
      <c r="P152">
        <f t="shared" ca="1" si="75"/>
        <v>634.34399999999994</v>
      </c>
      <c r="Q152">
        <f t="shared" ca="1" si="76"/>
        <v>1478.229693100988</v>
      </c>
      <c r="R152">
        <f t="shared" ca="1" si="77"/>
        <v>205.65108848259507</v>
      </c>
      <c r="S152">
        <f t="shared" ca="1" si="78"/>
        <v>183.72650250859161</v>
      </c>
      <c r="T152">
        <f t="shared" ca="1" si="79"/>
        <v>668.95809767115327</v>
      </c>
      <c r="U152">
        <f t="shared" ca="1" si="100"/>
        <v>-100.97074176932756</v>
      </c>
      <c r="V152">
        <f t="shared" ca="1" si="101"/>
        <v>0</v>
      </c>
      <c r="W152">
        <f t="shared" ca="1" si="80"/>
        <v>0.05</v>
      </c>
      <c r="X152">
        <f t="shared" ca="1" si="81"/>
        <v>0.39634999999999998</v>
      </c>
      <c r="Y152">
        <f t="shared" ca="1" si="82"/>
        <v>4.9377102279805657E-2</v>
      </c>
      <c r="Z152">
        <f t="shared" ca="1" si="83"/>
        <v>128.67415163365712</v>
      </c>
      <c r="AA152">
        <f t="shared" ca="1" si="84"/>
        <v>634.34399999999994</v>
      </c>
      <c r="AB152">
        <f t="shared" ca="1" si="85"/>
        <v>1478.229693100988</v>
      </c>
      <c r="AC152">
        <f t="shared" ca="1" si="86"/>
        <v>205.65108848259507</v>
      </c>
      <c r="AD152">
        <f t="shared" ca="1" si="87"/>
        <v>183.72650250859161</v>
      </c>
      <c r="AE152">
        <f t="shared" ca="1" si="88"/>
        <v>668.95809767115327</v>
      </c>
      <c r="AF152">
        <f t="shared" ca="1" si="89"/>
        <v>92.553581801026667</v>
      </c>
      <c r="AG152">
        <f t="shared" ca="1" si="90"/>
        <v>0</v>
      </c>
      <c r="AH152">
        <f ca="1">IF(V32="Supercritical",L152,IF(V32="Subcritical",W152,IF(AND(V152=1,AG152=1),IF(T152&gt;=AE152,L152,W152),IF(V152=1,L152,IF(AG152=1,W152,MAX($D$16,POWER((ABS(K152)^2)/($I$5*MAX(F152,0.1)^2),1/3)))))))</f>
        <v>1.6159126327102087</v>
      </c>
      <c r="AI152">
        <f t="shared" ca="1" si="91"/>
        <v>635.90991263271019</v>
      </c>
      <c r="AJ152">
        <f t="shared" ca="1" si="92"/>
        <v>636.71786894906529</v>
      </c>
      <c r="AM152">
        <v>0</v>
      </c>
      <c r="AN152">
        <v>0</v>
      </c>
      <c r="AO152">
        <f t="shared" si="93"/>
        <v>0</v>
      </c>
      <c r="AP152">
        <f t="shared" si="102"/>
        <v>0</v>
      </c>
      <c r="AQ152">
        <f t="shared" ca="1" si="94"/>
        <v>1.0000000000000002</v>
      </c>
      <c r="AR152" t="str">
        <f t="shared" ca="1" si="95"/>
        <v>Supercritical</v>
      </c>
      <c r="AS152">
        <f t="shared" ca="1" si="96"/>
        <v>2.9675068169319847E-3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192</v>
      </c>
      <c r="I153">
        <v>0</v>
      </c>
      <c r="J153">
        <f t="shared" si="97"/>
        <v>1</v>
      </c>
      <c r="K153">
        <f t="shared" si="98"/>
        <v>51</v>
      </c>
      <c r="L153">
        <f t="shared" ca="1" si="99"/>
        <v>0.05</v>
      </c>
      <c r="M153">
        <f t="shared" ca="1" si="72"/>
        <v>0.43320000000000003</v>
      </c>
      <c r="N153">
        <f t="shared" ca="1" si="73"/>
        <v>4.9429484253765414E-2</v>
      </c>
      <c r="O153">
        <f t="shared" ca="1" si="74"/>
        <v>117.72853185595567</v>
      </c>
      <c r="P153">
        <f t="shared" ca="1" si="75"/>
        <v>634.34199999999998</v>
      </c>
      <c r="Q153">
        <f t="shared" ca="1" si="76"/>
        <v>1340.7643859815885</v>
      </c>
      <c r="R153">
        <f t="shared" ca="1" si="77"/>
        <v>171.90870508661772</v>
      </c>
      <c r="S153">
        <f t="shared" ca="1" si="78"/>
        <v>168.09787458282611</v>
      </c>
      <c r="T153">
        <f t="shared" ca="1" si="79"/>
        <v>612.05518521444844</v>
      </c>
      <c r="U153">
        <f t="shared" ca="1" si="100"/>
        <v>-92.553581801026667</v>
      </c>
      <c r="V153">
        <f t="shared" ca="1" si="101"/>
        <v>0</v>
      </c>
      <c r="W153">
        <f t="shared" ca="1" si="80"/>
        <v>0.05</v>
      </c>
      <c r="X153">
        <f t="shared" ca="1" si="81"/>
        <v>0.43320000000000003</v>
      </c>
      <c r="Y153">
        <f t="shared" ca="1" si="82"/>
        <v>4.9429484253765414E-2</v>
      </c>
      <c r="Z153">
        <f t="shared" ca="1" si="83"/>
        <v>117.72853185595567</v>
      </c>
      <c r="AA153">
        <f t="shared" ca="1" si="84"/>
        <v>634.34199999999998</v>
      </c>
      <c r="AB153">
        <f t="shared" ca="1" si="85"/>
        <v>1340.7643859815885</v>
      </c>
      <c r="AC153">
        <f t="shared" ca="1" si="86"/>
        <v>171.90870508661772</v>
      </c>
      <c r="AD153">
        <f t="shared" ca="1" si="87"/>
        <v>168.09787458282611</v>
      </c>
      <c r="AE153">
        <f t="shared" ca="1" si="88"/>
        <v>612.05518521444844</v>
      </c>
      <c r="AF153">
        <f t="shared" ca="1" si="89"/>
        <v>84.37722194760704</v>
      </c>
      <c r="AG153">
        <f t="shared" ca="1" si="90"/>
        <v>0</v>
      </c>
      <c r="AH153">
        <f ca="1">IF(V32="Supercritical",L153,IF(V32="Subcritical",W153,IF(AND(V153=1,AG153=1),IF(T153&gt;=AE153,L153,W153),IF(V153=1,L153,IF(AG153=1,W153,MAX($D$16,POWER((ABS(K153)^2)/($I$5*MAX(F153,0.1)^2),1/3)))))))</f>
        <v>1.5229237253664818</v>
      </c>
      <c r="AI153">
        <f t="shared" ca="1" si="91"/>
        <v>635.8149237253665</v>
      </c>
      <c r="AJ153">
        <f t="shared" ca="1" si="92"/>
        <v>636.57638558804979</v>
      </c>
      <c r="AM153">
        <v>0</v>
      </c>
      <c r="AN153">
        <v>0</v>
      </c>
      <c r="AO153">
        <f t="shared" si="93"/>
        <v>0</v>
      </c>
      <c r="AP153">
        <f t="shared" si="102"/>
        <v>0</v>
      </c>
      <c r="AQ153">
        <f t="shared" ca="1" si="94"/>
        <v>0.99999999999999989</v>
      </c>
      <c r="AR153" t="str">
        <f t="shared" ca="1" si="95"/>
        <v>Supercritical</v>
      </c>
      <c r="AS153">
        <f t="shared" ca="1" si="96"/>
        <v>2.8668339110115965E-3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192</v>
      </c>
      <c r="I154">
        <v>0</v>
      </c>
      <c r="J154">
        <f t="shared" si="97"/>
        <v>1</v>
      </c>
      <c r="K154">
        <f t="shared" si="98"/>
        <v>51</v>
      </c>
      <c r="L154">
        <f t="shared" ca="1" si="99"/>
        <v>0.05</v>
      </c>
      <c r="M154">
        <f t="shared" ca="1" si="72"/>
        <v>0.47005000000000002</v>
      </c>
      <c r="N154">
        <f t="shared" ca="1" si="73"/>
        <v>4.9473739606357231E-2</v>
      </c>
      <c r="O154">
        <f t="shared" ca="1" si="74"/>
        <v>108.49909584086799</v>
      </c>
      <c r="P154">
        <f t="shared" ca="1" si="75"/>
        <v>634.33999999999992</v>
      </c>
      <c r="Q154">
        <f t="shared" ca="1" si="76"/>
        <v>1234.3427420125308</v>
      </c>
      <c r="R154">
        <f t="shared" ca="1" si="77"/>
        <v>145.8372403652771</v>
      </c>
      <c r="S154">
        <f t="shared" ca="1" si="78"/>
        <v>154.91968784018783</v>
      </c>
      <c r="T154">
        <f t="shared" ca="1" si="79"/>
        <v>564.07432901598031</v>
      </c>
      <c r="U154">
        <f t="shared" ca="1" si="100"/>
        <v>-84.37722194760704</v>
      </c>
      <c r="V154">
        <f t="shared" ca="1" si="101"/>
        <v>0</v>
      </c>
      <c r="W154">
        <f t="shared" ca="1" si="80"/>
        <v>0.05</v>
      </c>
      <c r="X154">
        <f t="shared" ca="1" si="81"/>
        <v>0.47005000000000002</v>
      </c>
      <c r="Y154">
        <f t="shared" ca="1" si="82"/>
        <v>4.9473739606357231E-2</v>
      </c>
      <c r="Z154">
        <f t="shared" ca="1" si="83"/>
        <v>108.49909584086799</v>
      </c>
      <c r="AA154">
        <f t="shared" ca="1" si="84"/>
        <v>634.33999999999992</v>
      </c>
      <c r="AB154">
        <f t="shared" ca="1" si="85"/>
        <v>1234.3427420125308</v>
      </c>
      <c r="AC154">
        <f t="shared" ca="1" si="86"/>
        <v>145.8372403652771</v>
      </c>
      <c r="AD154">
        <f t="shared" ca="1" si="87"/>
        <v>154.91968784018783</v>
      </c>
      <c r="AE154">
        <f t="shared" ca="1" si="88"/>
        <v>564.07432901598031</v>
      </c>
      <c r="AF154">
        <f t="shared" ca="1" si="89"/>
        <v>76.708801137422824</v>
      </c>
      <c r="AG154">
        <f t="shared" ca="1" si="90"/>
        <v>0</v>
      </c>
      <c r="AH154">
        <f ca="1">IF(V32="Supercritical",L154,IF(V32="Subcritical",W154,IF(AND(V154=1,AG154=1),IF(T154&gt;=AE154,L154,W154),IF(V154=1,L154,IF(AG154=1,W154,MAX($D$16,POWER((ABS(K154)^2)/($I$5*MAX(F154,0.1)^2),1/3)))))))</f>
        <v>1.4422517673409474</v>
      </c>
      <c r="AI154">
        <f t="shared" ca="1" si="91"/>
        <v>635.73225176734093</v>
      </c>
      <c r="AJ154">
        <f t="shared" ca="1" si="92"/>
        <v>636.45337765101135</v>
      </c>
      <c r="AM154">
        <v>0</v>
      </c>
      <c r="AN154">
        <v>0</v>
      </c>
      <c r="AO154">
        <f t="shared" si="93"/>
        <v>0</v>
      </c>
      <c r="AP154">
        <f t="shared" si="102"/>
        <v>0</v>
      </c>
      <c r="AQ154">
        <f t="shared" ca="1" si="94"/>
        <v>1.0000000000000002</v>
      </c>
      <c r="AR154" t="str">
        <f t="shared" ca="1" si="95"/>
        <v>Supercritical</v>
      </c>
      <c r="AS154">
        <f t="shared" ca="1" si="96"/>
        <v>2.7912348375300189E-3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192</v>
      </c>
      <c r="I155">
        <v>0</v>
      </c>
      <c r="J155">
        <f t="shared" si="97"/>
        <v>1</v>
      </c>
      <c r="K155">
        <f t="shared" si="98"/>
        <v>51</v>
      </c>
      <c r="L155">
        <f t="shared" ca="1" si="99"/>
        <v>0.05</v>
      </c>
      <c r="M155">
        <f t="shared" ca="1" si="72"/>
        <v>0.50690000000000002</v>
      </c>
      <c r="N155">
        <f t="shared" ca="1" si="73"/>
        <v>4.9511623363938273E-2</v>
      </c>
      <c r="O155">
        <f t="shared" ca="1" si="74"/>
        <v>100.61156046557507</v>
      </c>
      <c r="P155">
        <f t="shared" ca="1" si="75"/>
        <v>634.33799999999997</v>
      </c>
      <c r="Q155">
        <f t="shared" ca="1" si="76"/>
        <v>1150.275110056986</v>
      </c>
      <c r="R155">
        <f t="shared" ca="1" si="77"/>
        <v>125.27624664733143</v>
      </c>
      <c r="S155">
        <f t="shared" ca="1" si="78"/>
        <v>143.65752469773187</v>
      </c>
      <c r="T155">
        <f t="shared" ca="1" si="79"/>
        <v>523.06971467577239</v>
      </c>
      <c r="U155">
        <f t="shared" ca="1" si="100"/>
        <v>-76.708801137422824</v>
      </c>
      <c r="V155">
        <f t="shared" ca="1" si="101"/>
        <v>0</v>
      </c>
      <c r="W155">
        <f t="shared" ca="1" si="80"/>
        <v>0.05</v>
      </c>
      <c r="X155">
        <f t="shared" ca="1" si="81"/>
        <v>0.50690000000000002</v>
      </c>
      <c r="Y155">
        <f t="shared" ca="1" si="82"/>
        <v>4.9511623363938273E-2</v>
      </c>
      <c r="Z155">
        <f t="shared" ca="1" si="83"/>
        <v>100.61156046557507</v>
      </c>
      <c r="AA155">
        <f t="shared" ca="1" si="84"/>
        <v>634.33799999999997</v>
      </c>
      <c r="AB155">
        <f t="shared" ca="1" si="85"/>
        <v>1150.275110056986</v>
      </c>
      <c r="AC155">
        <f t="shared" ca="1" si="86"/>
        <v>125.27624664733143</v>
      </c>
      <c r="AD155">
        <f t="shared" ca="1" si="87"/>
        <v>143.65752469773187</v>
      </c>
      <c r="AE155">
        <f t="shared" ca="1" si="88"/>
        <v>523.06971467577239</v>
      </c>
      <c r="AF155">
        <f t="shared" ca="1" si="89"/>
        <v>69.84568283435965</v>
      </c>
      <c r="AG155">
        <f t="shared" ca="1" si="90"/>
        <v>0</v>
      </c>
      <c r="AH155">
        <f ca="1">IF(V32="Supercritical",L155,IF(V32="Subcritical",W155,IF(AND(V155=1,AG155=1),IF(T155&gt;=AE155,L155,W155),IF(V155=1,L155,IF(AG155=1,W155,MAX($D$16,POWER((ABS(K155)^2)/($I$5*MAX(F155,0.1)^2),1/3)))))))</f>
        <v>1.3714782470782247</v>
      </c>
      <c r="AI155">
        <f t="shared" ca="1" si="91"/>
        <v>635.65947824707825</v>
      </c>
      <c r="AJ155">
        <f t="shared" ca="1" si="92"/>
        <v>636.34521737061732</v>
      </c>
      <c r="AM155">
        <v>0</v>
      </c>
      <c r="AN155">
        <v>0</v>
      </c>
      <c r="AO155">
        <f t="shared" si="93"/>
        <v>0</v>
      </c>
      <c r="AP155">
        <f t="shared" si="102"/>
        <v>0</v>
      </c>
      <c r="AQ155">
        <f t="shared" ca="1" si="94"/>
        <v>1</v>
      </c>
      <c r="AR155" t="str">
        <f t="shared" ca="1" si="95"/>
        <v>Supercritical</v>
      </c>
      <c r="AS155">
        <f t="shared" ca="1" si="96"/>
        <v>2.7339022742356557E-3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192</v>
      </c>
      <c r="I156">
        <v>5.3999999999999999E-2</v>
      </c>
      <c r="J156">
        <f t="shared" si="97"/>
        <v>1</v>
      </c>
      <c r="K156">
        <f t="shared" si="98"/>
        <v>51</v>
      </c>
      <c r="L156">
        <f t="shared" ca="1" si="99"/>
        <v>0.05</v>
      </c>
      <c r="M156">
        <f t="shared" ca="1" si="72"/>
        <v>0.54370000000000007</v>
      </c>
      <c r="N156">
        <f t="shared" ca="1" si="73"/>
        <v>4.9544377619828689E-2</v>
      </c>
      <c r="O156">
        <f t="shared" ca="1" si="74"/>
        <v>93.801728894610989</v>
      </c>
      <c r="P156">
        <f t="shared" ca="1" si="75"/>
        <v>634.3359999999999</v>
      </c>
      <c r="Q156">
        <f t="shared" ca="1" si="76"/>
        <v>1082.7949369835931</v>
      </c>
      <c r="R156">
        <f t="shared" ca="1" si="77"/>
        <v>108.79569264432811</v>
      </c>
      <c r="S156">
        <f t="shared" ca="1" si="78"/>
        <v>133.9341535208392</v>
      </c>
      <c r="T156">
        <f t="shared" ca="1" si="79"/>
        <v>487.66784057595925</v>
      </c>
      <c r="U156">
        <f t="shared" ca="1" si="100"/>
        <v>-69.845682834359764</v>
      </c>
      <c r="V156">
        <f t="shared" ca="1" si="101"/>
        <v>0</v>
      </c>
      <c r="W156">
        <f t="shared" ca="1" si="80"/>
        <v>0.05</v>
      </c>
      <c r="X156">
        <f t="shared" ca="1" si="81"/>
        <v>0.54370000000000007</v>
      </c>
      <c r="Y156">
        <f t="shared" ca="1" si="82"/>
        <v>4.9544377619828689E-2</v>
      </c>
      <c r="Z156">
        <f t="shared" ca="1" si="83"/>
        <v>93.801728894610989</v>
      </c>
      <c r="AA156">
        <f t="shared" ca="1" si="84"/>
        <v>634.3359999999999</v>
      </c>
      <c r="AB156">
        <f t="shared" ca="1" si="85"/>
        <v>1082.7949369835931</v>
      </c>
      <c r="AC156">
        <f t="shared" ca="1" si="86"/>
        <v>108.79569264432811</v>
      </c>
      <c r="AD156">
        <f t="shared" ca="1" si="87"/>
        <v>133.9341535208392</v>
      </c>
      <c r="AE156">
        <f t="shared" ca="1" si="88"/>
        <v>487.66784057595925</v>
      </c>
      <c r="AF156">
        <f t="shared" ca="1" si="89"/>
        <v>63.523626350350469</v>
      </c>
      <c r="AG156">
        <f t="shared" ca="1" si="90"/>
        <v>0</v>
      </c>
      <c r="AH156">
        <f ca="1">IF(V32="Supercritical",L156,IF(V32="Subcritical",W156,IF(AND(V156=1,AG156=1),IF(T156&gt;=AE156,L156,W156),IF(V156=1,L156,IF(AG156=1,W156,MAX($D$16,POWER((ABS(K156)^2)/($I$5*MAX(F156,0.1)^2),1/3)))))))</f>
        <v>1.3088731612707665</v>
      </c>
      <c r="AI156">
        <f t="shared" ca="1" si="91"/>
        <v>635.5948731612707</v>
      </c>
      <c r="AJ156">
        <f t="shared" ca="1" si="92"/>
        <v>636.24930974190613</v>
      </c>
      <c r="AM156">
        <v>0</v>
      </c>
      <c r="AN156">
        <v>0</v>
      </c>
      <c r="AO156">
        <f t="shared" si="93"/>
        <v>0</v>
      </c>
      <c r="AP156">
        <f t="shared" si="102"/>
        <v>0</v>
      </c>
      <c r="AQ156">
        <f t="shared" ca="1" si="94"/>
        <v>0.99999999999999989</v>
      </c>
      <c r="AR156" t="str">
        <f t="shared" ca="1" si="95"/>
        <v>Supercritical</v>
      </c>
      <c r="AS156">
        <f t="shared" ca="1" si="96"/>
        <v>2.6902385325934838E-3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192</v>
      </c>
      <c r="I157">
        <v>5.3999999999999999E-2</v>
      </c>
      <c r="J157">
        <f t="shared" si="97"/>
        <v>1</v>
      </c>
      <c r="K157">
        <f t="shared" si="98"/>
        <v>51</v>
      </c>
      <c r="L157">
        <f t="shared" ca="1" si="99"/>
        <v>0.05</v>
      </c>
      <c r="M157">
        <f t="shared" ca="1" si="72"/>
        <v>0.58055000000000001</v>
      </c>
      <c r="N157">
        <f t="shared" ca="1" si="73"/>
        <v>4.9573050977713258E-2</v>
      </c>
      <c r="O157">
        <f t="shared" ca="1" si="74"/>
        <v>87.84773060029282</v>
      </c>
      <c r="P157">
        <f t="shared" ca="1" si="75"/>
        <v>634.33399999999995</v>
      </c>
      <c r="Q157">
        <f t="shared" ca="1" si="76"/>
        <v>1027.6685449348431</v>
      </c>
      <c r="R157">
        <f t="shared" ca="1" si="77"/>
        <v>95.348986315965575</v>
      </c>
      <c r="S157">
        <f t="shared" ca="1" si="78"/>
        <v>125.43277800237753</v>
      </c>
      <c r="T157">
        <f t="shared" ca="1" si="79"/>
        <v>456.71525387384645</v>
      </c>
      <c r="U157">
        <f t="shared" ca="1" si="100"/>
        <v>-63.523626350350469</v>
      </c>
      <c r="V157">
        <f t="shared" ca="1" si="101"/>
        <v>0</v>
      </c>
      <c r="W157">
        <f t="shared" ca="1" si="80"/>
        <v>0.05</v>
      </c>
      <c r="X157">
        <f t="shared" ca="1" si="81"/>
        <v>0.58055000000000001</v>
      </c>
      <c r="Y157">
        <f t="shared" ca="1" si="82"/>
        <v>4.9573050977713258E-2</v>
      </c>
      <c r="Z157">
        <f t="shared" ca="1" si="83"/>
        <v>87.84773060029282</v>
      </c>
      <c r="AA157">
        <f t="shared" ca="1" si="84"/>
        <v>634.33399999999995</v>
      </c>
      <c r="AB157">
        <f t="shared" ca="1" si="85"/>
        <v>1027.6685449348431</v>
      </c>
      <c r="AC157">
        <f t="shared" ca="1" si="86"/>
        <v>95.348986315965575</v>
      </c>
      <c r="AD157">
        <f t="shared" ca="1" si="87"/>
        <v>125.43277800237753</v>
      </c>
      <c r="AE157">
        <f t="shared" ca="1" si="88"/>
        <v>456.71525387384645</v>
      </c>
      <c r="AF157">
        <f t="shared" ca="1" si="89"/>
        <v>57.910978629781312</v>
      </c>
      <c r="AG157">
        <f t="shared" ca="1" si="90"/>
        <v>0</v>
      </c>
      <c r="AH157">
        <f ca="1">IF(V32="Supercritical",L157,IF(V32="Subcritical",W157,IF(AND(V157=1,AG157=1),IF(T157&gt;=AE157,L157,W157),IF(V157=1,L157,IF(AG157=1,W157,MAX($D$16,POWER((ABS(K157)^2)/($I$5*MAX(F157,0.1)^2),1/3)))))))</f>
        <v>1.2528835243787473</v>
      </c>
      <c r="AI157">
        <f t="shared" ca="1" si="91"/>
        <v>635.53688352437871</v>
      </c>
      <c r="AJ157">
        <f t="shared" ca="1" si="92"/>
        <v>636.16332528656812</v>
      </c>
      <c r="AM157">
        <v>0</v>
      </c>
      <c r="AN157">
        <v>0</v>
      </c>
      <c r="AO157">
        <f t="shared" si="93"/>
        <v>0</v>
      </c>
      <c r="AP157">
        <f t="shared" si="102"/>
        <v>0</v>
      </c>
      <c r="AQ157">
        <f t="shared" ca="1" si="94"/>
        <v>1.0000000000000002</v>
      </c>
      <c r="AR157" t="str">
        <f t="shared" ca="1" si="95"/>
        <v>Supercritical</v>
      </c>
      <c r="AS157">
        <f t="shared" ca="1" si="96"/>
        <v>2.6568607329905355E-3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192</v>
      </c>
      <c r="I158">
        <v>0</v>
      </c>
      <c r="J158">
        <f t="shared" si="97"/>
        <v>1</v>
      </c>
      <c r="K158">
        <f t="shared" si="98"/>
        <v>51</v>
      </c>
      <c r="L158">
        <f t="shared" ca="1" si="99"/>
        <v>0.05</v>
      </c>
      <c r="M158">
        <f t="shared" ca="1" si="72"/>
        <v>0.61740000000000006</v>
      </c>
      <c r="N158">
        <f t="shared" ca="1" si="73"/>
        <v>4.959832904884319E-2</v>
      </c>
      <c r="O158">
        <f t="shared" ca="1" si="74"/>
        <v>82.604470359572389</v>
      </c>
      <c r="P158">
        <f t="shared" ca="1" si="75"/>
        <v>634.33199999999999</v>
      </c>
      <c r="Q158">
        <f t="shared" ca="1" si="76"/>
        <v>982.11479935705779</v>
      </c>
      <c r="R158">
        <f t="shared" ca="1" si="77"/>
        <v>84.249414752496463</v>
      </c>
      <c r="S158">
        <f t="shared" ca="1" si="78"/>
        <v>117.94622492594796</v>
      </c>
      <c r="T158">
        <f t="shared" ca="1" si="79"/>
        <v>429.45763564609501</v>
      </c>
      <c r="U158">
        <f t="shared" ca="1" si="100"/>
        <v>-57.910978629781312</v>
      </c>
      <c r="V158">
        <f t="shared" ca="1" si="101"/>
        <v>0</v>
      </c>
      <c r="W158">
        <f t="shared" ca="1" si="80"/>
        <v>0.05</v>
      </c>
      <c r="X158">
        <f t="shared" ca="1" si="81"/>
        <v>0.61740000000000006</v>
      </c>
      <c r="Y158">
        <f t="shared" ca="1" si="82"/>
        <v>4.959832904884319E-2</v>
      </c>
      <c r="Z158">
        <f t="shared" ca="1" si="83"/>
        <v>82.604470359572389</v>
      </c>
      <c r="AA158">
        <f t="shared" ca="1" si="84"/>
        <v>634.33199999999999</v>
      </c>
      <c r="AB158">
        <f t="shared" ca="1" si="85"/>
        <v>982.11479935705779</v>
      </c>
      <c r="AC158">
        <f t="shared" ca="1" si="86"/>
        <v>84.249414752496463</v>
      </c>
      <c r="AD158">
        <f t="shared" ca="1" si="87"/>
        <v>117.94622492594796</v>
      </c>
      <c r="AE158">
        <f t="shared" ca="1" si="88"/>
        <v>429.45763564609501</v>
      </c>
      <c r="AF158">
        <f t="shared" ca="1" si="89"/>
        <v>1332.8706851779491</v>
      </c>
      <c r="AG158">
        <f t="shared" ca="1" si="90"/>
        <v>0</v>
      </c>
      <c r="AH158">
        <f ca="1">IF(V32="Supercritical",L158,IF(V32="Subcritical",W158,IF(AND(V158=1,AG158=1),IF(T158&gt;=AE158,L158,W158),IF(V158=1,L158,IF(AG158=1,W158,MAX($D$16,POWER((ABS(K158)^2)/($I$5*MAX(F158,0.1)^2),1/3)))))))</f>
        <v>1.2025210878655219</v>
      </c>
      <c r="AI158">
        <f t="shared" ca="1" si="91"/>
        <v>635.48452108786557</v>
      </c>
      <c r="AJ158">
        <f t="shared" ca="1" si="92"/>
        <v>636.08578163179834</v>
      </c>
      <c r="AM158">
        <v>0</v>
      </c>
      <c r="AN158">
        <v>0</v>
      </c>
      <c r="AO158">
        <f t="shared" si="93"/>
        <v>0</v>
      </c>
      <c r="AP158">
        <f t="shared" si="102"/>
        <v>0</v>
      </c>
      <c r="AQ158">
        <f t="shared" ca="1" si="94"/>
        <v>0.99999999999999989</v>
      </c>
      <c r="AR158" t="str">
        <f t="shared" ca="1" si="95"/>
        <v>Supercritical</v>
      </c>
      <c r="AS158">
        <f t="shared" ca="1" si="96"/>
        <v>2.6314830442118859E-3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191</v>
      </c>
      <c r="I159">
        <v>0</v>
      </c>
      <c r="J159">
        <f t="shared" si="97"/>
        <v>1</v>
      </c>
      <c r="K159">
        <f t="shared" si="98"/>
        <v>51</v>
      </c>
      <c r="L159">
        <f t="shared" ca="1" si="99"/>
        <v>0.05</v>
      </c>
      <c r="M159">
        <f t="shared" ca="1" si="72"/>
        <v>0.31120000000000003</v>
      </c>
      <c r="N159">
        <f t="shared" ca="1" si="73"/>
        <v>4.9209361163820374E-2</v>
      </c>
      <c r="O159">
        <f t="shared" ca="1" si="74"/>
        <v>163.88174807197942</v>
      </c>
      <c r="P159">
        <f t="shared" ca="1" si="75"/>
        <v>634.32999999999993</v>
      </c>
      <c r="Q159">
        <f t="shared" ca="1" si="76"/>
        <v>2003.1998955722593</v>
      </c>
      <c r="R159">
        <f t="shared" ca="1" si="77"/>
        <v>335.10434392995836</v>
      </c>
      <c r="S159">
        <f t="shared" ca="1" si="78"/>
        <v>233.9974269578415</v>
      </c>
      <c r="T159">
        <f t="shared" ca="1" si="79"/>
        <v>851.99240300417443</v>
      </c>
      <c r="U159">
        <f t="shared" ca="1" si="100"/>
        <v>-1332.8706851779489</v>
      </c>
      <c r="V159">
        <f t="shared" ca="1" si="101"/>
        <v>0</v>
      </c>
      <c r="W159">
        <f t="shared" ca="1" si="80"/>
        <v>0.05</v>
      </c>
      <c r="X159">
        <f t="shared" ca="1" si="81"/>
        <v>0.31120000000000003</v>
      </c>
      <c r="Y159">
        <f t="shared" ca="1" si="82"/>
        <v>4.9209361163820374E-2</v>
      </c>
      <c r="Z159">
        <f t="shared" ca="1" si="83"/>
        <v>163.88174807197942</v>
      </c>
      <c r="AA159">
        <f t="shared" ca="1" si="84"/>
        <v>634.32999999999993</v>
      </c>
      <c r="AB159">
        <f t="shared" ca="1" si="85"/>
        <v>2003.1998955722593</v>
      </c>
      <c r="AC159">
        <f t="shared" ca="1" si="86"/>
        <v>335.10434392995836</v>
      </c>
      <c r="AD159">
        <f t="shared" ca="1" si="87"/>
        <v>233.9974269578415</v>
      </c>
      <c r="AE159">
        <f t="shared" ca="1" si="88"/>
        <v>851.99240300417443</v>
      </c>
      <c r="AF159">
        <f t="shared" ca="1" si="89"/>
        <v>335.22554222055987</v>
      </c>
      <c r="AG159">
        <f t="shared" ca="1" si="90"/>
        <v>0</v>
      </c>
      <c r="AH159">
        <f ca="1">IF(V32="Supercritical",L159,IF(V32="Subcritical",W159,IF(AND(V159=1,AG159=1),IF(T159&gt;=AE159,L159,W159),IF(V159=1,L159,IF(AG159=1,W159,MAX($D$16,POWER((ABS(K159)^2)/($I$5*MAX(F159,0.1)^2),1/3)))))))</f>
        <v>1.8986462635742369</v>
      </c>
      <c r="AI159">
        <f t="shared" ca="1" si="91"/>
        <v>636.17864626357425</v>
      </c>
      <c r="AJ159">
        <f t="shared" ca="1" si="92"/>
        <v>637.12796939536133</v>
      </c>
      <c r="AM159">
        <v>0</v>
      </c>
      <c r="AN159">
        <v>0</v>
      </c>
      <c r="AO159">
        <f t="shared" si="93"/>
        <v>0</v>
      </c>
      <c r="AP159">
        <f t="shared" si="102"/>
        <v>0</v>
      </c>
      <c r="AQ159">
        <f t="shared" ca="1" si="94"/>
        <v>1.0000000000000002</v>
      </c>
      <c r="AR159" t="str">
        <f t="shared" ca="1" si="95"/>
        <v>Supercritical</v>
      </c>
      <c r="AS159">
        <f t="shared" ca="1" si="96"/>
        <v>3.3638946024191819E-3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191</v>
      </c>
      <c r="I160">
        <v>5.3999999999999999E-2</v>
      </c>
      <c r="J160">
        <f t="shared" si="97"/>
        <v>1</v>
      </c>
      <c r="K160">
        <f t="shared" si="98"/>
        <v>51</v>
      </c>
      <c r="L160">
        <f t="shared" ca="1" si="99"/>
        <v>0.05</v>
      </c>
      <c r="M160">
        <f t="shared" ca="1" si="72"/>
        <v>0.31120000000000003</v>
      </c>
      <c r="N160">
        <f t="shared" ca="1" si="73"/>
        <v>4.9209361163820374E-2</v>
      </c>
      <c r="O160">
        <f t="shared" ca="1" si="74"/>
        <v>163.88174807197942</v>
      </c>
      <c r="P160">
        <f t="shared" ca="1" si="75"/>
        <v>634.32799999999997</v>
      </c>
      <c r="Q160">
        <f t="shared" ca="1" si="76"/>
        <v>2003.1978955722593</v>
      </c>
      <c r="R160">
        <f t="shared" ca="1" si="77"/>
        <v>335.10434392995836</v>
      </c>
      <c r="S160">
        <f t="shared" ca="1" si="78"/>
        <v>233.9974269578415</v>
      </c>
      <c r="T160">
        <f t="shared" ca="1" si="79"/>
        <v>851.99240300417443</v>
      </c>
      <c r="U160">
        <f t="shared" ca="1" si="100"/>
        <v>-335.22554222055987</v>
      </c>
      <c r="V160">
        <f t="shared" ca="1" si="101"/>
        <v>0</v>
      </c>
      <c r="W160">
        <f t="shared" ca="1" si="80"/>
        <v>0.05</v>
      </c>
      <c r="X160">
        <f t="shared" ca="1" si="81"/>
        <v>0.31120000000000003</v>
      </c>
      <c r="Y160">
        <f t="shared" ca="1" si="82"/>
        <v>4.9209361163820374E-2</v>
      </c>
      <c r="Z160">
        <f t="shared" ca="1" si="83"/>
        <v>163.88174807197942</v>
      </c>
      <c r="AA160">
        <f t="shared" ca="1" si="84"/>
        <v>634.32799999999997</v>
      </c>
      <c r="AB160">
        <f t="shared" ca="1" si="85"/>
        <v>2003.1978955722593</v>
      </c>
      <c r="AC160">
        <f t="shared" ca="1" si="86"/>
        <v>335.10434392995836</v>
      </c>
      <c r="AD160">
        <f t="shared" ca="1" si="87"/>
        <v>233.9974269578415</v>
      </c>
      <c r="AE160">
        <f t="shared" ca="1" si="88"/>
        <v>851.99240300417443</v>
      </c>
      <c r="AF160">
        <f t="shared" ca="1" si="89"/>
        <v>462.64947295086358</v>
      </c>
      <c r="AG160">
        <f t="shared" ca="1" si="90"/>
        <v>0</v>
      </c>
      <c r="AH160">
        <f ca="1">IF(V32="Supercritical",L160,IF(V32="Subcritical",W160,IF(AND(V160=1,AG160=1),IF(T160&gt;=AE160,L160,W160),IF(V160=1,L160,IF(AG160=1,W160,MAX($D$16,POWER((ABS(K160)^2)/($I$5*MAX(F160,0.1)^2),1/3)))))))</f>
        <v>1.8986462635742369</v>
      </c>
      <c r="AI160">
        <f t="shared" ca="1" si="91"/>
        <v>636.1766462635743</v>
      </c>
      <c r="AJ160">
        <f t="shared" ca="1" si="92"/>
        <v>637.12596939536138</v>
      </c>
      <c r="AM160">
        <v>0</v>
      </c>
      <c r="AN160">
        <v>0</v>
      </c>
      <c r="AO160">
        <f t="shared" si="93"/>
        <v>0</v>
      </c>
      <c r="AP160">
        <f t="shared" si="102"/>
        <v>0</v>
      </c>
      <c r="AQ160">
        <f t="shared" ca="1" si="94"/>
        <v>1.0000000000000002</v>
      </c>
      <c r="AR160" t="str">
        <f t="shared" ca="1" si="95"/>
        <v>Supercritical</v>
      </c>
      <c r="AS160">
        <f t="shared" ca="1" si="96"/>
        <v>3.3638946024191819E-3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191</v>
      </c>
      <c r="I161">
        <v>5.3999999999999999E-2</v>
      </c>
      <c r="J161">
        <f t="shared" si="97"/>
        <v>1</v>
      </c>
      <c r="K161">
        <f t="shared" si="98"/>
        <v>51</v>
      </c>
      <c r="L161">
        <f t="shared" ca="1" si="99"/>
        <v>0.05</v>
      </c>
      <c r="M161">
        <f t="shared" ca="1" si="72"/>
        <v>0.30000000000000004</v>
      </c>
      <c r="N161">
        <f t="shared" ca="1" si="73"/>
        <v>4.9180327868852472E-2</v>
      </c>
      <c r="O161">
        <f t="shared" ca="1" si="74"/>
        <v>169.99999999999997</v>
      </c>
      <c r="P161">
        <f t="shared" ca="1" si="75"/>
        <v>634.32599999999991</v>
      </c>
      <c r="Q161">
        <f t="shared" ca="1" si="76"/>
        <v>2107.3127482161053</v>
      </c>
      <c r="R161">
        <f t="shared" ca="1" si="77"/>
        <v>360.87638854062874</v>
      </c>
      <c r="S161">
        <f t="shared" ca="1" si="78"/>
        <v>242.73333089760089</v>
      </c>
      <c r="T161">
        <f t="shared" ca="1" si="79"/>
        <v>883.7995489296635</v>
      </c>
      <c r="U161">
        <f t="shared" ca="1" si="100"/>
        <v>-462.64947295086358</v>
      </c>
      <c r="V161">
        <f t="shared" ca="1" si="101"/>
        <v>0</v>
      </c>
      <c r="W161">
        <f t="shared" ca="1" si="80"/>
        <v>0.05</v>
      </c>
      <c r="X161">
        <f t="shared" ca="1" si="81"/>
        <v>0.30000000000000004</v>
      </c>
      <c r="Y161">
        <f t="shared" ca="1" si="82"/>
        <v>4.9180327868852472E-2</v>
      </c>
      <c r="Z161">
        <f t="shared" ca="1" si="83"/>
        <v>169.99999999999997</v>
      </c>
      <c r="AA161">
        <f t="shared" ca="1" si="84"/>
        <v>634.32599999999991</v>
      </c>
      <c r="AB161">
        <f t="shared" ca="1" si="85"/>
        <v>2107.3127482161053</v>
      </c>
      <c r="AC161">
        <f t="shared" ca="1" si="86"/>
        <v>360.87638854062874</v>
      </c>
      <c r="AD161">
        <f t="shared" ca="1" si="87"/>
        <v>242.73333089760089</v>
      </c>
      <c r="AE161">
        <f t="shared" ca="1" si="88"/>
        <v>883.7995489296635</v>
      </c>
      <c r="AF161">
        <f t="shared" ca="1" si="89"/>
        <v>360.87438854062884</v>
      </c>
      <c r="AG161">
        <f t="shared" ca="1" si="90"/>
        <v>0</v>
      </c>
      <c r="AH161">
        <f ca="1">IF(V32="Supercritical",L161,IF(V32="Subcritical",W161,IF(AND(V161=1,AG161=1),IF(T161&gt;=AE161,L161,W161),IF(V161=1,L161,IF(AG161=1,W161,MAX($D$16,POWER((ABS(K161)^2)/($I$5*MAX(F161,0.1)^2),1/3)))))))</f>
        <v>1.9456122022228524</v>
      </c>
      <c r="AI161">
        <f t="shared" ca="1" si="91"/>
        <v>636.22161220222279</v>
      </c>
      <c r="AJ161">
        <f t="shared" ca="1" si="92"/>
        <v>637.19441830333426</v>
      </c>
      <c r="AM161">
        <v>0</v>
      </c>
      <c r="AN161">
        <v>0</v>
      </c>
      <c r="AO161">
        <f t="shared" si="93"/>
        <v>0</v>
      </c>
      <c r="AP161">
        <f t="shared" si="102"/>
        <v>0</v>
      </c>
      <c r="AQ161">
        <f t="shared" ca="1" si="94"/>
        <v>1</v>
      </c>
      <c r="AR161" t="str">
        <f t="shared" ca="1" si="95"/>
        <v>Supercritical</v>
      </c>
      <c r="AS161">
        <f t="shared" ca="1" si="96"/>
        <v>3.4432178763879138E-3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191</v>
      </c>
      <c r="I162">
        <v>0</v>
      </c>
      <c r="J162">
        <f t="shared" si="97"/>
        <v>1</v>
      </c>
      <c r="K162">
        <f t="shared" si="98"/>
        <v>51</v>
      </c>
      <c r="L162">
        <f t="shared" ca="1" si="99"/>
        <v>0.05</v>
      </c>
      <c r="M162">
        <f t="shared" ca="1" si="72"/>
        <v>0.30000000000000004</v>
      </c>
      <c r="N162">
        <f t="shared" ca="1" si="73"/>
        <v>4.9180327868852472E-2</v>
      </c>
      <c r="O162">
        <f t="shared" ca="1" si="74"/>
        <v>169.99999999999997</v>
      </c>
      <c r="P162">
        <f t="shared" ca="1" si="75"/>
        <v>634.32399999999996</v>
      </c>
      <c r="Q162">
        <f t="shared" ca="1" si="76"/>
        <v>2107.3107482161054</v>
      </c>
      <c r="R162">
        <f t="shared" ca="1" si="77"/>
        <v>360.87638854062874</v>
      </c>
      <c r="S162">
        <f t="shared" ca="1" si="78"/>
        <v>242.73333089760089</v>
      </c>
      <c r="T162">
        <f t="shared" ca="1" si="79"/>
        <v>883.7995489296635</v>
      </c>
      <c r="U162">
        <f t="shared" ca="1" si="100"/>
        <v>-360.87438854062884</v>
      </c>
      <c r="V162">
        <f t="shared" ca="1" si="101"/>
        <v>0</v>
      </c>
      <c r="W162">
        <f t="shared" ca="1" si="80"/>
        <v>0.05</v>
      </c>
      <c r="X162">
        <f t="shared" ca="1" si="81"/>
        <v>0.30000000000000004</v>
      </c>
      <c r="Y162">
        <f t="shared" ca="1" si="82"/>
        <v>4.9180327868852472E-2</v>
      </c>
      <c r="Z162">
        <f t="shared" ca="1" si="83"/>
        <v>169.99999999999997</v>
      </c>
      <c r="AA162">
        <f t="shared" ca="1" si="84"/>
        <v>634.32399999999996</v>
      </c>
      <c r="AB162">
        <f t="shared" ca="1" si="85"/>
        <v>2107.3107482161054</v>
      </c>
      <c r="AC162">
        <f t="shared" ca="1" si="86"/>
        <v>360.87638854062874</v>
      </c>
      <c r="AD162">
        <f t="shared" ca="1" si="87"/>
        <v>242.73333089760089</v>
      </c>
      <c r="AE162">
        <f t="shared" ca="1" si="88"/>
        <v>883.7995489296635</v>
      </c>
      <c r="AF162">
        <f t="shared" ca="1" si="89"/>
        <v>360.87438854062884</v>
      </c>
      <c r="AG162">
        <f t="shared" ca="1" si="90"/>
        <v>0</v>
      </c>
      <c r="AH162">
        <f ca="1">IF(V32="Supercritical",L162,IF(V32="Subcritical",W162,IF(AND(V162=1,AG162=1),IF(T162&gt;=AE162,L162,W162),IF(V162=1,L162,IF(AG162=1,W162,MAX($D$16,POWER((ABS(K162)^2)/($I$5*MAX(F162,0.1)^2),1/3)))))))</f>
        <v>1.9456122022228524</v>
      </c>
      <c r="AI162">
        <f t="shared" ca="1" si="91"/>
        <v>636.21961220222283</v>
      </c>
      <c r="AJ162">
        <f t="shared" ca="1" si="92"/>
        <v>637.19241830333431</v>
      </c>
      <c r="AM162">
        <v>0</v>
      </c>
      <c r="AN162">
        <v>0</v>
      </c>
      <c r="AO162">
        <f t="shared" si="93"/>
        <v>0</v>
      </c>
      <c r="AP162">
        <f t="shared" si="102"/>
        <v>0</v>
      </c>
      <c r="AQ162">
        <f t="shared" ca="1" si="94"/>
        <v>1</v>
      </c>
      <c r="AR162" t="str">
        <f t="shared" ca="1" si="95"/>
        <v>Supercritical</v>
      </c>
      <c r="AS162">
        <f t="shared" ca="1" si="96"/>
        <v>3.4432178763879138E-3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191</v>
      </c>
      <c r="I163">
        <v>0</v>
      </c>
      <c r="J163">
        <f t="shared" si="97"/>
        <v>1</v>
      </c>
      <c r="K163">
        <f t="shared" si="98"/>
        <v>51</v>
      </c>
      <c r="L163">
        <f t="shared" ca="1" si="99"/>
        <v>0.05</v>
      </c>
      <c r="M163">
        <f t="shared" ca="1" si="72"/>
        <v>0.30000000000000004</v>
      </c>
      <c r="N163">
        <f t="shared" ca="1" si="73"/>
        <v>4.9180327868852472E-2</v>
      </c>
      <c r="O163">
        <f t="shared" ca="1" si="74"/>
        <v>169.99999999999997</v>
      </c>
      <c r="P163">
        <f t="shared" ca="1" si="75"/>
        <v>634.322</v>
      </c>
      <c r="Q163">
        <f t="shared" ca="1" si="76"/>
        <v>2107.3087482161054</v>
      </c>
      <c r="R163">
        <f t="shared" ca="1" si="77"/>
        <v>360.87638854062874</v>
      </c>
      <c r="S163">
        <f t="shared" ca="1" si="78"/>
        <v>242.73333089760089</v>
      </c>
      <c r="T163">
        <f t="shared" ca="1" si="79"/>
        <v>883.7995489296635</v>
      </c>
      <c r="U163">
        <f t="shared" ca="1" si="100"/>
        <v>-360.87438854062884</v>
      </c>
      <c r="V163">
        <f t="shared" ca="1" si="101"/>
        <v>0</v>
      </c>
      <c r="W163">
        <f t="shared" ca="1" si="80"/>
        <v>0.05</v>
      </c>
      <c r="X163">
        <f t="shared" ca="1" si="81"/>
        <v>0.30000000000000004</v>
      </c>
      <c r="Y163">
        <f t="shared" ca="1" si="82"/>
        <v>4.9180327868852472E-2</v>
      </c>
      <c r="Z163">
        <f t="shared" ca="1" si="83"/>
        <v>169.99999999999997</v>
      </c>
      <c r="AA163">
        <f t="shared" ca="1" si="84"/>
        <v>634.322</v>
      </c>
      <c r="AB163">
        <f t="shared" ca="1" si="85"/>
        <v>2107.3087482161054</v>
      </c>
      <c r="AC163">
        <f t="shared" ca="1" si="86"/>
        <v>360.87638854062874</v>
      </c>
      <c r="AD163">
        <f t="shared" ca="1" si="87"/>
        <v>242.73333089760089</v>
      </c>
      <c r="AE163">
        <f t="shared" ca="1" si="88"/>
        <v>883.7995489296635</v>
      </c>
      <c r="AF163">
        <f t="shared" ca="1" si="89"/>
        <v>360.87438854062839</v>
      </c>
      <c r="AG163">
        <f t="shared" ca="1" si="90"/>
        <v>0</v>
      </c>
      <c r="AH163">
        <f ca="1">IF(V32="Supercritical",L163,IF(V32="Subcritical",W163,IF(AND(V163=1,AG163=1),IF(T163&gt;=AE163,L163,W163),IF(V163=1,L163,IF(AG163=1,W163,MAX($D$16,POWER((ABS(K163)^2)/($I$5*MAX(F163,0.1)^2),1/3)))))))</f>
        <v>1.9456122022228524</v>
      </c>
      <c r="AI163">
        <f t="shared" ca="1" si="91"/>
        <v>636.21761220222288</v>
      </c>
      <c r="AJ163">
        <f t="shared" ca="1" si="92"/>
        <v>637.19041830333435</v>
      </c>
      <c r="AM163">
        <v>0</v>
      </c>
      <c r="AN163">
        <v>0</v>
      </c>
      <c r="AO163">
        <f t="shared" si="93"/>
        <v>0</v>
      </c>
      <c r="AP163">
        <f t="shared" si="102"/>
        <v>0</v>
      </c>
      <c r="AQ163">
        <f t="shared" ca="1" si="94"/>
        <v>1</v>
      </c>
      <c r="AR163" t="str">
        <f t="shared" ca="1" si="95"/>
        <v>Supercritical</v>
      </c>
      <c r="AS163">
        <f t="shared" ca="1" si="96"/>
        <v>3.4432178763879138E-3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191</v>
      </c>
      <c r="I164">
        <v>0</v>
      </c>
      <c r="J164">
        <f t="shared" si="97"/>
        <v>1</v>
      </c>
      <c r="K164">
        <f t="shared" si="98"/>
        <v>51</v>
      </c>
      <c r="L164">
        <f t="shared" ca="1" si="99"/>
        <v>0.05</v>
      </c>
      <c r="M164">
        <f t="shared" ca="1" si="72"/>
        <v>0.30000000000000004</v>
      </c>
      <c r="N164">
        <f t="shared" ca="1" si="73"/>
        <v>4.9180327868852472E-2</v>
      </c>
      <c r="O164">
        <f t="shared" ca="1" si="74"/>
        <v>169.99999999999997</v>
      </c>
      <c r="P164">
        <f t="shared" ca="1" si="75"/>
        <v>634.31999999999994</v>
      </c>
      <c r="Q164">
        <f t="shared" ca="1" si="76"/>
        <v>2107.306748216105</v>
      </c>
      <c r="R164">
        <f t="shared" ca="1" si="77"/>
        <v>360.87638854062874</v>
      </c>
      <c r="S164">
        <f t="shared" ca="1" si="78"/>
        <v>242.73333089760089</v>
      </c>
      <c r="T164">
        <f t="shared" ca="1" si="79"/>
        <v>883.7995489296635</v>
      </c>
      <c r="U164">
        <f t="shared" ca="1" si="100"/>
        <v>-360.87438854062839</v>
      </c>
      <c r="V164">
        <f t="shared" ca="1" si="101"/>
        <v>0</v>
      </c>
      <c r="W164">
        <f t="shared" ca="1" si="80"/>
        <v>0.05</v>
      </c>
      <c r="X164">
        <f t="shared" ca="1" si="81"/>
        <v>0.30000000000000004</v>
      </c>
      <c r="Y164">
        <f t="shared" ca="1" si="82"/>
        <v>4.9180327868852472E-2</v>
      </c>
      <c r="Z164">
        <f t="shared" ca="1" si="83"/>
        <v>169.99999999999997</v>
      </c>
      <c r="AA164">
        <f t="shared" ca="1" si="84"/>
        <v>634.31999999999994</v>
      </c>
      <c r="AB164">
        <f t="shared" ca="1" si="85"/>
        <v>2107.306748216105</v>
      </c>
      <c r="AC164">
        <f t="shared" ca="1" si="86"/>
        <v>360.87638854062874</v>
      </c>
      <c r="AD164">
        <f t="shared" ca="1" si="87"/>
        <v>242.73333089760089</v>
      </c>
      <c r="AE164">
        <f t="shared" ca="1" si="88"/>
        <v>883.7995489296635</v>
      </c>
      <c r="AF164">
        <f t="shared" ca="1" si="89"/>
        <v>361.00695734796864</v>
      </c>
      <c r="AG164">
        <f t="shared" ca="1" si="90"/>
        <v>0</v>
      </c>
      <c r="AH164">
        <f ca="1">IF(V32="Supercritical",L164,IF(V32="Subcritical",W164,IF(AND(V164=1,AG164=1),IF(T164&gt;=AE164,L164,W164),IF(V164=1,L164,IF(AG164=1,W164,MAX($D$16,POWER((ABS(K164)^2)/($I$5*MAX(F164,0.1)^2),1/3)))))))</f>
        <v>1.9456122022228524</v>
      </c>
      <c r="AI164">
        <f t="shared" ca="1" si="91"/>
        <v>636.21561220222281</v>
      </c>
      <c r="AJ164">
        <f t="shared" ca="1" si="92"/>
        <v>637.18841830333429</v>
      </c>
      <c r="AM164">
        <v>0</v>
      </c>
      <c r="AN164">
        <v>0</v>
      </c>
      <c r="AO164">
        <f t="shared" si="93"/>
        <v>0</v>
      </c>
      <c r="AP164">
        <f t="shared" si="102"/>
        <v>0</v>
      </c>
      <c r="AQ164">
        <f t="shared" ca="1" si="94"/>
        <v>1</v>
      </c>
      <c r="AR164" t="str">
        <f t="shared" ca="1" si="95"/>
        <v>Supercritical</v>
      </c>
      <c r="AS164">
        <f t="shared" ca="1" si="96"/>
        <v>3.4432178763879138E-3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191</v>
      </c>
      <c r="I165">
        <v>5.3999999999999999E-2</v>
      </c>
      <c r="J165">
        <f t="shared" si="97"/>
        <v>1</v>
      </c>
      <c r="K165">
        <f t="shared" si="98"/>
        <v>51</v>
      </c>
      <c r="L165">
        <f t="shared" ca="1" si="99"/>
        <v>0.05</v>
      </c>
      <c r="M165">
        <f t="shared" ca="1" si="72"/>
        <v>0.30000000000000004</v>
      </c>
      <c r="N165">
        <f t="shared" ca="1" si="73"/>
        <v>4.9180327868852472E-2</v>
      </c>
      <c r="O165">
        <f t="shared" ca="1" si="74"/>
        <v>169.99999999999997</v>
      </c>
      <c r="P165">
        <f t="shared" ca="1" si="75"/>
        <v>634.31799999999998</v>
      </c>
      <c r="Q165">
        <f t="shared" ca="1" si="76"/>
        <v>2107.3047482161055</v>
      </c>
      <c r="R165">
        <f t="shared" ca="1" si="77"/>
        <v>360.87638854062874</v>
      </c>
      <c r="S165">
        <f t="shared" ca="1" si="78"/>
        <v>242.73333089760089</v>
      </c>
      <c r="T165">
        <f t="shared" ca="1" si="79"/>
        <v>883.7995489296635</v>
      </c>
      <c r="U165">
        <f t="shared" ca="1" si="100"/>
        <v>-361.00695734796864</v>
      </c>
      <c r="V165">
        <f t="shared" ca="1" si="101"/>
        <v>0</v>
      </c>
      <c r="W165">
        <f t="shared" ca="1" si="80"/>
        <v>0.05</v>
      </c>
      <c r="X165">
        <f t="shared" ca="1" si="81"/>
        <v>0.30000000000000004</v>
      </c>
      <c r="Y165">
        <f t="shared" ca="1" si="82"/>
        <v>4.9180327868852472E-2</v>
      </c>
      <c r="Z165">
        <f t="shared" ca="1" si="83"/>
        <v>169.99999999999997</v>
      </c>
      <c r="AA165">
        <f t="shared" ca="1" si="84"/>
        <v>634.31799999999998</v>
      </c>
      <c r="AB165">
        <f t="shared" ca="1" si="85"/>
        <v>2107.3047482161055</v>
      </c>
      <c r="AC165">
        <f t="shared" ca="1" si="86"/>
        <v>360.87638854062874</v>
      </c>
      <c r="AD165">
        <f t="shared" ca="1" si="87"/>
        <v>242.73333089760089</v>
      </c>
      <c r="AE165">
        <f t="shared" ca="1" si="88"/>
        <v>883.7995489296635</v>
      </c>
      <c r="AF165">
        <f t="shared" ca="1" si="89"/>
        <v>361.00695734796773</v>
      </c>
      <c r="AG165">
        <f t="shared" ca="1" si="90"/>
        <v>0</v>
      </c>
      <c r="AH165">
        <f ca="1">IF(V32="Supercritical",L165,IF(V32="Subcritical",W165,IF(AND(V165=1,AG165=1),IF(T165&gt;=AE165,L165,W165),IF(V165=1,L165,IF(AG165=1,W165,MAX($D$16,POWER((ABS(K165)^2)/($I$5*MAX(F165,0.1)^2),1/3)))))))</f>
        <v>1.9456122022228524</v>
      </c>
      <c r="AI165">
        <f t="shared" ca="1" si="91"/>
        <v>636.21361220222286</v>
      </c>
      <c r="AJ165">
        <f t="shared" ca="1" si="92"/>
        <v>637.18641830333434</v>
      </c>
      <c r="AM165">
        <v>0</v>
      </c>
      <c r="AN165">
        <v>0</v>
      </c>
      <c r="AO165">
        <f t="shared" si="93"/>
        <v>0</v>
      </c>
      <c r="AP165">
        <f t="shared" si="102"/>
        <v>0</v>
      </c>
      <c r="AQ165">
        <f t="shared" ca="1" si="94"/>
        <v>1</v>
      </c>
      <c r="AR165" t="str">
        <f t="shared" ca="1" si="95"/>
        <v>Supercritical</v>
      </c>
      <c r="AS165">
        <f t="shared" ca="1" si="96"/>
        <v>3.4432178763879138E-3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191</v>
      </c>
      <c r="I166">
        <v>5.3999999999999999E-2</v>
      </c>
      <c r="J166">
        <f t="shared" si="97"/>
        <v>1</v>
      </c>
      <c r="K166">
        <f t="shared" si="98"/>
        <v>51</v>
      </c>
      <c r="L166">
        <f t="shared" ca="1" si="99"/>
        <v>0.05</v>
      </c>
      <c r="M166">
        <f t="shared" ca="1" si="72"/>
        <v>0.30000000000000004</v>
      </c>
      <c r="N166">
        <f t="shared" ca="1" si="73"/>
        <v>4.9180327868852472E-2</v>
      </c>
      <c r="O166">
        <f t="shared" ca="1" si="74"/>
        <v>169.99999999999997</v>
      </c>
      <c r="P166">
        <f t="shared" ca="1" si="75"/>
        <v>634.31599999999992</v>
      </c>
      <c r="Q166">
        <f t="shared" ca="1" si="76"/>
        <v>2107.3027482161051</v>
      </c>
      <c r="R166">
        <f t="shared" ca="1" si="77"/>
        <v>360.87638854062874</v>
      </c>
      <c r="S166">
        <f t="shared" ca="1" si="78"/>
        <v>242.73333089760089</v>
      </c>
      <c r="T166">
        <f t="shared" ca="1" si="79"/>
        <v>883.7995489296635</v>
      </c>
      <c r="U166">
        <f t="shared" ca="1" si="100"/>
        <v>-361.00695734796773</v>
      </c>
      <c r="V166">
        <f t="shared" ca="1" si="101"/>
        <v>0</v>
      </c>
      <c r="W166">
        <f t="shared" ca="1" si="80"/>
        <v>0.05</v>
      </c>
      <c r="X166">
        <f t="shared" ca="1" si="81"/>
        <v>0.30000000000000004</v>
      </c>
      <c r="Y166">
        <f t="shared" ca="1" si="82"/>
        <v>4.9180327868852472E-2</v>
      </c>
      <c r="Z166">
        <f t="shared" ca="1" si="83"/>
        <v>169.99999999999997</v>
      </c>
      <c r="AA166">
        <f t="shared" ca="1" si="84"/>
        <v>634.31599999999992</v>
      </c>
      <c r="AB166">
        <f t="shared" ca="1" si="85"/>
        <v>2107.3027482161051</v>
      </c>
      <c r="AC166">
        <f t="shared" ca="1" si="86"/>
        <v>360.87638854062874</v>
      </c>
      <c r="AD166">
        <f t="shared" ca="1" si="87"/>
        <v>242.73333089760089</v>
      </c>
      <c r="AE166">
        <f t="shared" ca="1" si="88"/>
        <v>883.7995489296635</v>
      </c>
      <c r="AF166">
        <f t="shared" ca="1" si="89"/>
        <v>360.87438854062884</v>
      </c>
      <c r="AG166">
        <f t="shared" ca="1" si="90"/>
        <v>0</v>
      </c>
      <c r="AH166">
        <f ca="1">IF(V32="Supercritical",L166,IF(V32="Subcritical",W166,IF(AND(V166=1,AG166=1),IF(T166&gt;=AE166,L166,W166),IF(V166=1,L166,IF(AG166=1,W166,MAX($D$16,POWER((ABS(K166)^2)/($I$5*MAX(F166,0.1)^2),1/3)))))))</f>
        <v>1.9456122022228524</v>
      </c>
      <c r="AI166">
        <f t="shared" ca="1" si="91"/>
        <v>636.2116122022228</v>
      </c>
      <c r="AJ166">
        <f t="shared" ca="1" si="92"/>
        <v>637.18441830333427</v>
      </c>
      <c r="AM166">
        <v>0</v>
      </c>
      <c r="AN166">
        <v>0</v>
      </c>
      <c r="AO166">
        <f t="shared" si="93"/>
        <v>0</v>
      </c>
      <c r="AP166">
        <f t="shared" si="102"/>
        <v>0</v>
      </c>
      <c r="AQ166">
        <f t="shared" ca="1" si="94"/>
        <v>1</v>
      </c>
      <c r="AR166" t="str">
        <f t="shared" ca="1" si="95"/>
        <v>Supercritical</v>
      </c>
      <c r="AS166">
        <f t="shared" ca="1" si="96"/>
        <v>3.4432178763879138E-3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191</v>
      </c>
      <c r="I167">
        <v>0</v>
      </c>
      <c r="J167">
        <f t="shared" si="97"/>
        <v>1</v>
      </c>
      <c r="K167">
        <f t="shared" si="98"/>
        <v>51</v>
      </c>
      <c r="L167">
        <f t="shared" ca="1" si="99"/>
        <v>0.05</v>
      </c>
      <c r="M167">
        <f t="shared" ca="1" si="72"/>
        <v>0.30000000000000004</v>
      </c>
      <c r="N167">
        <f t="shared" ca="1" si="73"/>
        <v>4.9180327868852472E-2</v>
      </c>
      <c r="O167">
        <f t="shared" ca="1" si="74"/>
        <v>169.99999999999997</v>
      </c>
      <c r="P167">
        <f t="shared" ca="1" si="75"/>
        <v>634.31399999999996</v>
      </c>
      <c r="Q167">
        <f t="shared" ca="1" si="76"/>
        <v>2107.3007482161051</v>
      </c>
      <c r="R167">
        <f t="shared" ca="1" si="77"/>
        <v>360.87638854062874</v>
      </c>
      <c r="S167">
        <f t="shared" ca="1" si="78"/>
        <v>242.73333089760089</v>
      </c>
      <c r="T167">
        <f t="shared" ca="1" si="79"/>
        <v>883.7995489296635</v>
      </c>
      <c r="U167">
        <f t="shared" ca="1" si="100"/>
        <v>-360.87438854062884</v>
      </c>
      <c r="V167">
        <f t="shared" ca="1" si="101"/>
        <v>0</v>
      </c>
      <c r="W167">
        <f t="shared" ca="1" si="80"/>
        <v>0.05</v>
      </c>
      <c r="X167">
        <f t="shared" ca="1" si="81"/>
        <v>0.30000000000000004</v>
      </c>
      <c r="Y167">
        <f t="shared" ca="1" si="82"/>
        <v>4.9180327868852472E-2</v>
      </c>
      <c r="Z167">
        <f t="shared" ca="1" si="83"/>
        <v>169.99999999999997</v>
      </c>
      <c r="AA167">
        <f t="shared" ca="1" si="84"/>
        <v>634.31399999999996</v>
      </c>
      <c r="AB167">
        <f t="shared" ca="1" si="85"/>
        <v>2107.3007482161051</v>
      </c>
      <c r="AC167">
        <f t="shared" ca="1" si="86"/>
        <v>360.87638854062874</v>
      </c>
      <c r="AD167">
        <f t="shared" ca="1" si="87"/>
        <v>242.73333089760089</v>
      </c>
      <c r="AE167">
        <f t="shared" ca="1" si="88"/>
        <v>883.7995489296635</v>
      </c>
      <c r="AF167">
        <f t="shared" ca="1" si="89"/>
        <v>388.65246363407095</v>
      </c>
      <c r="AG167">
        <f t="shared" ca="1" si="90"/>
        <v>0</v>
      </c>
      <c r="AH167">
        <f ca="1">IF(V32="Supercritical",L167,IF(V32="Subcritical",W167,IF(AND(V167=1,AG167=1),IF(T167&gt;=AE167,L167,W167),IF(V167=1,L167,IF(AG167=1,W167,MAX($D$16,POWER((ABS(K167)^2)/($I$5*MAX(F167,0.1)^2),1/3)))))))</f>
        <v>1.9456122022228524</v>
      </c>
      <c r="AI167">
        <f t="shared" ca="1" si="91"/>
        <v>636.20961220222284</v>
      </c>
      <c r="AJ167">
        <f t="shared" ca="1" si="92"/>
        <v>637.18241830333432</v>
      </c>
      <c r="AM167">
        <v>0</v>
      </c>
      <c r="AN167">
        <v>0</v>
      </c>
      <c r="AO167">
        <f t="shared" si="93"/>
        <v>0</v>
      </c>
      <c r="AP167">
        <f t="shared" si="102"/>
        <v>0</v>
      </c>
      <c r="AQ167">
        <f t="shared" ca="1" si="94"/>
        <v>1</v>
      </c>
      <c r="AR167" t="str">
        <f t="shared" ca="1" si="95"/>
        <v>Supercritical</v>
      </c>
      <c r="AS167">
        <f t="shared" ca="1" si="96"/>
        <v>3.4432178763879138E-3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191</v>
      </c>
      <c r="I168">
        <v>11.315</v>
      </c>
      <c r="J168">
        <f t="shared" si="97"/>
        <v>1</v>
      </c>
      <c r="K168">
        <f t="shared" si="98"/>
        <v>51</v>
      </c>
      <c r="L168">
        <f t="shared" ca="1" si="99"/>
        <v>0.05</v>
      </c>
      <c r="M168">
        <f t="shared" ca="1" si="72"/>
        <v>0.30000000000000004</v>
      </c>
      <c r="N168">
        <f t="shared" ca="1" si="73"/>
        <v>4.9180327868852472E-2</v>
      </c>
      <c r="O168">
        <f t="shared" ca="1" si="74"/>
        <v>169.99999999999997</v>
      </c>
      <c r="P168">
        <f t="shared" ca="1" si="75"/>
        <v>634.3119999999999</v>
      </c>
      <c r="Q168">
        <f t="shared" ca="1" si="76"/>
        <v>2107.2987482161052</v>
      </c>
      <c r="R168">
        <f t="shared" ca="1" si="77"/>
        <v>360.87638854062874</v>
      </c>
      <c r="S168">
        <f t="shared" ca="1" si="78"/>
        <v>242.73333089760089</v>
      </c>
      <c r="T168">
        <f t="shared" ca="1" si="79"/>
        <v>883.7995489296635</v>
      </c>
      <c r="U168">
        <f t="shared" ca="1" si="100"/>
        <v>-388.65246363407095</v>
      </c>
      <c r="V168">
        <f t="shared" ca="1" si="101"/>
        <v>0</v>
      </c>
      <c r="W168">
        <f t="shared" ca="1" si="80"/>
        <v>0.05</v>
      </c>
      <c r="X168">
        <f t="shared" ca="1" si="81"/>
        <v>0.30000000000000004</v>
      </c>
      <c r="Y168">
        <f t="shared" ca="1" si="82"/>
        <v>4.9180327868852472E-2</v>
      </c>
      <c r="Z168">
        <f t="shared" ca="1" si="83"/>
        <v>169.99999999999997</v>
      </c>
      <c r="AA168">
        <f t="shared" ca="1" si="84"/>
        <v>634.3119999999999</v>
      </c>
      <c r="AB168">
        <f t="shared" ca="1" si="85"/>
        <v>2107.2987482161052</v>
      </c>
      <c r="AC168">
        <f t="shared" ca="1" si="86"/>
        <v>360.87638854062874</v>
      </c>
      <c r="AD168">
        <f t="shared" ca="1" si="87"/>
        <v>242.73333089760089</v>
      </c>
      <c r="AE168">
        <f t="shared" ca="1" si="88"/>
        <v>883.7995489296635</v>
      </c>
      <c r="AF168">
        <f t="shared" ca="1" si="89"/>
        <v>278.58728441330004</v>
      </c>
      <c r="AG168">
        <f t="shared" ca="1" si="90"/>
        <v>0</v>
      </c>
      <c r="AH168">
        <f ca="1">IF(V32="Supercritical",L168,IF(V32="Subcritical",W168,IF(AND(V168=1,AG168=1),IF(T168&gt;=AE168,L168,W168),IF(V168=1,L168,IF(AG168=1,W168,MAX($D$16,POWER((ABS(K168)^2)/($I$5*MAX(F168,0.1)^2),1/3)))))))</f>
        <v>1.9456122022228524</v>
      </c>
      <c r="AI168">
        <f t="shared" ca="1" si="91"/>
        <v>636.20761220222278</v>
      </c>
      <c r="AJ168">
        <f t="shared" ca="1" si="92"/>
        <v>637.18041830333425</v>
      </c>
      <c r="AM168">
        <v>0</v>
      </c>
      <c r="AN168">
        <v>0</v>
      </c>
      <c r="AO168">
        <f t="shared" si="93"/>
        <v>0</v>
      </c>
      <c r="AP168">
        <f t="shared" si="102"/>
        <v>0</v>
      </c>
      <c r="AQ168">
        <f t="shared" ca="1" si="94"/>
        <v>1</v>
      </c>
      <c r="AR168" t="str">
        <f t="shared" ca="1" si="95"/>
        <v>Supercritical</v>
      </c>
      <c r="AS168">
        <f t="shared" ca="1" si="96"/>
        <v>3.4432178763879138E-3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191</v>
      </c>
      <c r="I169">
        <v>6.7839999999999998</v>
      </c>
      <c r="J169">
        <f t="shared" si="97"/>
        <v>0.98900000000000077</v>
      </c>
      <c r="K169">
        <f t="shared" si="98"/>
        <v>51</v>
      </c>
      <c r="L169">
        <f t="shared" ca="1" si="99"/>
        <v>0.05</v>
      </c>
      <c r="M169">
        <f t="shared" ca="1" si="72"/>
        <v>0.3125</v>
      </c>
      <c r="N169">
        <f t="shared" ca="1" si="73"/>
        <v>4.9212598425196853E-2</v>
      </c>
      <c r="O169">
        <f t="shared" ca="1" si="74"/>
        <v>163.19999999999999</v>
      </c>
      <c r="P169">
        <f t="shared" ca="1" si="75"/>
        <v>634.30999999999995</v>
      </c>
      <c r="Q169">
        <f t="shared" ca="1" si="76"/>
        <v>1991.8145871559632</v>
      </c>
      <c r="R169">
        <f t="shared" ca="1" si="77"/>
        <v>332.2929279182236</v>
      </c>
      <c r="S169">
        <f t="shared" ca="1" si="78"/>
        <v>233.02399766169688</v>
      </c>
      <c r="T169">
        <f t="shared" ca="1" si="79"/>
        <v>848.44817947247702</v>
      </c>
      <c r="U169">
        <f t="shared" ca="1" si="100"/>
        <v>-278.58728441330004</v>
      </c>
      <c r="V169">
        <f t="shared" ca="1" si="101"/>
        <v>0</v>
      </c>
      <c r="W169">
        <f t="shared" ca="1" si="80"/>
        <v>0.05</v>
      </c>
      <c r="X169">
        <f t="shared" ca="1" si="81"/>
        <v>0.3125</v>
      </c>
      <c r="Y169">
        <f t="shared" ca="1" si="82"/>
        <v>4.9212598425196853E-2</v>
      </c>
      <c r="Z169">
        <f t="shared" ca="1" si="83"/>
        <v>163.19999999999999</v>
      </c>
      <c r="AA169">
        <f t="shared" ca="1" si="84"/>
        <v>634.30999999999995</v>
      </c>
      <c r="AB169">
        <f t="shared" ca="1" si="85"/>
        <v>1991.8145871559632</v>
      </c>
      <c r="AC169">
        <f t="shared" ca="1" si="86"/>
        <v>332.2929279182236</v>
      </c>
      <c r="AD169">
        <f t="shared" ca="1" si="87"/>
        <v>233.02399766169688</v>
      </c>
      <c r="AE169">
        <f t="shared" ca="1" si="88"/>
        <v>848.44817947247702</v>
      </c>
      <c r="AF169">
        <f t="shared" ca="1" si="89"/>
        <v>375.33898055458667</v>
      </c>
      <c r="AG169">
        <f t="shared" ca="1" si="90"/>
        <v>0</v>
      </c>
      <c r="AH169">
        <f ca="1">IF(V32="Supercritical",L169,IF(V32="Subcritical",W169,IF(AND(V169=1,AG169=1),IF(T169&gt;=AE169,L169,W169),IF(V169=1,L169,IF(AG169=1,W169,MAX($D$16,POWER((ABS(K169)^2)/($I$5*MAX(F169,0.1)^2),1/3)))))))</f>
        <v>1.8933770270354866</v>
      </c>
      <c r="AI169">
        <f t="shared" ca="1" si="91"/>
        <v>636.1533770270355</v>
      </c>
      <c r="AJ169">
        <f t="shared" ca="1" si="92"/>
        <v>637.10006554055326</v>
      </c>
      <c r="AM169">
        <v>0</v>
      </c>
      <c r="AN169">
        <v>0</v>
      </c>
      <c r="AO169">
        <f t="shared" si="93"/>
        <v>0</v>
      </c>
      <c r="AP169">
        <f t="shared" si="102"/>
        <v>0</v>
      </c>
      <c r="AQ169">
        <f t="shared" ca="1" si="94"/>
        <v>1</v>
      </c>
      <c r="AR169" t="str">
        <f t="shared" ca="1" si="95"/>
        <v>Supercritical</v>
      </c>
      <c r="AS169">
        <f t="shared" ca="1" si="96"/>
        <v>3.3552393822969852E-3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191</v>
      </c>
      <c r="I170">
        <v>1.2E-2</v>
      </c>
      <c r="J170">
        <f t="shared" si="97"/>
        <v>0.99899999999999878</v>
      </c>
      <c r="K170">
        <f t="shared" si="98"/>
        <v>51</v>
      </c>
      <c r="L170">
        <f t="shared" ca="1" si="99"/>
        <v>0.05</v>
      </c>
      <c r="M170">
        <f t="shared" ca="1" si="72"/>
        <v>0.3085</v>
      </c>
      <c r="N170">
        <f t="shared" ca="1" si="73"/>
        <v>4.9202551834130782E-2</v>
      </c>
      <c r="O170">
        <f t="shared" ca="1" si="74"/>
        <v>165.31604538087521</v>
      </c>
      <c r="P170">
        <f t="shared" ca="1" si="75"/>
        <v>634.30799999999999</v>
      </c>
      <c r="Q170">
        <f t="shared" ca="1" si="76"/>
        <v>2027.2435178578792</v>
      </c>
      <c r="R170">
        <f t="shared" ca="1" si="77"/>
        <v>341.05861977371245</v>
      </c>
      <c r="S170">
        <f t="shared" ca="1" si="78"/>
        <v>236.04537850658116</v>
      </c>
      <c r="T170">
        <f t="shared" ca="1" si="79"/>
        <v>859.44892701831134</v>
      </c>
      <c r="U170">
        <f t="shared" ca="1" si="100"/>
        <v>-375.33898055458644</v>
      </c>
      <c r="V170">
        <f t="shared" ca="1" si="101"/>
        <v>0</v>
      </c>
      <c r="W170">
        <f t="shared" ca="1" si="80"/>
        <v>0.05</v>
      </c>
      <c r="X170">
        <f t="shared" ca="1" si="81"/>
        <v>0.3085</v>
      </c>
      <c r="Y170">
        <f t="shared" ca="1" si="82"/>
        <v>4.9202551834130782E-2</v>
      </c>
      <c r="Z170">
        <f t="shared" ca="1" si="83"/>
        <v>165.31604538087521</v>
      </c>
      <c r="AA170">
        <f t="shared" ca="1" si="84"/>
        <v>634.30799999999999</v>
      </c>
      <c r="AB170">
        <f t="shared" ca="1" si="85"/>
        <v>2027.2435178578792</v>
      </c>
      <c r="AC170">
        <f t="shared" ca="1" si="86"/>
        <v>341.05861977371245</v>
      </c>
      <c r="AD170">
        <f t="shared" ca="1" si="87"/>
        <v>236.04537850658116</v>
      </c>
      <c r="AE170">
        <f t="shared" ca="1" si="88"/>
        <v>859.44892701831134</v>
      </c>
      <c r="AF170">
        <f t="shared" ca="1" si="89"/>
        <v>379.68571619981662</v>
      </c>
      <c r="AG170">
        <f t="shared" ca="1" si="90"/>
        <v>0</v>
      </c>
      <c r="AH170">
        <f ca="1">IF(V32="Supercritical",L170,IF(V32="Subcritical",W170,IF(AND(V170=1,AG170=1),IF(T170&gt;=AE170,L170,W170),IF(V170=1,L170,IF(AG170=1,W170,MAX($D$16,POWER((ABS(K170)^2)/($I$5*MAX(F170,0.1)^2),1/3)))))))</f>
        <v>1.9097081678419834</v>
      </c>
      <c r="AI170">
        <f t="shared" ca="1" si="91"/>
        <v>636.16770816784197</v>
      </c>
      <c r="AJ170">
        <f t="shared" ca="1" si="92"/>
        <v>637.12256225176293</v>
      </c>
      <c r="AM170">
        <v>0</v>
      </c>
      <c r="AN170">
        <v>0</v>
      </c>
      <c r="AO170">
        <f t="shared" si="93"/>
        <v>0</v>
      </c>
      <c r="AP170">
        <f t="shared" si="102"/>
        <v>0</v>
      </c>
      <c r="AQ170">
        <f t="shared" ca="1" si="94"/>
        <v>1.0000000000000002</v>
      </c>
      <c r="AR170" t="str">
        <f t="shared" ca="1" si="95"/>
        <v>Supercritical</v>
      </c>
      <c r="AS170">
        <f t="shared" ca="1" si="96"/>
        <v>3.3822246996643452E-3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191</v>
      </c>
      <c r="I171">
        <v>3.4000000000000002E-2</v>
      </c>
      <c r="J171">
        <f t="shared" si="97"/>
        <v>1.0010000000000012</v>
      </c>
      <c r="K171">
        <f t="shared" si="98"/>
        <v>51</v>
      </c>
      <c r="L171">
        <f t="shared" ca="1" si="99"/>
        <v>0.05</v>
      </c>
      <c r="M171">
        <f t="shared" ca="1" si="72"/>
        <v>0.30510000000000004</v>
      </c>
      <c r="N171">
        <f t="shared" ca="1" si="73"/>
        <v>4.9193808448887461E-2</v>
      </c>
      <c r="O171">
        <f t="shared" ca="1" si="74"/>
        <v>167.15830875122907</v>
      </c>
      <c r="P171">
        <f t="shared" ca="1" si="75"/>
        <v>634.30599999999993</v>
      </c>
      <c r="Q171">
        <f t="shared" ca="1" si="76"/>
        <v>2058.4599339740685</v>
      </c>
      <c r="R171">
        <f t="shared" ca="1" si="77"/>
        <v>348.78504938862415</v>
      </c>
      <c r="S171">
        <f t="shared" ca="1" si="78"/>
        <v>238.67584159056136</v>
      </c>
      <c r="T171">
        <f t="shared" ca="1" si="79"/>
        <v>869.02635801097676</v>
      </c>
      <c r="U171">
        <f t="shared" ca="1" si="100"/>
        <v>-379.68571619981662</v>
      </c>
      <c r="V171">
        <f t="shared" ca="1" si="101"/>
        <v>0</v>
      </c>
      <c r="W171">
        <f t="shared" ca="1" si="80"/>
        <v>0.05</v>
      </c>
      <c r="X171">
        <f t="shared" ca="1" si="81"/>
        <v>0.30510000000000004</v>
      </c>
      <c r="Y171">
        <f t="shared" ca="1" si="82"/>
        <v>4.9193808448887461E-2</v>
      </c>
      <c r="Z171">
        <f t="shared" ca="1" si="83"/>
        <v>167.15830875122907</v>
      </c>
      <c r="AA171">
        <f t="shared" ca="1" si="84"/>
        <v>634.30599999999993</v>
      </c>
      <c r="AB171">
        <f t="shared" ca="1" si="85"/>
        <v>2058.4599339740685</v>
      </c>
      <c r="AC171">
        <f t="shared" ca="1" si="86"/>
        <v>348.78504938862415</v>
      </c>
      <c r="AD171">
        <f t="shared" ca="1" si="87"/>
        <v>238.67584159056136</v>
      </c>
      <c r="AE171">
        <f t="shared" ca="1" si="88"/>
        <v>869.02635801097676</v>
      </c>
      <c r="AF171">
        <f t="shared" ca="1" si="89"/>
        <v>377.81108608774093</v>
      </c>
      <c r="AG171">
        <f t="shared" ca="1" si="90"/>
        <v>0</v>
      </c>
      <c r="AH171">
        <f ca="1">IF(V32="Supercritical",L171,IF(V32="Subcritical",W171,IF(AND(V171=1,AG171=1),IF(T171&gt;=AE171,L171,W171),IF(V171=1,L171,IF(AG171=1,W171,MAX($D$16,POWER((ABS(K171)^2)/($I$5*MAX(F171,0.1)^2),1/3)))))))</f>
        <v>1.9238696614649338</v>
      </c>
      <c r="AI171">
        <f t="shared" ca="1" si="91"/>
        <v>636.17986966146486</v>
      </c>
      <c r="AJ171">
        <f t="shared" ca="1" si="92"/>
        <v>637.14180449219737</v>
      </c>
      <c r="AM171">
        <v>0</v>
      </c>
      <c r="AN171">
        <v>0</v>
      </c>
      <c r="AO171">
        <f t="shared" si="93"/>
        <v>0</v>
      </c>
      <c r="AP171">
        <f t="shared" si="102"/>
        <v>0</v>
      </c>
      <c r="AQ171">
        <f t="shared" ca="1" si="94"/>
        <v>1</v>
      </c>
      <c r="AR171" t="str">
        <f t="shared" ca="1" si="95"/>
        <v>Supercritical</v>
      </c>
      <c r="AS171">
        <f t="shared" ca="1" si="96"/>
        <v>3.4060078344663272E-3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191</v>
      </c>
      <c r="I172">
        <v>4.5999999999999999E-2</v>
      </c>
      <c r="J172">
        <f t="shared" si="97"/>
        <v>1</v>
      </c>
      <c r="K172">
        <f t="shared" si="98"/>
        <v>51</v>
      </c>
      <c r="L172">
        <f t="shared" ca="1" si="99"/>
        <v>0.05</v>
      </c>
      <c r="M172">
        <f t="shared" ca="1" si="72"/>
        <v>0.30259999999999998</v>
      </c>
      <c r="N172">
        <f t="shared" ca="1" si="73"/>
        <v>4.9187256176853059E-2</v>
      </c>
      <c r="O172">
        <f t="shared" ca="1" si="74"/>
        <v>168.53932584269663</v>
      </c>
      <c r="P172">
        <f t="shared" ca="1" si="75"/>
        <v>634.30399999999997</v>
      </c>
      <c r="Q172">
        <f t="shared" ca="1" si="76"/>
        <v>2082.0870966111452</v>
      </c>
      <c r="R172">
        <f t="shared" ca="1" si="77"/>
        <v>354.63497157714261</v>
      </c>
      <c r="S172">
        <f t="shared" ca="1" si="78"/>
        <v>240.64771734725804</v>
      </c>
      <c r="T172">
        <f t="shared" ca="1" si="79"/>
        <v>876.20589506906504</v>
      </c>
      <c r="U172">
        <f t="shared" ca="1" si="100"/>
        <v>-377.81108608774116</v>
      </c>
      <c r="V172">
        <f t="shared" ca="1" si="101"/>
        <v>0</v>
      </c>
      <c r="W172">
        <f t="shared" ca="1" si="80"/>
        <v>0.05</v>
      </c>
      <c r="X172">
        <f t="shared" ca="1" si="81"/>
        <v>0.30259999999999998</v>
      </c>
      <c r="Y172">
        <f t="shared" ca="1" si="82"/>
        <v>4.9187256176853059E-2</v>
      </c>
      <c r="Z172">
        <f t="shared" ca="1" si="83"/>
        <v>168.53932584269663</v>
      </c>
      <c r="AA172">
        <f t="shared" ca="1" si="84"/>
        <v>634.30399999999997</v>
      </c>
      <c r="AB172">
        <f t="shared" ca="1" si="85"/>
        <v>2082.0870966111452</v>
      </c>
      <c r="AC172">
        <f t="shared" ca="1" si="86"/>
        <v>354.63497157714261</v>
      </c>
      <c r="AD172">
        <f t="shared" ca="1" si="87"/>
        <v>240.64771734725804</v>
      </c>
      <c r="AE172">
        <f t="shared" ca="1" si="88"/>
        <v>876.20589506906504</v>
      </c>
      <c r="AF172">
        <f t="shared" ca="1" si="89"/>
        <v>373.19233377892397</v>
      </c>
      <c r="AG172">
        <f t="shared" ca="1" si="90"/>
        <v>0</v>
      </c>
      <c r="AH172">
        <f ca="1">IF(V32="Supercritical",L172,IF(V32="Subcritical",W172,IF(AND(V172=1,AG172=1),IF(T172&gt;=AE172,L172,W172),IF(V172=1,L172,IF(AG172=1,W172,MAX($D$16,POWER((ABS(K172)^2)/($I$5*MAX(F172,0.1)^2),1/3)))))))</f>
        <v>1.9344514540375082</v>
      </c>
      <c r="AI172">
        <f t="shared" ca="1" si="91"/>
        <v>636.18845145403748</v>
      </c>
      <c r="AJ172">
        <f t="shared" ca="1" si="92"/>
        <v>637.15567718105626</v>
      </c>
      <c r="AM172">
        <v>0</v>
      </c>
      <c r="AN172">
        <v>0</v>
      </c>
      <c r="AO172">
        <f t="shared" si="93"/>
        <v>0</v>
      </c>
      <c r="AP172">
        <f t="shared" si="102"/>
        <v>0</v>
      </c>
      <c r="AQ172">
        <f t="shared" ca="1" si="94"/>
        <v>1.0000000000000002</v>
      </c>
      <c r="AR172" t="str">
        <f t="shared" ca="1" si="95"/>
        <v>Supercritical</v>
      </c>
      <c r="AS172">
        <f t="shared" ca="1" si="96"/>
        <v>3.4240120711110417E-3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191</v>
      </c>
      <c r="I173">
        <v>1.2E-2</v>
      </c>
      <c r="J173">
        <f t="shared" si="97"/>
        <v>0.99899999999999878</v>
      </c>
      <c r="K173">
        <f t="shared" si="98"/>
        <v>51</v>
      </c>
      <c r="L173">
        <f t="shared" ca="1" si="99"/>
        <v>0.05</v>
      </c>
      <c r="M173">
        <f t="shared" ca="1" si="72"/>
        <v>0.30099999999999999</v>
      </c>
      <c r="N173">
        <f t="shared" ca="1" si="73"/>
        <v>4.9183006535947718E-2</v>
      </c>
      <c r="O173">
        <f t="shared" ca="1" si="74"/>
        <v>169.43521594684387</v>
      </c>
      <c r="P173">
        <f t="shared" ca="1" si="75"/>
        <v>634.30199999999991</v>
      </c>
      <c r="Q173">
        <f t="shared" ca="1" si="76"/>
        <v>2097.5177188049752</v>
      </c>
      <c r="R173">
        <f t="shared" ca="1" si="77"/>
        <v>358.45648998709214</v>
      </c>
      <c r="S173">
        <f t="shared" ca="1" si="78"/>
        <v>241.92690787136308</v>
      </c>
      <c r="T173">
        <f t="shared" ca="1" si="79"/>
        <v>880.86338772059491</v>
      </c>
      <c r="U173">
        <f t="shared" ca="1" si="100"/>
        <v>-373.19233377892397</v>
      </c>
      <c r="V173">
        <f t="shared" ca="1" si="101"/>
        <v>0</v>
      </c>
      <c r="W173">
        <f t="shared" ca="1" si="80"/>
        <v>0.05</v>
      </c>
      <c r="X173">
        <f t="shared" ca="1" si="81"/>
        <v>0.30099999999999999</v>
      </c>
      <c r="Y173">
        <f t="shared" ca="1" si="82"/>
        <v>4.9183006535947718E-2</v>
      </c>
      <c r="Z173">
        <f t="shared" ca="1" si="83"/>
        <v>169.43521594684387</v>
      </c>
      <c r="AA173">
        <f t="shared" ca="1" si="84"/>
        <v>634.30199999999991</v>
      </c>
      <c r="AB173">
        <f t="shared" ca="1" si="85"/>
        <v>2097.5177188049752</v>
      </c>
      <c r="AC173">
        <f t="shared" ca="1" si="86"/>
        <v>358.45648998709214</v>
      </c>
      <c r="AD173">
        <f t="shared" ca="1" si="87"/>
        <v>241.92690787136308</v>
      </c>
      <c r="AE173">
        <f t="shared" ca="1" si="88"/>
        <v>880.86338772059491</v>
      </c>
      <c r="AF173">
        <f t="shared" ca="1" si="89"/>
        <v>369.60036082487113</v>
      </c>
      <c r="AG173">
        <f t="shared" ca="1" si="90"/>
        <v>0</v>
      </c>
      <c r="AH173">
        <f ca="1">IF(V32="Supercritical",L173,IF(V32="Subcritical",W173,IF(AND(V173=1,AG173=1),IF(T173&gt;=AE173,L173,W173),IF(V173=1,L173,IF(AG173=1,W173,MAX($D$16,POWER((ABS(K173)^2)/($I$5*MAX(F173,0.1)^2),1/3)))))))</f>
        <v>1.941300594026464</v>
      </c>
      <c r="AI173">
        <f t="shared" ca="1" si="91"/>
        <v>636.19330059402637</v>
      </c>
      <c r="AJ173">
        <f t="shared" ca="1" si="92"/>
        <v>637.16395089103958</v>
      </c>
      <c r="AM173">
        <v>0</v>
      </c>
      <c r="AN173">
        <v>0</v>
      </c>
      <c r="AO173">
        <f t="shared" si="93"/>
        <v>0</v>
      </c>
      <c r="AP173">
        <f t="shared" si="102"/>
        <v>0</v>
      </c>
      <c r="AQ173">
        <f t="shared" ca="1" si="94"/>
        <v>1</v>
      </c>
      <c r="AR173" t="str">
        <f t="shared" ca="1" si="95"/>
        <v>Supercritical</v>
      </c>
      <c r="AS173">
        <f t="shared" ca="1" si="96"/>
        <v>3.4357719242790099E-3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191</v>
      </c>
      <c r="I174">
        <v>1.2E-2</v>
      </c>
      <c r="J174">
        <f t="shared" si="97"/>
        <v>1.0010000000000012</v>
      </c>
      <c r="K174">
        <f t="shared" si="98"/>
        <v>51</v>
      </c>
      <c r="L174">
        <f t="shared" ca="1" si="99"/>
        <v>0.05</v>
      </c>
      <c r="M174">
        <f t="shared" ca="1" si="72"/>
        <v>0.30010000000000003</v>
      </c>
      <c r="N174">
        <f t="shared" ca="1" si="73"/>
        <v>4.918059652572928E-2</v>
      </c>
      <c r="O174">
        <f t="shared" ca="1" si="74"/>
        <v>169.943352215928</v>
      </c>
      <c r="P174">
        <f t="shared" ca="1" si="75"/>
        <v>634.29999999999995</v>
      </c>
      <c r="Q174">
        <f t="shared" ca="1" si="76"/>
        <v>2106.3052478280815</v>
      </c>
      <c r="R174">
        <f t="shared" ca="1" si="77"/>
        <v>360.6332978141017</v>
      </c>
      <c r="S174">
        <f t="shared" ca="1" si="78"/>
        <v>242.6524467486847</v>
      </c>
      <c r="T174">
        <f t="shared" ca="1" si="79"/>
        <v>883.50505224641472</v>
      </c>
      <c r="U174">
        <f t="shared" ca="1" si="100"/>
        <v>-369.60036082487159</v>
      </c>
      <c r="V174">
        <f t="shared" ca="1" si="101"/>
        <v>0</v>
      </c>
      <c r="W174">
        <f t="shared" ca="1" si="80"/>
        <v>0.05</v>
      </c>
      <c r="X174">
        <f t="shared" ca="1" si="81"/>
        <v>0.30010000000000003</v>
      </c>
      <c r="Y174">
        <f t="shared" ca="1" si="82"/>
        <v>4.918059652572928E-2</v>
      </c>
      <c r="Z174">
        <f t="shared" ca="1" si="83"/>
        <v>169.943352215928</v>
      </c>
      <c r="AA174">
        <f t="shared" ca="1" si="84"/>
        <v>634.29999999999995</v>
      </c>
      <c r="AB174">
        <f t="shared" ca="1" si="85"/>
        <v>2106.3052478280815</v>
      </c>
      <c r="AC174">
        <f t="shared" ca="1" si="86"/>
        <v>360.6332978141017</v>
      </c>
      <c r="AD174">
        <f t="shared" ca="1" si="87"/>
        <v>242.6524467486847</v>
      </c>
      <c r="AE174">
        <f t="shared" ca="1" si="88"/>
        <v>883.50505224641472</v>
      </c>
      <c r="AF174">
        <f t="shared" ca="1" si="89"/>
        <v>360.7441515497685</v>
      </c>
      <c r="AG174">
        <f t="shared" ca="1" si="90"/>
        <v>0</v>
      </c>
      <c r="AH174">
        <f ca="1">IF(V32="Supercritical",L174,IF(V32="Subcritical",W174,IF(AND(V174=1,AG174=1),IF(T174&gt;=AE174,L174,W174),IF(V174=1,L174,IF(AG174=1,W174,MAX($D$16,POWER((ABS(K174)^2)/($I$5*MAX(F174,0.1)^2),1/3)))))))</f>
        <v>1.9451799640196363</v>
      </c>
      <c r="AI174">
        <f t="shared" ca="1" si="91"/>
        <v>636.19517996401964</v>
      </c>
      <c r="AJ174">
        <f t="shared" ca="1" si="92"/>
        <v>637.16776994602947</v>
      </c>
      <c r="AM174">
        <v>0</v>
      </c>
      <c r="AN174">
        <v>0</v>
      </c>
      <c r="AO174">
        <f t="shared" si="93"/>
        <v>0</v>
      </c>
      <c r="AP174">
        <f t="shared" si="102"/>
        <v>0</v>
      </c>
      <c r="AQ174">
        <f t="shared" ca="1" si="94"/>
        <v>1</v>
      </c>
      <c r="AR174" t="str">
        <f t="shared" ca="1" si="95"/>
        <v>Supercritical</v>
      </c>
      <c r="AS174">
        <f t="shared" ca="1" si="96"/>
        <v>3.4424699210070732E-3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191</v>
      </c>
      <c r="I175">
        <v>4.5999999999999999E-2</v>
      </c>
      <c r="J175">
        <f t="shared" si="97"/>
        <v>1</v>
      </c>
      <c r="K175">
        <f t="shared" si="98"/>
        <v>51</v>
      </c>
      <c r="L175">
        <f t="shared" ca="1" si="99"/>
        <v>0.05</v>
      </c>
      <c r="M175">
        <f t="shared" ca="1" si="72"/>
        <v>0.30010000000000003</v>
      </c>
      <c r="N175">
        <f t="shared" ca="1" si="73"/>
        <v>4.918059652572928E-2</v>
      </c>
      <c r="O175">
        <f t="shared" ca="1" si="74"/>
        <v>169.943352215928</v>
      </c>
      <c r="P175">
        <f t="shared" ca="1" si="75"/>
        <v>634.298</v>
      </c>
      <c r="Q175">
        <f t="shared" ca="1" si="76"/>
        <v>2106.3032478280816</v>
      </c>
      <c r="R175">
        <f t="shared" ca="1" si="77"/>
        <v>360.6332978141017</v>
      </c>
      <c r="S175">
        <f t="shared" ca="1" si="78"/>
        <v>242.6524467486847</v>
      </c>
      <c r="T175">
        <f t="shared" ca="1" si="79"/>
        <v>883.50505224641472</v>
      </c>
      <c r="U175">
        <f t="shared" ca="1" si="100"/>
        <v>-360.74415154976873</v>
      </c>
      <c r="V175">
        <f t="shared" ca="1" si="101"/>
        <v>0</v>
      </c>
      <c r="W175">
        <f t="shared" ca="1" si="80"/>
        <v>0.05</v>
      </c>
      <c r="X175">
        <f t="shared" ca="1" si="81"/>
        <v>0.30010000000000003</v>
      </c>
      <c r="Y175">
        <f t="shared" ca="1" si="82"/>
        <v>4.918059652572928E-2</v>
      </c>
      <c r="Z175">
        <f t="shared" ca="1" si="83"/>
        <v>169.943352215928</v>
      </c>
      <c r="AA175">
        <f t="shared" ca="1" si="84"/>
        <v>634.298</v>
      </c>
      <c r="AB175">
        <f t="shared" ca="1" si="85"/>
        <v>2106.3032478280816</v>
      </c>
      <c r="AC175">
        <f t="shared" ca="1" si="86"/>
        <v>360.6332978141017</v>
      </c>
      <c r="AD175">
        <f t="shared" ca="1" si="87"/>
        <v>242.6524467486847</v>
      </c>
      <c r="AE175">
        <f t="shared" ca="1" si="88"/>
        <v>883.50505224641472</v>
      </c>
      <c r="AF175">
        <f t="shared" ca="1" si="89"/>
        <v>355.18999403462658</v>
      </c>
      <c r="AG175">
        <f t="shared" ca="1" si="90"/>
        <v>0</v>
      </c>
      <c r="AH175">
        <f ca="1">IF(V32="Supercritical",L175,IF(V32="Subcritical",W175,IF(AND(V175=1,AG175=1),IF(T175&gt;=AE175,L175,W175),IF(V175=1,L175,IF(AG175=1,W175,MAX($D$16,POWER((ABS(K175)^2)/($I$5*MAX(F175,0.1)^2),1/3)))))))</f>
        <v>1.9451799640196363</v>
      </c>
      <c r="AI175">
        <f t="shared" ca="1" si="91"/>
        <v>636.19317996401969</v>
      </c>
      <c r="AJ175">
        <f t="shared" ca="1" si="92"/>
        <v>637.16576994602951</v>
      </c>
      <c r="AM175">
        <v>0</v>
      </c>
      <c r="AN175">
        <v>0</v>
      </c>
      <c r="AO175">
        <f t="shared" si="93"/>
        <v>0</v>
      </c>
      <c r="AP175">
        <f t="shared" si="102"/>
        <v>0</v>
      </c>
      <c r="AQ175">
        <f t="shared" ca="1" si="94"/>
        <v>1</v>
      </c>
      <c r="AR175" t="str">
        <f t="shared" ca="1" si="95"/>
        <v>Supercritical</v>
      </c>
      <c r="AS175">
        <f t="shared" ca="1" si="96"/>
        <v>3.4424699210070732E-3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191</v>
      </c>
      <c r="I176">
        <v>0.08</v>
      </c>
      <c r="J176">
        <f t="shared" si="97"/>
        <v>1</v>
      </c>
      <c r="K176">
        <f t="shared" si="98"/>
        <v>51</v>
      </c>
      <c r="L176">
        <f t="shared" ca="1" si="99"/>
        <v>0.05</v>
      </c>
      <c r="M176">
        <f t="shared" ca="1" si="72"/>
        <v>0.30080000000000001</v>
      </c>
      <c r="N176">
        <f t="shared" ca="1" si="73"/>
        <v>4.9182472204054944E-2</v>
      </c>
      <c r="O176">
        <f t="shared" ca="1" si="74"/>
        <v>169.54787234042553</v>
      </c>
      <c r="P176">
        <f t="shared" ca="1" si="75"/>
        <v>634.29599999999994</v>
      </c>
      <c r="Q176">
        <f t="shared" ca="1" si="76"/>
        <v>2099.4581312520504</v>
      </c>
      <c r="R176">
        <f t="shared" ca="1" si="77"/>
        <v>358.93851872884073</v>
      </c>
      <c r="S176">
        <f t="shared" ca="1" si="78"/>
        <v>242.08776352819243</v>
      </c>
      <c r="T176">
        <f t="shared" ca="1" si="79"/>
        <v>881.44905816123367</v>
      </c>
      <c r="U176">
        <f t="shared" ca="1" si="100"/>
        <v>-355.18999403462658</v>
      </c>
      <c r="V176">
        <f t="shared" ca="1" si="101"/>
        <v>0</v>
      </c>
      <c r="W176">
        <f t="shared" ca="1" si="80"/>
        <v>0.05</v>
      </c>
      <c r="X176">
        <f t="shared" ca="1" si="81"/>
        <v>0.30080000000000001</v>
      </c>
      <c r="Y176">
        <f t="shared" ca="1" si="82"/>
        <v>4.9182472204054944E-2</v>
      </c>
      <c r="Z176">
        <f t="shared" ca="1" si="83"/>
        <v>169.54787234042553</v>
      </c>
      <c r="AA176">
        <f t="shared" ca="1" si="84"/>
        <v>634.29599999999994</v>
      </c>
      <c r="AB176">
        <f t="shared" ca="1" si="85"/>
        <v>2099.4581312520504</v>
      </c>
      <c r="AC176">
        <f t="shared" ca="1" si="86"/>
        <v>358.93851872884073</v>
      </c>
      <c r="AD176">
        <f t="shared" ca="1" si="87"/>
        <v>242.08776352819243</v>
      </c>
      <c r="AE176">
        <f t="shared" ca="1" si="88"/>
        <v>881.44905816123367</v>
      </c>
      <c r="AF176">
        <f t="shared" ca="1" si="89"/>
        <v>347.91372080805286</v>
      </c>
      <c r="AG176">
        <f t="shared" ca="1" si="90"/>
        <v>0</v>
      </c>
      <c r="AH176">
        <f ca="1">IF(V32="Supercritical",L176,IF(V32="Subcritical",W176,IF(AND(V176=1,AG176=1),IF(T176&gt;=AE176,L176,W176),IF(V176=1,L176,IF(AG176=1,W176,MAX($D$16,POWER((ABS(K176)^2)/($I$5*MAX(F176,0.1)^2),1/3)))))))</f>
        <v>1.9421610042796456</v>
      </c>
      <c r="AI176">
        <f t="shared" ca="1" si="91"/>
        <v>636.18816100427966</v>
      </c>
      <c r="AJ176">
        <f t="shared" ca="1" si="92"/>
        <v>637.15924150641945</v>
      </c>
      <c r="AM176">
        <v>0</v>
      </c>
      <c r="AN176">
        <v>0</v>
      </c>
      <c r="AO176">
        <f t="shared" si="93"/>
        <v>0</v>
      </c>
      <c r="AP176">
        <f t="shared" si="102"/>
        <v>0</v>
      </c>
      <c r="AQ176">
        <f t="shared" ca="1" si="94"/>
        <v>1</v>
      </c>
      <c r="AR176" t="str">
        <f t="shared" ca="1" si="95"/>
        <v>Supercritical</v>
      </c>
      <c r="AS176">
        <f t="shared" ca="1" si="96"/>
        <v>3.4372551589023359E-3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191</v>
      </c>
      <c r="I177">
        <v>0.08</v>
      </c>
      <c r="J177">
        <f t="shared" si="97"/>
        <v>1</v>
      </c>
      <c r="K177">
        <f t="shared" si="98"/>
        <v>51</v>
      </c>
      <c r="L177">
        <f t="shared" ca="1" si="99"/>
        <v>0.05</v>
      </c>
      <c r="M177">
        <f t="shared" ca="1" si="72"/>
        <v>0.30220000000000002</v>
      </c>
      <c r="N177">
        <f t="shared" ca="1" si="73"/>
        <v>4.9186197916666674E-2</v>
      </c>
      <c r="O177">
        <f t="shared" ca="1" si="74"/>
        <v>168.76240900066179</v>
      </c>
      <c r="P177">
        <f t="shared" ca="1" si="75"/>
        <v>634.23349999999994</v>
      </c>
      <c r="Q177">
        <f t="shared" ca="1" si="76"/>
        <v>2085.851781942235</v>
      </c>
      <c r="R177">
        <f t="shared" ca="1" si="77"/>
        <v>355.58460201933963</v>
      </c>
      <c r="S177">
        <f t="shared" ca="1" si="78"/>
        <v>240.96624510019944</v>
      </c>
      <c r="T177">
        <f t="shared" ca="1" si="79"/>
        <v>877.36564460588693</v>
      </c>
      <c r="U177">
        <f t="shared" ca="1" si="100"/>
        <v>-347.91372080805286</v>
      </c>
      <c r="V177">
        <f t="shared" ca="1" si="101"/>
        <v>0</v>
      </c>
      <c r="W177">
        <f t="shared" ca="1" si="80"/>
        <v>0.05</v>
      </c>
      <c r="X177">
        <f t="shared" ca="1" si="81"/>
        <v>0.30220000000000002</v>
      </c>
      <c r="Y177">
        <f t="shared" ca="1" si="82"/>
        <v>4.9186197916666674E-2</v>
      </c>
      <c r="Z177">
        <f t="shared" ca="1" si="83"/>
        <v>168.76240900066179</v>
      </c>
      <c r="AA177">
        <f t="shared" ca="1" si="84"/>
        <v>634.23349999999994</v>
      </c>
      <c r="AB177">
        <f t="shared" ca="1" si="85"/>
        <v>2085.851781942235</v>
      </c>
      <c r="AC177">
        <f t="shared" ca="1" si="86"/>
        <v>355.58460201933963</v>
      </c>
      <c r="AD177">
        <f t="shared" ca="1" si="87"/>
        <v>240.96624510019944</v>
      </c>
      <c r="AE177">
        <f t="shared" ca="1" si="88"/>
        <v>877.36564460588693</v>
      </c>
      <c r="AF177">
        <f t="shared" ca="1" si="89"/>
        <v>337.24979180402352</v>
      </c>
      <c r="AG177">
        <f t="shared" ca="1" si="90"/>
        <v>0</v>
      </c>
      <c r="AH177">
        <f ca="1">IF(V32="Supercritical",L177,IF(V32="Subcritical",W177,IF(AND(V177=1,AG177=1),IF(T177&gt;=AE177,L177,W177),IF(V177=1,L177,IF(AG177=1,W177,MAX($D$16,POWER((ABS(K177)^2)/($I$5*MAX(F177,0.1)^2),1/3)))))))</f>
        <v>1.936158072132615</v>
      </c>
      <c r="AI177">
        <f t="shared" ca="1" si="91"/>
        <v>636.11965807213255</v>
      </c>
      <c r="AJ177">
        <f t="shared" ca="1" si="92"/>
        <v>637.08773710819889</v>
      </c>
      <c r="AM177">
        <v>0</v>
      </c>
      <c r="AN177">
        <v>0</v>
      </c>
      <c r="AO177">
        <f t="shared" si="93"/>
        <v>0</v>
      </c>
      <c r="AP177">
        <f t="shared" si="102"/>
        <v>0</v>
      </c>
      <c r="AQ177">
        <f t="shared" ca="1" si="94"/>
        <v>1.0000000000000002</v>
      </c>
      <c r="AR177" t="str">
        <f t="shared" ca="1" si="95"/>
        <v>Supercritical</v>
      </c>
      <c r="AS177">
        <f t="shared" ca="1" si="96"/>
        <v>3.4269344687755045E-3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191</v>
      </c>
      <c r="I178">
        <v>4.5999999999999999E-2</v>
      </c>
      <c r="J178">
        <f t="shared" si="97"/>
        <v>1</v>
      </c>
      <c r="K178">
        <f t="shared" si="98"/>
        <v>51</v>
      </c>
      <c r="L178">
        <f t="shared" ca="1" si="99"/>
        <v>0.05</v>
      </c>
      <c r="M178">
        <f t="shared" ca="1" si="72"/>
        <v>0.30455000000000004</v>
      </c>
      <c r="N178">
        <f t="shared" ca="1" si="73"/>
        <v>4.9192376029720569E-2</v>
      </c>
      <c r="O178">
        <f t="shared" ca="1" si="74"/>
        <v>167.46018716138562</v>
      </c>
      <c r="P178">
        <f t="shared" ca="1" si="75"/>
        <v>634.17099999999994</v>
      </c>
      <c r="Q178">
        <f t="shared" ca="1" si="76"/>
        <v>2063.473460964643</v>
      </c>
      <c r="R178">
        <f t="shared" ca="1" si="77"/>
        <v>350.05954948743835</v>
      </c>
      <c r="S178">
        <f t="shared" ca="1" si="78"/>
        <v>239.10687660246353</v>
      </c>
      <c r="T178">
        <f t="shared" ca="1" si="79"/>
        <v>870.5957427235644</v>
      </c>
      <c r="U178">
        <f t="shared" ca="1" si="100"/>
        <v>-337.24979180402352</v>
      </c>
      <c r="V178">
        <f t="shared" ca="1" si="101"/>
        <v>0</v>
      </c>
      <c r="W178">
        <f t="shared" ca="1" si="80"/>
        <v>0.05</v>
      </c>
      <c r="X178">
        <f t="shared" ca="1" si="81"/>
        <v>0.30455000000000004</v>
      </c>
      <c r="Y178">
        <f t="shared" ca="1" si="82"/>
        <v>4.9192376029720569E-2</v>
      </c>
      <c r="Z178">
        <f t="shared" ca="1" si="83"/>
        <v>167.46018716138562</v>
      </c>
      <c r="AA178">
        <f t="shared" ca="1" si="84"/>
        <v>634.17099999999994</v>
      </c>
      <c r="AB178">
        <f t="shared" ca="1" si="85"/>
        <v>2063.473460964643</v>
      </c>
      <c r="AC178">
        <f t="shared" ca="1" si="86"/>
        <v>350.05954948743835</v>
      </c>
      <c r="AD178">
        <f t="shared" ca="1" si="87"/>
        <v>239.10687660246353</v>
      </c>
      <c r="AE178">
        <f t="shared" ca="1" si="88"/>
        <v>870.5957427235644</v>
      </c>
      <c r="AF178">
        <f t="shared" ca="1" si="89"/>
        <v>325.32127084941567</v>
      </c>
      <c r="AG178">
        <f t="shared" ca="1" si="90"/>
        <v>0</v>
      </c>
      <c r="AH178">
        <f ca="1">IF(V32="Supercritical",L178,IF(V32="Subcritical",W178,IF(AND(V178=1,AG178=1),IF(T178&gt;=AE178,L178,W178),IF(V178=1,L178,IF(AG178=1,W178,MAX($D$16,POWER((ABS(K178)^2)/($I$5*MAX(F178,0.1)^2),1/3)))))))</f>
        <v>1.9261852310650274</v>
      </c>
      <c r="AI178">
        <f t="shared" ca="1" si="91"/>
        <v>636.04718523106499</v>
      </c>
      <c r="AJ178">
        <f t="shared" ca="1" si="92"/>
        <v>637.01027784659755</v>
      </c>
      <c r="AM178">
        <v>0</v>
      </c>
      <c r="AN178">
        <v>0</v>
      </c>
      <c r="AO178">
        <f t="shared" si="93"/>
        <v>0</v>
      </c>
      <c r="AP178">
        <f t="shared" si="102"/>
        <v>0</v>
      </c>
      <c r="AQ178">
        <f t="shared" ca="1" si="94"/>
        <v>1.0000000000000002</v>
      </c>
      <c r="AR178" t="str">
        <f t="shared" ca="1" si="95"/>
        <v>Supercritical</v>
      </c>
      <c r="AS178">
        <f t="shared" ca="1" si="96"/>
        <v>3.4099305753088087E-3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191</v>
      </c>
      <c r="I179">
        <v>1.2E-2</v>
      </c>
      <c r="J179">
        <f t="shared" si="97"/>
        <v>0.99899999999999878</v>
      </c>
      <c r="K179">
        <f t="shared" si="98"/>
        <v>51</v>
      </c>
      <c r="L179">
        <f t="shared" ca="1" si="99"/>
        <v>0.05</v>
      </c>
      <c r="M179">
        <f t="shared" ca="1" si="72"/>
        <v>0.30775000000000002</v>
      </c>
      <c r="N179">
        <f t="shared" ca="1" si="73"/>
        <v>4.9200639488409276E-2</v>
      </c>
      <c r="O179">
        <f t="shared" ca="1" si="74"/>
        <v>165.71892770105603</v>
      </c>
      <c r="P179">
        <f t="shared" ca="1" si="75"/>
        <v>634.10849999999994</v>
      </c>
      <c r="Q179">
        <f t="shared" ca="1" si="76"/>
        <v>2033.8415784091658</v>
      </c>
      <c r="R179">
        <f t="shared" ca="1" si="77"/>
        <v>342.74075599610666</v>
      </c>
      <c r="S179">
        <f t="shared" ca="1" si="78"/>
        <v>236.62063125680024</v>
      </c>
      <c r="T179">
        <f t="shared" ca="1" si="79"/>
        <v>861.54340351084181</v>
      </c>
      <c r="U179">
        <f t="shared" ca="1" si="100"/>
        <v>-325.32127084941567</v>
      </c>
      <c r="V179">
        <f t="shared" ca="1" si="101"/>
        <v>0</v>
      </c>
      <c r="W179">
        <f t="shared" ca="1" si="80"/>
        <v>0.05</v>
      </c>
      <c r="X179">
        <f t="shared" ca="1" si="81"/>
        <v>0.30775000000000002</v>
      </c>
      <c r="Y179">
        <f t="shared" ca="1" si="82"/>
        <v>4.9200639488409276E-2</v>
      </c>
      <c r="Z179">
        <f t="shared" ca="1" si="83"/>
        <v>165.71892770105603</v>
      </c>
      <c r="AA179">
        <f t="shared" ca="1" si="84"/>
        <v>634.10849999999994</v>
      </c>
      <c r="AB179">
        <f t="shared" ca="1" si="85"/>
        <v>2033.8415784091658</v>
      </c>
      <c r="AC179">
        <f t="shared" ca="1" si="86"/>
        <v>342.74075599610666</v>
      </c>
      <c r="AD179">
        <f t="shared" ca="1" si="87"/>
        <v>236.62063125680024</v>
      </c>
      <c r="AE179">
        <f t="shared" ca="1" si="88"/>
        <v>861.54340351084181</v>
      </c>
      <c r="AF179">
        <f t="shared" ca="1" si="89"/>
        <v>320.71075966742546</v>
      </c>
      <c r="AG179">
        <f t="shared" ca="1" si="90"/>
        <v>0</v>
      </c>
      <c r="AH179">
        <f ca="1">IF(V32="Supercritical",L179,IF(V32="Subcritical",W179,IF(AND(V179=1,AG179=1),IF(T179&gt;=AE179,L179,W179),IF(V179=1,L179,IF(AG179=1,W179,MAX($D$16,POWER((ABS(K179)^2)/($I$5*MAX(F179,0.1)^2),1/3)))))))</f>
        <v>1.9128096029895068</v>
      </c>
      <c r="AI179">
        <f t="shared" ca="1" si="91"/>
        <v>635.97130960298944</v>
      </c>
      <c r="AJ179">
        <f t="shared" ca="1" si="92"/>
        <v>636.92771440448416</v>
      </c>
      <c r="AM179">
        <v>0</v>
      </c>
      <c r="AN179">
        <v>0</v>
      </c>
      <c r="AO179">
        <f t="shared" si="93"/>
        <v>0</v>
      </c>
      <c r="AP179">
        <f t="shared" si="102"/>
        <v>0</v>
      </c>
      <c r="AQ179">
        <f t="shared" ca="1" si="94"/>
        <v>1</v>
      </c>
      <c r="AR179" t="str">
        <f t="shared" ca="1" si="95"/>
        <v>Supercritical</v>
      </c>
      <c r="AS179">
        <f t="shared" ca="1" si="96"/>
        <v>3.387402856978766E-3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191</v>
      </c>
      <c r="I180">
        <v>3.5030000000000001</v>
      </c>
      <c r="J180">
        <f t="shared" si="97"/>
        <v>1.0010000000000012</v>
      </c>
      <c r="K180">
        <f t="shared" si="98"/>
        <v>51</v>
      </c>
      <c r="L180">
        <f t="shared" ca="1" si="99"/>
        <v>0.05</v>
      </c>
      <c r="M180">
        <f t="shared" ca="1" si="72"/>
        <v>0.31190000000000007</v>
      </c>
      <c r="N180">
        <f t="shared" ca="1" si="73"/>
        <v>4.9211107604922699E-2</v>
      </c>
      <c r="O180">
        <f t="shared" ca="1" si="74"/>
        <v>163.51394677781337</v>
      </c>
      <c r="P180">
        <f t="shared" ca="1" si="75"/>
        <v>634.04599999999994</v>
      </c>
      <c r="Q180">
        <f t="shared" ca="1" si="76"/>
        <v>1996.7784562108859</v>
      </c>
      <c r="R180">
        <f t="shared" ca="1" si="77"/>
        <v>333.58609099045822</v>
      </c>
      <c r="S180">
        <f t="shared" ca="1" si="78"/>
        <v>233.47226440936285</v>
      </c>
      <c r="T180">
        <f t="shared" ca="1" si="79"/>
        <v>850.08030368435084</v>
      </c>
      <c r="U180">
        <f t="shared" ca="1" si="100"/>
        <v>-320.71075966742592</v>
      </c>
      <c r="V180">
        <f t="shared" ca="1" si="101"/>
        <v>0</v>
      </c>
      <c r="W180">
        <f t="shared" ca="1" si="80"/>
        <v>0.05</v>
      </c>
      <c r="X180">
        <f t="shared" ca="1" si="81"/>
        <v>0.31190000000000007</v>
      </c>
      <c r="Y180">
        <f t="shared" ca="1" si="82"/>
        <v>4.9211107604922699E-2</v>
      </c>
      <c r="Z180">
        <f t="shared" ca="1" si="83"/>
        <v>163.51394677781337</v>
      </c>
      <c r="AA180">
        <f t="shared" ca="1" si="84"/>
        <v>634.04599999999994</v>
      </c>
      <c r="AB180">
        <f t="shared" ca="1" si="85"/>
        <v>1996.7784562108859</v>
      </c>
      <c r="AC180">
        <f t="shared" ca="1" si="86"/>
        <v>333.58609099045822</v>
      </c>
      <c r="AD180">
        <f t="shared" ca="1" si="87"/>
        <v>233.47226440936285</v>
      </c>
      <c r="AE180">
        <f t="shared" ca="1" si="88"/>
        <v>850.08030368435084</v>
      </c>
      <c r="AF180">
        <f t="shared" ca="1" si="89"/>
        <v>501.66462277589244</v>
      </c>
      <c r="AG180">
        <f t="shared" ca="1" si="90"/>
        <v>0</v>
      </c>
      <c r="AH180">
        <f ca="1">IF(V32="Supercritical",L180,IF(V32="Subcritical",W180,IF(AND(V180=1,AG180=1),IF(T180&gt;=AE180,L180,W180),IF(V180=1,L180,IF(AG180=1,W180,MAX($D$16,POWER((ABS(K180)^2)/($I$5*MAX(F180,0.1)^2),1/3)))))))</f>
        <v>1.8958044338957438</v>
      </c>
      <c r="AI180">
        <f t="shared" ca="1" si="91"/>
        <v>635.89180443389569</v>
      </c>
      <c r="AJ180">
        <f t="shared" ca="1" si="92"/>
        <v>636.8397066508436</v>
      </c>
      <c r="AM180">
        <v>0</v>
      </c>
      <c r="AN180">
        <v>0</v>
      </c>
      <c r="AO180">
        <f t="shared" si="93"/>
        <v>0</v>
      </c>
      <c r="AP180">
        <f t="shared" si="102"/>
        <v>0</v>
      </c>
      <c r="AQ180">
        <f t="shared" ca="1" si="94"/>
        <v>1</v>
      </c>
      <c r="AR180" t="str">
        <f t="shared" ca="1" si="95"/>
        <v>Supercritical</v>
      </c>
      <c r="AS180">
        <f t="shared" ca="1" si="96"/>
        <v>3.3592205299082189E-3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191</v>
      </c>
      <c r="I181">
        <v>14.637</v>
      </c>
      <c r="J181">
        <f t="shared" si="97"/>
        <v>0.99200000000000088</v>
      </c>
      <c r="K181">
        <f t="shared" si="98"/>
        <v>51</v>
      </c>
      <c r="L181">
        <f t="shared" ca="1" si="99"/>
        <v>0.05</v>
      </c>
      <c r="M181">
        <f t="shared" ca="1" si="72"/>
        <v>0.30000000000000004</v>
      </c>
      <c r="N181">
        <f t="shared" ca="1" si="73"/>
        <v>4.9180327868852472E-2</v>
      </c>
      <c r="O181">
        <f t="shared" ca="1" si="74"/>
        <v>169.99999999999997</v>
      </c>
      <c r="P181">
        <f t="shared" ca="1" si="75"/>
        <v>634.04399999999998</v>
      </c>
      <c r="Q181">
        <f t="shared" ca="1" si="76"/>
        <v>2107.0307482161052</v>
      </c>
      <c r="R181">
        <f t="shared" ca="1" si="77"/>
        <v>360.87638854062874</v>
      </c>
      <c r="S181">
        <f t="shared" ca="1" si="78"/>
        <v>242.73333089760089</v>
      </c>
      <c r="T181">
        <f t="shared" ca="1" si="79"/>
        <v>883.7995489296635</v>
      </c>
      <c r="U181">
        <f t="shared" ca="1" si="100"/>
        <v>-501.66462277589244</v>
      </c>
      <c r="V181">
        <f t="shared" ca="1" si="101"/>
        <v>0</v>
      </c>
      <c r="W181">
        <f t="shared" ca="1" si="80"/>
        <v>0.05</v>
      </c>
      <c r="X181">
        <f t="shared" ca="1" si="81"/>
        <v>0.30000000000000004</v>
      </c>
      <c r="Y181">
        <f t="shared" ca="1" si="82"/>
        <v>4.9180327868852472E-2</v>
      </c>
      <c r="Z181">
        <f t="shared" ca="1" si="83"/>
        <v>169.99999999999997</v>
      </c>
      <c r="AA181">
        <f t="shared" ca="1" si="84"/>
        <v>634.04399999999998</v>
      </c>
      <c r="AB181">
        <f t="shared" ca="1" si="85"/>
        <v>2107.0307482161052</v>
      </c>
      <c r="AC181">
        <f t="shared" ca="1" si="86"/>
        <v>360.87638854062874</v>
      </c>
      <c r="AD181">
        <f t="shared" ca="1" si="87"/>
        <v>242.73333089760089</v>
      </c>
      <c r="AE181">
        <f t="shared" ca="1" si="88"/>
        <v>883.7995489296635</v>
      </c>
      <c r="AF181">
        <f t="shared" ca="1" si="89"/>
        <v>361.07078677372419</v>
      </c>
      <c r="AG181">
        <f t="shared" ca="1" si="90"/>
        <v>0</v>
      </c>
      <c r="AH181">
        <f ca="1">IF(V32="Supercritical",L181,IF(V32="Subcritical",W181,IF(AND(V181=1,AG181=1),IF(T181&gt;=AE181,L181,W181),IF(V181=1,L181,IF(AG181=1,W181,MAX($D$16,POWER((ABS(K181)^2)/($I$5*MAX(F181,0.1)^2),1/3)))))))</f>
        <v>1.9456122022228524</v>
      </c>
      <c r="AI181">
        <f t="shared" ca="1" si="91"/>
        <v>635.93961220222286</v>
      </c>
      <c r="AJ181">
        <f t="shared" ca="1" si="92"/>
        <v>636.91241830333433</v>
      </c>
      <c r="AM181">
        <v>0</v>
      </c>
      <c r="AN181">
        <v>0</v>
      </c>
      <c r="AO181">
        <f t="shared" si="93"/>
        <v>0</v>
      </c>
      <c r="AP181">
        <f t="shared" si="102"/>
        <v>0</v>
      </c>
      <c r="AQ181">
        <f t="shared" ca="1" si="94"/>
        <v>1</v>
      </c>
      <c r="AR181" t="str">
        <f t="shared" ca="1" si="95"/>
        <v>Supercritical</v>
      </c>
      <c r="AS181">
        <f t="shared" ca="1" si="96"/>
        <v>3.4432178763879138E-3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191</v>
      </c>
      <c r="I182">
        <v>0.08</v>
      </c>
      <c r="J182">
        <f t="shared" si="97"/>
        <v>1</v>
      </c>
      <c r="K182">
        <f t="shared" si="98"/>
        <v>51</v>
      </c>
      <c r="L182">
        <f t="shared" ca="1" si="99"/>
        <v>0.05</v>
      </c>
      <c r="M182">
        <f t="shared" ca="1" si="72"/>
        <v>0.30000000000000004</v>
      </c>
      <c r="N182">
        <f t="shared" ca="1" si="73"/>
        <v>4.9180327868852472E-2</v>
      </c>
      <c r="O182">
        <f t="shared" ca="1" si="74"/>
        <v>169.99999999999997</v>
      </c>
      <c r="P182">
        <f t="shared" ca="1" si="75"/>
        <v>634.04199999999992</v>
      </c>
      <c r="Q182">
        <f t="shared" ca="1" si="76"/>
        <v>2107.0287482161052</v>
      </c>
      <c r="R182">
        <f t="shared" ca="1" si="77"/>
        <v>360.87638854062874</v>
      </c>
      <c r="S182">
        <f t="shared" ca="1" si="78"/>
        <v>242.73333089760089</v>
      </c>
      <c r="T182">
        <f t="shared" ca="1" si="79"/>
        <v>883.7995489296635</v>
      </c>
      <c r="U182">
        <f t="shared" ca="1" si="100"/>
        <v>-361.07078677372442</v>
      </c>
      <c r="V182">
        <f t="shared" ca="1" si="101"/>
        <v>0</v>
      </c>
      <c r="W182">
        <f t="shared" ca="1" si="80"/>
        <v>0.05</v>
      </c>
      <c r="X182">
        <f t="shared" ca="1" si="81"/>
        <v>0.30000000000000004</v>
      </c>
      <c r="Y182">
        <f t="shared" ca="1" si="82"/>
        <v>4.9180327868852472E-2</v>
      </c>
      <c r="Z182">
        <f t="shared" ca="1" si="83"/>
        <v>169.99999999999997</v>
      </c>
      <c r="AA182">
        <f t="shared" ca="1" si="84"/>
        <v>634.04199999999992</v>
      </c>
      <c r="AB182">
        <f t="shared" ca="1" si="85"/>
        <v>2107.0287482161052</v>
      </c>
      <c r="AC182">
        <f t="shared" ca="1" si="86"/>
        <v>360.87638854062874</v>
      </c>
      <c r="AD182">
        <f t="shared" ca="1" si="87"/>
        <v>242.73333089760089</v>
      </c>
      <c r="AE182">
        <f t="shared" ca="1" si="88"/>
        <v>883.7995489296635</v>
      </c>
      <c r="AF182">
        <f t="shared" ca="1" si="89"/>
        <v>361.07078677372419</v>
      </c>
      <c r="AG182">
        <f t="shared" ca="1" si="90"/>
        <v>0</v>
      </c>
      <c r="AH182">
        <f ca="1">IF(V32="Supercritical",L182,IF(V32="Subcritical",W182,IF(AND(V182=1,AG182=1),IF(T182&gt;=AE182,L182,W182),IF(V182=1,L182,IF(AG182=1,W182,MAX($D$16,POWER((ABS(K182)^2)/($I$5*MAX(F182,0.1)^2),1/3)))))))</f>
        <v>1.9456122022228524</v>
      </c>
      <c r="AI182">
        <f t="shared" ca="1" si="91"/>
        <v>635.93761220222279</v>
      </c>
      <c r="AJ182">
        <f t="shared" ca="1" si="92"/>
        <v>636.91041830333427</v>
      </c>
      <c r="AM182">
        <v>0</v>
      </c>
      <c r="AN182">
        <v>0</v>
      </c>
      <c r="AO182">
        <f t="shared" si="93"/>
        <v>0</v>
      </c>
      <c r="AP182">
        <f t="shared" si="102"/>
        <v>0</v>
      </c>
      <c r="AQ182">
        <f t="shared" ca="1" si="94"/>
        <v>1</v>
      </c>
      <c r="AR182" t="str">
        <f t="shared" ca="1" si="95"/>
        <v>Supercritical</v>
      </c>
      <c r="AS182">
        <f t="shared" ca="1" si="96"/>
        <v>3.4432178763879138E-3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191</v>
      </c>
      <c r="I183">
        <v>0.08</v>
      </c>
      <c r="J183">
        <f t="shared" si="97"/>
        <v>1</v>
      </c>
      <c r="K183">
        <f t="shared" si="98"/>
        <v>51</v>
      </c>
      <c r="L183">
        <f t="shared" ca="1" si="99"/>
        <v>0.05</v>
      </c>
      <c r="M183">
        <f t="shared" ca="1" si="72"/>
        <v>0.30000000000000004</v>
      </c>
      <c r="N183">
        <f t="shared" ca="1" si="73"/>
        <v>4.9180327868852472E-2</v>
      </c>
      <c r="O183">
        <f t="shared" ca="1" si="74"/>
        <v>169.99999999999997</v>
      </c>
      <c r="P183">
        <f t="shared" ca="1" si="75"/>
        <v>634.04</v>
      </c>
      <c r="Q183">
        <f t="shared" ca="1" si="76"/>
        <v>2107.0267482161053</v>
      </c>
      <c r="R183">
        <f t="shared" ca="1" si="77"/>
        <v>360.87638854062874</v>
      </c>
      <c r="S183">
        <f t="shared" ca="1" si="78"/>
        <v>242.73333089760089</v>
      </c>
      <c r="T183">
        <f t="shared" ca="1" si="79"/>
        <v>883.7995489296635</v>
      </c>
      <c r="U183">
        <f t="shared" ca="1" si="100"/>
        <v>-361.07078677372442</v>
      </c>
      <c r="V183">
        <f t="shared" ca="1" si="101"/>
        <v>0</v>
      </c>
      <c r="W183">
        <f t="shared" ca="1" si="80"/>
        <v>0.05</v>
      </c>
      <c r="X183">
        <f t="shared" ca="1" si="81"/>
        <v>0.30000000000000004</v>
      </c>
      <c r="Y183">
        <f t="shared" ca="1" si="82"/>
        <v>4.9180327868852472E-2</v>
      </c>
      <c r="Z183">
        <f t="shared" ca="1" si="83"/>
        <v>169.99999999999997</v>
      </c>
      <c r="AA183">
        <f t="shared" ca="1" si="84"/>
        <v>634.04</v>
      </c>
      <c r="AB183">
        <f t="shared" ca="1" si="85"/>
        <v>2107.0267482161053</v>
      </c>
      <c r="AC183">
        <f t="shared" ca="1" si="86"/>
        <v>360.87638854062874</v>
      </c>
      <c r="AD183">
        <f t="shared" ca="1" si="87"/>
        <v>242.73333089760089</v>
      </c>
      <c r="AE183">
        <f t="shared" ca="1" si="88"/>
        <v>883.7995489296635</v>
      </c>
      <c r="AF183">
        <f t="shared" ca="1" si="89"/>
        <v>360.98977250257258</v>
      </c>
      <c r="AG183">
        <f t="shared" ca="1" si="90"/>
        <v>0</v>
      </c>
      <c r="AH183">
        <f ca="1">IF(V32="Supercritical",L183,IF(V32="Subcritical",W183,IF(AND(V183=1,AG183=1),IF(T183&gt;=AE183,L183,W183),IF(V183=1,L183,IF(AG183=1,W183,MAX($D$16,POWER((ABS(K183)^2)/($I$5*MAX(F183,0.1)^2),1/3)))))))</f>
        <v>1.9456122022228524</v>
      </c>
      <c r="AI183">
        <f t="shared" ca="1" si="91"/>
        <v>635.93561220222284</v>
      </c>
      <c r="AJ183">
        <f t="shared" ca="1" si="92"/>
        <v>636.90841830333432</v>
      </c>
      <c r="AM183">
        <v>0</v>
      </c>
      <c r="AN183">
        <v>0</v>
      </c>
      <c r="AO183">
        <f t="shared" si="93"/>
        <v>0</v>
      </c>
      <c r="AP183">
        <f t="shared" si="102"/>
        <v>0</v>
      </c>
      <c r="AQ183">
        <f t="shared" ca="1" si="94"/>
        <v>1</v>
      </c>
      <c r="AR183" t="str">
        <f t="shared" ca="1" si="95"/>
        <v>Supercritical</v>
      </c>
      <c r="AS183">
        <f t="shared" ca="1" si="96"/>
        <v>3.4432178763879138E-3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191</v>
      </c>
      <c r="I184">
        <v>4.7E-2</v>
      </c>
      <c r="J184">
        <f t="shared" si="97"/>
        <v>1</v>
      </c>
      <c r="K184">
        <f t="shared" si="98"/>
        <v>51</v>
      </c>
      <c r="L184">
        <f t="shared" ca="1" si="99"/>
        <v>0.05</v>
      </c>
      <c r="M184">
        <f t="shared" ca="1" si="72"/>
        <v>0.30000000000000004</v>
      </c>
      <c r="N184">
        <f t="shared" ca="1" si="73"/>
        <v>4.9180327868852472E-2</v>
      </c>
      <c r="O184">
        <f t="shared" ca="1" si="74"/>
        <v>169.99999999999997</v>
      </c>
      <c r="P184">
        <f t="shared" ca="1" si="75"/>
        <v>634.03800000000001</v>
      </c>
      <c r="Q184">
        <f t="shared" ca="1" si="76"/>
        <v>2107.0247482161053</v>
      </c>
      <c r="R184">
        <f t="shared" ca="1" si="77"/>
        <v>360.87638854062874</v>
      </c>
      <c r="S184">
        <f t="shared" ca="1" si="78"/>
        <v>242.73333089760089</v>
      </c>
      <c r="T184">
        <f t="shared" ca="1" si="79"/>
        <v>883.7995489296635</v>
      </c>
      <c r="U184">
        <f t="shared" ca="1" si="100"/>
        <v>-360.98977250257235</v>
      </c>
      <c r="V184">
        <f t="shared" ca="1" si="101"/>
        <v>0</v>
      </c>
      <c r="W184">
        <f t="shared" ca="1" si="80"/>
        <v>0.05</v>
      </c>
      <c r="X184">
        <f t="shared" ca="1" si="81"/>
        <v>0.30000000000000004</v>
      </c>
      <c r="Y184">
        <f t="shared" ca="1" si="82"/>
        <v>4.9180327868852472E-2</v>
      </c>
      <c r="Z184">
        <f t="shared" ca="1" si="83"/>
        <v>169.99999999999997</v>
      </c>
      <c r="AA184">
        <f t="shared" ca="1" si="84"/>
        <v>634.03800000000001</v>
      </c>
      <c r="AB184">
        <f t="shared" ca="1" si="85"/>
        <v>2107.0247482161053</v>
      </c>
      <c r="AC184">
        <f t="shared" ca="1" si="86"/>
        <v>360.87638854062874</v>
      </c>
      <c r="AD184">
        <f t="shared" ca="1" si="87"/>
        <v>242.73333089760089</v>
      </c>
      <c r="AE184">
        <f t="shared" ca="1" si="88"/>
        <v>883.7995489296635</v>
      </c>
      <c r="AF184">
        <f t="shared" ca="1" si="89"/>
        <v>361.26963461996002</v>
      </c>
      <c r="AG184">
        <f t="shared" ca="1" si="90"/>
        <v>0</v>
      </c>
      <c r="AH184">
        <f ca="1">IF(V32="Supercritical",L184,IF(V32="Subcritical",W184,IF(AND(V184=1,AG184=1),IF(T184&gt;=AE184,L184,W184),IF(V184=1,L184,IF(AG184=1,W184,MAX($D$16,POWER((ABS(K184)^2)/($I$5*MAX(F184,0.1)^2),1/3)))))))</f>
        <v>1.9456122022228524</v>
      </c>
      <c r="AI184">
        <f t="shared" ca="1" si="91"/>
        <v>635.93361220222289</v>
      </c>
      <c r="AJ184">
        <f t="shared" ca="1" si="92"/>
        <v>636.90641830333436</v>
      </c>
      <c r="AM184">
        <v>0</v>
      </c>
      <c r="AN184">
        <v>0</v>
      </c>
      <c r="AO184">
        <f t="shared" si="93"/>
        <v>0</v>
      </c>
      <c r="AP184">
        <f t="shared" si="102"/>
        <v>0</v>
      </c>
      <c r="AQ184">
        <f t="shared" ca="1" si="94"/>
        <v>1</v>
      </c>
      <c r="AR184" t="str">
        <f t="shared" ca="1" si="95"/>
        <v>Supercritical</v>
      </c>
      <c r="AS184">
        <f t="shared" ca="1" si="96"/>
        <v>3.4432178763879138E-3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191</v>
      </c>
      <c r="I185">
        <v>1.4E-2</v>
      </c>
      <c r="J185">
        <f t="shared" si="97"/>
        <v>1.0009999999999977</v>
      </c>
      <c r="K185">
        <f t="shared" si="98"/>
        <v>51</v>
      </c>
      <c r="L185">
        <f t="shared" ca="1" si="99"/>
        <v>0.05</v>
      </c>
      <c r="M185">
        <f t="shared" ca="1" si="72"/>
        <v>0.30000000000000004</v>
      </c>
      <c r="N185">
        <f t="shared" ca="1" si="73"/>
        <v>4.9180327868852472E-2</v>
      </c>
      <c r="O185">
        <f t="shared" ca="1" si="74"/>
        <v>169.99999999999997</v>
      </c>
      <c r="P185">
        <f t="shared" ca="1" si="75"/>
        <v>634.03599999999994</v>
      </c>
      <c r="Q185">
        <f t="shared" ca="1" si="76"/>
        <v>2107.0227482161054</v>
      </c>
      <c r="R185">
        <f t="shared" ca="1" si="77"/>
        <v>360.87638854062874</v>
      </c>
      <c r="S185">
        <f t="shared" ca="1" si="78"/>
        <v>242.73333089760089</v>
      </c>
      <c r="T185">
        <f t="shared" ca="1" si="79"/>
        <v>883.7995489296635</v>
      </c>
      <c r="U185">
        <f t="shared" ca="1" si="100"/>
        <v>-361.26963461996024</v>
      </c>
      <c r="V185">
        <f t="shared" ca="1" si="101"/>
        <v>0</v>
      </c>
      <c r="W185">
        <f t="shared" ca="1" si="80"/>
        <v>0.05</v>
      </c>
      <c r="X185">
        <f t="shared" ca="1" si="81"/>
        <v>0.30000000000000004</v>
      </c>
      <c r="Y185">
        <f t="shared" ca="1" si="82"/>
        <v>4.9180327868852472E-2</v>
      </c>
      <c r="Z185">
        <f t="shared" ca="1" si="83"/>
        <v>169.99999999999997</v>
      </c>
      <c r="AA185">
        <f t="shared" ca="1" si="84"/>
        <v>634.03599999999994</v>
      </c>
      <c r="AB185">
        <f t="shared" ca="1" si="85"/>
        <v>2107.0227482161054</v>
      </c>
      <c r="AC185">
        <f t="shared" ca="1" si="86"/>
        <v>360.87638854062874</v>
      </c>
      <c r="AD185">
        <f t="shared" ca="1" si="87"/>
        <v>242.73333089760089</v>
      </c>
      <c r="AE185">
        <f t="shared" ca="1" si="88"/>
        <v>883.7995489296635</v>
      </c>
      <c r="AF185">
        <f t="shared" ca="1" si="89"/>
        <v>360.5340264232409</v>
      </c>
      <c r="AG185">
        <f t="shared" ca="1" si="90"/>
        <v>0</v>
      </c>
      <c r="AH185">
        <f ca="1">IF(V32="Supercritical",L185,IF(V32="Subcritical",W185,IF(AND(V185=1,AG185=1),IF(T185&gt;=AE185,L185,W185),IF(V185=1,L185,IF(AG185=1,W185,MAX($D$16,POWER((ABS(K185)^2)/($I$5*MAX(F185,0.1)^2),1/3)))))))</f>
        <v>1.9456122022228524</v>
      </c>
      <c r="AI185">
        <f t="shared" ca="1" si="91"/>
        <v>635.93161220222282</v>
      </c>
      <c r="AJ185">
        <f t="shared" ca="1" si="92"/>
        <v>636.9044183033343</v>
      </c>
      <c r="AM185">
        <v>0</v>
      </c>
      <c r="AN185">
        <v>0</v>
      </c>
      <c r="AO185">
        <f t="shared" si="93"/>
        <v>0</v>
      </c>
      <c r="AP185">
        <f t="shared" si="102"/>
        <v>0</v>
      </c>
      <c r="AQ185">
        <f t="shared" ca="1" si="94"/>
        <v>1</v>
      </c>
      <c r="AR185" t="str">
        <f t="shared" ca="1" si="95"/>
        <v>Supercritical</v>
      </c>
      <c r="AS185">
        <f t="shared" ca="1" si="96"/>
        <v>3.4432178763879138E-3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191</v>
      </c>
      <c r="I186">
        <v>3.3000000000000002E-2</v>
      </c>
      <c r="J186">
        <f t="shared" si="97"/>
        <v>0.99900000000000233</v>
      </c>
      <c r="K186">
        <f t="shared" si="98"/>
        <v>51</v>
      </c>
      <c r="L186">
        <f t="shared" ca="1" si="99"/>
        <v>0.05</v>
      </c>
      <c r="M186">
        <f t="shared" ca="1" si="72"/>
        <v>0.30000000000000004</v>
      </c>
      <c r="N186">
        <f t="shared" ca="1" si="73"/>
        <v>4.9180327868852472E-2</v>
      </c>
      <c r="O186">
        <f t="shared" ca="1" si="74"/>
        <v>169.99999999999997</v>
      </c>
      <c r="P186">
        <f t="shared" ca="1" si="75"/>
        <v>633.97349999999994</v>
      </c>
      <c r="Q186">
        <f t="shared" ca="1" si="76"/>
        <v>2106.9602482161054</v>
      </c>
      <c r="R186">
        <f t="shared" ca="1" si="77"/>
        <v>360.87638854062874</v>
      </c>
      <c r="S186">
        <f t="shared" ca="1" si="78"/>
        <v>242.73333089760089</v>
      </c>
      <c r="T186">
        <f t="shared" ca="1" si="79"/>
        <v>883.7995489296635</v>
      </c>
      <c r="U186">
        <f t="shared" ca="1" si="100"/>
        <v>-360.53402642324068</v>
      </c>
      <c r="V186">
        <f t="shared" ca="1" si="101"/>
        <v>0</v>
      </c>
      <c r="W186">
        <f t="shared" ca="1" si="80"/>
        <v>0.05</v>
      </c>
      <c r="X186">
        <f t="shared" ca="1" si="81"/>
        <v>0.30000000000000004</v>
      </c>
      <c r="Y186">
        <f t="shared" ca="1" si="82"/>
        <v>4.9180327868852472E-2</v>
      </c>
      <c r="Z186">
        <f t="shared" ca="1" si="83"/>
        <v>169.99999999999997</v>
      </c>
      <c r="AA186">
        <f t="shared" ca="1" si="84"/>
        <v>633.97349999999994</v>
      </c>
      <c r="AB186">
        <f t="shared" ca="1" si="85"/>
        <v>2106.9602482161054</v>
      </c>
      <c r="AC186">
        <f t="shared" ca="1" si="86"/>
        <v>360.87638854062874</v>
      </c>
      <c r="AD186">
        <f t="shared" ca="1" si="87"/>
        <v>242.73333089760089</v>
      </c>
      <c r="AE186">
        <f t="shared" ca="1" si="88"/>
        <v>883.7995489296635</v>
      </c>
      <c r="AF186">
        <f t="shared" ca="1" si="89"/>
        <v>361.01028677372415</v>
      </c>
      <c r="AG186">
        <f t="shared" ca="1" si="90"/>
        <v>0</v>
      </c>
      <c r="AH186">
        <f ca="1">IF(V32="Supercritical",L186,IF(V32="Subcritical",W186,IF(AND(V186=1,AG186=1),IF(T186&gt;=AE186,L186,W186),IF(V186=1,L186,IF(AG186=1,W186,MAX($D$16,POWER((ABS(K186)^2)/($I$5*MAX(F186,0.1)^2),1/3)))))))</f>
        <v>1.9456122022228524</v>
      </c>
      <c r="AI186">
        <f t="shared" ca="1" si="91"/>
        <v>635.86911220222282</v>
      </c>
      <c r="AJ186">
        <f t="shared" ca="1" si="92"/>
        <v>636.8419183033343</v>
      </c>
      <c r="AM186">
        <v>0</v>
      </c>
      <c r="AN186">
        <v>0</v>
      </c>
      <c r="AO186">
        <f t="shared" si="93"/>
        <v>0</v>
      </c>
      <c r="AP186">
        <f t="shared" si="102"/>
        <v>0</v>
      </c>
      <c r="AQ186">
        <f t="shared" ca="1" si="94"/>
        <v>1</v>
      </c>
      <c r="AR186" t="str">
        <f t="shared" ca="1" si="95"/>
        <v>Supercritical</v>
      </c>
      <c r="AS186">
        <f t="shared" ca="1" si="96"/>
        <v>3.4432178763879138E-3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191</v>
      </c>
      <c r="I187">
        <v>0.08</v>
      </c>
      <c r="J187">
        <f t="shared" si="97"/>
        <v>1</v>
      </c>
      <c r="K187">
        <f t="shared" si="98"/>
        <v>51</v>
      </c>
      <c r="L187">
        <f t="shared" ca="1" si="99"/>
        <v>0.05</v>
      </c>
      <c r="M187">
        <f t="shared" ca="1" si="72"/>
        <v>0.30000000000000004</v>
      </c>
      <c r="N187">
        <f t="shared" ca="1" si="73"/>
        <v>4.9180327868852472E-2</v>
      </c>
      <c r="O187">
        <f t="shared" ca="1" si="74"/>
        <v>169.99999999999997</v>
      </c>
      <c r="P187">
        <f t="shared" ca="1" si="75"/>
        <v>633.91099999999994</v>
      </c>
      <c r="Q187">
        <f t="shared" ca="1" si="76"/>
        <v>2106.8977482161054</v>
      </c>
      <c r="R187">
        <f t="shared" ca="1" si="77"/>
        <v>360.87638854062874</v>
      </c>
      <c r="S187">
        <f t="shared" ca="1" si="78"/>
        <v>242.73333089760089</v>
      </c>
      <c r="T187">
        <f t="shared" ca="1" si="79"/>
        <v>883.7995489296635</v>
      </c>
      <c r="U187">
        <f t="shared" ca="1" si="100"/>
        <v>-361.01028677372437</v>
      </c>
      <c r="V187">
        <f t="shared" ca="1" si="101"/>
        <v>0</v>
      </c>
      <c r="W187">
        <f t="shared" ca="1" si="80"/>
        <v>0.05</v>
      </c>
      <c r="X187">
        <f t="shared" ca="1" si="81"/>
        <v>0.30000000000000004</v>
      </c>
      <c r="Y187">
        <f t="shared" ca="1" si="82"/>
        <v>4.9180327868852472E-2</v>
      </c>
      <c r="Z187">
        <f t="shared" ca="1" si="83"/>
        <v>169.99999999999997</v>
      </c>
      <c r="AA187">
        <f t="shared" ca="1" si="84"/>
        <v>633.91099999999994</v>
      </c>
      <c r="AB187">
        <f t="shared" ca="1" si="85"/>
        <v>2106.8977482161054</v>
      </c>
      <c r="AC187">
        <f t="shared" ca="1" si="86"/>
        <v>360.87638854062874</v>
      </c>
      <c r="AD187">
        <f t="shared" ca="1" si="87"/>
        <v>242.73333089760089</v>
      </c>
      <c r="AE187">
        <f t="shared" ca="1" si="88"/>
        <v>883.7995489296635</v>
      </c>
      <c r="AF187">
        <f t="shared" ca="1" si="89"/>
        <v>361.01028677372415</v>
      </c>
      <c r="AG187">
        <f t="shared" ca="1" si="90"/>
        <v>0</v>
      </c>
      <c r="AH187">
        <f ca="1">IF(V32="Supercritical",L187,IF(V32="Subcritical",W187,IF(AND(V187=1,AG187=1),IF(T187&gt;=AE187,L187,W187),IF(V187=1,L187,IF(AG187=1,W187,MAX($D$16,POWER((ABS(K187)^2)/($I$5*MAX(F187,0.1)^2),1/3)))))))</f>
        <v>1.9456122022228524</v>
      </c>
      <c r="AI187">
        <f t="shared" ca="1" si="91"/>
        <v>635.80661220222282</v>
      </c>
      <c r="AJ187">
        <f t="shared" ca="1" si="92"/>
        <v>636.7794183033343</v>
      </c>
      <c r="AM187">
        <v>0</v>
      </c>
      <c r="AN187">
        <v>0</v>
      </c>
      <c r="AO187">
        <f t="shared" si="93"/>
        <v>0</v>
      </c>
      <c r="AP187">
        <f t="shared" si="102"/>
        <v>0</v>
      </c>
      <c r="AQ187">
        <f t="shared" ca="1" si="94"/>
        <v>1</v>
      </c>
      <c r="AR187" t="str">
        <f t="shared" ca="1" si="95"/>
        <v>Supercritical</v>
      </c>
      <c r="AS187">
        <f t="shared" ca="1" si="96"/>
        <v>3.4432178763879138E-3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191</v>
      </c>
      <c r="I188">
        <v>0.08</v>
      </c>
      <c r="J188">
        <f t="shared" si="97"/>
        <v>1</v>
      </c>
      <c r="K188">
        <f t="shared" si="98"/>
        <v>51</v>
      </c>
      <c r="L188">
        <f t="shared" ca="1" si="99"/>
        <v>0.05</v>
      </c>
      <c r="M188">
        <f t="shared" ca="1" si="72"/>
        <v>0.30000000000000004</v>
      </c>
      <c r="N188">
        <f t="shared" ca="1" si="73"/>
        <v>4.9180327868852472E-2</v>
      </c>
      <c r="O188">
        <f t="shared" ca="1" si="74"/>
        <v>169.99999999999997</v>
      </c>
      <c r="P188">
        <f t="shared" ca="1" si="75"/>
        <v>633.84849999999994</v>
      </c>
      <c r="Q188">
        <f t="shared" ca="1" si="76"/>
        <v>2106.8352482161054</v>
      </c>
      <c r="R188">
        <f t="shared" ca="1" si="77"/>
        <v>360.87638854062874</v>
      </c>
      <c r="S188">
        <f t="shared" ca="1" si="78"/>
        <v>242.73333089760089</v>
      </c>
      <c r="T188">
        <f t="shared" ca="1" si="79"/>
        <v>883.7995489296635</v>
      </c>
      <c r="U188">
        <f t="shared" ca="1" si="100"/>
        <v>-361.01028677372437</v>
      </c>
      <c r="V188">
        <f t="shared" ca="1" si="101"/>
        <v>0</v>
      </c>
      <c r="W188">
        <f t="shared" ca="1" si="80"/>
        <v>0.05</v>
      </c>
      <c r="X188">
        <f t="shared" ca="1" si="81"/>
        <v>0.30000000000000004</v>
      </c>
      <c r="Y188">
        <f t="shared" ca="1" si="82"/>
        <v>4.9180327868852472E-2</v>
      </c>
      <c r="Z188">
        <f t="shared" ca="1" si="83"/>
        <v>169.99999999999997</v>
      </c>
      <c r="AA188">
        <f t="shared" ca="1" si="84"/>
        <v>633.84849999999994</v>
      </c>
      <c r="AB188">
        <f t="shared" ca="1" si="85"/>
        <v>2106.8352482161054</v>
      </c>
      <c r="AC188">
        <f t="shared" ca="1" si="86"/>
        <v>360.87638854062874</v>
      </c>
      <c r="AD188">
        <f t="shared" ca="1" si="87"/>
        <v>242.73333089760089</v>
      </c>
      <c r="AE188">
        <f t="shared" ca="1" si="88"/>
        <v>883.7995489296635</v>
      </c>
      <c r="AF188">
        <f t="shared" ca="1" si="89"/>
        <v>361.61140121871495</v>
      </c>
      <c r="AG188">
        <f t="shared" ca="1" si="90"/>
        <v>0</v>
      </c>
      <c r="AH188">
        <f ca="1">IF(V32="Supercritical",L188,IF(V32="Subcritical",W188,IF(AND(V188=1,AG188=1),IF(T188&gt;=AE188,L188,W188),IF(V188=1,L188,IF(AG188=1,W188,MAX($D$16,POWER((ABS(K188)^2)/($I$5*MAX(F188,0.1)^2),1/3)))))))</f>
        <v>1.9456122022228524</v>
      </c>
      <c r="AI188">
        <f t="shared" ca="1" si="91"/>
        <v>635.74411220222282</v>
      </c>
      <c r="AJ188">
        <f t="shared" ca="1" si="92"/>
        <v>636.7169183033343</v>
      </c>
      <c r="AM188">
        <v>0</v>
      </c>
      <c r="AN188">
        <v>0</v>
      </c>
      <c r="AO188">
        <f t="shared" si="93"/>
        <v>0</v>
      </c>
      <c r="AP188">
        <f t="shared" si="102"/>
        <v>0</v>
      </c>
      <c r="AQ188">
        <f t="shared" ca="1" si="94"/>
        <v>1</v>
      </c>
      <c r="AR188" t="str">
        <f t="shared" ca="1" si="95"/>
        <v>Supercritical</v>
      </c>
      <c r="AS188">
        <f t="shared" ca="1" si="96"/>
        <v>3.4432178763879138E-3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191</v>
      </c>
      <c r="I189">
        <v>0.08</v>
      </c>
      <c r="J189">
        <f t="shared" si="97"/>
        <v>1</v>
      </c>
      <c r="K189">
        <f t="shared" si="98"/>
        <v>51</v>
      </c>
      <c r="L189">
        <f t="shared" ca="1" si="99"/>
        <v>0.05</v>
      </c>
      <c r="M189">
        <f t="shared" ca="1" si="72"/>
        <v>0.29994999999999999</v>
      </c>
      <c r="N189">
        <f t="shared" ca="1" si="73"/>
        <v>4.9180193474340057E-2</v>
      </c>
      <c r="O189">
        <f t="shared" ca="1" si="74"/>
        <v>170.02833805634273</v>
      </c>
      <c r="P189">
        <f t="shared" ca="1" si="75"/>
        <v>633.78599999999994</v>
      </c>
      <c r="Q189">
        <f t="shared" ca="1" si="76"/>
        <v>2107.2638665750237</v>
      </c>
      <c r="R189">
        <f t="shared" ca="1" si="77"/>
        <v>360.99802607609354</v>
      </c>
      <c r="S189">
        <f t="shared" ca="1" si="78"/>
        <v>242.77379319646704</v>
      </c>
      <c r="T189">
        <f t="shared" ca="1" si="79"/>
        <v>883.94687090835669</v>
      </c>
      <c r="U189">
        <f t="shared" ca="1" si="100"/>
        <v>-361.61140121871472</v>
      </c>
      <c r="V189">
        <f t="shared" ca="1" si="101"/>
        <v>0</v>
      </c>
      <c r="W189">
        <f t="shared" ca="1" si="80"/>
        <v>0.05</v>
      </c>
      <c r="X189">
        <f t="shared" ca="1" si="81"/>
        <v>0.29994999999999999</v>
      </c>
      <c r="Y189">
        <f t="shared" ca="1" si="82"/>
        <v>4.9180193474340057E-2</v>
      </c>
      <c r="Z189">
        <f t="shared" ca="1" si="83"/>
        <v>170.02833805634273</v>
      </c>
      <c r="AA189">
        <f t="shared" ca="1" si="84"/>
        <v>633.78599999999994</v>
      </c>
      <c r="AB189">
        <f t="shared" ca="1" si="85"/>
        <v>2107.2638665750237</v>
      </c>
      <c r="AC189">
        <f t="shared" ca="1" si="86"/>
        <v>360.99802607609354</v>
      </c>
      <c r="AD189">
        <f t="shared" ca="1" si="87"/>
        <v>242.77379319646704</v>
      </c>
      <c r="AE189">
        <f t="shared" ca="1" si="88"/>
        <v>883.94687090835669</v>
      </c>
      <c r="AF189">
        <f t="shared" ca="1" si="89"/>
        <v>361.19248979163694</v>
      </c>
      <c r="AG189">
        <f t="shared" ca="1" si="90"/>
        <v>0</v>
      </c>
      <c r="AH189">
        <f ca="1">IF(V32="Supercritical",L189,IF(V32="Subcritical",W189,IF(AND(V189=1,AG189=1),IF(T189&gt;=AE189,L189,W189),IF(V189=1,L189,IF(AG189=1,W189,MAX($D$16,POWER((ABS(K189)^2)/($I$5*MAX(F189,0.1)^2),1/3)))))))</f>
        <v>1.9458284113857611</v>
      </c>
      <c r="AI189">
        <f t="shared" ca="1" si="91"/>
        <v>635.68182841138571</v>
      </c>
      <c r="AJ189">
        <f t="shared" ca="1" si="92"/>
        <v>636.65474261707857</v>
      </c>
      <c r="AM189">
        <v>0</v>
      </c>
      <c r="AN189">
        <v>0</v>
      </c>
      <c r="AO189">
        <f t="shared" si="93"/>
        <v>0</v>
      </c>
      <c r="AP189">
        <f t="shared" si="102"/>
        <v>0</v>
      </c>
      <c r="AQ189">
        <f t="shared" ca="1" si="94"/>
        <v>1</v>
      </c>
      <c r="AR189" t="str">
        <f t="shared" ca="1" si="95"/>
        <v>Supercritical</v>
      </c>
      <c r="AS189">
        <f t="shared" ca="1" si="96"/>
        <v>3.4435921353509883E-3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191</v>
      </c>
      <c r="I190">
        <v>0.08</v>
      </c>
      <c r="J190">
        <f t="shared" si="97"/>
        <v>1</v>
      </c>
      <c r="K190">
        <f t="shared" si="98"/>
        <v>51</v>
      </c>
      <c r="L190">
        <f t="shared" ca="1" si="99"/>
        <v>0.05</v>
      </c>
      <c r="M190">
        <f t="shared" ca="1" si="72"/>
        <v>0.29994999999999999</v>
      </c>
      <c r="N190">
        <f t="shared" ca="1" si="73"/>
        <v>4.9180193474340057E-2</v>
      </c>
      <c r="O190">
        <f t="shared" ca="1" si="74"/>
        <v>170.02833805634273</v>
      </c>
      <c r="P190">
        <f t="shared" ca="1" si="75"/>
        <v>633.78399999999999</v>
      </c>
      <c r="Q190">
        <f t="shared" ca="1" si="76"/>
        <v>2107.2618665750238</v>
      </c>
      <c r="R190">
        <f t="shared" ca="1" si="77"/>
        <v>360.99802607609354</v>
      </c>
      <c r="S190">
        <f t="shared" ca="1" si="78"/>
        <v>242.77379319646704</v>
      </c>
      <c r="T190">
        <f t="shared" ca="1" si="79"/>
        <v>883.94687090835669</v>
      </c>
      <c r="U190">
        <f t="shared" ca="1" si="100"/>
        <v>-361.19248979163694</v>
      </c>
      <c r="V190">
        <f t="shared" ca="1" si="101"/>
        <v>0</v>
      </c>
      <c r="W190">
        <f t="shared" ca="1" si="80"/>
        <v>0.05</v>
      </c>
      <c r="X190">
        <f t="shared" ca="1" si="81"/>
        <v>0.29994999999999999</v>
      </c>
      <c r="Y190">
        <f t="shared" ca="1" si="82"/>
        <v>4.9180193474340057E-2</v>
      </c>
      <c r="Z190">
        <f t="shared" ca="1" si="83"/>
        <v>170.02833805634273</v>
      </c>
      <c r="AA190">
        <f t="shared" ca="1" si="84"/>
        <v>633.78399999999999</v>
      </c>
      <c r="AB190">
        <f t="shared" ca="1" si="85"/>
        <v>2107.2618665750238</v>
      </c>
      <c r="AC190">
        <f t="shared" ca="1" si="86"/>
        <v>360.99802607609354</v>
      </c>
      <c r="AD190">
        <f t="shared" ca="1" si="87"/>
        <v>242.77379319646704</v>
      </c>
      <c r="AE190">
        <f t="shared" ca="1" si="88"/>
        <v>883.94687090835669</v>
      </c>
      <c r="AF190">
        <f t="shared" ca="1" si="89"/>
        <v>361.19248979163694</v>
      </c>
      <c r="AG190">
        <f t="shared" ca="1" si="90"/>
        <v>0</v>
      </c>
      <c r="AH190">
        <f ca="1">IF(V32="Supercritical",L190,IF(V32="Subcritical",W190,IF(AND(V190=1,AG190=1),IF(T190&gt;=AE190,L190,W190),IF(V190=1,L190,IF(AG190=1,W190,MAX($D$16,POWER((ABS(K190)^2)/($I$5*MAX(F190,0.1)^2),1/3)))))))</f>
        <v>1.9458284113857611</v>
      </c>
      <c r="AI190">
        <f t="shared" ca="1" si="91"/>
        <v>635.67982841138576</v>
      </c>
      <c r="AJ190">
        <f t="shared" ca="1" si="92"/>
        <v>636.65274261707862</v>
      </c>
      <c r="AM190">
        <v>0</v>
      </c>
      <c r="AN190">
        <v>0</v>
      </c>
      <c r="AO190">
        <f t="shared" si="93"/>
        <v>0</v>
      </c>
      <c r="AP190">
        <f t="shared" si="102"/>
        <v>0</v>
      </c>
      <c r="AQ190">
        <f t="shared" ca="1" si="94"/>
        <v>1</v>
      </c>
      <c r="AR190" t="str">
        <f t="shared" ca="1" si="95"/>
        <v>Supercritical</v>
      </c>
      <c r="AS190">
        <f t="shared" ca="1" si="96"/>
        <v>3.4435921353509883E-3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191</v>
      </c>
      <c r="I191">
        <v>0.08</v>
      </c>
      <c r="J191">
        <f t="shared" si="97"/>
        <v>1</v>
      </c>
      <c r="K191">
        <f t="shared" si="98"/>
        <v>51</v>
      </c>
      <c r="L191">
        <f t="shared" ca="1" si="99"/>
        <v>0.05</v>
      </c>
      <c r="M191">
        <f t="shared" ca="1" si="72"/>
        <v>0.29994999999999999</v>
      </c>
      <c r="N191">
        <f t="shared" ca="1" si="73"/>
        <v>4.9180193474340057E-2</v>
      </c>
      <c r="O191">
        <f t="shared" ca="1" si="74"/>
        <v>170.02833805634273</v>
      </c>
      <c r="P191">
        <f t="shared" ca="1" si="75"/>
        <v>633.78199999999993</v>
      </c>
      <c r="Q191">
        <f t="shared" ca="1" si="76"/>
        <v>2107.2598665750238</v>
      </c>
      <c r="R191">
        <f t="shared" ca="1" si="77"/>
        <v>360.99802607609354</v>
      </c>
      <c r="S191">
        <f t="shared" ca="1" si="78"/>
        <v>242.77379319646704</v>
      </c>
      <c r="T191">
        <f t="shared" ca="1" si="79"/>
        <v>883.94687090835669</v>
      </c>
      <c r="U191">
        <f t="shared" ca="1" si="100"/>
        <v>-361.19248979163694</v>
      </c>
      <c r="V191">
        <f t="shared" ca="1" si="101"/>
        <v>0</v>
      </c>
      <c r="W191">
        <f t="shared" ca="1" si="80"/>
        <v>0.05</v>
      </c>
      <c r="X191">
        <f t="shared" ca="1" si="81"/>
        <v>0.29994999999999999</v>
      </c>
      <c r="Y191">
        <f t="shared" ca="1" si="82"/>
        <v>4.9180193474340057E-2</v>
      </c>
      <c r="Z191">
        <f t="shared" ca="1" si="83"/>
        <v>170.02833805634273</v>
      </c>
      <c r="AA191">
        <f t="shared" ca="1" si="84"/>
        <v>633.78199999999993</v>
      </c>
      <c r="AB191">
        <f t="shared" ca="1" si="85"/>
        <v>2107.2598665750238</v>
      </c>
      <c r="AC191">
        <f t="shared" ca="1" si="86"/>
        <v>360.99802607609354</v>
      </c>
      <c r="AD191">
        <f t="shared" ca="1" si="87"/>
        <v>242.77379319646704</v>
      </c>
      <c r="AE191">
        <f t="shared" ca="1" si="88"/>
        <v>883.94687090835669</v>
      </c>
      <c r="AF191">
        <f t="shared" ca="1" si="89"/>
        <v>361.19248979163694</v>
      </c>
      <c r="AG191">
        <f t="shared" ca="1" si="90"/>
        <v>0</v>
      </c>
      <c r="AH191">
        <f ca="1">IF(V32="Supercritical",L191,IF(V32="Subcritical",W191,IF(AND(V191=1,AG191=1),IF(T191&gt;=AE191,L191,W191),IF(V191=1,L191,IF(AG191=1,W191,MAX($D$16,POWER((ABS(K191)^2)/($I$5*MAX(F191,0.1)^2),1/3)))))))</f>
        <v>1.9458284113857611</v>
      </c>
      <c r="AI191">
        <f t="shared" ca="1" si="91"/>
        <v>635.67782841138569</v>
      </c>
      <c r="AJ191">
        <f t="shared" ca="1" si="92"/>
        <v>636.65074261707855</v>
      </c>
      <c r="AM191">
        <v>0</v>
      </c>
      <c r="AN191">
        <v>0</v>
      </c>
      <c r="AO191">
        <f t="shared" si="93"/>
        <v>0</v>
      </c>
      <c r="AP191">
        <f t="shared" si="102"/>
        <v>0</v>
      </c>
      <c r="AQ191">
        <f t="shared" ca="1" si="94"/>
        <v>1</v>
      </c>
      <c r="AR191" t="str">
        <f t="shared" ca="1" si="95"/>
        <v>Supercritical</v>
      </c>
      <c r="AS191">
        <f t="shared" ca="1" si="96"/>
        <v>3.4435921353509883E-3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191</v>
      </c>
      <c r="I192">
        <v>0.08</v>
      </c>
      <c r="J192">
        <f t="shared" si="97"/>
        <v>1</v>
      </c>
      <c r="K192">
        <f t="shared" si="98"/>
        <v>51</v>
      </c>
      <c r="L192">
        <f t="shared" ca="1" si="99"/>
        <v>0.05</v>
      </c>
      <c r="M192">
        <f t="shared" ca="1" si="72"/>
        <v>0.29994999999999999</v>
      </c>
      <c r="N192">
        <f t="shared" ca="1" si="73"/>
        <v>4.9180193474340057E-2</v>
      </c>
      <c r="O192">
        <f t="shared" ca="1" si="74"/>
        <v>170.02833805634273</v>
      </c>
      <c r="P192">
        <f t="shared" ca="1" si="75"/>
        <v>633.78</v>
      </c>
      <c r="Q192">
        <f t="shared" ca="1" si="76"/>
        <v>2107.2578665750239</v>
      </c>
      <c r="R192">
        <f t="shared" ca="1" si="77"/>
        <v>360.99802607609354</v>
      </c>
      <c r="S192">
        <f t="shared" ca="1" si="78"/>
        <v>242.77379319646704</v>
      </c>
      <c r="T192">
        <f t="shared" ca="1" si="79"/>
        <v>883.94687090835669</v>
      </c>
      <c r="U192">
        <f t="shared" ca="1" si="100"/>
        <v>-361.19248979163694</v>
      </c>
      <c r="V192">
        <f t="shared" ca="1" si="101"/>
        <v>0</v>
      </c>
      <c r="W192">
        <f t="shared" ca="1" si="80"/>
        <v>0.05</v>
      </c>
      <c r="X192">
        <f t="shared" ca="1" si="81"/>
        <v>0.29994999999999999</v>
      </c>
      <c r="Y192">
        <f t="shared" ca="1" si="82"/>
        <v>4.9180193474340057E-2</v>
      </c>
      <c r="Z192">
        <f t="shared" ca="1" si="83"/>
        <v>170.02833805634273</v>
      </c>
      <c r="AA192">
        <f t="shared" ca="1" si="84"/>
        <v>633.78</v>
      </c>
      <c r="AB192">
        <f t="shared" ca="1" si="85"/>
        <v>2107.2578665750239</v>
      </c>
      <c r="AC192">
        <f t="shared" ca="1" si="86"/>
        <v>360.99802607609354</v>
      </c>
      <c r="AD192">
        <f t="shared" ca="1" si="87"/>
        <v>242.77379319646704</v>
      </c>
      <c r="AE192">
        <f t="shared" ca="1" si="88"/>
        <v>883.94687090835669</v>
      </c>
      <c r="AF192">
        <f t="shared" ca="1" si="89"/>
        <v>361.19248979163694</v>
      </c>
      <c r="AG192">
        <f t="shared" ca="1" si="90"/>
        <v>0</v>
      </c>
      <c r="AH192">
        <f ca="1">IF(V32="Supercritical",L192,IF(V32="Subcritical",W192,IF(AND(V192=1,AG192=1),IF(T192&gt;=AE192,L192,W192),IF(V192=1,L192,IF(AG192=1,W192,MAX($D$16,POWER((ABS(K192)^2)/($I$5*MAX(F192,0.1)^2),1/3)))))))</f>
        <v>1.9458284113857611</v>
      </c>
      <c r="AI192">
        <f t="shared" ca="1" si="91"/>
        <v>635.67582841138574</v>
      </c>
      <c r="AJ192">
        <f t="shared" ca="1" si="92"/>
        <v>636.6487426170786</v>
      </c>
      <c r="AM192">
        <v>0</v>
      </c>
      <c r="AN192">
        <v>0</v>
      </c>
      <c r="AO192">
        <f t="shared" si="93"/>
        <v>0</v>
      </c>
      <c r="AP192">
        <f t="shared" si="102"/>
        <v>0</v>
      </c>
      <c r="AQ192">
        <f t="shared" ca="1" si="94"/>
        <v>1</v>
      </c>
      <c r="AR192" t="str">
        <f t="shared" ca="1" si="95"/>
        <v>Supercritical</v>
      </c>
      <c r="AS192">
        <f t="shared" ca="1" si="96"/>
        <v>3.4435921353509883E-3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191</v>
      </c>
      <c r="I193">
        <v>0.08</v>
      </c>
      <c r="J193">
        <f t="shared" si="97"/>
        <v>1</v>
      </c>
      <c r="K193">
        <f t="shared" si="98"/>
        <v>51</v>
      </c>
      <c r="L193">
        <f t="shared" ca="1" si="99"/>
        <v>0.05</v>
      </c>
      <c r="M193">
        <f t="shared" ca="1" si="72"/>
        <v>0.29994999999999999</v>
      </c>
      <c r="N193">
        <f t="shared" ca="1" si="73"/>
        <v>4.9180193474340057E-2</v>
      </c>
      <c r="O193">
        <f t="shared" ca="1" si="74"/>
        <v>170.02833805634273</v>
      </c>
      <c r="P193">
        <f t="shared" ca="1" si="75"/>
        <v>633.77799999999991</v>
      </c>
      <c r="Q193">
        <f t="shared" ca="1" si="76"/>
        <v>2107.2558665750239</v>
      </c>
      <c r="R193">
        <f t="shared" ca="1" si="77"/>
        <v>360.99802607609354</v>
      </c>
      <c r="S193">
        <f t="shared" ca="1" si="78"/>
        <v>242.77379319646704</v>
      </c>
      <c r="T193">
        <f t="shared" ca="1" si="79"/>
        <v>883.94687090835669</v>
      </c>
      <c r="U193">
        <f t="shared" ca="1" si="100"/>
        <v>-361.19248979163694</v>
      </c>
      <c r="V193">
        <f t="shared" ca="1" si="101"/>
        <v>0</v>
      </c>
      <c r="W193">
        <f t="shared" ca="1" si="80"/>
        <v>0.05</v>
      </c>
      <c r="X193">
        <f t="shared" ca="1" si="81"/>
        <v>0.29994999999999999</v>
      </c>
      <c r="Y193">
        <f t="shared" ca="1" si="82"/>
        <v>4.9180193474340057E-2</v>
      </c>
      <c r="Z193">
        <f t="shared" ca="1" si="83"/>
        <v>170.02833805634273</v>
      </c>
      <c r="AA193">
        <f t="shared" ca="1" si="84"/>
        <v>633.77799999999991</v>
      </c>
      <c r="AB193">
        <f t="shared" ca="1" si="85"/>
        <v>2107.2558665750239</v>
      </c>
      <c r="AC193">
        <f t="shared" ca="1" si="86"/>
        <v>360.99802607609354</v>
      </c>
      <c r="AD193">
        <f t="shared" ca="1" si="87"/>
        <v>242.77379319646704</v>
      </c>
      <c r="AE193">
        <f t="shared" ca="1" si="88"/>
        <v>883.94687090835669</v>
      </c>
      <c r="AF193">
        <f t="shared" ca="1" si="89"/>
        <v>361.19248979163694</v>
      </c>
      <c r="AG193">
        <f t="shared" ca="1" si="90"/>
        <v>0</v>
      </c>
      <c r="AH193">
        <f ca="1">IF(V32="Supercritical",L193,IF(V32="Subcritical",W193,IF(AND(V193=1,AG193=1),IF(T193&gt;=AE193,L193,W193),IF(V193=1,L193,IF(AG193=1,W193,MAX($D$16,POWER((ABS(K193)^2)/($I$5*MAX(F193,0.1)^2),1/3)))))))</f>
        <v>1.9458284113857611</v>
      </c>
      <c r="AI193">
        <f t="shared" ca="1" si="91"/>
        <v>635.67382841138567</v>
      </c>
      <c r="AJ193">
        <f t="shared" ca="1" si="92"/>
        <v>636.64674261707853</v>
      </c>
      <c r="AM193">
        <v>0</v>
      </c>
      <c r="AN193">
        <v>0</v>
      </c>
      <c r="AO193">
        <f t="shared" si="93"/>
        <v>0</v>
      </c>
      <c r="AP193">
        <f t="shared" si="102"/>
        <v>0</v>
      </c>
      <c r="AQ193">
        <f t="shared" ca="1" si="94"/>
        <v>1</v>
      </c>
      <c r="AR193" t="str">
        <f t="shared" ca="1" si="95"/>
        <v>Supercritical</v>
      </c>
      <c r="AS193">
        <f t="shared" ca="1" si="96"/>
        <v>3.4435921353509883E-3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191</v>
      </c>
      <c r="I194">
        <v>0.08</v>
      </c>
      <c r="J194">
        <f t="shared" si="97"/>
        <v>1</v>
      </c>
      <c r="K194">
        <f t="shared" si="98"/>
        <v>51</v>
      </c>
      <c r="L194">
        <f t="shared" ca="1" si="99"/>
        <v>0.05</v>
      </c>
      <c r="M194">
        <f t="shared" ca="1" si="72"/>
        <v>0.29994999999999999</v>
      </c>
      <c r="N194">
        <f t="shared" ca="1" si="73"/>
        <v>4.9180193474340057E-2</v>
      </c>
      <c r="O194">
        <f t="shared" ca="1" si="74"/>
        <v>170.02833805634273</v>
      </c>
      <c r="P194">
        <f t="shared" ca="1" si="75"/>
        <v>633.77599999999995</v>
      </c>
      <c r="Q194">
        <f t="shared" ca="1" si="76"/>
        <v>2107.2538665750239</v>
      </c>
      <c r="R194">
        <f t="shared" ca="1" si="77"/>
        <v>360.99802607609354</v>
      </c>
      <c r="S194">
        <f t="shared" ca="1" si="78"/>
        <v>242.77379319646704</v>
      </c>
      <c r="T194">
        <f t="shared" ca="1" si="79"/>
        <v>883.94687090835669</v>
      </c>
      <c r="U194">
        <f t="shared" ca="1" si="100"/>
        <v>-361.19248979163694</v>
      </c>
      <c r="V194">
        <f t="shared" ca="1" si="101"/>
        <v>0</v>
      </c>
      <c r="W194">
        <f t="shared" ca="1" si="80"/>
        <v>0.05</v>
      </c>
      <c r="X194">
        <f t="shared" ca="1" si="81"/>
        <v>0.29994999999999999</v>
      </c>
      <c r="Y194">
        <f t="shared" ca="1" si="82"/>
        <v>4.9180193474340057E-2</v>
      </c>
      <c r="Z194">
        <f t="shared" ca="1" si="83"/>
        <v>170.02833805634273</v>
      </c>
      <c r="AA194">
        <f t="shared" ca="1" si="84"/>
        <v>633.77599999999995</v>
      </c>
      <c r="AB194">
        <f t="shared" ca="1" si="85"/>
        <v>2107.2538665750239</v>
      </c>
      <c r="AC194">
        <f t="shared" ca="1" si="86"/>
        <v>360.99802607609354</v>
      </c>
      <c r="AD194">
        <f t="shared" ca="1" si="87"/>
        <v>242.77379319646704</v>
      </c>
      <c r="AE194">
        <f t="shared" ca="1" si="88"/>
        <v>883.94687090835669</v>
      </c>
      <c r="AF194">
        <f t="shared" ca="1" si="89"/>
        <v>361.19248979163694</v>
      </c>
      <c r="AG194">
        <f t="shared" ca="1" si="90"/>
        <v>0</v>
      </c>
      <c r="AH194">
        <f ca="1">IF(V32="Supercritical",L194,IF(V32="Subcritical",W194,IF(AND(V194=1,AG194=1),IF(T194&gt;=AE194,L194,W194),IF(V194=1,L194,IF(AG194=1,W194,MAX($D$16,POWER((ABS(K194)^2)/($I$5*MAX(F194,0.1)^2),1/3)))))))</f>
        <v>1.9458284113857611</v>
      </c>
      <c r="AI194">
        <f t="shared" ca="1" si="91"/>
        <v>635.67182841138572</v>
      </c>
      <c r="AJ194">
        <f t="shared" ca="1" si="92"/>
        <v>636.64474261707858</v>
      </c>
      <c r="AM194">
        <v>0</v>
      </c>
      <c r="AN194">
        <v>0</v>
      </c>
      <c r="AO194">
        <f t="shared" si="93"/>
        <v>0</v>
      </c>
      <c r="AP194">
        <f t="shared" si="102"/>
        <v>0</v>
      </c>
      <c r="AQ194">
        <f t="shared" ca="1" si="94"/>
        <v>1</v>
      </c>
      <c r="AR194" t="str">
        <f t="shared" ca="1" si="95"/>
        <v>Supercritical</v>
      </c>
      <c r="AS194">
        <f t="shared" ca="1" si="96"/>
        <v>3.4435921353509883E-3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191</v>
      </c>
      <c r="I195">
        <v>0.08</v>
      </c>
      <c r="J195">
        <f t="shared" si="97"/>
        <v>1</v>
      </c>
      <c r="K195">
        <f t="shared" si="98"/>
        <v>51</v>
      </c>
      <c r="L195">
        <f t="shared" ca="1" si="99"/>
        <v>0.05</v>
      </c>
      <c r="M195">
        <f t="shared" ca="1" si="72"/>
        <v>0.29994999999999999</v>
      </c>
      <c r="N195">
        <f t="shared" ca="1" si="73"/>
        <v>4.9180193474340057E-2</v>
      </c>
      <c r="O195">
        <f t="shared" ca="1" si="74"/>
        <v>170.02833805634273</v>
      </c>
      <c r="P195">
        <f t="shared" ca="1" si="75"/>
        <v>633.774</v>
      </c>
      <c r="Q195">
        <f t="shared" ca="1" si="76"/>
        <v>2107.251866575024</v>
      </c>
      <c r="R195">
        <f t="shared" ca="1" si="77"/>
        <v>360.99802607609354</v>
      </c>
      <c r="S195">
        <f t="shared" ca="1" si="78"/>
        <v>242.77379319646704</v>
      </c>
      <c r="T195">
        <f t="shared" ca="1" si="79"/>
        <v>883.94687090835669</v>
      </c>
      <c r="U195">
        <f t="shared" ca="1" si="100"/>
        <v>-361.19248979163694</v>
      </c>
      <c r="V195">
        <f t="shared" ca="1" si="101"/>
        <v>0</v>
      </c>
      <c r="W195">
        <f t="shared" ca="1" si="80"/>
        <v>0.05</v>
      </c>
      <c r="X195">
        <f t="shared" ca="1" si="81"/>
        <v>0.29994999999999999</v>
      </c>
      <c r="Y195">
        <f t="shared" ca="1" si="82"/>
        <v>4.9180193474340057E-2</v>
      </c>
      <c r="Z195">
        <f t="shared" ca="1" si="83"/>
        <v>170.02833805634273</v>
      </c>
      <c r="AA195">
        <f t="shared" ca="1" si="84"/>
        <v>633.774</v>
      </c>
      <c r="AB195">
        <f t="shared" ca="1" si="85"/>
        <v>2107.251866575024</v>
      </c>
      <c r="AC195">
        <f t="shared" ca="1" si="86"/>
        <v>360.99802607609354</v>
      </c>
      <c r="AD195">
        <f t="shared" ca="1" si="87"/>
        <v>242.77379319646704</v>
      </c>
      <c r="AE195">
        <f t="shared" ca="1" si="88"/>
        <v>883.94687090835669</v>
      </c>
      <c r="AF195">
        <f t="shared" ca="1" si="89"/>
        <v>361.19248979163649</v>
      </c>
      <c r="AG195">
        <f t="shared" ca="1" si="90"/>
        <v>0</v>
      </c>
      <c r="AH195">
        <f ca="1">IF(V32="Supercritical",L195,IF(V32="Subcritical",W195,IF(AND(V195=1,AG195=1),IF(T195&gt;=AE195,L195,W195),IF(V195=1,L195,IF(AG195=1,W195,MAX($D$16,POWER((ABS(K195)^2)/($I$5*MAX(F195,0.1)^2),1/3)))))))</f>
        <v>1.9458284113857611</v>
      </c>
      <c r="AI195">
        <f t="shared" ca="1" si="91"/>
        <v>635.66982841138577</v>
      </c>
      <c r="AJ195">
        <f t="shared" ca="1" si="92"/>
        <v>636.64274261707862</v>
      </c>
      <c r="AM195">
        <v>0</v>
      </c>
      <c r="AN195">
        <v>0</v>
      </c>
      <c r="AO195">
        <f t="shared" si="93"/>
        <v>0</v>
      </c>
      <c r="AP195">
        <f t="shared" si="102"/>
        <v>0</v>
      </c>
      <c r="AQ195">
        <f t="shared" ca="1" si="94"/>
        <v>1</v>
      </c>
      <c r="AR195" t="str">
        <f t="shared" ca="1" si="95"/>
        <v>Supercritical</v>
      </c>
      <c r="AS195">
        <f t="shared" ca="1" si="96"/>
        <v>3.4435921353509883E-3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191</v>
      </c>
      <c r="I196">
        <v>0.08</v>
      </c>
      <c r="J196">
        <f t="shared" si="97"/>
        <v>1</v>
      </c>
      <c r="K196">
        <f t="shared" si="98"/>
        <v>51</v>
      </c>
      <c r="L196">
        <f t="shared" ca="1" si="99"/>
        <v>0.05</v>
      </c>
      <c r="M196">
        <f t="shared" ca="1" si="72"/>
        <v>0.29994999999999999</v>
      </c>
      <c r="N196">
        <f t="shared" ca="1" si="73"/>
        <v>4.9180193474340057E-2</v>
      </c>
      <c r="O196">
        <f t="shared" ca="1" si="74"/>
        <v>170.02833805634273</v>
      </c>
      <c r="P196">
        <f t="shared" ca="1" si="75"/>
        <v>633.77199999999993</v>
      </c>
      <c r="Q196">
        <f t="shared" ca="1" si="76"/>
        <v>2107.2498665750236</v>
      </c>
      <c r="R196">
        <f t="shared" ca="1" si="77"/>
        <v>360.99802607609354</v>
      </c>
      <c r="S196">
        <f t="shared" ca="1" si="78"/>
        <v>242.77379319646704</v>
      </c>
      <c r="T196">
        <f t="shared" ca="1" si="79"/>
        <v>883.94687090835669</v>
      </c>
      <c r="U196">
        <f t="shared" ca="1" si="100"/>
        <v>-361.19248979163649</v>
      </c>
      <c r="V196">
        <f t="shared" ca="1" si="101"/>
        <v>0</v>
      </c>
      <c r="W196">
        <f t="shared" ca="1" si="80"/>
        <v>0.05</v>
      </c>
      <c r="X196">
        <f t="shared" ca="1" si="81"/>
        <v>0.29994999999999999</v>
      </c>
      <c r="Y196">
        <f t="shared" ca="1" si="82"/>
        <v>4.9180193474340057E-2</v>
      </c>
      <c r="Z196">
        <f t="shared" ca="1" si="83"/>
        <v>170.02833805634273</v>
      </c>
      <c r="AA196">
        <f t="shared" ca="1" si="84"/>
        <v>633.77199999999993</v>
      </c>
      <c r="AB196">
        <f t="shared" ca="1" si="85"/>
        <v>2107.2498665750236</v>
      </c>
      <c r="AC196">
        <f t="shared" ca="1" si="86"/>
        <v>360.99802607609354</v>
      </c>
      <c r="AD196">
        <f t="shared" ca="1" si="87"/>
        <v>242.77379319646704</v>
      </c>
      <c r="AE196">
        <f t="shared" ca="1" si="88"/>
        <v>883.94687090835669</v>
      </c>
      <c r="AF196">
        <f t="shared" ca="1" si="89"/>
        <v>361.03906735875535</v>
      </c>
      <c r="AG196">
        <f t="shared" ca="1" si="90"/>
        <v>0</v>
      </c>
      <c r="AH196">
        <f ca="1">IF(V32="Supercritical",L196,IF(V32="Subcritical",W196,IF(AND(V196=1,AG196=1),IF(T196&gt;=AE196,L196,W196),IF(V196=1,L196,IF(AG196=1,W196,MAX($D$16,POWER((ABS(K196)^2)/($I$5*MAX(F196,0.1)^2),1/3)))))))</f>
        <v>1.9458284113857611</v>
      </c>
      <c r="AI196">
        <f t="shared" ca="1" si="91"/>
        <v>635.6678284113857</v>
      </c>
      <c r="AJ196">
        <f t="shared" ca="1" si="92"/>
        <v>636.64074261707856</v>
      </c>
      <c r="AM196">
        <v>0</v>
      </c>
      <c r="AN196">
        <v>0</v>
      </c>
      <c r="AO196">
        <f t="shared" si="93"/>
        <v>0</v>
      </c>
      <c r="AP196">
        <f t="shared" si="102"/>
        <v>0</v>
      </c>
      <c r="AQ196">
        <f t="shared" ca="1" si="94"/>
        <v>1</v>
      </c>
      <c r="AR196" t="str">
        <f t="shared" ca="1" si="95"/>
        <v>Supercritical</v>
      </c>
      <c r="AS196">
        <f t="shared" ca="1" si="96"/>
        <v>3.4435921353509883E-3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191</v>
      </c>
      <c r="I197">
        <v>3.3000000000000002E-2</v>
      </c>
      <c r="J197">
        <f t="shared" si="97"/>
        <v>1</v>
      </c>
      <c r="K197">
        <f t="shared" si="98"/>
        <v>51</v>
      </c>
      <c r="L197">
        <f t="shared" ca="1" si="99"/>
        <v>0.05</v>
      </c>
      <c r="M197">
        <f t="shared" ca="1" si="72"/>
        <v>0.29994999999999999</v>
      </c>
      <c r="N197">
        <f t="shared" ca="1" si="73"/>
        <v>4.9180193474340057E-2</v>
      </c>
      <c r="O197">
        <f t="shared" ca="1" si="74"/>
        <v>170.02833805634273</v>
      </c>
      <c r="P197">
        <f t="shared" ca="1" si="75"/>
        <v>633.73199999999997</v>
      </c>
      <c r="Q197">
        <f t="shared" ca="1" si="76"/>
        <v>2107.2098665750236</v>
      </c>
      <c r="R197">
        <f t="shared" ca="1" si="77"/>
        <v>360.99802607609354</v>
      </c>
      <c r="S197">
        <f t="shared" ca="1" si="78"/>
        <v>242.77379319646704</v>
      </c>
      <c r="T197">
        <f t="shared" ca="1" si="79"/>
        <v>883.94687090835669</v>
      </c>
      <c r="U197">
        <f t="shared" ca="1" si="100"/>
        <v>-361.03906735875512</v>
      </c>
      <c r="V197">
        <f t="shared" ca="1" si="101"/>
        <v>0</v>
      </c>
      <c r="W197">
        <f t="shared" ca="1" si="80"/>
        <v>0.05</v>
      </c>
      <c r="X197">
        <f t="shared" ca="1" si="81"/>
        <v>0.29994999999999999</v>
      </c>
      <c r="Y197">
        <f t="shared" ca="1" si="82"/>
        <v>4.9180193474340057E-2</v>
      </c>
      <c r="Z197">
        <f t="shared" ca="1" si="83"/>
        <v>170.02833805634273</v>
      </c>
      <c r="AA197">
        <f t="shared" ca="1" si="84"/>
        <v>633.73199999999997</v>
      </c>
      <c r="AB197">
        <f t="shared" ca="1" si="85"/>
        <v>2107.2098665750236</v>
      </c>
      <c r="AC197">
        <f t="shared" ca="1" si="86"/>
        <v>360.99802607609354</v>
      </c>
      <c r="AD197">
        <f t="shared" ca="1" si="87"/>
        <v>242.77379319646704</v>
      </c>
      <c r="AE197">
        <f t="shared" ca="1" si="88"/>
        <v>883.94687090835669</v>
      </c>
      <c r="AF197">
        <f t="shared" ca="1" si="89"/>
        <v>360.63140920023625</v>
      </c>
      <c r="AG197">
        <f t="shared" ca="1" si="90"/>
        <v>0</v>
      </c>
      <c r="AH197">
        <f ca="1">IF(V32="Supercritical",L197,IF(V32="Subcritical",W197,IF(AND(V197=1,AG197=1),IF(T197&gt;=AE197,L197,W197),IF(V197=1,L197,IF(AG197=1,W197,MAX($D$16,POWER((ABS(K197)^2)/($I$5*MAX(F197,0.1)^2),1/3)))))))</f>
        <v>1.9458284113857611</v>
      </c>
      <c r="AI197">
        <f t="shared" ca="1" si="91"/>
        <v>635.62782841138574</v>
      </c>
      <c r="AJ197">
        <f t="shared" ca="1" si="92"/>
        <v>636.60074261707859</v>
      </c>
      <c r="AM197">
        <v>0</v>
      </c>
      <c r="AN197">
        <v>0</v>
      </c>
      <c r="AO197">
        <f t="shared" si="93"/>
        <v>0</v>
      </c>
      <c r="AP197">
        <f t="shared" si="102"/>
        <v>0</v>
      </c>
      <c r="AQ197">
        <f t="shared" ca="1" si="94"/>
        <v>1</v>
      </c>
      <c r="AR197" t="str">
        <f t="shared" ca="1" si="95"/>
        <v>Supercritical</v>
      </c>
      <c r="AS197">
        <f t="shared" ca="1" si="96"/>
        <v>3.4435921353509883E-3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191</v>
      </c>
      <c r="I198">
        <v>1.4E-2</v>
      </c>
      <c r="J198">
        <f t="shared" si="97"/>
        <v>0.99899999999999523</v>
      </c>
      <c r="K198">
        <f t="shared" si="98"/>
        <v>51</v>
      </c>
      <c r="L198">
        <f t="shared" ca="1" si="99"/>
        <v>0.05</v>
      </c>
      <c r="M198">
        <f t="shared" ca="1" si="72"/>
        <v>0.29994999999999999</v>
      </c>
      <c r="N198">
        <f t="shared" ca="1" si="73"/>
        <v>4.9180193474340057E-2</v>
      </c>
      <c r="O198">
        <f t="shared" ca="1" si="74"/>
        <v>170.02833805634273</v>
      </c>
      <c r="P198">
        <f t="shared" ca="1" si="75"/>
        <v>633.69200000000001</v>
      </c>
      <c r="Q198">
        <f t="shared" ca="1" si="76"/>
        <v>2107.1698665750237</v>
      </c>
      <c r="R198">
        <f t="shared" ca="1" si="77"/>
        <v>360.99802607609354</v>
      </c>
      <c r="S198">
        <f t="shared" ca="1" si="78"/>
        <v>242.77379319646704</v>
      </c>
      <c r="T198">
        <f t="shared" ca="1" si="79"/>
        <v>883.94687090835669</v>
      </c>
      <c r="U198">
        <f t="shared" ca="1" si="100"/>
        <v>-360.63140920023579</v>
      </c>
      <c r="V198">
        <f t="shared" ca="1" si="101"/>
        <v>0</v>
      </c>
      <c r="W198">
        <f t="shared" ca="1" si="80"/>
        <v>0.05</v>
      </c>
      <c r="X198">
        <f t="shared" ca="1" si="81"/>
        <v>0.29994999999999999</v>
      </c>
      <c r="Y198">
        <f t="shared" ca="1" si="82"/>
        <v>4.9180193474340057E-2</v>
      </c>
      <c r="Z198">
        <f t="shared" ca="1" si="83"/>
        <v>170.02833805634273</v>
      </c>
      <c r="AA198">
        <f t="shared" ca="1" si="84"/>
        <v>633.69200000000001</v>
      </c>
      <c r="AB198">
        <f t="shared" ca="1" si="85"/>
        <v>2107.1698665750237</v>
      </c>
      <c r="AC198">
        <f t="shared" ca="1" si="86"/>
        <v>360.99802607609354</v>
      </c>
      <c r="AD198">
        <f t="shared" ca="1" si="87"/>
        <v>242.77379319646704</v>
      </c>
      <c r="AE198">
        <f t="shared" ca="1" si="88"/>
        <v>883.94687090835669</v>
      </c>
      <c r="AF198">
        <f t="shared" ca="1" si="89"/>
        <v>361.43444653505276</v>
      </c>
      <c r="AG198">
        <f t="shared" ca="1" si="90"/>
        <v>0</v>
      </c>
      <c r="AH198">
        <f ca="1">IF(V32="Supercritical",L198,IF(V32="Subcritical",W198,IF(AND(V198=1,AG198=1),IF(T198&gt;=AE198,L198,W198),IF(V198=1,L198,IF(AG198=1,W198,MAX($D$16,POWER((ABS(K198)^2)/($I$5*MAX(F198,0.1)^2),1/3)))))))</f>
        <v>1.9458284113857611</v>
      </c>
      <c r="AI198">
        <f t="shared" ca="1" si="91"/>
        <v>635.58782841138577</v>
      </c>
      <c r="AJ198">
        <f t="shared" ca="1" si="92"/>
        <v>636.56074261707863</v>
      </c>
      <c r="AM198">
        <v>0</v>
      </c>
      <c r="AN198">
        <v>0</v>
      </c>
      <c r="AO198">
        <f t="shared" si="93"/>
        <v>0</v>
      </c>
      <c r="AP198">
        <f t="shared" si="102"/>
        <v>0</v>
      </c>
      <c r="AQ198">
        <f t="shared" ca="1" si="94"/>
        <v>1</v>
      </c>
      <c r="AR198" t="str">
        <f t="shared" ca="1" si="95"/>
        <v>Supercritical</v>
      </c>
      <c r="AS198">
        <f t="shared" ca="1" si="96"/>
        <v>3.4435921353509883E-3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191</v>
      </c>
      <c r="I199">
        <v>4.7E-2</v>
      </c>
      <c r="J199">
        <f t="shared" si="97"/>
        <v>1.0010000000000048</v>
      </c>
      <c r="K199">
        <f t="shared" si="98"/>
        <v>51</v>
      </c>
      <c r="L199">
        <f t="shared" ca="1" si="99"/>
        <v>0.05</v>
      </c>
      <c r="M199">
        <f t="shared" ca="1" si="72"/>
        <v>0.29994999999999999</v>
      </c>
      <c r="N199">
        <f t="shared" ca="1" si="73"/>
        <v>4.9180193474340057E-2</v>
      </c>
      <c r="O199">
        <f t="shared" ca="1" si="74"/>
        <v>170.02833805634273</v>
      </c>
      <c r="P199">
        <f t="shared" ca="1" si="75"/>
        <v>633.65199999999993</v>
      </c>
      <c r="Q199">
        <f t="shared" ca="1" si="76"/>
        <v>2107.1298665750237</v>
      </c>
      <c r="R199">
        <f t="shared" ca="1" si="77"/>
        <v>360.99802607609354</v>
      </c>
      <c r="S199">
        <f t="shared" ca="1" si="78"/>
        <v>242.77379319646704</v>
      </c>
      <c r="T199">
        <f t="shared" ca="1" si="79"/>
        <v>883.94687090835669</v>
      </c>
      <c r="U199">
        <f t="shared" ca="1" si="100"/>
        <v>-361.43444653505321</v>
      </c>
      <c r="V199">
        <f t="shared" ca="1" si="101"/>
        <v>0</v>
      </c>
      <c r="W199">
        <f t="shared" ca="1" si="80"/>
        <v>0.05</v>
      </c>
      <c r="X199">
        <f t="shared" ca="1" si="81"/>
        <v>0.29994999999999999</v>
      </c>
      <c r="Y199">
        <f t="shared" ca="1" si="82"/>
        <v>4.9180193474340057E-2</v>
      </c>
      <c r="Z199">
        <f t="shared" ca="1" si="83"/>
        <v>170.02833805634273</v>
      </c>
      <c r="AA199">
        <f t="shared" ca="1" si="84"/>
        <v>633.65199999999993</v>
      </c>
      <c r="AB199">
        <f t="shared" ca="1" si="85"/>
        <v>2107.1298665750237</v>
      </c>
      <c r="AC199">
        <f t="shared" ca="1" si="86"/>
        <v>360.99802607609354</v>
      </c>
      <c r="AD199">
        <f t="shared" ca="1" si="87"/>
        <v>242.77379319646704</v>
      </c>
      <c r="AE199">
        <f t="shared" ca="1" si="88"/>
        <v>883.94687090835669</v>
      </c>
      <c r="AF199">
        <f t="shared" ca="1" si="89"/>
        <v>364.7675047575467</v>
      </c>
      <c r="AG199">
        <f t="shared" ca="1" si="90"/>
        <v>0</v>
      </c>
      <c r="AH199">
        <f ca="1">IF(V32="Supercritical",L199,IF(V32="Subcritical",W199,IF(AND(V199=1,AG199=1),IF(T199&gt;=AE199,L199,W199),IF(V199=1,L199,IF(AG199=1,W199,MAX($D$16,POWER((ABS(K199)^2)/($I$5*MAX(F199,0.1)^2),1/3)))))))</f>
        <v>1.9458284113857611</v>
      </c>
      <c r="AI199">
        <f t="shared" ca="1" si="91"/>
        <v>635.54782841138569</v>
      </c>
      <c r="AJ199">
        <f t="shared" ca="1" si="92"/>
        <v>636.52074261707855</v>
      </c>
      <c r="AM199">
        <v>0</v>
      </c>
      <c r="AN199">
        <v>0</v>
      </c>
      <c r="AO199">
        <f t="shared" si="93"/>
        <v>0</v>
      </c>
      <c r="AP199">
        <f t="shared" si="102"/>
        <v>0</v>
      </c>
      <c r="AQ199">
        <f t="shared" ca="1" si="94"/>
        <v>1</v>
      </c>
      <c r="AR199" t="str">
        <f t="shared" ca="1" si="95"/>
        <v>Supercritical</v>
      </c>
      <c r="AS199">
        <f t="shared" ca="1" si="96"/>
        <v>3.4435921353509883E-3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191</v>
      </c>
      <c r="I200">
        <v>0.08</v>
      </c>
      <c r="J200">
        <f t="shared" si="97"/>
        <v>1</v>
      </c>
      <c r="K200">
        <f t="shared" si="98"/>
        <v>51</v>
      </c>
      <c r="L200">
        <f t="shared" ca="1" si="99"/>
        <v>0.05</v>
      </c>
      <c r="M200">
        <f t="shared" ca="1" si="72"/>
        <v>0.29965000000000003</v>
      </c>
      <c r="N200">
        <f t="shared" ca="1" si="73"/>
        <v>4.9179386180863288E-2</v>
      </c>
      <c r="O200">
        <f t="shared" ca="1" si="74"/>
        <v>170.19856499249121</v>
      </c>
      <c r="P200">
        <f t="shared" ca="1" si="75"/>
        <v>633.61199999999997</v>
      </c>
      <c r="Q200">
        <f t="shared" ca="1" si="76"/>
        <v>2110.0417413610221</v>
      </c>
      <c r="R200">
        <f t="shared" ca="1" si="77"/>
        <v>361.72914431210705</v>
      </c>
      <c r="S200">
        <f t="shared" ca="1" si="78"/>
        <v>243.01685055658359</v>
      </c>
      <c r="T200">
        <f t="shared" ca="1" si="79"/>
        <v>884.83183524766071</v>
      </c>
      <c r="U200">
        <f t="shared" ca="1" si="100"/>
        <v>-364.7675047575467</v>
      </c>
      <c r="V200">
        <f t="shared" ca="1" si="101"/>
        <v>0</v>
      </c>
      <c r="W200">
        <f t="shared" ca="1" si="80"/>
        <v>0.05</v>
      </c>
      <c r="X200">
        <f t="shared" ca="1" si="81"/>
        <v>0.29965000000000003</v>
      </c>
      <c r="Y200">
        <f t="shared" ca="1" si="82"/>
        <v>4.9179386180863288E-2</v>
      </c>
      <c r="Z200">
        <f t="shared" ca="1" si="83"/>
        <v>170.19856499249121</v>
      </c>
      <c r="AA200">
        <f t="shared" ca="1" si="84"/>
        <v>633.61199999999997</v>
      </c>
      <c r="AB200">
        <f t="shared" ca="1" si="85"/>
        <v>2110.0417413610221</v>
      </c>
      <c r="AC200">
        <f t="shared" ca="1" si="86"/>
        <v>361.72914431210705</v>
      </c>
      <c r="AD200">
        <f t="shared" ca="1" si="87"/>
        <v>243.01685055658359</v>
      </c>
      <c r="AE200">
        <f t="shared" ca="1" si="88"/>
        <v>884.83183524766071</v>
      </c>
      <c r="AF200">
        <f t="shared" ca="1" si="89"/>
        <v>377.66868691766422</v>
      </c>
      <c r="AG200">
        <f t="shared" ca="1" si="90"/>
        <v>0</v>
      </c>
      <c r="AH200">
        <f ca="1">IF(V32="Supercritical",L200,IF(V32="Subcritical",W200,IF(AND(V200=1,AG200=1),IF(T200&gt;=AE200,L200,W200),IF(V200=1,L200,IF(AG200=1,W200,MAX($D$16,POWER((ABS(K200)^2)/($I$5*MAX(F200,0.1)^2),1/3)))))))</f>
        <v>1.9471269289043602</v>
      </c>
      <c r="AI200">
        <f t="shared" ca="1" si="91"/>
        <v>635.50912692890438</v>
      </c>
      <c r="AJ200">
        <f t="shared" ca="1" si="92"/>
        <v>636.48269039335651</v>
      </c>
      <c r="AM200">
        <v>0</v>
      </c>
      <c r="AN200">
        <v>0</v>
      </c>
      <c r="AO200">
        <f t="shared" si="93"/>
        <v>0</v>
      </c>
      <c r="AP200">
        <f t="shared" si="102"/>
        <v>0</v>
      </c>
      <c r="AQ200">
        <f t="shared" ca="1" si="94"/>
        <v>1</v>
      </c>
      <c r="AR200" t="str">
        <f t="shared" ca="1" si="95"/>
        <v>Supercritical</v>
      </c>
      <c r="AS200">
        <f t="shared" ca="1" si="96"/>
        <v>3.4458416345389911E-3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191</v>
      </c>
      <c r="I201">
        <v>0.08</v>
      </c>
      <c r="J201">
        <f t="shared" si="97"/>
        <v>1</v>
      </c>
      <c r="K201">
        <f t="shared" si="98"/>
        <v>51</v>
      </c>
      <c r="L201">
        <f t="shared" ca="1" si="99"/>
        <v>0.05</v>
      </c>
      <c r="M201">
        <f t="shared" ca="1" si="72"/>
        <v>0.29835</v>
      </c>
      <c r="N201">
        <f t="shared" ca="1" si="73"/>
        <v>4.9175869457722107E-2</v>
      </c>
      <c r="O201">
        <f t="shared" ca="1" si="74"/>
        <v>170.94017094017093</v>
      </c>
      <c r="P201">
        <f t="shared" ca="1" si="75"/>
        <v>633.572</v>
      </c>
      <c r="Q201">
        <f t="shared" ca="1" si="76"/>
        <v>2122.8962630507062</v>
      </c>
      <c r="R201">
        <f t="shared" ca="1" si="77"/>
        <v>364.92312866910243</v>
      </c>
      <c r="S201">
        <f t="shared" ca="1" si="78"/>
        <v>244.07574750889987</v>
      </c>
      <c r="T201">
        <f t="shared" ca="1" si="79"/>
        <v>888.68724651235652</v>
      </c>
      <c r="U201">
        <f t="shared" ca="1" si="100"/>
        <v>-377.66868691766399</v>
      </c>
      <c r="V201">
        <f t="shared" ca="1" si="101"/>
        <v>0</v>
      </c>
      <c r="W201">
        <f t="shared" ca="1" si="80"/>
        <v>0.05</v>
      </c>
      <c r="X201">
        <f t="shared" ca="1" si="81"/>
        <v>0.29835</v>
      </c>
      <c r="Y201">
        <f t="shared" ca="1" si="82"/>
        <v>4.9175869457722107E-2</v>
      </c>
      <c r="Z201">
        <f t="shared" ca="1" si="83"/>
        <v>170.94017094017093</v>
      </c>
      <c r="AA201">
        <f t="shared" ca="1" si="84"/>
        <v>633.572</v>
      </c>
      <c r="AB201">
        <f t="shared" ca="1" si="85"/>
        <v>2122.8962630507062</v>
      </c>
      <c r="AC201">
        <f t="shared" ca="1" si="86"/>
        <v>364.92312866910243</v>
      </c>
      <c r="AD201">
        <f t="shared" ca="1" si="87"/>
        <v>244.07574750889987</v>
      </c>
      <c r="AE201">
        <f t="shared" ca="1" si="88"/>
        <v>888.68724651235652</v>
      </c>
      <c r="AF201">
        <f t="shared" ca="1" si="89"/>
        <v>381.69151008467406</v>
      </c>
      <c r="AG201">
        <f t="shared" ca="1" si="90"/>
        <v>0</v>
      </c>
      <c r="AH201">
        <f ca="1">IF(V32="Supercritical",L201,IF(V32="Subcritical",W201,IF(AND(V201=1,AG201=1),IF(T201&gt;=AE201,L201,W201),IF(V201=1,L201,IF(AG201=1,W201,MAX($D$16,POWER((ABS(K201)^2)/($I$5*MAX(F201,0.1)^2),1/3)))))))</f>
        <v>1.9527789713874979</v>
      </c>
      <c r="AI201">
        <f t="shared" ca="1" si="91"/>
        <v>635.47477897138754</v>
      </c>
      <c r="AJ201">
        <f t="shared" ca="1" si="92"/>
        <v>636.45116845708128</v>
      </c>
      <c r="AM201">
        <v>0</v>
      </c>
      <c r="AN201">
        <v>0</v>
      </c>
      <c r="AO201">
        <f t="shared" si="93"/>
        <v>0</v>
      </c>
      <c r="AP201">
        <f t="shared" si="102"/>
        <v>0</v>
      </c>
      <c r="AQ201">
        <f t="shared" ca="1" si="94"/>
        <v>1</v>
      </c>
      <c r="AR201" t="str">
        <f t="shared" ca="1" si="95"/>
        <v>Supercritical</v>
      </c>
      <c r="AS201">
        <f t="shared" ca="1" si="96"/>
        <v>3.4556681764517289E-3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191</v>
      </c>
      <c r="I202">
        <v>0.08</v>
      </c>
      <c r="J202">
        <f t="shared" si="97"/>
        <v>1</v>
      </c>
      <c r="K202">
        <f t="shared" si="98"/>
        <v>51</v>
      </c>
      <c r="L202">
        <f t="shared" ca="1" si="99"/>
        <v>0.05</v>
      </c>
      <c r="M202">
        <f t="shared" ca="1" si="72"/>
        <v>0.29700000000000004</v>
      </c>
      <c r="N202">
        <f t="shared" ca="1" si="73"/>
        <v>4.9172185430463582E-2</v>
      </c>
      <c r="O202">
        <f t="shared" ca="1" si="74"/>
        <v>171.71717171717168</v>
      </c>
      <c r="P202">
        <f t="shared" ca="1" si="75"/>
        <v>633.53199999999993</v>
      </c>
      <c r="Q202">
        <f t="shared" ca="1" si="76"/>
        <v>2136.4263456954445</v>
      </c>
      <c r="R202">
        <f t="shared" ca="1" si="77"/>
        <v>368.28493785630258</v>
      </c>
      <c r="S202">
        <f t="shared" ca="1" si="78"/>
        <v>245.1851827248494</v>
      </c>
      <c r="T202">
        <f t="shared" ca="1" si="79"/>
        <v>892.72666634309439</v>
      </c>
      <c r="U202">
        <f t="shared" ca="1" si="100"/>
        <v>-381.69151008467406</v>
      </c>
      <c r="V202">
        <f t="shared" ca="1" si="101"/>
        <v>0</v>
      </c>
      <c r="W202">
        <f t="shared" ca="1" si="80"/>
        <v>0.05</v>
      </c>
      <c r="X202">
        <f t="shared" ca="1" si="81"/>
        <v>0.29700000000000004</v>
      </c>
      <c r="Y202">
        <f t="shared" ca="1" si="82"/>
        <v>4.9172185430463582E-2</v>
      </c>
      <c r="Z202">
        <f t="shared" ca="1" si="83"/>
        <v>171.71717171717168</v>
      </c>
      <c r="AA202">
        <f t="shared" ca="1" si="84"/>
        <v>633.53199999999993</v>
      </c>
      <c r="AB202">
        <f t="shared" ca="1" si="85"/>
        <v>2136.4263456954445</v>
      </c>
      <c r="AC202">
        <f t="shared" ca="1" si="86"/>
        <v>368.28493785630258</v>
      </c>
      <c r="AD202">
        <f t="shared" ca="1" si="87"/>
        <v>245.1851827248494</v>
      </c>
      <c r="AE202">
        <f t="shared" ca="1" si="88"/>
        <v>892.72666634309439</v>
      </c>
      <c r="AF202">
        <f t="shared" ca="1" si="89"/>
        <v>384.65567971074825</v>
      </c>
      <c r="AG202">
        <f t="shared" ca="1" si="90"/>
        <v>0</v>
      </c>
      <c r="AH202">
        <f ca="1">IF(V32="Supercritical",L202,IF(V32="Subcritical",W202,IF(AND(V202=1,AG202=1),IF(T202&gt;=AE202,L202,W202),IF(V202=1,L202,IF(AG202=1,W202,MAX($D$16,POWER((ABS(K202)^2)/($I$5*MAX(F202,0.1)^2),1/3)))))))</f>
        <v>1.9586920094908939</v>
      </c>
      <c r="AI202">
        <f t="shared" ca="1" si="91"/>
        <v>635.44069200949082</v>
      </c>
      <c r="AJ202">
        <f t="shared" ca="1" si="92"/>
        <v>636.4200380142363</v>
      </c>
      <c r="AM202">
        <v>0</v>
      </c>
      <c r="AN202">
        <v>0</v>
      </c>
      <c r="AO202">
        <f t="shared" si="93"/>
        <v>0</v>
      </c>
      <c r="AP202">
        <f t="shared" si="102"/>
        <v>0</v>
      </c>
      <c r="AQ202">
        <f t="shared" ca="1" si="94"/>
        <v>1</v>
      </c>
      <c r="AR202" t="str">
        <f t="shared" ca="1" si="95"/>
        <v>Supercritical</v>
      </c>
      <c r="AS202">
        <f t="shared" ca="1" si="96"/>
        <v>3.466009772276E-3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191</v>
      </c>
      <c r="I203">
        <v>0.08</v>
      </c>
      <c r="J203">
        <f t="shared" si="97"/>
        <v>1</v>
      </c>
      <c r="K203">
        <f t="shared" si="98"/>
        <v>51</v>
      </c>
      <c r="L203">
        <f t="shared" ca="1" si="99"/>
        <v>0.05</v>
      </c>
      <c r="M203">
        <f t="shared" ca="1" si="72"/>
        <v>0.29570000000000002</v>
      </c>
      <c r="N203">
        <f t="shared" ca="1" si="73"/>
        <v>4.9168606584635857E-2</v>
      </c>
      <c r="O203">
        <f t="shared" ca="1" si="74"/>
        <v>172.47210010145417</v>
      </c>
      <c r="P203">
        <f t="shared" ca="1" si="75"/>
        <v>633.49199999999996</v>
      </c>
      <c r="Q203">
        <f t="shared" ca="1" si="76"/>
        <v>2149.6298854947008</v>
      </c>
      <c r="R203">
        <f t="shared" ca="1" si="77"/>
        <v>371.56633057069774</v>
      </c>
      <c r="S203">
        <f t="shared" ca="1" si="78"/>
        <v>246.26310202664959</v>
      </c>
      <c r="T203">
        <f t="shared" ca="1" si="79"/>
        <v>896.65133798156592</v>
      </c>
      <c r="U203">
        <f t="shared" ca="1" si="100"/>
        <v>-384.65567971074802</v>
      </c>
      <c r="V203">
        <f t="shared" ca="1" si="101"/>
        <v>0</v>
      </c>
      <c r="W203">
        <f t="shared" ca="1" si="80"/>
        <v>0.05</v>
      </c>
      <c r="X203">
        <f t="shared" ca="1" si="81"/>
        <v>0.29570000000000002</v>
      </c>
      <c r="Y203">
        <f t="shared" ca="1" si="82"/>
        <v>4.9168606584635857E-2</v>
      </c>
      <c r="Z203">
        <f t="shared" ca="1" si="83"/>
        <v>172.47210010145417</v>
      </c>
      <c r="AA203">
        <f t="shared" ca="1" si="84"/>
        <v>633.49199999999996</v>
      </c>
      <c r="AB203">
        <f t="shared" ca="1" si="85"/>
        <v>2149.6298854947008</v>
      </c>
      <c r="AC203">
        <f t="shared" ca="1" si="86"/>
        <v>371.56633057069774</v>
      </c>
      <c r="AD203">
        <f t="shared" ca="1" si="87"/>
        <v>246.26310202664959</v>
      </c>
      <c r="AE203">
        <f t="shared" ca="1" si="88"/>
        <v>896.65133798156592</v>
      </c>
      <c r="AF203">
        <f t="shared" ca="1" si="89"/>
        <v>388.15429604060864</v>
      </c>
      <c r="AG203">
        <f t="shared" ca="1" si="90"/>
        <v>0</v>
      </c>
      <c r="AH203">
        <f ca="1">IF(V32="Supercritical",L203,IF(V32="Subcritical",W203,IF(AND(V203=1,AG203=1),IF(T203&gt;=AE203,L203,W203),IF(V203=1,L203,IF(AG203=1,W203,MAX($D$16,POWER((ABS(K203)^2)/($I$5*MAX(F203,0.1)^2),1/3)))))))</f>
        <v>1.9644285386581877</v>
      </c>
      <c r="AI203">
        <f t="shared" ca="1" si="91"/>
        <v>635.40642853865825</v>
      </c>
      <c r="AJ203">
        <f t="shared" ca="1" si="92"/>
        <v>636.38864280798737</v>
      </c>
      <c r="AM203">
        <v>0</v>
      </c>
      <c r="AN203">
        <v>0</v>
      </c>
      <c r="AO203">
        <f t="shared" si="93"/>
        <v>0</v>
      </c>
      <c r="AP203">
        <f t="shared" si="102"/>
        <v>0</v>
      </c>
      <c r="AQ203">
        <f t="shared" ca="1" si="94"/>
        <v>0.99999999999999978</v>
      </c>
      <c r="AR203" t="str">
        <f t="shared" ca="1" si="95"/>
        <v>Supercritical</v>
      </c>
      <c r="AS203">
        <f t="shared" ca="1" si="96"/>
        <v>3.4761026462740109E-3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191</v>
      </c>
      <c r="I204">
        <v>0.08</v>
      </c>
      <c r="J204">
        <f t="shared" si="97"/>
        <v>1</v>
      </c>
      <c r="K204">
        <f t="shared" si="98"/>
        <v>51</v>
      </c>
      <c r="L204">
        <f t="shared" ca="1" si="99"/>
        <v>0.05</v>
      </c>
      <c r="M204">
        <f t="shared" ca="1" si="72"/>
        <v>0.2944</v>
      </c>
      <c r="N204">
        <f t="shared" ca="1" si="73"/>
        <v>4.9164996659986644E-2</v>
      </c>
      <c r="O204">
        <f t="shared" ca="1" si="74"/>
        <v>173.23369565217391</v>
      </c>
      <c r="P204">
        <f t="shared" ca="1" si="75"/>
        <v>633.452</v>
      </c>
      <c r="Q204">
        <f t="shared" ca="1" si="76"/>
        <v>2163.0092532777785</v>
      </c>
      <c r="R204">
        <f t="shared" ca="1" si="77"/>
        <v>374.89177045354108</v>
      </c>
      <c r="S204">
        <f t="shared" ca="1" si="78"/>
        <v>247.3505409961966</v>
      </c>
      <c r="T204">
        <f t="shared" ca="1" si="79"/>
        <v>900.61067072995604</v>
      </c>
      <c r="U204">
        <f t="shared" ca="1" si="100"/>
        <v>-388.15429604060864</v>
      </c>
      <c r="V204">
        <f t="shared" ca="1" si="101"/>
        <v>0</v>
      </c>
      <c r="W204">
        <f t="shared" ca="1" si="80"/>
        <v>0.05</v>
      </c>
      <c r="X204">
        <f t="shared" ca="1" si="81"/>
        <v>0.2944</v>
      </c>
      <c r="Y204">
        <f t="shared" ca="1" si="82"/>
        <v>4.9164996659986644E-2</v>
      </c>
      <c r="Z204">
        <f t="shared" ca="1" si="83"/>
        <v>173.23369565217391</v>
      </c>
      <c r="AA204">
        <f t="shared" ca="1" si="84"/>
        <v>633.452</v>
      </c>
      <c r="AB204">
        <f t="shared" ca="1" si="85"/>
        <v>2163.0092532777785</v>
      </c>
      <c r="AC204">
        <f t="shared" ca="1" si="86"/>
        <v>374.89177045354108</v>
      </c>
      <c r="AD204">
        <f t="shared" ca="1" si="87"/>
        <v>247.3505409961966</v>
      </c>
      <c r="AE204">
        <f t="shared" ca="1" si="88"/>
        <v>900.61067072995604</v>
      </c>
      <c r="AF204">
        <f t="shared" ca="1" si="89"/>
        <v>392.34544699135677</v>
      </c>
      <c r="AG204">
        <f t="shared" ca="1" si="90"/>
        <v>0</v>
      </c>
      <c r="AH204">
        <f ca="1">IF(V32="Supercritical",L204,IF(V32="Subcritical",W204,IF(AND(V204=1,AG204=1),IF(T204&gt;=AE204,L204,W204),IF(V204=1,L204,IF(AG204=1,W204,MAX($D$16,POWER((ABS(K204)^2)/($I$5*MAX(F204,0.1)^2),1/3)))))))</f>
        <v>1.9702072554061429</v>
      </c>
      <c r="AI204">
        <f t="shared" ca="1" si="91"/>
        <v>635.37220725540624</v>
      </c>
      <c r="AJ204">
        <f t="shared" ca="1" si="92"/>
        <v>636.35731088310934</v>
      </c>
      <c r="AM204">
        <v>0</v>
      </c>
      <c r="AN204">
        <v>0</v>
      </c>
      <c r="AO204">
        <f t="shared" si="93"/>
        <v>0</v>
      </c>
      <c r="AP204">
        <f t="shared" si="102"/>
        <v>0</v>
      </c>
      <c r="AQ204">
        <f t="shared" ca="1" si="94"/>
        <v>1.0000000000000002</v>
      </c>
      <c r="AR204" t="str">
        <f t="shared" ca="1" si="95"/>
        <v>Supercritical</v>
      </c>
      <c r="AS204">
        <f t="shared" ca="1" si="96"/>
        <v>3.4863295605668059E-3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191</v>
      </c>
      <c r="I205">
        <v>0.08</v>
      </c>
      <c r="J205">
        <f t="shared" si="97"/>
        <v>1</v>
      </c>
      <c r="K205">
        <f t="shared" si="98"/>
        <v>51</v>
      </c>
      <c r="L205">
        <f t="shared" ca="1" si="99"/>
        <v>0.05</v>
      </c>
      <c r="M205">
        <f t="shared" ca="1" si="72"/>
        <v>0.29304999999999998</v>
      </c>
      <c r="N205">
        <f t="shared" ca="1" si="73"/>
        <v>4.9161214561315218E-2</v>
      </c>
      <c r="O205">
        <f t="shared" ca="1" si="74"/>
        <v>174.03173519877154</v>
      </c>
      <c r="P205">
        <f t="shared" ca="1" si="75"/>
        <v>633.41199999999992</v>
      </c>
      <c r="Q205">
        <f t="shared" ca="1" si="76"/>
        <v>2177.0942047041453</v>
      </c>
      <c r="R205">
        <f t="shared" ca="1" si="77"/>
        <v>378.39258180324447</v>
      </c>
      <c r="S205">
        <f t="shared" ca="1" si="78"/>
        <v>248.49001627462988</v>
      </c>
      <c r="T205">
        <f t="shared" ca="1" si="79"/>
        <v>904.75946642709982</v>
      </c>
      <c r="U205">
        <f t="shared" ca="1" si="100"/>
        <v>-392.34544699135677</v>
      </c>
      <c r="V205">
        <f t="shared" ca="1" si="101"/>
        <v>0</v>
      </c>
      <c r="W205">
        <f t="shared" ca="1" si="80"/>
        <v>0.05</v>
      </c>
      <c r="X205">
        <f t="shared" ca="1" si="81"/>
        <v>0.29304999999999998</v>
      </c>
      <c r="Y205">
        <f t="shared" ca="1" si="82"/>
        <v>4.9161214561315218E-2</v>
      </c>
      <c r="Z205">
        <f t="shared" ca="1" si="83"/>
        <v>174.03173519877154</v>
      </c>
      <c r="AA205">
        <f t="shared" ca="1" si="84"/>
        <v>633.41199999999992</v>
      </c>
      <c r="AB205">
        <f t="shared" ca="1" si="85"/>
        <v>2177.0942047041453</v>
      </c>
      <c r="AC205">
        <f t="shared" ca="1" si="86"/>
        <v>378.39258180324447</v>
      </c>
      <c r="AD205">
        <f t="shared" ca="1" si="87"/>
        <v>248.49001627462988</v>
      </c>
      <c r="AE205">
        <f t="shared" ca="1" si="88"/>
        <v>904.75946642709982</v>
      </c>
      <c r="AF205">
        <f t="shared" ca="1" si="89"/>
        <v>395.43539172208784</v>
      </c>
      <c r="AG205">
        <f t="shared" ca="1" si="90"/>
        <v>0</v>
      </c>
      <c r="AH205">
        <f ca="1">IF(V32="Supercritical",L205,IF(V32="Subcritical",W205,IF(AND(V205=1,AG205=1),IF(T205&gt;=AE205,L205,W205),IF(V205=1,L205,IF(AG205=1,W205,MAX($D$16,POWER((ABS(K205)^2)/($I$5*MAX(F205,0.1)^2),1/3)))))))</f>
        <v>1.9762534177680191</v>
      </c>
      <c r="AI205">
        <f t="shared" ca="1" si="91"/>
        <v>635.33825341776799</v>
      </c>
      <c r="AJ205">
        <f t="shared" ca="1" si="92"/>
        <v>636.326380126652</v>
      </c>
      <c r="AM205">
        <v>0</v>
      </c>
      <c r="AN205">
        <v>0</v>
      </c>
      <c r="AO205">
        <f t="shared" si="93"/>
        <v>0</v>
      </c>
      <c r="AP205">
        <f t="shared" si="102"/>
        <v>0</v>
      </c>
      <c r="AQ205">
        <f t="shared" ca="1" si="94"/>
        <v>1</v>
      </c>
      <c r="AR205" t="str">
        <f t="shared" ca="1" si="95"/>
        <v>Supercritical</v>
      </c>
      <c r="AS205">
        <f t="shared" ca="1" si="96"/>
        <v>3.4970941502622381E-3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191</v>
      </c>
      <c r="I206">
        <v>0.08</v>
      </c>
      <c r="J206">
        <f t="shared" si="97"/>
        <v>1</v>
      </c>
      <c r="K206">
        <f t="shared" si="98"/>
        <v>51</v>
      </c>
      <c r="L206">
        <f t="shared" ca="1" si="99"/>
        <v>0.05</v>
      </c>
      <c r="M206">
        <f t="shared" ca="1" si="72"/>
        <v>0.29175000000000001</v>
      </c>
      <c r="N206">
        <f t="shared" ca="1" si="73"/>
        <v>4.9157540016849202E-2</v>
      </c>
      <c r="O206">
        <f t="shared" ca="1" si="74"/>
        <v>174.80719794344472</v>
      </c>
      <c r="P206">
        <f t="shared" ca="1" si="75"/>
        <v>633.37199999999996</v>
      </c>
      <c r="Q206">
        <f t="shared" ca="1" si="76"/>
        <v>2190.8417478511042</v>
      </c>
      <c r="R206">
        <f t="shared" ca="1" si="77"/>
        <v>381.81028145152817</v>
      </c>
      <c r="S206">
        <f t="shared" ca="1" si="78"/>
        <v>249.59725542169761</v>
      </c>
      <c r="T206">
        <f t="shared" ca="1" si="79"/>
        <v>908.79089162111939</v>
      </c>
      <c r="U206">
        <f t="shared" ca="1" si="100"/>
        <v>-395.43539172208784</v>
      </c>
      <c r="V206">
        <f t="shared" ca="1" si="101"/>
        <v>0</v>
      </c>
      <c r="W206">
        <f t="shared" ca="1" si="80"/>
        <v>0.05</v>
      </c>
      <c r="X206">
        <f t="shared" ca="1" si="81"/>
        <v>0.29175000000000001</v>
      </c>
      <c r="Y206">
        <f t="shared" ca="1" si="82"/>
        <v>4.9157540016849202E-2</v>
      </c>
      <c r="Z206">
        <f t="shared" ca="1" si="83"/>
        <v>174.80719794344472</v>
      </c>
      <c r="AA206">
        <f t="shared" ca="1" si="84"/>
        <v>633.37199999999996</v>
      </c>
      <c r="AB206">
        <f t="shared" ca="1" si="85"/>
        <v>2190.8417478511042</v>
      </c>
      <c r="AC206">
        <f t="shared" ca="1" si="86"/>
        <v>381.81028145152817</v>
      </c>
      <c r="AD206">
        <f t="shared" ca="1" si="87"/>
        <v>249.59725542169761</v>
      </c>
      <c r="AE206">
        <f t="shared" ca="1" si="88"/>
        <v>908.79089162111939</v>
      </c>
      <c r="AF206">
        <f t="shared" ca="1" si="89"/>
        <v>399.08230885605826</v>
      </c>
      <c r="AG206">
        <f t="shared" ca="1" si="90"/>
        <v>0</v>
      </c>
      <c r="AH206">
        <f ca="1">IF(V32="Supercritical",L206,IF(V32="Subcritical",W206,IF(AND(V206=1,AG206=1),IF(T206&gt;=AE206,L206,W206),IF(V206=1,L206,IF(AG206=1,W206,MAX($D$16,POWER((ABS(K206)^2)/($I$5*MAX(F206,0.1)^2),1/3)))))))</f>
        <v>1.9821196851447866</v>
      </c>
      <c r="AI206">
        <f t="shared" ca="1" si="91"/>
        <v>635.30411968514477</v>
      </c>
      <c r="AJ206">
        <f t="shared" ca="1" si="92"/>
        <v>636.29517952771721</v>
      </c>
      <c r="AM206">
        <v>0</v>
      </c>
      <c r="AN206">
        <v>0</v>
      </c>
      <c r="AO206">
        <f t="shared" si="93"/>
        <v>0</v>
      </c>
      <c r="AP206">
        <f t="shared" si="102"/>
        <v>0</v>
      </c>
      <c r="AQ206">
        <f t="shared" ca="1" si="94"/>
        <v>1.0000000000000002</v>
      </c>
      <c r="AR206" t="str">
        <f t="shared" ca="1" si="95"/>
        <v>Supercritical</v>
      </c>
      <c r="AS206">
        <f t="shared" ca="1" si="96"/>
        <v>3.5076014592728302E-3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191</v>
      </c>
      <c r="I207">
        <v>0.08</v>
      </c>
      <c r="J207">
        <f t="shared" si="97"/>
        <v>1</v>
      </c>
      <c r="K207">
        <f t="shared" si="98"/>
        <v>51</v>
      </c>
      <c r="L207">
        <f t="shared" ca="1" si="99"/>
        <v>0.05</v>
      </c>
      <c r="M207">
        <f t="shared" ca="1" si="72"/>
        <v>0.29045000000000004</v>
      </c>
      <c r="N207">
        <f t="shared" ca="1" si="73"/>
        <v>4.9153833135894408E-2</v>
      </c>
      <c r="O207">
        <f t="shared" ca="1" si="74"/>
        <v>175.58960234119468</v>
      </c>
      <c r="P207">
        <f t="shared" ca="1" si="75"/>
        <v>633.33199999999999</v>
      </c>
      <c r="Q207">
        <f t="shared" ca="1" si="76"/>
        <v>2204.7748364087092</v>
      </c>
      <c r="R207">
        <f t="shared" ca="1" si="77"/>
        <v>385.27449001081459</v>
      </c>
      <c r="S207">
        <f t="shared" ca="1" si="78"/>
        <v>250.71440616037279</v>
      </c>
      <c r="T207">
        <f t="shared" ca="1" si="79"/>
        <v>912.85840491981935</v>
      </c>
      <c r="U207">
        <f t="shared" ca="1" si="100"/>
        <v>-399.08230885605826</v>
      </c>
      <c r="V207">
        <f t="shared" ca="1" si="101"/>
        <v>0</v>
      </c>
      <c r="W207">
        <f t="shared" ca="1" si="80"/>
        <v>0.05</v>
      </c>
      <c r="X207">
        <f t="shared" ca="1" si="81"/>
        <v>0.29045000000000004</v>
      </c>
      <c r="Y207">
        <f t="shared" ca="1" si="82"/>
        <v>4.9153833135894408E-2</v>
      </c>
      <c r="Z207">
        <f t="shared" ca="1" si="83"/>
        <v>175.58960234119468</v>
      </c>
      <c r="AA207">
        <f t="shared" ca="1" si="84"/>
        <v>633.33199999999999</v>
      </c>
      <c r="AB207">
        <f t="shared" ca="1" si="85"/>
        <v>2204.7748364087092</v>
      </c>
      <c r="AC207">
        <f t="shared" ca="1" si="86"/>
        <v>385.27449001081459</v>
      </c>
      <c r="AD207">
        <f t="shared" ca="1" si="87"/>
        <v>250.71440616037279</v>
      </c>
      <c r="AE207">
        <f t="shared" ca="1" si="88"/>
        <v>912.85840491981935</v>
      </c>
      <c r="AF207">
        <f t="shared" ca="1" si="89"/>
        <v>403.32705670999985</v>
      </c>
      <c r="AG207">
        <f t="shared" ca="1" si="90"/>
        <v>0</v>
      </c>
      <c r="AH207">
        <f ca="1">IF(V32="Supercritical",L207,IF(V32="Subcritical",W207,IF(AND(V207=1,AG207=1),IF(T207&gt;=AE207,L207,W207),IF(V207=1,L207,IF(AG207=1,W207,MAX($D$16,POWER((ABS(K207)^2)/($I$5*MAX(F207,0.1)^2),1/3)))))))</f>
        <v>1.9880296804965985</v>
      </c>
      <c r="AI207">
        <f t="shared" ca="1" si="91"/>
        <v>635.27002968049669</v>
      </c>
      <c r="AJ207">
        <f t="shared" ca="1" si="92"/>
        <v>636.26404452074496</v>
      </c>
      <c r="AM207">
        <v>0</v>
      </c>
      <c r="AN207">
        <v>0</v>
      </c>
      <c r="AO207">
        <f t="shared" si="93"/>
        <v>0</v>
      </c>
      <c r="AP207">
        <f t="shared" si="102"/>
        <v>0</v>
      </c>
      <c r="AQ207">
        <f t="shared" ca="1" si="94"/>
        <v>1</v>
      </c>
      <c r="AR207" t="str">
        <f t="shared" ca="1" si="95"/>
        <v>Supercritical</v>
      </c>
      <c r="AS207">
        <f t="shared" ca="1" si="96"/>
        <v>3.5182499356871564E-3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191</v>
      </c>
      <c r="I208">
        <v>3.3000000000000002E-2</v>
      </c>
      <c r="J208">
        <f t="shared" si="97"/>
        <v>1</v>
      </c>
      <c r="K208">
        <f t="shared" si="98"/>
        <v>51</v>
      </c>
      <c r="L208">
        <f t="shared" ca="1" si="99"/>
        <v>0.05</v>
      </c>
      <c r="M208">
        <f t="shared" ca="1" si="72"/>
        <v>0.28910000000000002</v>
      </c>
      <c r="N208">
        <f t="shared" ca="1" si="73"/>
        <v>4.9149948996939821E-2</v>
      </c>
      <c r="O208">
        <f t="shared" ca="1" si="74"/>
        <v>176.40954686959529</v>
      </c>
      <c r="P208">
        <f t="shared" ca="1" si="75"/>
        <v>633.29199999999992</v>
      </c>
      <c r="Q208">
        <f t="shared" ca="1" si="76"/>
        <v>2219.445324502341</v>
      </c>
      <c r="R208">
        <f t="shared" ca="1" si="77"/>
        <v>388.92207273749904</v>
      </c>
      <c r="S208">
        <f t="shared" ca="1" si="78"/>
        <v>251.88515831643127</v>
      </c>
      <c r="T208">
        <f t="shared" ca="1" si="79"/>
        <v>917.12107972725369</v>
      </c>
      <c r="U208">
        <f t="shared" ca="1" si="100"/>
        <v>-403.3270567099994</v>
      </c>
      <c r="V208">
        <f t="shared" ca="1" si="101"/>
        <v>0</v>
      </c>
      <c r="W208">
        <f t="shared" ca="1" si="80"/>
        <v>0.05</v>
      </c>
      <c r="X208">
        <f t="shared" ca="1" si="81"/>
        <v>0.28910000000000002</v>
      </c>
      <c r="Y208">
        <f t="shared" ca="1" si="82"/>
        <v>4.9149948996939821E-2</v>
      </c>
      <c r="Z208">
        <f t="shared" ca="1" si="83"/>
        <v>176.40954686959529</v>
      </c>
      <c r="AA208">
        <f t="shared" ca="1" si="84"/>
        <v>633.29199999999992</v>
      </c>
      <c r="AB208">
        <f t="shared" ca="1" si="85"/>
        <v>2219.445324502341</v>
      </c>
      <c r="AC208">
        <f t="shared" ca="1" si="86"/>
        <v>388.92207273749904</v>
      </c>
      <c r="AD208">
        <f t="shared" ca="1" si="87"/>
        <v>251.88515831643127</v>
      </c>
      <c r="AE208">
        <f t="shared" ca="1" si="88"/>
        <v>917.12107972725369</v>
      </c>
      <c r="AF208">
        <f t="shared" ca="1" si="89"/>
        <v>406.10747488283641</v>
      </c>
      <c r="AG208">
        <f t="shared" ca="1" si="90"/>
        <v>0</v>
      </c>
      <c r="AH208">
        <f ca="1">IF(V32="Supercritical",L208,IF(V32="Subcritical",W208,IF(AND(V208=1,AG208=1),IF(T208&gt;=AE208,L208,W208),IF(V208=1,L208,IF(AG208=1,W208,MAX($D$16,POWER((ABS(K208)^2)/($I$5*MAX(F208,0.1)^2),1/3)))))))</f>
        <v>1.9942138281268185</v>
      </c>
      <c r="AI208">
        <f t="shared" ca="1" si="91"/>
        <v>635.23621382812678</v>
      </c>
      <c r="AJ208">
        <f t="shared" ca="1" si="92"/>
        <v>636.23332074219024</v>
      </c>
      <c r="AM208">
        <v>0</v>
      </c>
      <c r="AN208">
        <v>0</v>
      </c>
      <c r="AO208">
        <f t="shared" si="93"/>
        <v>0</v>
      </c>
      <c r="AP208">
        <f t="shared" si="102"/>
        <v>0</v>
      </c>
      <c r="AQ208">
        <f t="shared" ca="1" si="94"/>
        <v>1.0000000000000002</v>
      </c>
      <c r="AR208" t="str">
        <f t="shared" ca="1" si="95"/>
        <v>Supercritical</v>
      </c>
      <c r="AS208">
        <f t="shared" ca="1" si="96"/>
        <v>3.5294600119904389E-3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191</v>
      </c>
      <c r="I209">
        <v>1.4E-2</v>
      </c>
      <c r="J209">
        <f t="shared" si="97"/>
        <v>0.99899999999999523</v>
      </c>
      <c r="K209">
        <f t="shared" si="98"/>
        <v>51</v>
      </c>
      <c r="L209">
        <f t="shared" ca="1" si="99"/>
        <v>0.05</v>
      </c>
      <c r="M209">
        <f t="shared" ca="1" si="72"/>
        <v>0.2878</v>
      </c>
      <c r="N209">
        <f t="shared" ca="1" si="73"/>
        <v>4.914617486338798E-2</v>
      </c>
      <c r="O209">
        <f t="shared" ca="1" si="74"/>
        <v>177.2063933287005</v>
      </c>
      <c r="P209">
        <f t="shared" ca="1" si="75"/>
        <v>633.25199999999995</v>
      </c>
      <c r="Q209">
        <f t="shared" ca="1" si="76"/>
        <v>2233.7670783163153</v>
      </c>
      <c r="R209">
        <f t="shared" ca="1" si="77"/>
        <v>392.48373374025749</v>
      </c>
      <c r="S209">
        <f t="shared" ca="1" si="78"/>
        <v>253.02293005309343</v>
      </c>
      <c r="T209">
        <f t="shared" ca="1" si="79"/>
        <v>921.26367407887108</v>
      </c>
      <c r="U209">
        <f t="shared" ca="1" si="100"/>
        <v>-406.10747488283664</v>
      </c>
      <c r="V209">
        <f t="shared" ca="1" si="101"/>
        <v>0</v>
      </c>
      <c r="W209">
        <f t="shared" ca="1" si="80"/>
        <v>0.05</v>
      </c>
      <c r="X209">
        <f t="shared" ca="1" si="81"/>
        <v>0.2878</v>
      </c>
      <c r="Y209">
        <f t="shared" ca="1" si="82"/>
        <v>4.914617486338798E-2</v>
      </c>
      <c r="Z209">
        <f t="shared" ca="1" si="83"/>
        <v>177.2063933287005</v>
      </c>
      <c r="AA209">
        <f t="shared" ca="1" si="84"/>
        <v>633.25199999999995</v>
      </c>
      <c r="AB209">
        <f t="shared" ca="1" si="85"/>
        <v>2233.7670783163153</v>
      </c>
      <c r="AC209">
        <f t="shared" ca="1" si="86"/>
        <v>392.48373374025749</v>
      </c>
      <c r="AD209">
        <f t="shared" ca="1" si="87"/>
        <v>253.02293005309343</v>
      </c>
      <c r="AE209">
        <f t="shared" ca="1" si="88"/>
        <v>921.26367407887108</v>
      </c>
      <c r="AF209">
        <f t="shared" ca="1" si="89"/>
        <v>410.69457800344981</v>
      </c>
      <c r="AG209">
        <f t="shared" ca="1" si="90"/>
        <v>0</v>
      </c>
      <c r="AH209">
        <f ca="1">IF(V32="Supercritical",L209,IF(V32="Subcritical",W209,IF(AND(V209=1,AG209=1),IF(T209&gt;=AE209,L209,W209),IF(V209=1,L209,IF(AG209=1,W209,MAX($D$16,POWER((ABS(K209)^2)/($I$5*MAX(F209,0.1)^2),1/3)))))))</f>
        <v>2.0002145929392428</v>
      </c>
      <c r="AI209">
        <f t="shared" ca="1" si="91"/>
        <v>635.20221459293919</v>
      </c>
      <c r="AJ209">
        <f t="shared" ca="1" si="92"/>
        <v>636.20232188940884</v>
      </c>
      <c r="AM209">
        <v>0</v>
      </c>
      <c r="AN209">
        <v>0</v>
      </c>
      <c r="AO209">
        <f t="shared" si="93"/>
        <v>0</v>
      </c>
      <c r="AP209">
        <f t="shared" si="102"/>
        <v>0</v>
      </c>
      <c r="AQ209">
        <f t="shared" ca="1" si="94"/>
        <v>1.0000000000000002</v>
      </c>
      <c r="AR209" t="str">
        <f t="shared" ca="1" si="95"/>
        <v>Supercritical</v>
      </c>
      <c r="AS209">
        <f t="shared" ca="1" si="96"/>
        <v>3.5404038982195045E-3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191</v>
      </c>
      <c r="I210">
        <v>1.4E-2</v>
      </c>
      <c r="J210">
        <f t="shared" si="97"/>
        <v>1.0010000000000048</v>
      </c>
      <c r="K210">
        <f t="shared" si="98"/>
        <v>51</v>
      </c>
      <c r="L210">
        <f t="shared" ca="1" si="99"/>
        <v>0.05</v>
      </c>
      <c r="M210">
        <f t="shared" ca="1" si="72"/>
        <v>0.28650000000000003</v>
      </c>
      <c r="N210">
        <f t="shared" ca="1" si="73"/>
        <v>4.914236706689537E-2</v>
      </c>
      <c r="O210">
        <f t="shared" ca="1" si="74"/>
        <v>178.01047120418846</v>
      </c>
      <c r="P210">
        <f t="shared" ca="1" si="75"/>
        <v>633.21199999999999</v>
      </c>
      <c r="Q210">
        <f t="shared" ca="1" si="76"/>
        <v>2248.2847756542919</v>
      </c>
      <c r="R210">
        <f t="shared" ca="1" si="77"/>
        <v>396.09453978669859</v>
      </c>
      <c r="S210">
        <f t="shared" ca="1" si="78"/>
        <v>254.17102711790673</v>
      </c>
      <c r="T210">
        <f t="shared" ca="1" si="79"/>
        <v>925.44386294990943</v>
      </c>
      <c r="U210">
        <f t="shared" ca="1" si="100"/>
        <v>-410.69457800344981</v>
      </c>
      <c r="V210">
        <f t="shared" ca="1" si="101"/>
        <v>0</v>
      </c>
      <c r="W210">
        <f t="shared" ca="1" si="80"/>
        <v>0.05</v>
      </c>
      <c r="X210">
        <f t="shared" ca="1" si="81"/>
        <v>0.28650000000000003</v>
      </c>
      <c r="Y210">
        <f t="shared" ca="1" si="82"/>
        <v>4.914236706689537E-2</v>
      </c>
      <c r="Z210">
        <f t="shared" ca="1" si="83"/>
        <v>178.01047120418846</v>
      </c>
      <c r="AA210">
        <f t="shared" ca="1" si="84"/>
        <v>633.21199999999999</v>
      </c>
      <c r="AB210">
        <f t="shared" ca="1" si="85"/>
        <v>2248.2847756542919</v>
      </c>
      <c r="AC210">
        <f t="shared" ca="1" si="86"/>
        <v>396.09453978669859</v>
      </c>
      <c r="AD210">
        <f t="shared" ca="1" si="87"/>
        <v>254.17102711790673</v>
      </c>
      <c r="AE210">
        <f t="shared" ca="1" si="88"/>
        <v>925.44386294990943</v>
      </c>
      <c r="AF210">
        <f t="shared" ca="1" si="89"/>
        <v>414.4576486436481</v>
      </c>
      <c r="AG210">
        <f t="shared" ca="1" si="90"/>
        <v>0</v>
      </c>
      <c r="AH210">
        <f ca="1">IF(V32="Supercritical",L210,IF(V32="Subcritical",W210,IF(AND(V210=1,AG210=1),IF(T210&gt;=AE210,L210,W210),IF(V210=1,L210,IF(AG210=1,W210,MAX($D$16,POWER((ABS(K210)^2)/($I$5*MAX(F210,0.1)^2),1/3)))))))</f>
        <v>2.0062607045289216</v>
      </c>
      <c r="AI210">
        <f t="shared" ca="1" si="91"/>
        <v>635.16826070452896</v>
      </c>
      <c r="AJ210">
        <f t="shared" ca="1" si="92"/>
        <v>636.17139105679337</v>
      </c>
      <c r="AM210">
        <v>0</v>
      </c>
      <c r="AN210">
        <v>0</v>
      </c>
      <c r="AO210">
        <f t="shared" si="93"/>
        <v>0</v>
      </c>
      <c r="AP210">
        <f t="shared" si="102"/>
        <v>0</v>
      </c>
      <c r="AQ210">
        <f t="shared" ca="1" si="94"/>
        <v>1</v>
      </c>
      <c r="AR210" t="str">
        <f t="shared" ca="1" si="95"/>
        <v>Supercritical</v>
      </c>
      <c r="AS210">
        <f t="shared" ca="1" si="96"/>
        <v>3.5514965651449655E-3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191</v>
      </c>
      <c r="I211">
        <v>1.4E-2</v>
      </c>
      <c r="J211">
        <f t="shared" si="97"/>
        <v>0.99899999999999523</v>
      </c>
      <c r="K211">
        <f t="shared" si="98"/>
        <v>51</v>
      </c>
      <c r="L211">
        <f t="shared" ca="1" si="99"/>
        <v>0.05</v>
      </c>
      <c r="M211">
        <f t="shared" ca="1" si="72"/>
        <v>0.28515000000000001</v>
      </c>
      <c r="N211">
        <f t="shared" ca="1" si="73"/>
        <v>4.9138376701706017E-2</v>
      </c>
      <c r="O211">
        <f t="shared" ca="1" si="74"/>
        <v>178.85323513940031</v>
      </c>
      <c r="P211">
        <f t="shared" ca="1" si="75"/>
        <v>633.17199999999991</v>
      </c>
      <c r="Q211">
        <f t="shared" ca="1" si="76"/>
        <v>2263.5736167089508</v>
      </c>
      <c r="R211">
        <f t="shared" ca="1" si="77"/>
        <v>399.89721352488328</v>
      </c>
      <c r="S211">
        <f t="shared" ca="1" si="78"/>
        <v>255.37436180704992</v>
      </c>
      <c r="T211">
        <f t="shared" ca="1" si="79"/>
        <v>929.82517075911471</v>
      </c>
      <c r="U211">
        <f t="shared" ca="1" si="100"/>
        <v>-414.45764864364787</v>
      </c>
      <c r="V211">
        <f t="shared" ca="1" si="101"/>
        <v>0</v>
      </c>
      <c r="W211">
        <f t="shared" ca="1" si="80"/>
        <v>0.05</v>
      </c>
      <c r="X211">
        <f t="shared" ca="1" si="81"/>
        <v>0.28515000000000001</v>
      </c>
      <c r="Y211">
        <f t="shared" ca="1" si="82"/>
        <v>4.9138376701706017E-2</v>
      </c>
      <c r="Z211">
        <f t="shared" ca="1" si="83"/>
        <v>178.85323513940031</v>
      </c>
      <c r="AA211">
        <f t="shared" ca="1" si="84"/>
        <v>633.17199999999991</v>
      </c>
      <c r="AB211">
        <f t="shared" ca="1" si="85"/>
        <v>2263.5736167089508</v>
      </c>
      <c r="AC211">
        <f t="shared" ca="1" si="86"/>
        <v>399.89721352488328</v>
      </c>
      <c r="AD211">
        <f t="shared" ca="1" si="87"/>
        <v>255.37436180704992</v>
      </c>
      <c r="AE211">
        <f t="shared" ca="1" si="88"/>
        <v>929.82517075911471</v>
      </c>
      <c r="AF211">
        <f t="shared" ca="1" si="89"/>
        <v>418.70989351166281</v>
      </c>
      <c r="AG211">
        <f t="shared" ca="1" si="90"/>
        <v>0</v>
      </c>
      <c r="AH211">
        <f ca="1">IF(V32="Supercritical",L211,IF(V32="Subcritical",W211,IF(AND(V211=1,AG211=1),IF(T211&gt;=AE211,L211,W211),IF(V211=1,L211,IF(AG211=1,W211,MAX($D$16,POWER((ABS(K211)^2)/($I$5*MAX(F211,0.1)^2),1/3)))))))</f>
        <v>2.0125879458845697</v>
      </c>
      <c r="AI211">
        <f t="shared" ca="1" si="91"/>
        <v>635.1345879458845</v>
      </c>
      <c r="AJ211">
        <f t="shared" ca="1" si="92"/>
        <v>636.14088191882684</v>
      </c>
      <c r="AM211">
        <v>0</v>
      </c>
      <c r="AN211">
        <v>0</v>
      </c>
      <c r="AO211">
        <f t="shared" si="93"/>
        <v>0</v>
      </c>
      <c r="AP211">
        <f t="shared" si="102"/>
        <v>0</v>
      </c>
      <c r="AQ211">
        <f t="shared" ca="1" si="94"/>
        <v>1.0000000000000002</v>
      </c>
      <c r="AR211" t="str">
        <f t="shared" ca="1" si="95"/>
        <v>Supercritical</v>
      </c>
      <c r="AS211">
        <f t="shared" ca="1" si="96"/>
        <v>3.5631761552921974E-3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191</v>
      </c>
      <c r="I212">
        <v>4.7E-2</v>
      </c>
      <c r="J212">
        <f t="shared" si="97"/>
        <v>1.0010000000000048</v>
      </c>
      <c r="K212">
        <f t="shared" si="98"/>
        <v>51</v>
      </c>
      <c r="L212">
        <f t="shared" ca="1" si="99"/>
        <v>0.05</v>
      </c>
      <c r="M212">
        <f t="shared" ca="1" si="72"/>
        <v>0.28384999999999999</v>
      </c>
      <c r="N212">
        <f t="shared" ca="1" si="73"/>
        <v>4.913449887484854E-2</v>
      </c>
      <c r="O212">
        <f t="shared" ca="1" si="74"/>
        <v>179.67236216311431</v>
      </c>
      <c r="P212">
        <f t="shared" ca="1" si="75"/>
        <v>633.13199999999995</v>
      </c>
      <c r="Q212">
        <f t="shared" ca="1" si="76"/>
        <v>2278.5019146418608</v>
      </c>
      <c r="R212">
        <f t="shared" ca="1" si="77"/>
        <v>403.61103517737422</v>
      </c>
      <c r="S212">
        <f t="shared" ca="1" si="78"/>
        <v>256.54394669466365</v>
      </c>
      <c r="T212">
        <f t="shared" ca="1" si="79"/>
        <v>934.08359679218449</v>
      </c>
      <c r="U212">
        <f t="shared" ca="1" si="100"/>
        <v>-418.70989351166304</v>
      </c>
      <c r="V212">
        <f t="shared" ca="1" si="101"/>
        <v>0</v>
      </c>
      <c r="W212">
        <f t="shared" ca="1" si="80"/>
        <v>0.05</v>
      </c>
      <c r="X212">
        <f t="shared" ca="1" si="81"/>
        <v>0.28384999999999999</v>
      </c>
      <c r="Y212">
        <f t="shared" ca="1" si="82"/>
        <v>4.913449887484854E-2</v>
      </c>
      <c r="Z212">
        <f t="shared" ca="1" si="83"/>
        <v>179.67236216311431</v>
      </c>
      <c r="AA212">
        <f t="shared" ca="1" si="84"/>
        <v>633.13199999999995</v>
      </c>
      <c r="AB212">
        <f t="shared" ca="1" si="85"/>
        <v>2278.5019146418608</v>
      </c>
      <c r="AC212">
        <f t="shared" ca="1" si="86"/>
        <v>403.61103517737422</v>
      </c>
      <c r="AD212">
        <f t="shared" ca="1" si="87"/>
        <v>256.54394669466365</v>
      </c>
      <c r="AE212">
        <f t="shared" ca="1" si="88"/>
        <v>934.08359679218449</v>
      </c>
      <c r="AF212">
        <f t="shared" ca="1" si="89"/>
        <v>422.36825345592752</v>
      </c>
      <c r="AG212">
        <f t="shared" ca="1" si="90"/>
        <v>0</v>
      </c>
      <c r="AH212">
        <f ca="1">IF(V32="Supercritical",L212,IF(V32="Subcritical",W212,IF(AND(V212=1,AG212=1),IF(T212&gt;=AE212,L212,W212),IF(V212=1,L212,IF(AG212=1,W212,MAX($D$16,POWER((ABS(K212)^2)/($I$5*MAX(F212,0.1)^2),1/3)))))))</f>
        <v>2.0187282107581144</v>
      </c>
      <c r="AI212">
        <f t="shared" ca="1" si="91"/>
        <v>635.10072821075812</v>
      </c>
      <c r="AJ212">
        <f t="shared" ca="1" si="92"/>
        <v>636.11009231613718</v>
      </c>
      <c r="AM212">
        <v>0</v>
      </c>
      <c r="AN212">
        <v>0</v>
      </c>
      <c r="AO212">
        <f t="shared" si="93"/>
        <v>0</v>
      </c>
      <c r="AP212">
        <f t="shared" si="102"/>
        <v>0</v>
      </c>
      <c r="AQ212">
        <f t="shared" ca="1" si="94"/>
        <v>1.0000000000000002</v>
      </c>
      <c r="AR212" t="str">
        <f t="shared" ca="1" si="95"/>
        <v>Supercritical</v>
      </c>
      <c r="AS212">
        <f t="shared" ca="1" si="96"/>
        <v>3.5745802788693785E-3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191</v>
      </c>
      <c r="I213">
        <v>0.08</v>
      </c>
      <c r="J213">
        <f t="shared" si="97"/>
        <v>1</v>
      </c>
      <c r="K213">
        <f t="shared" si="98"/>
        <v>51</v>
      </c>
      <c r="L213">
        <f t="shared" ca="1" si="99"/>
        <v>0.05</v>
      </c>
      <c r="M213">
        <f t="shared" ca="1" si="72"/>
        <v>0.28255000000000002</v>
      </c>
      <c r="N213">
        <f t="shared" ca="1" si="73"/>
        <v>4.9130585985046091E-2</v>
      </c>
      <c r="O213">
        <f t="shared" ca="1" si="74"/>
        <v>180.49902672093432</v>
      </c>
      <c r="P213">
        <f t="shared" ca="1" si="75"/>
        <v>633.09199999999998</v>
      </c>
      <c r="Q213">
        <f t="shared" ca="1" si="76"/>
        <v>2293.6372929258187</v>
      </c>
      <c r="R213">
        <f t="shared" ca="1" si="77"/>
        <v>407.37682743165988</v>
      </c>
      <c r="S213">
        <f t="shared" ca="1" si="78"/>
        <v>257.7242939985145</v>
      </c>
      <c r="T213">
        <f t="shared" ca="1" si="79"/>
        <v>938.38120878238033</v>
      </c>
      <c r="U213">
        <f t="shared" ca="1" si="100"/>
        <v>-422.36825345592729</v>
      </c>
      <c r="V213">
        <f t="shared" ca="1" si="101"/>
        <v>0</v>
      </c>
      <c r="W213">
        <f t="shared" ca="1" si="80"/>
        <v>0.05</v>
      </c>
      <c r="X213">
        <f t="shared" ca="1" si="81"/>
        <v>0.28255000000000002</v>
      </c>
      <c r="Y213">
        <f t="shared" ca="1" si="82"/>
        <v>4.9130585985046091E-2</v>
      </c>
      <c r="Z213">
        <f t="shared" ca="1" si="83"/>
        <v>180.49902672093432</v>
      </c>
      <c r="AA213">
        <f t="shared" ca="1" si="84"/>
        <v>633.09199999999998</v>
      </c>
      <c r="AB213">
        <f t="shared" ca="1" si="85"/>
        <v>2293.6372929258187</v>
      </c>
      <c r="AC213">
        <f t="shared" ca="1" si="86"/>
        <v>407.37682743165988</v>
      </c>
      <c r="AD213">
        <f t="shared" ca="1" si="87"/>
        <v>257.7242939985145</v>
      </c>
      <c r="AE213">
        <f t="shared" ca="1" si="88"/>
        <v>938.38120878238033</v>
      </c>
      <c r="AF213">
        <f t="shared" ca="1" si="89"/>
        <v>427.12428165389929</v>
      </c>
      <c r="AG213">
        <f t="shared" ca="1" si="90"/>
        <v>0</v>
      </c>
      <c r="AH213">
        <f ca="1">IF(V32="Supercritical",L213,IF(V32="Subcritical",W213,IF(AND(V213=1,AG213=1),IF(T213&gt;=AE213,L213,W213),IF(V213=1,L213,IF(AG213=1,W213,MAX($D$16,POWER((ABS(K213)^2)/($I$5*MAX(F213,0.1)^2),1/3)))))))</f>
        <v>2.0249155247698503</v>
      </c>
      <c r="AI213">
        <f t="shared" ca="1" si="91"/>
        <v>635.06691552476991</v>
      </c>
      <c r="AJ213">
        <f t="shared" ca="1" si="92"/>
        <v>636.07937328715479</v>
      </c>
      <c r="AM213">
        <v>0</v>
      </c>
      <c r="AN213">
        <v>0</v>
      </c>
      <c r="AO213">
        <f t="shared" si="93"/>
        <v>0</v>
      </c>
      <c r="AP213">
        <f t="shared" si="102"/>
        <v>0</v>
      </c>
      <c r="AQ213">
        <f t="shared" ca="1" si="94"/>
        <v>1.0000000000000002</v>
      </c>
      <c r="AR213" t="str">
        <f t="shared" ca="1" si="95"/>
        <v>Supercritical</v>
      </c>
      <c r="AS213">
        <f t="shared" ca="1" si="96"/>
        <v>3.5861413233780177E-3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191</v>
      </c>
      <c r="I214">
        <v>0.08</v>
      </c>
      <c r="J214">
        <f t="shared" si="97"/>
        <v>1</v>
      </c>
      <c r="K214">
        <f t="shared" si="98"/>
        <v>51</v>
      </c>
      <c r="L214">
        <f t="shared" ca="1" si="99"/>
        <v>0.05</v>
      </c>
      <c r="M214">
        <f t="shared" ref="M214:M277" ca="1" si="103">((F214)+(G214)*(L214))*(L214)</f>
        <v>0.28120000000000001</v>
      </c>
      <c r="N214">
        <f t="shared" ref="N214:N277" ca="1" si="104">(((F214)+(G214)*(L214))*(L214))/MAX((F214)+2*(L214)*SQRT(1+(G214)^2),0.000001)</f>
        <v>4.9126484975541583E-2</v>
      </c>
      <c r="O214">
        <f t="shared" ref="O214:O277" ca="1" si="105">ABS(K214)/MAX(((F214)+(G214)*(L214))*(L214),0.000001)</f>
        <v>181.3655761024182</v>
      </c>
      <c r="P214">
        <f t="shared" ref="P214:P277" ca="1" si="106">E214+L214</f>
        <v>633.05199999999991</v>
      </c>
      <c r="Q214">
        <f t="shared" ref="Q214:Q277" ca="1" si="107">P214+((ABS(K214)/MAX(((F214)+(G214)*(L214))*(L214),0.000001))^2)/(2*$I$5)</f>
        <v>2309.5796348094827</v>
      </c>
      <c r="R214">
        <f t="shared" ref="R214:R277" ca="1" si="108">((ABS(K214)*$D$6)/(MAX(((F214)+(G214)*(L214))*(L214),0.000001)*MAX(((((F214)+(G214)*(L214))*(L214))/MAX((F214)+2*(L214)*SQRT(1+(G214)^2),0.000001))^(2/3),0.000001)))^2</f>
        <v>411.34350969612797</v>
      </c>
      <c r="S214">
        <f t="shared" ref="S214:S277" ca="1" si="109">ABS(ABS(K214)/MAX(((F214)+(G214)*(L214))*(L214),0.000001))/SQRT($I$5*MAX((((F214)+(G214)*(L214))*(L214))/MAX((F214)+2*(G214)*(L214),0.000001),0.000001))</f>
        <v>258.96159057354299</v>
      </c>
      <c r="T214">
        <f t="shared" ref="T214:T277" ca="1" si="110">((F214)*(L214)^2)/2+(G214)*(L214)^3/3+(ABS(K214)^2)/($I$5*MAX(((F214)+(G214)*(L214))*(L214),0.000001))</f>
        <v>942.88617181685299</v>
      </c>
      <c r="U214">
        <f t="shared" ca="1" si="100"/>
        <v>-427.12428165389906</v>
      </c>
      <c r="V214">
        <f t="shared" ca="1" si="101"/>
        <v>0</v>
      </c>
      <c r="W214">
        <f t="shared" ref="W214:W277" ca="1" si="111">IF(OR($D$20=0,AG215=0),W215,IF(OR(W214=0,AD215&gt;1),MAX($D$16,POWER((ABS(K214)^2)/($I$5*MAX(F214,0.1)^2),1/3)),IF(AF214&gt;0,MAX($D$16,W214+((AF214)*$D$18*IF((AD214)&lt;1,1,-1))),IF(AF214&lt;0,IF(ABS((MAX($D$16,POWER((ABS(K214)^2)/($I$5*MAX(F214,0.1)^2),1/3)))-W214)&gt;$D$19,MAX($D$16,W214+($D$18*((MAX($D$16,POWER((ABS(K214)^2)/($I$5*MAX(F214,0.1)^2),1/3)))-W214))),MAX($D$16,POWER((ABS(K214)^2)/($I$5*MAX(F214,0.1)^2),1/3))),W214))))</f>
        <v>0.05</v>
      </c>
      <c r="X214">
        <f t="shared" ref="X214:X277" ca="1" si="112">((F214)+(G214)*(W214))*(W214)</f>
        <v>0.28120000000000001</v>
      </c>
      <c r="Y214">
        <f t="shared" ref="Y214:Y277" ca="1" si="113">(((F214)+(G214)*(W214))*(W214))/MAX((F214)+2*(W214)*SQRT(1+(G214)^2),0.000001)</f>
        <v>4.9126484975541583E-2</v>
      </c>
      <c r="Z214">
        <f t="shared" ref="Z214:Z277" ca="1" si="114">ABS(K214)/MAX(((F214)+(G214)*(W214))*(W214),0.000001)</f>
        <v>181.3655761024182</v>
      </c>
      <c r="AA214">
        <f t="shared" ref="AA214:AA277" ca="1" si="115">E214+W214</f>
        <v>633.05199999999991</v>
      </c>
      <c r="AB214">
        <f t="shared" ref="AB214:AB277" ca="1" si="116">AA214+((ABS(K214)/MAX(((F214)+(G214)*(W214))*(W214),0.000001))^2)/(2*$I$5)</f>
        <v>2309.5796348094827</v>
      </c>
      <c r="AC214">
        <f t="shared" ref="AC214:AC277" ca="1" si="117">((ABS(K214)*$D$6)/(MAX(((F214)+(G214)*(W214))*(W214),0.000001)*MAX(((((F214)+(G214)*(W214))*(W214))/MAX((F214)+2*(W214)*SQRT(1+(G214)^2),0.000001))^(2/3),0.000001)))^2</f>
        <v>411.34350969612797</v>
      </c>
      <c r="AD214">
        <f t="shared" ref="AD214:AD277" ca="1" si="118">ABS(ABS(K214)/MAX(((F214)+(G214)*(W214))*(W214),0.000001))/SQRT($I$5*MAX((((F214)+(G214)*(W214))*(W214))/MAX((F214)+2*(G214)*(W214),0.000001),0.000001))</f>
        <v>258.96159057354299</v>
      </c>
      <c r="AE214">
        <f t="shared" ref="AE214:AE277" ca="1" si="119">((F214)*(W214)^2)/2+(G214)*(W214)^3/3+(ABS(K214)^2)/($I$5*MAX(((F214)+(G214)*(W214))*(W214),0.000001))</f>
        <v>942.88617181685299</v>
      </c>
      <c r="AF214">
        <f t="shared" ref="AF214:AF277" ca="1" si="120">AB215+(((AC214+AC215)/2)*J215)+(IF(Z214&gt;Z215,$D$8*((Z214^2-Z215^2)/(2*$I$5)),$D$9*((Z215^2-Z214^2)/(2*$I$5)))+($D$10*(ABS(I215)/90)*(MAX(Z214^2,Z215^2)/(2*$I$5))))-AB214</f>
        <v>430.63694696760604</v>
      </c>
      <c r="AG214">
        <f t="shared" ref="AG214:AG277" ca="1" si="121">IF(ROUND(AD214,3)=1,1,IF(AND(ABS(AF214)&lt;$D$19,AD214&lt;1),1,0))</f>
        <v>0</v>
      </c>
      <c r="AH214">
        <f ca="1">IF(V32="Supercritical",L214,IF(V32="Subcritical",W214,IF(AND(V214=1,AG214=1),IF(T214&gt;=AE214,L214,W214),IF(V214=1,L214,IF(AG214=1,W214,MAX($D$16,POWER((ABS(K214)^2)/($I$5*MAX(F214,0.1)^2),1/3)))))))</f>
        <v>2.031391232012278</v>
      </c>
      <c r="AI214">
        <f t="shared" ref="AI214:AI277" ca="1" si="122">E214+AH214</f>
        <v>635.03339123201226</v>
      </c>
      <c r="AJ214">
        <f t="shared" ref="AJ214:AJ277" ca="1" si="123">AI214+((ABS(K214)/MAX(((F214)+(G214)*(AH214))*(AH214),0.000001))^2)/(2*$I$5)</f>
        <v>636.04908684801842</v>
      </c>
      <c r="AM214">
        <v>0</v>
      </c>
      <c r="AN214">
        <v>0</v>
      </c>
      <c r="AO214">
        <f t="shared" ref="AO214:AO277" si="124">AM214+AN214</f>
        <v>0</v>
      </c>
      <c r="AP214">
        <f t="shared" si="102"/>
        <v>0</v>
      </c>
      <c r="AQ214">
        <f t="shared" ref="AQ214:AQ277" ca="1" si="125">ABS(ABS(K214)/MAX(((F214)+(G214)*(AH214))*(AH214),0.000001))/SQRT($I$5*MAX((((F214)+(G214)*(AH214))*(AH214))/MAX((F214)+2*(G214)*(AH214),0.000001),0.000001))</f>
        <v>1</v>
      </c>
      <c r="AR214" t="str">
        <f t="shared" ref="AR214:AR277" ca="1" si="126">IF(AQ214&lt;1,"Subcritical","Supercritical")</f>
        <v>Supercritical</v>
      </c>
      <c r="AS214">
        <f t="shared" ref="AS214:AS277" ca="1" si="127">((ABS(K214)*$D$6)/(MAX(((F214)+(G214)*(AH214))*(AH214),0.000001)*MAX(((((F214)+(G214)*(AH214))*(AH214))/MAX((F214)+2*(AH214)*SQRT(1+(G214)^2),0.000001))^(2/3),0.000001)))^2</f>
        <v>3.5983161177610759E-3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191</v>
      </c>
      <c r="I215">
        <v>0.08</v>
      </c>
      <c r="J215">
        <f t="shared" ref="J215:J278" si="128">B215-B214</f>
        <v>0.99999999999999289</v>
      </c>
      <c r="K215">
        <f t="shared" ref="K215:K278" si="129">MAX(0,K214-AO214)</f>
        <v>51</v>
      </c>
      <c r="L215">
        <f t="shared" ref="L215:L278" ca="1" si="130">IF(OR($D$20=0,V214=0),L214,IF(OR(L215=0,S214&lt;1,S215&lt;1),MAX($D$16,POWER((ABS(K215)^2)/($I$5*MAX(F215,0.1)^2),1/3)),IF(U215&gt;0,MAX($D$16,L215+((U215)*$D$18*IF((S215)&lt;1,1,-1))),IF(U215&lt;0,IF(ABS((MAX($D$16,POWER((ABS(K215)^2)/($I$5*MAX(F215,0.1)^2),1/3)))-L215)&gt;$D$19,MAX($D$16,L215+($D$18*((MAX($D$16,POWER((ABS(K215)^2)/($I$5*MAX(F215,0.1)^2),1/3)))-L215))),MAX($D$16,POWER((ABS(K215)^2)/($I$5*MAX(F215,0.1)^2),1/3))),L215))))</f>
        <v>0.05</v>
      </c>
      <c r="M215">
        <f t="shared" ca="1" si="103"/>
        <v>0.27989999999999998</v>
      </c>
      <c r="N215">
        <f t="shared" ca="1" si="104"/>
        <v>4.9122499122499122E-2</v>
      </c>
      <c r="O215">
        <f t="shared" ca="1" si="105"/>
        <v>182.20793140407289</v>
      </c>
      <c r="P215">
        <f t="shared" ca="1" si="106"/>
        <v>633.01199999999994</v>
      </c>
      <c r="Q215">
        <f t="shared" ca="1" si="107"/>
        <v>2325.149118580598</v>
      </c>
      <c r="R215">
        <f t="shared" ca="1" si="108"/>
        <v>415.21828337768119</v>
      </c>
      <c r="S215">
        <f t="shared" ca="1" si="109"/>
        <v>260.16434179807175</v>
      </c>
      <c r="T215">
        <f t="shared" ca="1" si="110"/>
        <v>947.26535648141862</v>
      </c>
      <c r="U215">
        <f t="shared" ref="U215:U278" ca="1" si="131">Q214-(((R214+R215)/2)*J215)-(IF(O214&gt;O215,$D$8*((O214^2-O215^2)/(2*$I$5)),$D$9*((O215^2-O214^2)/(2*$I$5)))+($D$10*(ABS(I215)/90)*(MAX(O214^2,O215^2)/(2*$I$5))))-Q215</f>
        <v>-430.63694696760604</v>
      </c>
      <c r="V215">
        <f t="shared" ref="V215:V278" ca="1" si="132">IF(ROUND(S215,3)=1,1,IF(AND(ABS(U215)&lt;$D$19,S215&gt;1),1,0))</f>
        <v>0</v>
      </c>
      <c r="W215">
        <f t="shared" ca="1" si="111"/>
        <v>0.05</v>
      </c>
      <c r="X215">
        <f t="shared" ca="1" si="112"/>
        <v>0.27989999999999998</v>
      </c>
      <c r="Y215">
        <f t="shared" ca="1" si="113"/>
        <v>4.9122499122499122E-2</v>
      </c>
      <c r="Z215">
        <f t="shared" ca="1" si="114"/>
        <v>182.20793140407289</v>
      </c>
      <c r="AA215">
        <f t="shared" ca="1" si="115"/>
        <v>633.01199999999994</v>
      </c>
      <c r="AB215">
        <f t="shared" ca="1" si="116"/>
        <v>2325.149118580598</v>
      </c>
      <c r="AC215">
        <f t="shared" ca="1" si="117"/>
        <v>415.21828337768119</v>
      </c>
      <c r="AD215">
        <f t="shared" ca="1" si="118"/>
        <v>260.16434179807175</v>
      </c>
      <c r="AE215">
        <f t="shared" ca="1" si="119"/>
        <v>947.26535648141862</v>
      </c>
      <c r="AF215">
        <f t="shared" ca="1" si="120"/>
        <v>434.78225394397487</v>
      </c>
      <c r="AG215">
        <f t="shared" ca="1" si="121"/>
        <v>0</v>
      </c>
      <c r="AH215">
        <f ca="1">IF(V32="Supercritical",L215,IF(V32="Subcritical",W215,IF(AND(V215=1,AG215=1),IF(T215&gt;=AE215,L215,W215),IF(V215=1,L215,IF(AG215=1,W215,MAX($D$16,POWER((ABS(K215)^2)/($I$5*MAX(F215,0.1)^2),1/3)))))))</f>
        <v>2.0376762590386455</v>
      </c>
      <c r="AI215">
        <f t="shared" ca="1" si="122"/>
        <v>634.99967625903867</v>
      </c>
      <c r="AJ215">
        <f t="shared" ca="1" si="123"/>
        <v>636.01851438855795</v>
      </c>
      <c r="AM215">
        <v>0</v>
      </c>
      <c r="AN215">
        <v>0</v>
      </c>
      <c r="AO215">
        <f t="shared" si="124"/>
        <v>0</v>
      </c>
      <c r="AP215">
        <f t="shared" ref="AP215:AP278" si="133">AP214+AO215</f>
        <v>0</v>
      </c>
      <c r="AQ215">
        <f t="shared" ca="1" si="125"/>
        <v>1</v>
      </c>
      <c r="AR215" t="str">
        <f t="shared" ca="1" si="126"/>
        <v>Supercritical</v>
      </c>
      <c r="AS215">
        <f t="shared" ca="1" si="127"/>
        <v>3.610205784629937E-3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191</v>
      </c>
      <c r="I216">
        <v>0.08</v>
      </c>
      <c r="J216">
        <f t="shared" si="128"/>
        <v>1</v>
      </c>
      <c r="K216">
        <f t="shared" si="129"/>
        <v>51</v>
      </c>
      <c r="L216">
        <f t="shared" ca="1" si="130"/>
        <v>0.05</v>
      </c>
      <c r="M216">
        <f t="shared" ca="1" si="103"/>
        <v>0.27860000000000001</v>
      </c>
      <c r="N216">
        <f t="shared" ca="1" si="104"/>
        <v>4.9118476727785618E-2</v>
      </c>
      <c r="O216">
        <f t="shared" ca="1" si="105"/>
        <v>183.05814788226849</v>
      </c>
      <c r="P216">
        <f t="shared" ca="1" si="106"/>
        <v>632.97199999999998</v>
      </c>
      <c r="Q216">
        <f t="shared" ca="1" si="107"/>
        <v>2340.937622124693</v>
      </c>
      <c r="R216">
        <f t="shared" ca="1" si="108"/>
        <v>419.14805921402666</v>
      </c>
      <c r="S216">
        <f t="shared" ca="1" si="109"/>
        <v>261.37831754946262</v>
      </c>
      <c r="T216">
        <f t="shared" ca="1" si="110"/>
        <v>951.68540964787883</v>
      </c>
      <c r="U216">
        <f t="shared" ca="1" si="131"/>
        <v>-434.78225394397509</v>
      </c>
      <c r="V216">
        <f t="shared" ca="1" si="132"/>
        <v>0</v>
      </c>
      <c r="W216">
        <f t="shared" ca="1" si="111"/>
        <v>0.05</v>
      </c>
      <c r="X216">
        <f t="shared" ca="1" si="112"/>
        <v>0.27860000000000001</v>
      </c>
      <c r="Y216">
        <f t="shared" ca="1" si="113"/>
        <v>4.9118476727785618E-2</v>
      </c>
      <c r="Z216">
        <f t="shared" ca="1" si="114"/>
        <v>183.05814788226849</v>
      </c>
      <c r="AA216">
        <f t="shared" ca="1" si="115"/>
        <v>632.97199999999998</v>
      </c>
      <c r="AB216">
        <f t="shared" ca="1" si="116"/>
        <v>2340.937622124693</v>
      </c>
      <c r="AC216">
        <f t="shared" ca="1" si="117"/>
        <v>419.14805921402666</v>
      </c>
      <c r="AD216">
        <f t="shared" ca="1" si="118"/>
        <v>261.37831754946262</v>
      </c>
      <c r="AE216">
        <f t="shared" ca="1" si="119"/>
        <v>951.68540964787883</v>
      </c>
      <c r="AF216">
        <f t="shared" ca="1" si="120"/>
        <v>439.74901652673998</v>
      </c>
      <c r="AG216">
        <f t="shared" ca="1" si="121"/>
        <v>0</v>
      </c>
      <c r="AH216">
        <f ca="1">IF(V32="Supercritical",L216,IF(V32="Subcritical",W216,IF(AND(V216=1,AG216=1),IF(T216&gt;=AE216,L216,W216),IF(V216=1,L216,IF(AG216=1,W216,MAX($D$16,POWER((ABS(K216)^2)/($I$5*MAX(F216,0.1)^2),1/3)))))))</f>
        <v>2.0440101266905177</v>
      </c>
      <c r="AI216">
        <f t="shared" ca="1" si="122"/>
        <v>634.96601012669055</v>
      </c>
      <c r="AJ216">
        <f t="shared" ca="1" si="123"/>
        <v>635.98801519003575</v>
      </c>
      <c r="AM216">
        <v>0</v>
      </c>
      <c r="AN216">
        <v>0</v>
      </c>
      <c r="AO216">
        <f t="shared" si="124"/>
        <v>0</v>
      </c>
      <c r="AP216">
        <f t="shared" si="133"/>
        <v>0</v>
      </c>
      <c r="AQ216">
        <f t="shared" ca="1" si="125"/>
        <v>1.0000000000000002</v>
      </c>
      <c r="AR216" t="str">
        <f t="shared" ca="1" si="126"/>
        <v>Supercritical</v>
      </c>
      <c r="AS216">
        <f t="shared" ca="1" si="127"/>
        <v>3.6222610844348305E-3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191</v>
      </c>
      <c r="I217">
        <v>0.08</v>
      </c>
      <c r="J217">
        <f t="shared" si="128"/>
        <v>1</v>
      </c>
      <c r="K217">
        <f t="shared" si="129"/>
        <v>51</v>
      </c>
      <c r="L217">
        <f t="shared" ca="1" si="130"/>
        <v>0.05</v>
      </c>
      <c r="M217">
        <f t="shared" ca="1" si="103"/>
        <v>0.27725</v>
      </c>
      <c r="N217">
        <f t="shared" ca="1" si="104"/>
        <v>4.9114260407440213E-2</v>
      </c>
      <c r="O217">
        <f t="shared" ca="1" si="105"/>
        <v>183.94950405770965</v>
      </c>
      <c r="P217">
        <f t="shared" ca="1" si="106"/>
        <v>632.9319999999999</v>
      </c>
      <c r="Q217">
        <f t="shared" ca="1" si="107"/>
        <v>2357.5711459264694</v>
      </c>
      <c r="R217">
        <f t="shared" ca="1" si="108"/>
        <v>423.28831770329879</v>
      </c>
      <c r="S217">
        <f t="shared" ca="1" si="109"/>
        <v>262.65103433464486</v>
      </c>
      <c r="T217">
        <f t="shared" ca="1" si="110"/>
        <v>956.3193376662274</v>
      </c>
      <c r="U217">
        <f t="shared" ca="1" si="131"/>
        <v>-439.74901652674043</v>
      </c>
      <c r="V217">
        <f t="shared" ca="1" si="132"/>
        <v>0</v>
      </c>
      <c r="W217">
        <f t="shared" ca="1" si="111"/>
        <v>0.05</v>
      </c>
      <c r="X217">
        <f t="shared" ca="1" si="112"/>
        <v>0.27725</v>
      </c>
      <c r="Y217">
        <f t="shared" ca="1" si="113"/>
        <v>4.9114260407440213E-2</v>
      </c>
      <c r="Z217">
        <f t="shared" ca="1" si="114"/>
        <v>183.94950405770965</v>
      </c>
      <c r="AA217">
        <f t="shared" ca="1" si="115"/>
        <v>632.9319999999999</v>
      </c>
      <c r="AB217">
        <f t="shared" ca="1" si="116"/>
        <v>2357.5711459264694</v>
      </c>
      <c r="AC217">
        <f t="shared" ca="1" si="117"/>
        <v>423.28831770329879</v>
      </c>
      <c r="AD217">
        <f t="shared" ca="1" si="118"/>
        <v>262.65103433464486</v>
      </c>
      <c r="AE217">
        <f t="shared" ca="1" si="119"/>
        <v>956.3193376662274</v>
      </c>
      <c r="AF217">
        <f t="shared" ca="1" si="120"/>
        <v>443.41962412748944</v>
      </c>
      <c r="AG217">
        <f t="shared" ca="1" si="121"/>
        <v>0</v>
      </c>
      <c r="AH217">
        <f ca="1">IF(V32="Supercritical",L217,IF(V32="Subcritical",W217,IF(AND(V217=1,AG217=1),IF(T217&gt;=AE217,L217,W217),IF(V217=1,L217,IF(AG217=1,W217,MAX($D$16,POWER((ABS(K217)^2)/($I$5*MAX(F217,0.1)^2),1/3)))))))</f>
        <v>2.0506399532578388</v>
      </c>
      <c r="AI217">
        <f t="shared" ca="1" si="122"/>
        <v>634.93263995325776</v>
      </c>
      <c r="AJ217">
        <f t="shared" ca="1" si="123"/>
        <v>635.95795992988667</v>
      </c>
      <c r="AM217">
        <v>0</v>
      </c>
      <c r="AN217">
        <v>0</v>
      </c>
      <c r="AO217">
        <f t="shared" si="124"/>
        <v>0</v>
      </c>
      <c r="AP217">
        <f t="shared" si="133"/>
        <v>0</v>
      </c>
      <c r="AQ217">
        <f t="shared" ca="1" si="125"/>
        <v>1</v>
      </c>
      <c r="AR217" t="str">
        <f t="shared" ca="1" si="126"/>
        <v>Supercritical</v>
      </c>
      <c r="AS217">
        <f t="shared" ca="1" si="127"/>
        <v>3.6349585781013708E-3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191</v>
      </c>
      <c r="I218">
        <v>0.08</v>
      </c>
      <c r="J218">
        <f t="shared" si="128"/>
        <v>1</v>
      </c>
      <c r="K218">
        <f t="shared" si="129"/>
        <v>51</v>
      </c>
      <c r="L218">
        <f t="shared" ca="1" si="130"/>
        <v>0.05</v>
      </c>
      <c r="M218">
        <f t="shared" ca="1" si="103"/>
        <v>0.27595000000000003</v>
      </c>
      <c r="N218">
        <f t="shared" ca="1" si="104"/>
        <v>4.9110161950525012E-2</v>
      </c>
      <c r="O218">
        <f t="shared" ca="1" si="105"/>
        <v>184.81608987135348</v>
      </c>
      <c r="P218">
        <f t="shared" ca="1" si="106"/>
        <v>632.89199999999994</v>
      </c>
      <c r="Q218">
        <f t="shared" ca="1" si="107"/>
        <v>2373.8189661231499</v>
      </c>
      <c r="R218">
        <f t="shared" ca="1" si="108"/>
        <v>427.33347892801646</v>
      </c>
      <c r="S218">
        <f t="shared" ca="1" si="109"/>
        <v>263.88838292908235</v>
      </c>
      <c r="T218">
        <f t="shared" ca="1" si="110"/>
        <v>960.82449135336674</v>
      </c>
      <c r="U218">
        <f t="shared" ca="1" si="131"/>
        <v>-443.41962412748921</v>
      </c>
      <c r="V218">
        <f t="shared" ca="1" si="132"/>
        <v>0</v>
      </c>
      <c r="W218">
        <f t="shared" ca="1" si="111"/>
        <v>0.05</v>
      </c>
      <c r="X218">
        <f t="shared" ca="1" si="112"/>
        <v>0.27595000000000003</v>
      </c>
      <c r="Y218">
        <f t="shared" ca="1" si="113"/>
        <v>4.9110161950525012E-2</v>
      </c>
      <c r="Z218">
        <f t="shared" ca="1" si="114"/>
        <v>184.81608987135348</v>
      </c>
      <c r="AA218">
        <f t="shared" ca="1" si="115"/>
        <v>632.89199999999994</v>
      </c>
      <c r="AB218">
        <f t="shared" ca="1" si="116"/>
        <v>2373.8189661231499</v>
      </c>
      <c r="AC218">
        <f t="shared" ca="1" si="117"/>
        <v>427.33347892801646</v>
      </c>
      <c r="AD218">
        <f t="shared" ca="1" si="118"/>
        <v>263.88838292908235</v>
      </c>
      <c r="AE218">
        <f t="shared" ca="1" si="119"/>
        <v>960.82449135336674</v>
      </c>
      <c r="AF218">
        <f t="shared" ca="1" si="120"/>
        <v>447.61346574545678</v>
      </c>
      <c r="AG218">
        <f t="shared" ca="1" si="121"/>
        <v>0</v>
      </c>
      <c r="AH218">
        <f ca="1">IF(V32="Supercritical",L218,IF(V32="Subcritical",W218,IF(AND(V218=1,AG218=1),IF(T218&gt;=AE218,L218,W218),IF(V218=1,L218,IF(AG218=1,W218,MAX($D$16,POWER((ABS(K218)^2)/($I$5*MAX(F218,0.1)^2),1/3)))))))</f>
        <v>2.0570752813682609</v>
      </c>
      <c r="AI218">
        <f t="shared" ca="1" si="122"/>
        <v>634.89907528136825</v>
      </c>
      <c r="AJ218">
        <f t="shared" ca="1" si="123"/>
        <v>635.92761292205239</v>
      </c>
      <c r="AM218">
        <v>0</v>
      </c>
      <c r="AN218">
        <v>0</v>
      </c>
      <c r="AO218">
        <f t="shared" si="124"/>
        <v>0</v>
      </c>
      <c r="AP218">
        <f t="shared" si="133"/>
        <v>0</v>
      </c>
      <c r="AQ218">
        <f t="shared" ca="1" si="125"/>
        <v>0.99999999999999978</v>
      </c>
      <c r="AR218" t="str">
        <f t="shared" ca="1" si="126"/>
        <v>Supercritical</v>
      </c>
      <c r="AS218">
        <f t="shared" ca="1" si="127"/>
        <v>3.6473608807397707E-3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191</v>
      </c>
      <c r="I219">
        <v>3.3000000000000002E-2</v>
      </c>
      <c r="J219">
        <f t="shared" si="128"/>
        <v>1</v>
      </c>
      <c r="K219">
        <f t="shared" si="129"/>
        <v>51</v>
      </c>
      <c r="L219">
        <f t="shared" ca="1" si="130"/>
        <v>0.05</v>
      </c>
      <c r="M219">
        <f t="shared" ca="1" si="103"/>
        <v>0.27465000000000001</v>
      </c>
      <c r="N219">
        <f t="shared" ca="1" si="104"/>
        <v>4.9106025388878954E-2</v>
      </c>
      <c r="O219">
        <f t="shared" ca="1" si="105"/>
        <v>185.69087930092846</v>
      </c>
      <c r="P219">
        <f t="shared" ca="1" si="106"/>
        <v>632.85199999999998</v>
      </c>
      <c r="Q219">
        <f t="shared" ca="1" si="107"/>
        <v>2390.2986185296622</v>
      </c>
      <c r="R219">
        <f t="shared" ca="1" si="108"/>
        <v>431.43689814053215</v>
      </c>
      <c r="S219">
        <f t="shared" ca="1" si="109"/>
        <v>265.13744500011029</v>
      </c>
      <c r="T219">
        <f t="shared" ca="1" si="110"/>
        <v>965.37229380834356</v>
      </c>
      <c r="U219">
        <f t="shared" ca="1" si="131"/>
        <v>-447.61346574545678</v>
      </c>
      <c r="V219">
        <f t="shared" ca="1" si="132"/>
        <v>0</v>
      </c>
      <c r="W219">
        <f t="shared" ca="1" si="111"/>
        <v>0.05</v>
      </c>
      <c r="X219">
        <f t="shared" ca="1" si="112"/>
        <v>0.27465000000000001</v>
      </c>
      <c r="Y219">
        <f t="shared" ca="1" si="113"/>
        <v>4.9106025388878954E-2</v>
      </c>
      <c r="Z219">
        <f t="shared" ca="1" si="114"/>
        <v>185.69087930092846</v>
      </c>
      <c r="AA219">
        <f t="shared" ca="1" si="115"/>
        <v>632.85199999999998</v>
      </c>
      <c r="AB219">
        <f t="shared" ca="1" si="116"/>
        <v>2390.2986185296622</v>
      </c>
      <c r="AC219">
        <f t="shared" ca="1" si="117"/>
        <v>431.43689814053215</v>
      </c>
      <c r="AD219">
        <f t="shared" ca="1" si="118"/>
        <v>265.13744500011029</v>
      </c>
      <c r="AE219">
        <f t="shared" ca="1" si="119"/>
        <v>965.37229380834356</v>
      </c>
      <c r="AF219">
        <f t="shared" ca="1" si="120"/>
        <v>452.31242410507639</v>
      </c>
      <c r="AG219">
        <f t="shared" ca="1" si="121"/>
        <v>0</v>
      </c>
      <c r="AH219">
        <f ca="1">IF(V32="Supercritical",L219,IF(V32="Subcritical",W219,IF(AND(V219=1,AG219=1),IF(T219&gt;=AE219,L219,W219),IF(V219=1,L219,IF(AG219=1,W219,MAX($D$16,POWER((ABS(K219)^2)/($I$5*MAX(F219,0.1)^2),1/3)))))))</f>
        <v>2.0635613367425143</v>
      </c>
      <c r="AI219">
        <f t="shared" ca="1" si="122"/>
        <v>634.86556133674253</v>
      </c>
      <c r="AJ219">
        <f t="shared" ca="1" si="123"/>
        <v>635.89734200511384</v>
      </c>
      <c r="AM219">
        <v>0</v>
      </c>
      <c r="AN219">
        <v>0</v>
      </c>
      <c r="AO219">
        <f t="shared" si="124"/>
        <v>0</v>
      </c>
      <c r="AP219">
        <f t="shared" si="133"/>
        <v>0</v>
      </c>
      <c r="AQ219">
        <f t="shared" ca="1" si="125"/>
        <v>1</v>
      </c>
      <c r="AR219" t="str">
        <f t="shared" ca="1" si="126"/>
        <v>Supercritical</v>
      </c>
      <c r="AS219">
        <f t="shared" ca="1" si="127"/>
        <v>3.6599381494564175E-3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191</v>
      </c>
      <c r="I220">
        <v>1.4E-2</v>
      </c>
      <c r="J220">
        <f t="shared" si="128"/>
        <v>0.99900000000000944</v>
      </c>
      <c r="K220">
        <f t="shared" si="129"/>
        <v>51</v>
      </c>
      <c r="L220">
        <f t="shared" ca="1" si="130"/>
        <v>0.05</v>
      </c>
      <c r="M220">
        <f t="shared" ca="1" si="103"/>
        <v>0.27330000000000004</v>
      </c>
      <c r="N220">
        <f t="shared" ca="1" si="104"/>
        <v>4.9101688825008989E-2</v>
      </c>
      <c r="O220">
        <f t="shared" ca="1" si="105"/>
        <v>186.60812294182213</v>
      </c>
      <c r="P220">
        <f t="shared" ca="1" si="106"/>
        <v>632.8119999999999</v>
      </c>
      <c r="Q220">
        <f t="shared" ca="1" si="107"/>
        <v>2407.663760849653</v>
      </c>
      <c r="R220">
        <f t="shared" ca="1" si="108"/>
        <v>435.76100845672431</v>
      </c>
      <c r="S220">
        <f t="shared" ca="1" si="109"/>
        <v>266.44712502480888</v>
      </c>
      <c r="T220">
        <f t="shared" ca="1" si="110"/>
        <v>970.14080498042085</v>
      </c>
      <c r="U220">
        <f t="shared" ca="1" si="131"/>
        <v>-452.31242410507662</v>
      </c>
      <c r="V220">
        <f t="shared" ca="1" si="132"/>
        <v>0</v>
      </c>
      <c r="W220">
        <f t="shared" ca="1" si="111"/>
        <v>0.05</v>
      </c>
      <c r="X220">
        <f t="shared" ca="1" si="112"/>
        <v>0.27330000000000004</v>
      </c>
      <c r="Y220">
        <f t="shared" ca="1" si="113"/>
        <v>4.9101688825008989E-2</v>
      </c>
      <c r="Z220">
        <f t="shared" ca="1" si="114"/>
        <v>186.60812294182213</v>
      </c>
      <c r="AA220">
        <f t="shared" ca="1" si="115"/>
        <v>632.8119999999999</v>
      </c>
      <c r="AB220">
        <f t="shared" ca="1" si="116"/>
        <v>2407.663760849653</v>
      </c>
      <c r="AC220">
        <f t="shared" ca="1" si="117"/>
        <v>435.76100845672431</v>
      </c>
      <c r="AD220">
        <f t="shared" ca="1" si="118"/>
        <v>266.44712502480888</v>
      </c>
      <c r="AE220">
        <f t="shared" ca="1" si="119"/>
        <v>970.14080498042085</v>
      </c>
      <c r="AF220">
        <f t="shared" ca="1" si="120"/>
        <v>457.02017631270019</v>
      </c>
      <c r="AG220">
        <f t="shared" ca="1" si="121"/>
        <v>0</v>
      </c>
      <c r="AH220">
        <f ca="1">IF(V32="Supercritical",L220,IF(V32="Subcritical",W220,IF(AND(V220=1,AG220=1),IF(T220&gt;=AE220,L220,W220),IF(V220=1,L220,IF(AG220=1,W220,MAX($D$16,POWER((ABS(K220)^2)/($I$5*MAX(F220,0.1)^2),1/3)))))))</f>
        <v>2.0703512363645955</v>
      </c>
      <c r="AI220">
        <f t="shared" ca="1" si="122"/>
        <v>634.8323512363645</v>
      </c>
      <c r="AJ220">
        <f t="shared" ca="1" si="123"/>
        <v>635.86752685454678</v>
      </c>
      <c r="AM220">
        <v>0</v>
      </c>
      <c r="AN220">
        <v>0</v>
      </c>
      <c r="AO220">
        <f t="shared" si="124"/>
        <v>0</v>
      </c>
      <c r="AP220">
        <f t="shared" si="133"/>
        <v>0</v>
      </c>
      <c r="AQ220">
        <f t="shared" ca="1" si="125"/>
        <v>1.0000000000000002</v>
      </c>
      <c r="AR220" t="str">
        <f t="shared" ca="1" si="126"/>
        <v>Supercritical</v>
      </c>
      <c r="AS220">
        <f t="shared" ca="1" si="127"/>
        <v>3.6731877979456441E-3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191</v>
      </c>
      <c r="I221">
        <v>1.4E-2</v>
      </c>
      <c r="J221">
        <f t="shared" si="128"/>
        <v>1.0009999999999906</v>
      </c>
      <c r="K221">
        <f t="shared" si="129"/>
        <v>51</v>
      </c>
      <c r="L221">
        <f t="shared" ca="1" si="130"/>
        <v>0.05</v>
      </c>
      <c r="M221">
        <f t="shared" ca="1" si="103"/>
        <v>0.27200000000000002</v>
      </c>
      <c r="N221">
        <f t="shared" ca="1" si="104"/>
        <v>4.9097472924187729E-2</v>
      </c>
      <c r="O221">
        <f t="shared" ca="1" si="105"/>
        <v>187.5</v>
      </c>
      <c r="P221">
        <f t="shared" ca="1" si="106"/>
        <v>632.77199999999993</v>
      </c>
      <c r="Q221">
        <f t="shared" ca="1" si="107"/>
        <v>2424.6297981651373</v>
      </c>
      <c r="R221">
        <f t="shared" ca="1" si="108"/>
        <v>439.98669434124002</v>
      </c>
      <c r="S221">
        <f t="shared" ca="1" si="109"/>
        <v>267.72058554882454</v>
      </c>
      <c r="T221">
        <f t="shared" ca="1" si="110"/>
        <v>974.77744220183467</v>
      </c>
      <c r="U221">
        <f t="shared" ca="1" si="131"/>
        <v>-457.02017631270041</v>
      </c>
      <c r="V221">
        <f t="shared" ca="1" si="132"/>
        <v>0</v>
      </c>
      <c r="W221">
        <f t="shared" ca="1" si="111"/>
        <v>0.05</v>
      </c>
      <c r="X221">
        <f t="shared" ca="1" si="112"/>
        <v>0.27200000000000002</v>
      </c>
      <c r="Y221">
        <f t="shared" ca="1" si="113"/>
        <v>4.9097472924187729E-2</v>
      </c>
      <c r="Z221">
        <f t="shared" ca="1" si="114"/>
        <v>187.5</v>
      </c>
      <c r="AA221">
        <f t="shared" ca="1" si="115"/>
        <v>632.77199999999993</v>
      </c>
      <c r="AB221">
        <f t="shared" ca="1" si="116"/>
        <v>2424.6297981651373</v>
      </c>
      <c r="AC221">
        <f t="shared" ca="1" si="117"/>
        <v>439.98669434124002</v>
      </c>
      <c r="AD221">
        <f t="shared" ca="1" si="118"/>
        <v>267.72058554882454</v>
      </c>
      <c r="AE221">
        <f t="shared" ca="1" si="119"/>
        <v>974.77744220183467</v>
      </c>
      <c r="AF221">
        <f t="shared" ca="1" si="120"/>
        <v>460.6672945576729</v>
      </c>
      <c r="AG221">
        <f t="shared" ca="1" si="121"/>
        <v>0</v>
      </c>
      <c r="AH221">
        <f ca="1">IF(V32="Supercritical",L221,IF(V32="Subcritical",W221,IF(AND(V221=1,AG221=1),IF(T221&gt;=AE221,L221,W221),IF(V221=1,L221,IF(AG221=1,W221,MAX($D$16,POWER((ABS(K221)^2)/($I$5*MAX(F221,0.1)^2),1/3)))))))</f>
        <v>2.0769427001362168</v>
      </c>
      <c r="AI221">
        <f t="shared" ca="1" si="122"/>
        <v>634.79894270013619</v>
      </c>
      <c r="AJ221">
        <f t="shared" ca="1" si="123"/>
        <v>635.8374140502043</v>
      </c>
      <c r="AM221">
        <v>0</v>
      </c>
      <c r="AN221">
        <v>0</v>
      </c>
      <c r="AO221">
        <f t="shared" si="124"/>
        <v>0</v>
      </c>
      <c r="AP221">
        <f t="shared" si="133"/>
        <v>0</v>
      </c>
      <c r="AQ221">
        <f t="shared" ca="1" si="125"/>
        <v>1.0000000000000002</v>
      </c>
      <c r="AR221" t="str">
        <f t="shared" ca="1" si="126"/>
        <v>Supercritical</v>
      </c>
      <c r="AS221">
        <f t="shared" ca="1" si="127"/>
        <v>3.6861317704143114E-3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191</v>
      </c>
      <c r="I222">
        <v>1.4E-2</v>
      </c>
      <c r="J222">
        <f t="shared" si="128"/>
        <v>0.99900000000000944</v>
      </c>
      <c r="K222">
        <f t="shared" si="129"/>
        <v>51</v>
      </c>
      <c r="L222">
        <f t="shared" ca="1" si="130"/>
        <v>0.05</v>
      </c>
      <c r="M222">
        <f t="shared" ca="1" si="103"/>
        <v>0.2707</v>
      </c>
      <c r="N222">
        <f t="shared" ca="1" si="104"/>
        <v>4.9093217265143277E-2</v>
      </c>
      <c r="O222">
        <f t="shared" ca="1" si="105"/>
        <v>188.4004432951607</v>
      </c>
      <c r="P222">
        <f t="shared" ca="1" si="106"/>
        <v>632.73199999999997</v>
      </c>
      <c r="Q222">
        <f t="shared" ca="1" si="107"/>
        <v>2441.8414308773222</v>
      </c>
      <c r="R222">
        <f t="shared" ca="1" si="108"/>
        <v>444.27413853339169</v>
      </c>
      <c r="S222">
        <f t="shared" ca="1" si="109"/>
        <v>269.00627731540555</v>
      </c>
      <c r="T222">
        <f t="shared" ca="1" si="110"/>
        <v>979.45861337698227</v>
      </c>
      <c r="U222">
        <f t="shared" ca="1" si="131"/>
        <v>-460.66729455767313</v>
      </c>
      <c r="V222">
        <f t="shared" ca="1" si="132"/>
        <v>0</v>
      </c>
      <c r="W222">
        <f t="shared" ca="1" si="111"/>
        <v>0.05</v>
      </c>
      <c r="X222">
        <f t="shared" ca="1" si="112"/>
        <v>0.2707</v>
      </c>
      <c r="Y222">
        <f t="shared" ca="1" si="113"/>
        <v>4.9093217265143277E-2</v>
      </c>
      <c r="Z222">
        <f t="shared" ca="1" si="114"/>
        <v>188.4004432951607</v>
      </c>
      <c r="AA222">
        <f t="shared" ca="1" si="115"/>
        <v>632.73199999999997</v>
      </c>
      <c r="AB222">
        <f t="shared" ca="1" si="116"/>
        <v>2441.8414308773222</v>
      </c>
      <c r="AC222">
        <f t="shared" ca="1" si="117"/>
        <v>444.27413853339169</v>
      </c>
      <c r="AD222">
        <f t="shared" ca="1" si="118"/>
        <v>269.00627731540555</v>
      </c>
      <c r="AE222">
        <f t="shared" ca="1" si="119"/>
        <v>979.45861337698227</v>
      </c>
      <c r="AF222">
        <f t="shared" ca="1" si="120"/>
        <v>466.9810318187906</v>
      </c>
      <c r="AG222">
        <f t="shared" ca="1" si="121"/>
        <v>0</v>
      </c>
      <c r="AH222">
        <f ca="1">IF(V32="Supercritical",L222,IF(V32="Subcritical",W222,IF(AND(V222=1,AG222=1),IF(T222&gt;=AE222,L222,W222),IF(V222=1,L222,IF(AG222=1,W222,MAX($D$16,POWER((ABS(K222)^2)/($I$5*MAX(F222,0.1)^2),1/3)))))))</f>
        <v>2.0835868794874157</v>
      </c>
      <c r="AI222">
        <f t="shared" ca="1" si="122"/>
        <v>634.76558687948739</v>
      </c>
      <c r="AJ222">
        <f t="shared" ca="1" si="123"/>
        <v>635.80738031923113</v>
      </c>
      <c r="AM222">
        <v>0</v>
      </c>
      <c r="AN222">
        <v>0</v>
      </c>
      <c r="AO222">
        <f t="shared" si="124"/>
        <v>0</v>
      </c>
      <c r="AP222">
        <f t="shared" si="133"/>
        <v>0</v>
      </c>
      <c r="AQ222">
        <f t="shared" ca="1" si="125"/>
        <v>1</v>
      </c>
      <c r="AR222" t="str">
        <f t="shared" ca="1" si="126"/>
        <v>Supercritical</v>
      </c>
      <c r="AS222">
        <f t="shared" ca="1" si="127"/>
        <v>3.6992607176856156E-3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191</v>
      </c>
      <c r="I223">
        <v>1.4E-2</v>
      </c>
      <c r="J223">
        <f t="shared" si="128"/>
        <v>1.0009999999999906</v>
      </c>
      <c r="K223">
        <f t="shared" si="129"/>
        <v>51</v>
      </c>
      <c r="L223">
        <f t="shared" ca="1" si="130"/>
        <v>0.05</v>
      </c>
      <c r="M223">
        <f t="shared" ca="1" si="103"/>
        <v>0.26934999999999998</v>
      </c>
      <c r="N223">
        <f t="shared" ca="1" si="104"/>
        <v>4.9088755239657375E-2</v>
      </c>
      <c r="O223">
        <f t="shared" ca="1" si="105"/>
        <v>189.34471876740301</v>
      </c>
      <c r="P223">
        <f t="shared" ca="1" si="106"/>
        <v>632.69200000000001</v>
      </c>
      <c r="Q223">
        <f t="shared" ca="1" si="107"/>
        <v>2459.9816292103433</v>
      </c>
      <c r="R223">
        <f t="shared" ca="1" si="108"/>
        <v>448.7931479690198</v>
      </c>
      <c r="S223">
        <f t="shared" ca="1" si="109"/>
        <v>270.35455455459544</v>
      </c>
      <c r="T223">
        <f t="shared" ca="1" si="110"/>
        <v>984.36765700561205</v>
      </c>
      <c r="U223">
        <f t="shared" ca="1" si="131"/>
        <v>-466.9810318187906</v>
      </c>
      <c r="V223">
        <f t="shared" ca="1" si="132"/>
        <v>0</v>
      </c>
      <c r="W223">
        <f t="shared" ca="1" si="111"/>
        <v>0.05</v>
      </c>
      <c r="X223">
        <f t="shared" ca="1" si="112"/>
        <v>0.26934999999999998</v>
      </c>
      <c r="Y223">
        <f t="shared" ca="1" si="113"/>
        <v>4.9088755239657375E-2</v>
      </c>
      <c r="Z223">
        <f t="shared" ca="1" si="114"/>
        <v>189.34471876740301</v>
      </c>
      <c r="AA223">
        <f t="shared" ca="1" si="115"/>
        <v>632.69200000000001</v>
      </c>
      <c r="AB223">
        <f t="shared" ca="1" si="116"/>
        <v>2459.9816292103433</v>
      </c>
      <c r="AC223">
        <f t="shared" ca="1" si="117"/>
        <v>448.7931479690198</v>
      </c>
      <c r="AD223">
        <f t="shared" ca="1" si="118"/>
        <v>270.35455455459544</v>
      </c>
      <c r="AE223">
        <f t="shared" ca="1" si="119"/>
        <v>984.36765700561205</v>
      </c>
      <c r="AF223">
        <f t="shared" ca="1" si="120"/>
        <v>470.09757451741734</v>
      </c>
      <c r="AG223">
        <f t="shared" ca="1" si="121"/>
        <v>0</v>
      </c>
      <c r="AH223">
        <f ca="1">IF(V32="Supercritical",L223,IF(V32="Subcritical",W223,IF(AND(V223=1,AG223=1),IF(T223&gt;=AE223,L223,W223),IF(V223=1,L223,IF(AG223=1,W223,MAX($D$16,POWER((ABS(K223)^2)/($I$5*MAX(F223,0.1)^2),1/3)))))))</f>
        <v>2.0905431267847092</v>
      </c>
      <c r="AI223">
        <f t="shared" ca="1" si="122"/>
        <v>634.73254312678478</v>
      </c>
      <c r="AJ223">
        <f t="shared" ca="1" si="123"/>
        <v>635.77781469017714</v>
      </c>
      <c r="AM223">
        <v>0</v>
      </c>
      <c r="AN223">
        <v>0</v>
      </c>
      <c r="AO223">
        <f t="shared" si="124"/>
        <v>0</v>
      </c>
      <c r="AP223">
        <f t="shared" si="133"/>
        <v>0</v>
      </c>
      <c r="AQ223">
        <f t="shared" ca="1" si="125"/>
        <v>1</v>
      </c>
      <c r="AR223" t="str">
        <f t="shared" ca="1" si="126"/>
        <v>Supercritical</v>
      </c>
      <c r="AS223">
        <f t="shared" ca="1" si="127"/>
        <v>3.7130941088903335E-3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191</v>
      </c>
      <c r="I224">
        <v>1.4E-2</v>
      </c>
      <c r="J224">
        <f t="shared" si="128"/>
        <v>0.99900000000000944</v>
      </c>
      <c r="K224">
        <f t="shared" si="129"/>
        <v>51</v>
      </c>
      <c r="L224">
        <f t="shared" ca="1" si="130"/>
        <v>0.05</v>
      </c>
      <c r="M224">
        <f t="shared" ca="1" si="103"/>
        <v>0.26805000000000001</v>
      </c>
      <c r="N224">
        <f t="shared" ca="1" si="104"/>
        <v>4.9084416773484719E-2</v>
      </c>
      <c r="O224">
        <f t="shared" ca="1" si="105"/>
        <v>190.2630106323447</v>
      </c>
      <c r="P224">
        <f t="shared" ca="1" si="106"/>
        <v>632.65199999999993</v>
      </c>
      <c r="Q224">
        <f t="shared" ca="1" si="107"/>
        <v>2477.7087387810252</v>
      </c>
      <c r="R224">
        <f t="shared" ca="1" si="108"/>
        <v>453.21026077123696</v>
      </c>
      <c r="S224">
        <f t="shared" ca="1" si="109"/>
        <v>271.66573127879229</v>
      </c>
      <c r="T224">
        <f t="shared" ca="1" si="110"/>
        <v>989.14161891050753</v>
      </c>
      <c r="U224">
        <f t="shared" ca="1" si="131"/>
        <v>-470.09757451741734</v>
      </c>
      <c r="V224">
        <f t="shared" ca="1" si="132"/>
        <v>0</v>
      </c>
      <c r="W224">
        <f t="shared" ca="1" si="111"/>
        <v>0.05</v>
      </c>
      <c r="X224">
        <f t="shared" ca="1" si="112"/>
        <v>0.26805000000000001</v>
      </c>
      <c r="Y224">
        <f t="shared" ca="1" si="113"/>
        <v>4.9084416773484719E-2</v>
      </c>
      <c r="Z224">
        <f t="shared" ca="1" si="114"/>
        <v>190.2630106323447</v>
      </c>
      <c r="AA224">
        <f t="shared" ca="1" si="115"/>
        <v>632.65199999999993</v>
      </c>
      <c r="AB224">
        <f t="shared" ca="1" si="116"/>
        <v>2477.7087387810252</v>
      </c>
      <c r="AC224">
        <f t="shared" ca="1" si="117"/>
        <v>453.21026077123696</v>
      </c>
      <c r="AD224">
        <f t="shared" ca="1" si="118"/>
        <v>271.66573127879229</v>
      </c>
      <c r="AE224">
        <f t="shared" ca="1" si="119"/>
        <v>989.14161891050753</v>
      </c>
      <c r="AF224">
        <f t="shared" ca="1" si="120"/>
        <v>475.84322840939603</v>
      </c>
      <c r="AG224">
        <f t="shared" ca="1" si="121"/>
        <v>0</v>
      </c>
      <c r="AH224">
        <f ca="1">IF(V32="Supercritical",L224,IF(V32="Subcritical",W224,IF(AND(V224=1,AG224=1),IF(T224&gt;=AE224,L224,W224),IF(V224=1,L224,IF(AG224=1,W224,MAX($D$16,POWER((ABS(K224)^2)/($I$5*MAX(F224,0.1)^2),1/3)))))))</f>
        <v>2.0972968768212028</v>
      </c>
      <c r="AI224">
        <f t="shared" ca="1" si="122"/>
        <v>634.69929687682122</v>
      </c>
      <c r="AJ224">
        <f t="shared" ca="1" si="123"/>
        <v>635.74794531523185</v>
      </c>
      <c r="AM224">
        <v>0</v>
      </c>
      <c r="AN224">
        <v>0</v>
      </c>
      <c r="AO224">
        <f t="shared" si="124"/>
        <v>0</v>
      </c>
      <c r="AP224">
        <f t="shared" si="133"/>
        <v>0</v>
      </c>
      <c r="AQ224">
        <f t="shared" ca="1" si="125"/>
        <v>1.0000000000000002</v>
      </c>
      <c r="AR224" t="str">
        <f t="shared" ca="1" si="126"/>
        <v>Supercritical</v>
      </c>
      <c r="AS224">
        <f t="shared" ca="1" si="127"/>
        <v>3.7266108979077872E-3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191</v>
      </c>
      <c r="I225">
        <v>4.7E-2</v>
      </c>
      <c r="J225">
        <f t="shared" si="128"/>
        <v>1.0009999999999906</v>
      </c>
      <c r="K225">
        <f t="shared" si="129"/>
        <v>51</v>
      </c>
      <c r="L225">
        <f t="shared" ca="1" si="130"/>
        <v>0.05</v>
      </c>
      <c r="M225">
        <f t="shared" ca="1" si="103"/>
        <v>0.26674999999999999</v>
      </c>
      <c r="N225">
        <f t="shared" ca="1" si="104"/>
        <v>4.9080036798528057E-2</v>
      </c>
      <c r="O225">
        <f t="shared" ca="1" si="105"/>
        <v>191.19025304592316</v>
      </c>
      <c r="P225">
        <f t="shared" ca="1" si="106"/>
        <v>632.61199999999997</v>
      </c>
      <c r="Q225">
        <f t="shared" ca="1" si="107"/>
        <v>2495.6962436169279</v>
      </c>
      <c r="R225">
        <f t="shared" ca="1" si="108"/>
        <v>457.69289905058935</v>
      </c>
      <c r="S225">
        <f t="shared" ca="1" si="109"/>
        <v>272.98968798230658</v>
      </c>
      <c r="T225">
        <f t="shared" ca="1" si="110"/>
        <v>993.96211271963114</v>
      </c>
      <c r="U225">
        <f t="shared" ca="1" si="131"/>
        <v>-475.84322840939603</v>
      </c>
      <c r="V225">
        <f t="shared" ca="1" si="132"/>
        <v>0</v>
      </c>
      <c r="W225">
        <f t="shared" ca="1" si="111"/>
        <v>0.05</v>
      </c>
      <c r="X225">
        <f t="shared" ca="1" si="112"/>
        <v>0.26674999999999999</v>
      </c>
      <c r="Y225">
        <f t="shared" ca="1" si="113"/>
        <v>4.9080036798528057E-2</v>
      </c>
      <c r="Z225">
        <f t="shared" ca="1" si="114"/>
        <v>191.19025304592316</v>
      </c>
      <c r="AA225">
        <f t="shared" ca="1" si="115"/>
        <v>632.61199999999997</v>
      </c>
      <c r="AB225">
        <f t="shared" ca="1" si="116"/>
        <v>2495.6962436169279</v>
      </c>
      <c r="AC225">
        <f t="shared" ca="1" si="117"/>
        <v>457.69289905058935</v>
      </c>
      <c r="AD225">
        <f t="shared" ca="1" si="118"/>
        <v>272.98968798230658</v>
      </c>
      <c r="AE225">
        <f t="shared" ca="1" si="119"/>
        <v>993.96211271963114</v>
      </c>
      <c r="AF225">
        <f t="shared" ca="1" si="120"/>
        <v>481.20690334001529</v>
      </c>
      <c r="AG225">
        <f t="shared" ca="1" si="121"/>
        <v>0</v>
      </c>
      <c r="AH225">
        <f ca="1">IF(V32="Supercritical",L225,IF(V32="Subcritical",W225,IF(AND(V225=1,AG225=1),IF(T225&gt;=AE225,L225,W225),IF(V225=1,L225,IF(AG225=1,W225,MAX($D$16,POWER((ABS(K225)^2)/($I$5*MAX(F225,0.1)^2),1/3)))))))</f>
        <v>2.1041054395085066</v>
      </c>
      <c r="AI225">
        <f t="shared" ca="1" si="122"/>
        <v>634.66610543950856</v>
      </c>
      <c r="AJ225">
        <f t="shared" ca="1" si="123"/>
        <v>635.71815815926277</v>
      </c>
      <c r="AM225">
        <v>0</v>
      </c>
      <c r="AN225">
        <v>0</v>
      </c>
      <c r="AO225">
        <f t="shared" si="124"/>
        <v>0</v>
      </c>
      <c r="AP225">
        <f t="shared" si="133"/>
        <v>0</v>
      </c>
      <c r="AQ225">
        <f t="shared" ca="1" si="125"/>
        <v>1.0000000000000004</v>
      </c>
      <c r="AR225" t="str">
        <f t="shared" ca="1" si="126"/>
        <v>Supercritical</v>
      </c>
      <c r="AS225">
        <f t="shared" ca="1" si="127"/>
        <v>3.7403234061630566E-3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191</v>
      </c>
      <c r="I226">
        <v>0.08</v>
      </c>
      <c r="J226">
        <f t="shared" si="128"/>
        <v>1</v>
      </c>
      <c r="K226">
        <f t="shared" si="129"/>
        <v>51</v>
      </c>
      <c r="L226">
        <f t="shared" ca="1" si="130"/>
        <v>0.05</v>
      </c>
      <c r="M226">
        <f t="shared" ca="1" si="103"/>
        <v>0.26540000000000002</v>
      </c>
      <c r="N226">
        <f t="shared" ca="1" si="104"/>
        <v>4.907544378698226E-2</v>
      </c>
      <c r="O226">
        <f t="shared" ca="1" si="105"/>
        <v>192.1627731725697</v>
      </c>
      <c r="P226">
        <f t="shared" ca="1" si="106"/>
        <v>632.6099999999999</v>
      </c>
      <c r="Q226">
        <f t="shared" ca="1" si="107"/>
        <v>2514.6962076132759</v>
      </c>
      <c r="R226">
        <f t="shared" ca="1" si="108"/>
        <v>462.41869718211188</v>
      </c>
      <c r="S226">
        <f t="shared" ca="1" si="109"/>
        <v>274.37829415704704</v>
      </c>
      <c r="T226">
        <f t="shared" ca="1" si="110"/>
        <v>999.01799400112668</v>
      </c>
      <c r="U226">
        <f t="shared" ca="1" si="131"/>
        <v>-481.20690334001529</v>
      </c>
      <c r="V226">
        <f t="shared" ca="1" si="132"/>
        <v>0</v>
      </c>
      <c r="W226">
        <f t="shared" ca="1" si="111"/>
        <v>0.05</v>
      </c>
      <c r="X226">
        <f t="shared" ca="1" si="112"/>
        <v>0.26540000000000002</v>
      </c>
      <c r="Y226">
        <f t="shared" ca="1" si="113"/>
        <v>4.907544378698226E-2</v>
      </c>
      <c r="Z226">
        <f t="shared" ca="1" si="114"/>
        <v>192.1627731725697</v>
      </c>
      <c r="AA226">
        <f t="shared" ca="1" si="115"/>
        <v>632.6099999999999</v>
      </c>
      <c r="AB226">
        <f t="shared" ca="1" si="116"/>
        <v>2514.6962076132759</v>
      </c>
      <c r="AC226">
        <f t="shared" ca="1" si="117"/>
        <v>462.41869718211188</v>
      </c>
      <c r="AD226">
        <f t="shared" ca="1" si="118"/>
        <v>274.37829415704704</v>
      </c>
      <c r="AE226">
        <f t="shared" ca="1" si="119"/>
        <v>999.01799400112668</v>
      </c>
      <c r="AF226">
        <f t="shared" ca="1" si="120"/>
        <v>485.41196712138344</v>
      </c>
      <c r="AG226">
        <f t="shared" ca="1" si="121"/>
        <v>0</v>
      </c>
      <c r="AH226">
        <f ca="1">IF(V32="Supercritical",L226,IF(V32="Subcritical",W226,IF(AND(V226=1,AG226=1),IF(T226&gt;=AE226,L226,W226),IF(V226=1,L226,IF(AG226=1,W226,MAX($D$16,POWER((ABS(K226)^2)/($I$5*MAX(F226,0.1)^2),1/3)))))))</f>
        <v>2.1112346523322416</v>
      </c>
      <c r="AI226">
        <f t="shared" ca="1" si="122"/>
        <v>634.67123465233215</v>
      </c>
      <c r="AJ226">
        <f t="shared" ca="1" si="123"/>
        <v>635.7268519784983</v>
      </c>
      <c r="AM226">
        <v>0</v>
      </c>
      <c r="AN226">
        <v>0</v>
      </c>
      <c r="AO226">
        <f t="shared" si="124"/>
        <v>0</v>
      </c>
      <c r="AP226">
        <f t="shared" si="133"/>
        <v>0</v>
      </c>
      <c r="AQ226">
        <f t="shared" ca="1" si="125"/>
        <v>1.0000000000000004</v>
      </c>
      <c r="AR226" t="str">
        <f t="shared" ca="1" si="126"/>
        <v>Supercritical</v>
      </c>
      <c r="AS226">
        <f t="shared" ca="1" si="127"/>
        <v>3.7547744501366764E-3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191</v>
      </c>
      <c r="I227">
        <v>0.08</v>
      </c>
      <c r="J227">
        <f t="shared" si="128"/>
        <v>1</v>
      </c>
      <c r="K227">
        <f t="shared" si="129"/>
        <v>51</v>
      </c>
      <c r="L227">
        <f t="shared" ca="1" si="130"/>
        <v>0.05</v>
      </c>
      <c r="M227">
        <f t="shared" ca="1" si="103"/>
        <v>0.2641</v>
      </c>
      <c r="N227">
        <f t="shared" ca="1" si="104"/>
        <v>4.9070977331846899E-2</v>
      </c>
      <c r="O227">
        <f t="shared" ca="1" si="105"/>
        <v>193.10867095797047</v>
      </c>
      <c r="P227">
        <f t="shared" ca="1" si="106"/>
        <v>632.60799999999995</v>
      </c>
      <c r="Q227">
        <f t="shared" ca="1" si="107"/>
        <v>2533.2684892535017</v>
      </c>
      <c r="R227">
        <f t="shared" ca="1" si="108"/>
        <v>467.03897465502394</v>
      </c>
      <c r="S227">
        <f t="shared" ca="1" si="109"/>
        <v>275.72888780492349</v>
      </c>
      <c r="T227">
        <f t="shared" ca="1" si="110"/>
        <v>1003.9354729236996</v>
      </c>
      <c r="U227">
        <f t="shared" ca="1" si="131"/>
        <v>-485.41196712138321</v>
      </c>
      <c r="V227">
        <f t="shared" ca="1" si="132"/>
        <v>0</v>
      </c>
      <c r="W227">
        <f t="shared" ca="1" si="111"/>
        <v>0.05</v>
      </c>
      <c r="X227">
        <f t="shared" ca="1" si="112"/>
        <v>0.2641</v>
      </c>
      <c r="Y227">
        <f t="shared" ca="1" si="113"/>
        <v>4.9070977331846899E-2</v>
      </c>
      <c r="Z227">
        <f t="shared" ca="1" si="114"/>
        <v>193.10867095797047</v>
      </c>
      <c r="AA227">
        <f t="shared" ca="1" si="115"/>
        <v>632.60799999999995</v>
      </c>
      <c r="AB227">
        <f t="shared" ca="1" si="116"/>
        <v>2533.2684892535017</v>
      </c>
      <c r="AC227">
        <f t="shared" ca="1" si="117"/>
        <v>467.03897465502394</v>
      </c>
      <c r="AD227">
        <f t="shared" ca="1" si="118"/>
        <v>275.72888780492349</v>
      </c>
      <c r="AE227">
        <f t="shared" ca="1" si="119"/>
        <v>1003.9354729236996</v>
      </c>
      <c r="AF227">
        <f t="shared" ca="1" si="120"/>
        <v>490.37350979075109</v>
      </c>
      <c r="AG227">
        <f t="shared" ca="1" si="121"/>
        <v>0</v>
      </c>
      <c r="AH227">
        <f ca="1">IF(V32="Supercritical",L227,IF(V32="Subcritical",W227,IF(AND(V227=1,AG227=1),IF(T227&gt;=AE227,L227,W227),IF(V227=1,L227,IF(AG227=1,W227,MAX($D$16,POWER((ABS(K227)^2)/($I$5*MAX(F227,0.1)^2),1/3)))))))</f>
        <v>2.1181571773760015</v>
      </c>
      <c r="AI227">
        <f t="shared" ca="1" si="122"/>
        <v>634.67615717737601</v>
      </c>
      <c r="AJ227">
        <f t="shared" ca="1" si="123"/>
        <v>635.73523576606397</v>
      </c>
      <c r="AM227">
        <v>0</v>
      </c>
      <c r="AN227">
        <v>0</v>
      </c>
      <c r="AO227">
        <f t="shared" si="124"/>
        <v>0</v>
      </c>
      <c r="AP227">
        <f t="shared" si="133"/>
        <v>0</v>
      </c>
      <c r="AQ227">
        <f t="shared" ca="1" si="125"/>
        <v>1.0000000000000002</v>
      </c>
      <c r="AR227" t="str">
        <f t="shared" ca="1" si="126"/>
        <v>Supercritical</v>
      </c>
      <c r="AS227">
        <f t="shared" ca="1" si="127"/>
        <v>3.7688975041089813E-3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191</v>
      </c>
      <c r="I228">
        <v>0.08</v>
      </c>
      <c r="J228">
        <f t="shared" si="128"/>
        <v>1</v>
      </c>
      <c r="K228">
        <f t="shared" si="129"/>
        <v>51</v>
      </c>
      <c r="L228">
        <f t="shared" ca="1" si="130"/>
        <v>0.05</v>
      </c>
      <c r="M228">
        <f t="shared" ca="1" si="103"/>
        <v>0.26280000000000003</v>
      </c>
      <c r="N228">
        <f t="shared" ca="1" si="104"/>
        <v>4.9066467513069464E-2</v>
      </c>
      <c r="O228">
        <f t="shared" ca="1" si="105"/>
        <v>194.06392694063925</v>
      </c>
      <c r="P228">
        <f t="shared" ca="1" si="106"/>
        <v>632.60599999999999</v>
      </c>
      <c r="Q228">
        <f t="shared" ca="1" si="107"/>
        <v>2552.1170978400496</v>
      </c>
      <c r="R228">
        <f t="shared" ca="1" si="108"/>
        <v>471.72883640998185</v>
      </c>
      <c r="S228">
        <f t="shared" ca="1" si="109"/>
        <v>277.09284349041201</v>
      </c>
      <c r="T228">
        <f t="shared" ca="1" si="110"/>
        <v>1008.90160302473</v>
      </c>
      <c r="U228">
        <f t="shared" ca="1" si="131"/>
        <v>-490.37350979075109</v>
      </c>
      <c r="V228">
        <f t="shared" ca="1" si="132"/>
        <v>0</v>
      </c>
      <c r="W228">
        <f t="shared" ca="1" si="111"/>
        <v>0.05</v>
      </c>
      <c r="X228">
        <f t="shared" ca="1" si="112"/>
        <v>0.26280000000000003</v>
      </c>
      <c r="Y228">
        <f t="shared" ca="1" si="113"/>
        <v>4.9066467513069464E-2</v>
      </c>
      <c r="Z228">
        <f t="shared" ca="1" si="114"/>
        <v>194.06392694063925</v>
      </c>
      <c r="AA228">
        <f t="shared" ca="1" si="115"/>
        <v>632.60599999999999</v>
      </c>
      <c r="AB228">
        <f t="shared" ca="1" si="116"/>
        <v>2552.1170978400496</v>
      </c>
      <c r="AC228">
        <f t="shared" ca="1" si="117"/>
        <v>471.72883640998185</v>
      </c>
      <c r="AD228">
        <f t="shared" ca="1" si="118"/>
        <v>277.09284349041201</v>
      </c>
      <c r="AE228">
        <f t="shared" ca="1" si="119"/>
        <v>1008.90160302473</v>
      </c>
      <c r="AF228">
        <f t="shared" ca="1" si="120"/>
        <v>496.31953250327069</v>
      </c>
      <c r="AG228">
        <f t="shared" ca="1" si="121"/>
        <v>0</v>
      </c>
      <c r="AH228">
        <f ca="1">IF(V32="Supercritical",L228,IF(V32="Subcritical",W228,IF(AND(V228=1,AG228=1),IF(T228&gt;=AE228,L228,W228),IF(V228=1,L228,IF(AG228=1,W228,MAX($D$16,POWER((ABS(K228)^2)/($I$5*MAX(F228,0.1)^2),1/3)))))))</f>
        <v>2.1251367285827132</v>
      </c>
      <c r="AI228">
        <f t="shared" ca="1" si="122"/>
        <v>634.68113672858271</v>
      </c>
      <c r="AJ228">
        <f t="shared" ca="1" si="123"/>
        <v>635.74370509287405</v>
      </c>
      <c r="AM228">
        <v>0</v>
      </c>
      <c r="AN228">
        <v>0</v>
      </c>
      <c r="AO228">
        <f t="shared" si="124"/>
        <v>0</v>
      </c>
      <c r="AP228">
        <f t="shared" si="133"/>
        <v>0</v>
      </c>
      <c r="AQ228">
        <f t="shared" ca="1" si="125"/>
        <v>1.0000000000000002</v>
      </c>
      <c r="AR228" t="str">
        <f t="shared" ca="1" si="126"/>
        <v>Supercritical</v>
      </c>
      <c r="AS228">
        <f t="shared" ca="1" si="127"/>
        <v>3.7832278239686421E-3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191</v>
      </c>
      <c r="I229">
        <v>0.08</v>
      </c>
      <c r="J229">
        <f t="shared" si="128"/>
        <v>1</v>
      </c>
      <c r="K229">
        <f t="shared" si="129"/>
        <v>51</v>
      </c>
      <c r="L229">
        <f t="shared" ca="1" si="130"/>
        <v>0.05</v>
      </c>
      <c r="M229">
        <f t="shared" ca="1" si="103"/>
        <v>0.26145000000000002</v>
      </c>
      <c r="N229">
        <f t="shared" ca="1" si="104"/>
        <v>4.9061737661850256E-2</v>
      </c>
      <c r="O229">
        <f t="shared" ca="1" si="105"/>
        <v>195.0659781985083</v>
      </c>
      <c r="P229">
        <f t="shared" ca="1" si="106"/>
        <v>632.60399999999993</v>
      </c>
      <c r="Q229">
        <f t="shared" ca="1" si="107"/>
        <v>2571.9891096096285</v>
      </c>
      <c r="R229">
        <f t="shared" ca="1" si="108"/>
        <v>476.67423334092382</v>
      </c>
      <c r="S229">
        <f t="shared" ca="1" si="109"/>
        <v>278.52361548778077</v>
      </c>
      <c r="T229">
        <f t="shared" ca="1" si="110"/>
        <v>1014.1110100648749</v>
      </c>
      <c r="U229">
        <f t="shared" ca="1" si="131"/>
        <v>-496.31953250327115</v>
      </c>
      <c r="V229">
        <f t="shared" ca="1" si="132"/>
        <v>0</v>
      </c>
      <c r="W229">
        <f t="shared" ca="1" si="111"/>
        <v>0.05</v>
      </c>
      <c r="X229">
        <f t="shared" ca="1" si="112"/>
        <v>0.26145000000000002</v>
      </c>
      <c r="Y229">
        <f t="shared" ca="1" si="113"/>
        <v>4.9061737661850256E-2</v>
      </c>
      <c r="Z229">
        <f t="shared" ca="1" si="114"/>
        <v>195.0659781985083</v>
      </c>
      <c r="AA229">
        <f t="shared" ca="1" si="115"/>
        <v>632.60399999999993</v>
      </c>
      <c r="AB229">
        <f t="shared" ca="1" si="116"/>
        <v>2571.9891096096285</v>
      </c>
      <c r="AC229">
        <f t="shared" ca="1" si="117"/>
        <v>476.67423334092382</v>
      </c>
      <c r="AD229">
        <f t="shared" ca="1" si="118"/>
        <v>278.52361548778077</v>
      </c>
      <c r="AE229">
        <f t="shared" ca="1" si="119"/>
        <v>1014.1110100648749</v>
      </c>
      <c r="AF229">
        <f t="shared" ca="1" si="120"/>
        <v>495.96885888420593</v>
      </c>
      <c r="AG229">
        <f t="shared" ca="1" si="121"/>
        <v>0</v>
      </c>
      <c r="AH229">
        <f ca="1">IF(V32="Supercritical",L229,IF(V32="Subcritical",W229,IF(AND(V229=1,AG229=1),IF(T229&gt;=AE229,L229,W229),IF(V229=1,L229,IF(AG229=1,W229,MAX($D$16,POWER((ABS(K229)^2)/($I$5*MAX(F229,0.1)^2),1/3)))))))</f>
        <v>2.1324458922722642</v>
      </c>
      <c r="AI229">
        <f t="shared" ca="1" si="122"/>
        <v>634.68644589227222</v>
      </c>
      <c r="AJ229">
        <f t="shared" ca="1" si="123"/>
        <v>635.75266883840834</v>
      </c>
      <c r="AM229">
        <v>0</v>
      </c>
      <c r="AN229">
        <v>0</v>
      </c>
      <c r="AO229">
        <f t="shared" si="124"/>
        <v>0</v>
      </c>
      <c r="AP229">
        <f t="shared" si="133"/>
        <v>0</v>
      </c>
      <c r="AQ229">
        <f t="shared" ca="1" si="125"/>
        <v>1</v>
      </c>
      <c r="AR229" t="str">
        <f t="shared" ca="1" si="126"/>
        <v>Supercritical</v>
      </c>
      <c r="AS229">
        <f t="shared" ca="1" si="127"/>
        <v>3.7983329628586051E-3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191</v>
      </c>
      <c r="I230">
        <v>3.3000000000000002E-2</v>
      </c>
      <c r="J230">
        <f t="shared" si="128"/>
        <v>1</v>
      </c>
      <c r="K230">
        <f t="shared" si="129"/>
        <v>51</v>
      </c>
      <c r="L230">
        <f t="shared" ca="1" si="130"/>
        <v>0.05</v>
      </c>
      <c r="M230">
        <f t="shared" ca="1" si="103"/>
        <v>0.26040000000000002</v>
      </c>
      <c r="N230">
        <f t="shared" ca="1" si="104"/>
        <v>4.9058025621703097E-2</v>
      </c>
      <c r="O230">
        <f t="shared" ca="1" si="105"/>
        <v>195.85253456221196</v>
      </c>
      <c r="P230">
        <f t="shared" ca="1" si="106"/>
        <v>632.60199999999998</v>
      </c>
      <c r="Q230">
        <f t="shared" ca="1" si="107"/>
        <v>2587.6588447728045</v>
      </c>
      <c r="R230">
        <f t="shared" ca="1" si="108"/>
        <v>480.57461081557528</v>
      </c>
      <c r="S230">
        <f t="shared" ca="1" si="109"/>
        <v>279.64669458248954</v>
      </c>
      <c r="T230">
        <f t="shared" ca="1" si="110"/>
        <v>1018.2001147576769</v>
      </c>
      <c r="U230">
        <f t="shared" ca="1" si="131"/>
        <v>-495.96885888420593</v>
      </c>
      <c r="V230">
        <f t="shared" ca="1" si="132"/>
        <v>0</v>
      </c>
      <c r="W230">
        <f t="shared" ca="1" si="111"/>
        <v>0.05</v>
      </c>
      <c r="X230">
        <f t="shared" ca="1" si="112"/>
        <v>0.26040000000000002</v>
      </c>
      <c r="Y230">
        <f t="shared" ca="1" si="113"/>
        <v>4.9058025621703097E-2</v>
      </c>
      <c r="Z230">
        <f t="shared" ca="1" si="114"/>
        <v>195.85253456221196</v>
      </c>
      <c r="AA230">
        <f t="shared" ca="1" si="115"/>
        <v>632.60199999999998</v>
      </c>
      <c r="AB230">
        <f t="shared" ca="1" si="116"/>
        <v>2587.6588447728045</v>
      </c>
      <c r="AC230">
        <f t="shared" ca="1" si="117"/>
        <v>480.57461081557528</v>
      </c>
      <c r="AD230">
        <f t="shared" ca="1" si="118"/>
        <v>279.64669458248954</v>
      </c>
      <c r="AE230">
        <f t="shared" ca="1" si="119"/>
        <v>1018.2001147576769</v>
      </c>
      <c r="AF230">
        <f t="shared" ca="1" si="120"/>
        <v>483.37858141188144</v>
      </c>
      <c r="AG230">
        <f t="shared" ca="1" si="121"/>
        <v>0</v>
      </c>
      <c r="AH230">
        <f ca="1">IF(V32="Supercritical",L230,IF(V32="Subcritical",W230,IF(AND(V230=1,AG230=1),IF(T230&gt;=AE230,L230,W230),IF(V230=1,L230,IF(AG230=1,W230,MAX($D$16,POWER((ABS(K230)^2)/($I$5*MAX(F230,0.1)^2),1/3)))))))</f>
        <v>2.1381744281839872</v>
      </c>
      <c r="AI230">
        <f t="shared" ca="1" si="122"/>
        <v>634.69017442818404</v>
      </c>
      <c r="AJ230">
        <f t="shared" ca="1" si="123"/>
        <v>635.75926164227599</v>
      </c>
      <c r="AM230">
        <v>0</v>
      </c>
      <c r="AN230">
        <v>0</v>
      </c>
      <c r="AO230">
        <f t="shared" si="124"/>
        <v>0</v>
      </c>
      <c r="AP230">
        <f t="shared" si="133"/>
        <v>0</v>
      </c>
      <c r="AQ230">
        <f t="shared" ca="1" si="125"/>
        <v>1.0000000000000002</v>
      </c>
      <c r="AR230" t="str">
        <f t="shared" ca="1" si="126"/>
        <v>Supercritical</v>
      </c>
      <c r="AS230">
        <f t="shared" ca="1" si="127"/>
        <v>3.8102418336354747E-3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191</v>
      </c>
      <c r="I231">
        <v>1.4E-2</v>
      </c>
      <c r="J231">
        <f t="shared" si="128"/>
        <v>1</v>
      </c>
      <c r="K231">
        <f t="shared" si="129"/>
        <v>51</v>
      </c>
      <c r="L231">
        <f t="shared" ca="1" si="130"/>
        <v>0.05</v>
      </c>
      <c r="M231">
        <f t="shared" ca="1" si="103"/>
        <v>0.26025000000000004</v>
      </c>
      <c r="N231">
        <f t="shared" ca="1" si="104"/>
        <v>4.9057492931196996E-2</v>
      </c>
      <c r="O231">
        <f t="shared" ca="1" si="105"/>
        <v>195.96541786743512</v>
      </c>
      <c r="P231">
        <f t="shared" ca="1" si="106"/>
        <v>632.59999999999991</v>
      </c>
      <c r="Q231">
        <f t="shared" ca="1" si="107"/>
        <v>2589.9111620773933</v>
      </c>
      <c r="R231">
        <f t="shared" ca="1" si="108"/>
        <v>481.13571275052954</v>
      </c>
      <c r="S231">
        <f t="shared" ca="1" si="109"/>
        <v>279.8078742335457</v>
      </c>
      <c r="T231">
        <f t="shared" ca="1" si="110"/>
        <v>1018.7869661112835</v>
      </c>
      <c r="U231">
        <f t="shared" ca="1" si="131"/>
        <v>-483.3785814118819</v>
      </c>
      <c r="V231">
        <f t="shared" ca="1" si="132"/>
        <v>0</v>
      </c>
      <c r="W231">
        <f t="shared" ca="1" si="111"/>
        <v>0.05</v>
      </c>
      <c r="X231">
        <f t="shared" ca="1" si="112"/>
        <v>0.26025000000000004</v>
      </c>
      <c r="Y231">
        <f t="shared" ca="1" si="113"/>
        <v>4.9057492931196996E-2</v>
      </c>
      <c r="Z231">
        <f t="shared" ca="1" si="114"/>
        <v>195.96541786743512</v>
      </c>
      <c r="AA231">
        <f t="shared" ca="1" si="115"/>
        <v>632.59999999999991</v>
      </c>
      <c r="AB231">
        <f t="shared" ca="1" si="116"/>
        <v>2589.9111620773933</v>
      </c>
      <c r="AC231">
        <f t="shared" ca="1" si="117"/>
        <v>481.13571275052954</v>
      </c>
      <c r="AD231">
        <f t="shared" ca="1" si="118"/>
        <v>279.8078742335457</v>
      </c>
      <c r="AE231">
        <f t="shared" ca="1" si="119"/>
        <v>1018.7869661112835</v>
      </c>
      <c r="AF231">
        <f t="shared" ca="1" si="120"/>
        <v>489.99632250211516</v>
      </c>
      <c r="AG231">
        <f t="shared" ca="1" si="121"/>
        <v>0</v>
      </c>
      <c r="AH231">
        <f ca="1">IF(V32="Supercritical",L231,IF(V32="Subcritical",W231,IF(AND(V231=1,AG231=1),IF(T231&gt;=AE231,L231,W231),IF(V231=1,L231,IF(AG231=1,W231,MAX($D$16,POWER((ABS(K231)^2)/($I$5*MAX(F231,0.1)^2),1/3)))))))</f>
        <v>2.1389959340762381</v>
      </c>
      <c r="AI231">
        <f t="shared" ca="1" si="122"/>
        <v>634.68899593407616</v>
      </c>
      <c r="AJ231">
        <f t="shared" ca="1" si="123"/>
        <v>635.75849390111432</v>
      </c>
      <c r="AM231">
        <v>0</v>
      </c>
      <c r="AN231">
        <v>0</v>
      </c>
      <c r="AO231">
        <f t="shared" si="124"/>
        <v>0</v>
      </c>
      <c r="AP231">
        <f t="shared" si="133"/>
        <v>0</v>
      </c>
      <c r="AQ231">
        <f t="shared" ca="1" si="125"/>
        <v>1</v>
      </c>
      <c r="AR231" t="str">
        <f t="shared" ca="1" si="126"/>
        <v>Supercritical</v>
      </c>
      <c r="AS231">
        <f t="shared" ca="1" si="127"/>
        <v>3.8119547048656418E-3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191</v>
      </c>
      <c r="I232">
        <v>1.867</v>
      </c>
      <c r="J232">
        <f t="shared" si="128"/>
        <v>1</v>
      </c>
      <c r="K232">
        <f t="shared" si="129"/>
        <v>51</v>
      </c>
      <c r="L232">
        <f t="shared" ca="1" si="130"/>
        <v>0.05</v>
      </c>
      <c r="M232">
        <f t="shared" ca="1" si="103"/>
        <v>0.2601</v>
      </c>
      <c r="N232">
        <f t="shared" ca="1" si="104"/>
        <v>4.9056959637872502E-2</v>
      </c>
      <c r="O232">
        <f t="shared" ca="1" si="105"/>
        <v>196.07843137254903</v>
      </c>
      <c r="P232">
        <f t="shared" ca="1" si="106"/>
        <v>632.59799999999996</v>
      </c>
      <c r="Q232">
        <f t="shared" ca="1" si="107"/>
        <v>2592.1673807094503</v>
      </c>
      <c r="R232">
        <f t="shared" ca="1" si="108"/>
        <v>481.69779781722656</v>
      </c>
      <c r="S232">
        <f t="shared" ca="1" si="109"/>
        <v>279.96923978962047</v>
      </c>
      <c r="T232">
        <f t="shared" ca="1" si="110"/>
        <v>1019.3744943450561</v>
      </c>
      <c r="U232">
        <f t="shared" ca="1" si="131"/>
        <v>-489.99632250211516</v>
      </c>
      <c r="V232">
        <f t="shared" ca="1" si="132"/>
        <v>0</v>
      </c>
      <c r="W232">
        <f t="shared" ca="1" si="111"/>
        <v>0.05</v>
      </c>
      <c r="X232">
        <f t="shared" ca="1" si="112"/>
        <v>0.2601</v>
      </c>
      <c r="Y232">
        <f t="shared" ca="1" si="113"/>
        <v>4.9056959637872502E-2</v>
      </c>
      <c r="Z232">
        <f t="shared" ca="1" si="114"/>
        <v>196.07843137254903</v>
      </c>
      <c r="AA232">
        <f t="shared" ca="1" si="115"/>
        <v>632.59799999999996</v>
      </c>
      <c r="AB232">
        <f t="shared" ca="1" si="116"/>
        <v>2592.1673807094503</v>
      </c>
      <c r="AC232">
        <f t="shared" ca="1" si="117"/>
        <v>481.69779781722656</v>
      </c>
      <c r="AD232">
        <f t="shared" ca="1" si="118"/>
        <v>279.96923978962047</v>
      </c>
      <c r="AE232">
        <f t="shared" ca="1" si="119"/>
        <v>1019.3744943450561</v>
      </c>
      <c r="AF232">
        <f t="shared" ca="1" si="120"/>
        <v>266.42501732076153</v>
      </c>
      <c r="AG232">
        <f t="shared" ca="1" si="121"/>
        <v>0</v>
      </c>
      <c r="AH232">
        <f ca="1">IF(V32="Supercritical",L232,IF(V32="Subcritical",W232,IF(AND(V232=1,AG232=1),IF(T232&gt;=AE232,L232,W232),IF(V232=1,L232,IF(AG232=1,W232,MAX($D$16,POWER((ABS(K232)^2)/($I$5*MAX(F232,0.1)^2),1/3)))))))</f>
        <v>2.1398182294984385</v>
      </c>
      <c r="AI232">
        <f t="shared" ca="1" si="122"/>
        <v>634.68781822949848</v>
      </c>
      <c r="AJ232">
        <f t="shared" ca="1" si="123"/>
        <v>635.75772734424766</v>
      </c>
      <c r="AM232">
        <v>0</v>
      </c>
      <c r="AN232">
        <v>0</v>
      </c>
      <c r="AO232">
        <f t="shared" si="124"/>
        <v>0</v>
      </c>
      <c r="AP232">
        <f t="shared" si="133"/>
        <v>0</v>
      </c>
      <c r="AQ232">
        <f t="shared" ca="1" si="125"/>
        <v>1.0000000000000002</v>
      </c>
      <c r="AR232" t="str">
        <f t="shared" ca="1" si="126"/>
        <v>Supercritical</v>
      </c>
      <c r="AS232">
        <f t="shared" ca="1" si="127"/>
        <v>3.8136704964888786E-3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191</v>
      </c>
      <c r="I233">
        <v>24.24</v>
      </c>
      <c r="J233">
        <f t="shared" si="128"/>
        <v>0.99399999999999977</v>
      </c>
      <c r="K233">
        <f t="shared" si="129"/>
        <v>51</v>
      </c>
      <c r="L233">
        <f t="shared" ca="1" si="130"/>
        <v>0.05</v>
      </c>
      <c r="M233">
        <f t="shared" ca="1" si="103"/>
        <v>0.28734999999999999</v>
      </c>
      <c r="N233">
        <f t="shared" ca="1" si="104"/>
        <v>4.9144860612279802E-2</v>
      </c>
      <c r="O233">
        <f t="shared" ca="1" si="105"/>
        <v>177.48390464590221</v>
      </c>
      <c r="P233">
        <f t="shared" ca="1" si="106"/>
        <v>632.596</v>
      </c>
      <c r="Q233">
        <f t="shared" ca="1" si="107"/>
        <v>2238.1279270313817</v>
      </c>
      <c r="R233">
        <f t="shared" ca="1" si="108"/>
        <v>393.72802092472068</v>
      </c>
      <c r="S233">
        <f t="shared" ca="1" si="109"/>
        <v>253.41917267889434</v>
      </c>
      <c r="T233">
        <f t="shared" ca="1" si="110"/>
        <v>922.70638221493493</v>
      </c>
      <c r="U233">
        <f t="shared" ca="1" si="131"/>
        <v>-266.42501732076153</v>
      </c>
      <c r="V233">
        <f t="shared" ca="1" si="132"/>
        <v>0</v>
      </c>
      <c r="W233">
        <f t="shared" ca="1" si="111"/>
        <v>0.05</v>
      </c>
      <c r="X233">
        <f t="shared" ca="1" si="112"/>
        <v>0.28734999999999999</v>
      </c>
      <c r="Y233">
        <f t="shared" ca="1" si="113"/>
        <v>4.9144860612279802E-2</v>
      </c>
      <c r="Z233">
        <f t="shared" ca="1" si="114"/>
        <v>177.48390464590221</v>
      </c>
      <c r="AA233">
        <f t="shared" ca="1" si="115"/>
        <v>632.596</v>
      </c>
      <c r="AB233">
        <f t="shared" ca="1" si="116"/>
        <v>2238.1279270313817</v>
      </c>
      <c r="AC233">
        <f t="shared" ca="1" si="117"/>
        <v>393.72802092472068</v>
      </c>
      <c r="AD233">
        <f t="shared" ca="1" si="118"/>
        <v>253.41917267889434</v>
      </c>
      <c r="AE233">
        <f t="shared" ca="1" si="119"/>
        <v>922.70638221493493</v>
      </c>
      <c r="AF233">
        <f t="shared" ca="1" si="120"/>
        <v>464.98739573769717</v>
      </c>
      <c r="AG233">
        <f t="shared" ca="1" si="121"/>
        <v>0</v>
      </c>
      <c r="AH233">
        <f ca="1">IF(V32="Supercritical",L233,IF(V32="Subcritical",W233,IF(AND(V233=1,AG233=1),IF(T233&gt;=AE233,L233,W233),IF(V233=1,L233,IF(AG233=1,W233,MAX($D$16,POWER((ABS(K233)^2)/($I$5*MAX(F233,0.1)^2),1/3)))))))</f>
        <v>2.002302318244773</v>
      </c>
      <c r="AI233">
        <f t="shared" ca="1" si="122"/>
        <v>634.54830231824485</v>
      </c>
      <c r="AJ233">
        <f t="shared" ca="1" si="123"/>
        <v>635.54945347736725</v>
      </c>
      <c r="AM233">
        <v>0</v>
      </c>
      <c r="AN233">
        <v>0</v>
      </c>
      <c r="AO233">
        <f t="shared" si="124"/>
        <v>0</v>
      </c>
      <c r="AP233">
        <f t="shared" si="133"/>
        <v>0</v>
      </c>
      <c r="AQ233">
        <f t="shared" ca="1" si="125"/>
        <v>1.0000000000000002</v>
      </c>
      <c r="AR233" t="str">
        <f t="shared" ca="1" si="126"/>
        <v>Supercritical</v>
      </c>
      <c r="AS233">
        <f t="shared" ca="1" si="127"/>
        <v>3.5442266989032262E-3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191</v>
      </c>
      <c r="I234">
        <v>0</v>
      </c>
      <c r="J234">
        <f t="shared" si="128"/>
        <v>0.99900000000000944</v>
      </c>
      <c r="K234">
        <f t="shared" si="129"/>
        <v>51</v>
      </c>
      <c r="L234">
        <f t="shared" ca="1" si="130"/>
        <v>0.05</v>
      </c>
      <c r="M234">
        <f t="shared" ca="1" si="103"/>
        <v>0.28225</v>
      </c>
      <c r="N234">
        <f t="shared" ca="1" si="104"/>
        <v>4.9129677980852923E-2</v>
      </c>
      <c r="O234">
        <f t="shared" ca="1" si="105"/>
        <v>180.69087688219665</v>
      </c>
      <c r="P234">
        <f t="shared" ca="1" si="106"/>
        <v>632.59399999999994</v>
      </c>
      <c r="Q234">
        <f t="shared" ca="1" si="107"/>
        <v>2296.6711146002622</v>
      </c>
      <c r="R234">
        <f t="shared" ca="1" si="108"/>
        <v>408.25333925931312</v>
      </c>
      <c r="S234">
        <f t="shared" ca="1" si="109"/>
        <v>257.99822593190538</v>
      </c>
      <c r="T234">
        <f t="shared" ca="1" si="110"/>
        <v>939.37858744184791</v>
      </c>
      <c r="U234">
        <f t="shared" ca="1" si="131"/>
        <v>-464.98739573769717</v>
      </c>
      <c r="V234">
        <f t="shared" ca="1" si="132"/>
        <v>0</v>
      </c>
      <c r="W234">
        <f t="shared" ca="1" si="111"/>
        <v>0.05</v>
      </c>
      <c r="X234">
        <f t="shared" ca="1" si="112"/>
        <v>0.28225</v>
      </c>
      <c r="Y234">
        <f t="shared" ca="1" si="113"/>
        <v>4.9129677980852923E-2</v>
      </c>
      <c r="Z234">
        <f t="shared" ca="1" si="114"/>
        <v>180.69087688219665</v>
      </c>
      <c r="AA234">
        <f t="shared" ca="1" si="115"/>
        <v>632.59399999999994</v>
      </c>
      <c r="AB234">
        <f t="shared" ca="1" si="116"/>
        <v>2296.6711146002622</v>
      </c>
      <c r="AC234">
        <f t="shared" ca="1" si="117"/>
        <v>408.25333925931312</v>
      </c>
      <c r="AD234">
        <f t="shared" ca="1" si="118"/>
        <v>257.99822593190538</v>
      </c>
      <c r="AE234">
        <f t="shared" ca="1" si="119"/>
        <v>939.37858744184791</v>
      </c>
      <c r="AF234">
        <f t="shared" ca="1" si="120"/>
        <v>495.39233720957463</v>
      </c>
      <c r="AG234">
        <f t="shared" ca="1" si="121"/>
        <v>0</v>
      </c>
      <c r="AH234">
        <f ca="1">IF(V32="Supercritical",L234,IF(V32="Subcritical",W234,IF(AND(V234=1,AG234=1),IF(T234&gt;=AE234,L234,W234),IF(V234=1,L234,IF(AG234=1,W234,MAX($D$16,POWER((ABS(K234)^2)/($I$5*MAX(F234,0.1)^2),1/3)))))))</f>
        <v>2.0263501089927356</v>
      </c>
      <c r="AI234">
        <f t="shared" ca="1" si="122"/>
        <v>634.57035010899267</v>
      </c>
      <c r="AJ234">
        <f t="shared" ca="1" si="123"/>
        <v>635.58352516348907</v>
      </c>
      <c r="AM234">
        <v>0</v>
      </c>
      <c r="AN234">
        <v>0</v>
      </c>
      <c r="AO234">
        <f t="shared" si="124"/>
        <v>0</v>
      </c>
      <c r="AP234">
        <f t="shared" si="133"/>
        <v>0</v>
      </c>
      <c r="AQ234">
        <f t="shared" ca="1" si="125"/>
        <v>1.0000000000000004</v>
      </c>
      <c r="AR234" t="str">
        <f t="shared" ca="1" si="126"/>
        <v>Supercritical</v>
      </c>
      <c r="AS234">
        <f t="shared" ca="1" si="127"/>
        <v>3.5888318359426643E-3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191</v>
      </c>
      <c r="I235">
        <v>0</v>
      </c>
      <c r="J235">
        <f t="shared" si="128"/>
        <v>1</v>
      </c>
      <c r="K235">
        <f t="shared" si="129"/>
        <v>51</v>
      </c>
      <c r="L235">
        <f t="shared" ca="1" si="130"/>
        <v>0.05</v>
      </c>
      <c r="M235">
        <f t="shared" ca="1" si="103"/>
        <v>0.27639999999999998</v>
      </c>
      <c r="N235">
        <f t="shared" ca="1" si="104"/>
        <v>4.9111584932480461E-2</v>
      </c>
      <c r="O235">
        <f t="shared" ca="1" si="105"/>
        <v>184.51519536903041</v>
      </c>
      <c r="P235">
        <f t="shared" ca="1" si="106"/>
        <v>632.59199999999998</v>
      </c>
      <c r="Q235">
        <f t="shared" ca="1" si="107"/>
        <v>2367.8548604521638</v>
      </c>
      <c r="R235">
        <f t="shared" ca="1" si="108"/>
        <v>425.92669428565245</v>
      </c>
      <c r="S235">
        <f t="shared" ca="1" si="109"/>
        <v>263.45875278321381</v>
      </c>
      <c r="T235">
        <f t="shared" ca="1" si="110"/>
        <v>959.26021925795612</v>
      </c>
      <c r="U235">
        <f t="shared" ca="1" si="131"/>
        <v>-495.39233720957463</v>
      </c>
      <c r="V235">
        <f t="shared" ca="1" si="132"/>
        <v>0</v>
      </c>
      <c r="W235">
        <f t="shared" ca="1" si="111"/>
        <v>0.05</v>
      </c>
      <c r="X235">
        <f t="shared" ca="1" si="112"/>
        <v>0.27639999999999998</v>
      </c>
      <c r="Y235">
        <f t="shared" ca="1" si="113"/>
        <v>4.9111584932480461E-2</v>
      </c>
      <c r="Z235">
        <f t="shared" ca="1" si="114"/>
        <v>184.51519536903041</v>
      </c>
      <c r="AA235">
        <f t="shared" ca="1" si="115"/>
        <v>632.59199999999998</v>
      </c>
      <c r="AB235">
        <f t="shared" ca="1" si="116"/>
        <v>2367.8548604521638</v>
      </c>
      <c r="AC235">
        <f t="shared" ca="1" si="117"/>
        <v>425.92669428565245</v>
      </c>
      <c r="AD235">
        <f t="shared" ca="1" si="118"/>
        <v>263.45875278321381</v>
      </c>
      <c r="AE235">
        <f t="shared" ca="1" si="119"/>
        <v>959.26021925795612</v>
      </c>
      <c r="AF235">
        <f t="shared" ca="1" si="120"/>
        <v>501.0152718783861</v>
      </c>
      <c r="AG235">
        <f t="shared" ca="1" si="121"/>
        <v>0</v>
      </c>
      <c r="AH235">
        <f ca="1">IF(V32="Supercritical",L235,IF(V32="Subcritical",W235,IF(AND(V235=1,AG235=1),IF(T235&gt;=AE235,L235,W235),IF(V235=1,L235,IF(AG235=1,W235,MAX($D$16,POWER((ABS(K235)^2)/($I$5*MAX(F235,0.1)^2),1/3)))))))</f>
        <v>2.0548419595181837</v>
      </c>
      <c r="AI235">
        <f t="shared" ca="1" si="122"/>
        <v>634.5968419595182</v>
      </c>
      <c r="AJ235">
        <f t="shared" ca="1" si="123"/>
        <v>635.62426293927729</v>
      </c>
      <c r="AM235">
        <v>0</v>
      </c>
      <c r="AN235">
        <v>0</v>
      </c>
      <c r="AO235">
        <f t="shared" si="124"/>
        <v>0</v>
      </c>
      <c r="AP235">
        <f t="shared" si="133"/>
        <v>0</v>
      </c>
      <c r="AQ235">
        <f t="shared" ca="1" si="125"/>
        <v>0.99999999999999978</v>
      </c>
      <c r="AR235" t="str">
        <f t="shared" ca="1" si="126"/>
        <v>Supercritical</v>
      </c>
      <c r="AS235">
        <f t="shared" ca="1" si="127"/>
        <v>3.6430481369645385E-3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191</v>
      </c>
      <c r="I236">
        <v>0.05</v>
      </c>
      <c r="J236">
        <f t="shared" si="128"/>
        <v>1</v>
      </c>
      <c r="K236">
        <f t="shared" si="129"/>
        <v>51</v>
      </c>
      <c r="L236">
        <f t="shared" ca="1" si="130"/>
        <v>0.05</v>
      </c>
      <c r="M236">
        <f t="shared" ca="1" si="103"/>
        <v>0.27165</v>
      </c>
      <c r="N236">
        <f t="shared" ca="1" si="104"/>
        <v>4.9096331104283394E-2</v>
      </c>
      <c r="O236">
        <f t="shared" ca="1" si="105"/>
        <v>187.74157923799007</v>
      </c>
      <c r="P236">
        <f t="shared" ca="1" si="106"/>
        <v>632.58999999999992</v>
      </c>
      <c r="Q236">
        <f t="shared" ca="1" si="107"/>
        <v>2429.0681128835117</v>
      </c>
      <c r="R236">
        <f t="shared" ca="1" si="108"/>
        <v>441.13488110334123</v>
      </c>
      <c r="S236">
        <f t="shared" ca="1" si="109"/>
        <v>268.06552280243062</v>
      </c>
      <c r="T236">
        <f t="shared" ca="1" si="110"/>
        <v>976.0333499796119</v>
      </c>
      <c r="U236">
        <f t="shared" ca="1" si="131"/>
        <v>-501.01527187838656</v>
      </c>
      <c r="V236">
        <f t="shared" ca="1" si="132"/>
        <v>0</v>
      </c>
      <c r="W236">
        <f t="shared" ca="1" si="111"/>
        <v>0.05</v>
      </c>
      <c r="X236">
        <f t="shared" ca="1" si="112"/>
        <v>0.27165</v>
      </c>
      <c r="Y236">
        <f t="shared" ca="1" si="113"/>
        <v>4.9096331104283394E-2</v>
      </c>
      <c r="Z236">
        <f t="shared" ca="1" si="114"/>
        <v>187.74157923799007</v>
      </c>
      <c r="AA236">
        <f t="shared" ca="1" si="115"/>
        <v>632.58999999999992</v>
      </c>
      <c r="AB236">
        <f t="shared" ca="1" si="116"/>
        <v>2429.0681128835117</v>
      </c>
      <c r="AC236">
        <f t="shared" ca="1" si="117"/>
        <v>441.13488110334123</v>
      </c>
      <c r="AD236">
        <f t="shared" ca="1" si="118"/>
        <v>268.06552280243062</v>
      </c>
      <c r="AE236">
        <f t="shared" ca="1" si="119"/>
        <v>976.0333499796119</v>
      </c>
      <c r="AF236">
        <f t="shared" ca="1" si="120"/>
        <v>506.67190463105817</v>
      </c>
      <c r="AG236">
        <f t="shared" ca="1" si="121"/>
        <v>0</v>
      </c>
      <c r="AH236">
        <f ca="1">IF(V32="Supercritical",L236,IF(V32="Subcritical",W236,IF(AND(V236=1,AG236=1),IF(T236&gt;=AE236,L236,W236),IF(V236=1,L236,IF(AG236=1,W236,MAX($D$16,POWER((ABS(K236)^2)/($I$5*MAX(F236,0.1)^2),1/3)))))))</f>
        <v>2.0787263038801012</v>
      </c>
      <c r="AI236">
        <f t="shared" ca="1" si="122"/>
        <v>634.61872630388007</v>
      </c>
      <c r="AJ236">
        <f t="shared" ca="1" si="123"/>
        <v>635.65808945582012</v>
      </c>
      <c r="AM236">
        <v>0</v>
      </c>
      <c r="AN236">
        <v>0</v>
      </c>
      <c r="AO236">
        <f t="shared" si="124"/>
        <v>0</v>
      </c>
      <c r="AP236">
        <f t="shared" si="133"/>
        <v>0</v>
      </c>
      <c r="AQ236">
        <f t="shared" ca="1" si="125"/>
        <v>1</v>
      </c>
      <c r="AR236" t="str">
        <f t="shared" ca="1" si="126"/>
        <v>Supercritical</v>
      </c>
      <c r="AS236">
        <f t="shared" ca="1" si="127"/>
        <v>3.6896481482925707E-3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191</v>
      </c>
      <c r="I237">
        <v>0.05</v>
      </c>
      <c r="J237">
        <f t="shared" si="128"/>
        <v>1</v>
      </c>
      <c r="K237">
        <f t="shared" si="129"/>
        <v>51</v>
      </c>
      <c r="L237">
        <f t="shared" ca="1" si="130"/>
        <v>0.05</v>
      </c>
      <c r="M237">
        <f t="shared" ca="1" si="103"/>
        <v>0.26769999999999999</v>
      </c>
      <c r="N237">
        <f t="shared" ca="1" si="104"/>
        <v>4.9083241657499083E-2</v>
      </c>
      <c r="O237">
        <f t="shared" ca="1" si="105"/>
        <v>190.51176690324991</v>
      </c>
      <c r="P237">
        <f t="shared" ca="1" si="106"/>
        <v>632.58799999999997</v>
      </c>
      <c r="Q237">
        <f t="shared" ca="1" si="107"/>
        <v>2482.4724713862497</v>
      </c>
      <c r="R237">
        <f t="shared" ca="1" si="108"/>
        <v>454.41062537418787</v>
      </c>
      <c r="S237">
        <f t="shared" ca="1" si="109"/>
        <v>272.02091620948931</v>
      </c>
      <c r="T237">
        <f t="shared" ca="1" si="110"/>
        <v>990.43483848019832</v>
      </c>
      <c r="U237">
        <f t="shared" ca="1" si="131"/>
        <v>-506.67190463105862</v>
      </c>
      <c r="V237">
        <f t="shared" ca="1" si="132"/>
        <v>0</v>
      </c>
      <c r="W237">
        <f t="shared" ca="1" si="111"/>
        <v>0.05</v>
      </c>
      <c r="X237">
        <f t="shared" ca="1" si="112"/>
        <v>0.26769999999999999</v>
      </c>
      <c r="Y237">
        <f t="shared" ca="1" si="113"/>
        <v>4.9083241657499083E-2</v>
      </c>
      <c r="Z237">
        <f t="shared" ca="1" si="114"/>
        <v>190.51176690324991</v>
      </c>
      <c r="AA237">
        <f t="shared" ca="1" si="115"/>
        <v>632.58799999999997</v>
      </c>
      <c r="AB237">
        <f t="shared" ca="1" si="116"/>
        <v>2482.4724713862497</v>
      </c>
      <c r="AC237">
        <f t="shared" ca="1" si="117"/>
        <v>454.41062537418787</v>
      </c>
      <c r="AD237">
        <f t="shared" ca="1" si="118"/>
        <v>272.02091620948931</v>
      </c>
      <c r="AE237">
        <f t="shared" ca="1" si="119"/>
        <v>990.43483848019832</v>
      </c>
      <c r="AF237">
        <f t="shared" ca="1" si="120"/>
        <v>506.03849159296669</v>
      </c>
      <c r="AG237">
        <f t="shared" ca="1" si="121"/>
        <v>0</v>
      </c>
      <c r="AH237">
        <f ca="1">IF(V32="Supercritical",L237,IF(V32="Subcritical",W237,IF(AND(V237=1,AG237=1),IF(T237&gt;=AE237,L237,W237),IF(V237=1,L237,IF(AG237=1,W237,MAX($D$16,POWER((ABS(K237)^2)/($I$5*MAX(F237,0.1)^2),1/3)))))))</f>
        <v>2.0991245297792269</v>
      </c>
      <c r="AI237">
        <f t="shared" ca="1" si="122"/>
        <v>634.63712452977927</v>
      </c>
      <c r="AJ237">
        <f t="shared" ca="1" si="123"/>
        <v>635.68668679466884</v>
      </c>
      <c r="AM237">
        <v>0</v>
      </c>
      <c r="AN237">
        <v>0</v>
      </c>
      <c r="AO237">
        <f t="shared" si="124"/>
        <v>0</v>
      </c>
      <c r="AP237">
        <f t="shared" si="133"/>
        <v>0</v>
      </c>
      <c r="AQ237">
        <f t="shared" ca="1" si="125"/>
        <v>1</v>
      </c>
      <c r="AR237" t="str">
        <f t="shared" ca="1" si="126"/>
        <v>Supercritical</v>
      </c>
      <c r="AS237">
        <f t="shared" ca="1" si="127"/>
        <v>3.7302833208613787E-3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191</v>
      </c>
      <c r="I238">
        <v>0</v>
      </c>
      <c r="J238">
        <f t="shared" si="128"/>
        <v>1</v>
      </c>
      <c r="K238">
        <f t="shared" si="129"/>
        <v>51</v>
      </c>
      <c r="L238">
        <f t="shared" ca="1" si="130"/>
        <v>0.05</v>
      </c>
      <c r="M238">
        <f t="shared" ca="1" si="103"/>
        <v>0.26469999999999999</v>
      </c>
      <c r="N238">
        <f t="shared" ca="1" si="104"/>
        <v>4.9073044123099749E-2</v>
      </c>
      <c r="O238">
        <f t="shared" ca="1" si="105"/>
        <v>192.6709482432943</v>
      </c>
      <c r="P238">
        <f t="shared" ca="1" si="106"/>
        <v>632.5859999999999</v>
      </c>
      <c r="Q238">
        <f t="shared" ca="1" si="107"/>
        <v>2524.6397358292656</v>
      </c>
      <c r="R238">
        <f t="shared" ca="1" si="108"/>
        <v>464.89797603711133</v>
      </c>
      <c r="S238">
        <f t="shared" ca="1" si="109"/>
        <v>275.10388843702412</v>
      </c>
      <c r="T238">
        <f t="shared" ca="1" si="110"/>
        <v>1001.6598652480131</v>
      </c>
      <c r="U238">
        <f t="shared" ca="1" si="131"/>
        <v>-506.03849159296715</v>
      </c>
      <c r="V238">
        <f t="shared" ca="1" si="132"/>
        <v>0</v>
      </c>
      <c r="W238">
        <f t="shared" ca="1" si="111"/>
        <v>0.05</v>
      </c>
      <c r="X238">
        <f t="shared" ca="1" si="112"/>
        <v>0.26469999999999999</v>
      </c>
      <c r="Y238">
        <f t="shared" ca="1" si="113"/>
        <v>4.9073044123099749E-2</v>
      </c>
      <c r="Z238">
        <f t="shared" ca="1" si="114"/>
        <v>192.6709482432943</v>
      </c>
      <c r="AA238">
        <f t="shared" ca="1" si="115"/>
        <v>632.5859999999999</v>
      </c>
      <c r="AB238">
        <f t="shared" ca="1" si="116"/>
        <v>2524.6397358292656</v>
      </c>
      <c r="AC238">
        <f t="shared" ca="1" si="117"/>
        <v>464.89797603711133</v>
      </c>
      <c r="AD238">
        <f t="shared" ca="1" si="118"/>
        <v>275.10388843702412</v>
      </c>
      <c r="AE238">
        <f t="shared" ca="1" si="119"/>
        <v>1001.6598652480131</v>
      </c>
      <c r="AF238">
        <f t="shared" ca="1" si="120"/>
        <v>503.88961416809752</v>
      </c>
      <c r="AG238">
        <f t="shared" ca="1" si="121"/>
        <v>0</v>
      </c>
      <c r="AH238">
        <f ca="1">IF(V32="Supercritical",L238,IF(V32="Subcritical",W238,IF(AND(V238=1,AG238=1),IF(T238&gt;=AE238,L238,W238),IF(V238=1,L238,IF(AG238=1,W238,MAX($D$16,POWER((ABS(K238)^2)/($I$5*MAX(F238,0.1)^2),1/3)))))))</f>
        <v>2.1149551249466954</v>
      </c>
      <c r="AI238">
        <f t="shared" ca="1" si="122"/>
        <v>634.65095512494668</v>
      </c>
      <c r="AJ238">
        <f t="shared" ca="1" si="123"/>
        <v>635.70843268741999</v>
      </c>
      <c r="AM238">
        <v>0</v>
      </c>
      <c r="AN238">
        <v>0</v>
      </c>
      <c r="AO238">
        <f t="shared" si="124"/>
        <v>0</v>
      </c>
      <c r="AP238">
        <f t="shared" si="133"/>
        <v>0</v>
      </c>
      <c r="AQ238">
        <f t="shared" ca="1" si="125"/>
        <v>1.0000000000000002</v>
      </c>
      <c r="AR238" t="str">
        <f t="shared" ca="1" si="126"/>
        <v>Supercritical</v>
      </c>
      <c r="AS238">
        <f t="shared" ca="1" si="127"/>
        <v>3.7623536544265155E-3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191</v>
      </c>
      <c r="I239">
        <v>0</v>
      </c>
      <c r="J239">
        <f t="shared" si="128"/>
        <v>1</v>
      </c>
      <c r="K239">
        <f t="shared" si="129"/>
        <v>51</v>
      </c>
      <c r="L239">
        <f t="shared" ca="1" si="130"/>
        <v>0.05</v>
      </c>
      <c r="M239">
        <f t="shared" ca="1" si="103"/>
        <v>0.26250000000000001</v>
      </c>
      <c r="N239">
        <f t="shared" ca="1" si="104"/>
        <v>4.9065420560747669E-2</v>
      </c>
      <c r="O239">
        <f t="shared" ca="1" si="105"/>
        <v>194.28571428571428</v>
      </c>
      <c r="P239">
        <f t="shared" ca="1" si="106"/>
        <v>632.58399999999995</v>
      </c>
      <c r="Q239">
        <f t="shared" ca="1" si="107"/>
        <v>2556.4850588945055</v>
      </c>
      <c r="R239">
        <f t="shared" ca="1" si="108"/>
        <v>472.82114155555564</v>
      </c>
      <c r="S239">
        <f t="shared" ca="1" si="109"/>
        <v>277.40952102582963</v>
      </c>
      <c r="T239">
        <f t="shared" ca="1" si="110"/>
        <v>1010.0546184196154</v>
      </c>
      <c r="U239">
        <f t="shared" ca="1" si="131"/>
        <v>-503.88961416809752</v>
      </c>
      <c r="V239">
        <f t="shared" ca="1" si="132"/>
        <v>0</v>
      </c>
      <c r="W239">
        <f t="shared" ca="1" si="111"/>
        <v>0.05</v>
      </c>
      <c r="X239">
        <f t="shared" ca="1" si="112"/>
        <v>0.26250000000000001</v>
      </c>
      <c r="Y239">
        <f t="shared" ca="1" si="113"/>
        <v>4.9065420560747669E-2</v>
      </c>
      <c r="Z239">
        <f t="shared" ca="1" si="114"/>
        <v>194.28571428571428</v>
      </c>
      <c r="AA239">
        <f t="shared" ca="1" si="115"/>
        <v>632.58399999999995</v>
      </c>
      <c r="AB239">
        <f t="shared" ca="1" si="116"/>
        <v>2556.4850588945055</v>
      </c>
      <c r="AC239">
        <f t="shared" ca="1" si="117"/>
        <v>472.82114155555564</v>
      </c>
      <c r="AD239">
        <f t="shared" ca="1" si="118"/>
        <v>277.40952102582963</v>
      </c>
      <c r="AE239">
        <f t="shared" ca="1" si="119"/>
        <v>1010.0546184196154</v>
      </c>
      <c r="AF239">
        <f t="shared" ca="1" si="120"/>
        <v>501.96294094301766</v>
      </c>
      <c r="AG239">
        <f t="shared" ca="1" si="121"/>
        <v>0</v>
      </c>
      <c r="AH239">
        <f ca="1">IF(V32="Supercritical",L239,IF(V32="Subcritical",W239,IF(AND(V239=1,AG239=1),IF(T239&gt;=AE239,L239,W239),IF(V239=1,L239,IF(AG239=1,W239,MAX($D$16,POWER((ABS(K239)^2)/($I$5*MAX(F239,0.1)^2),1/3)))))))</f>
        <v>2.1267555721226019</v>
      </c>
      <c r="AI239">
        <f t="shared" ca="1" si="122"/>
        <v>634.66075557212264</v>
      </c>
      <c r="AJ239">
        <f t="shared" ca="1" si="123"/>
        <v>635.72413335818396</v>
      </c>
      <c r="AM239">
        <v>0</v>
      </c>
      <c r="AN239">
        <v>0</v>
      </c>
      <c r="AO239">
        <f t="shared" si="124"/>
        <v>0</v>
      </c>
      <c r="AP239">
        <f t="shared" si="133"/>
        <v>0</v>
      </c>
      <c r="AQ239">
        <f t="shared" ca="1" si="125"/>
        <v>1.0000000000000002</v>
      </c>
      <c r="AR239" t="str">
        <f t="shared" ca="1" si="126"/>
        <v>Supercritical</v>
      </c>
      <c r="AS239">
        <f t="shared" ca="1" si="127"/>
        <v>3.7865646742236666E-3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191</v>
      </c>
      <c r="I240">
        <v>0.05</v>
      </c>
      <c r="J240">
        <f t="shared" si="128"/>
        <v>1</v>
      </c>
      <c r="K240">
        <f t="shared" si="129"/>
        <v>51</v>
      </c>
      <c r="L240">
        <f t="shared" ca="1" si="130"/>
        <v>0.05</v>
      </c>
      <c r="M240">
        <f t="shared" ca="1" si="103"/>
        <v>0.26090000000000002</v>
      </c>
      <c r="N240">
        <f t="shared" ca="1" si="104"/>
        <v>4.9059796916133894E-2</v>
      </c>
      <c r="O240">
        <f t="shared" ca="1" si="105"/>
        <v>195.47719432732848</v>
      </c>
      <c r="P240">
        <f t="shared" ca="1" si="106"/>
        <v>632.58199999999999</v>
      </c>
      <c r="Q240">
        <f t="shared" ca="1" si="107"/>
        <v>2580.152514887061</v>
      </c>
      <c r="R240">
        <f t="shared" ca="1" si="108"/>
        <v>478.71134206104307</v>
      </c>
      <c r="S240">
        <f t="shared" ca="1" si="109"/>
        <v>279.11076760935333</v>
      </c>
      <c r="T240">
        <f t="shared" ca="1" si="110"/>
        <v>1016.2488171680684</v>
      </c>
      <c r="U240">
        <f t="shared" ca="1" si="131"/>
        <v>-501.9629409430172</v>
      </c>
      <c r="V240">
        <f t="shared" ca="1" si="132"/>
        <v>0</v>
      </c>
      <c r="W240">
        <f t="shared" ca="1" si="111"/>
        <v>0.05</v>
      </c>
      <c r="X240">
        <f t="shared" ca="1" si="112"/>
        <v>0.26090000000000002</v>
      </c>
      <c r="Y240">
        <f t="shared" ca="1" si="113"/>
        <v>4.9059796916133894E-2</v>
      </c>
      <c r="Z240">
        <f t="shared" ca="1" si="114"/>
        <v>195.47719432732848</v>
      </c>
      <c r="AA240">
        <f t="shared" ca="1" si="115"/>
        <v>632.58199999999999</v>
      </c>
      <c r="AB240">
        <f t="shared" ca="1" si="116"/>
        <v>2580.152514887061</v>
      </c>
      <c r="AC240">
        <f t="shared" ca="1" si="117"/>
        <v>478.71134206104307</v>
      </c>
      <c r="AD240">
        <f t="shared" ca="1" si="118"/>
        <v>279.11076760935333</v>
      </c>
      <c r="AE240">
        <f t="shared" ca="1" si="119"/>
        <v>1016.2488171680684</v>
      </c>
      <c r="AF240">
        <f t="shared" ca="1" si="120"/>
        <v>492.64233055559907</v>
      </c>
      <c r="AG240">
        <f t="shared" ca="1" si="121"/>
        <v>0</v>
      </c>
      <c r="AH240">
        <f ca="1">IF(V32="Supercritical",L240,IF(V32="Subcritical",W240,IF(AND(V240=1,AG240=1),IF(T240&gt;=AE240,L240,W240),IF(V240=1,L240,IF(AG240=1,W240,MAX($D$16,POWER((ABS(K240)^2)/($I$5*MAX(F240,0.1)^2),1/3)))))))</f>
        <v>2.1354417618254806</v>
      </c>
      <c r="AI240">
        <f t="shared" ca="1" si="122"/>
        <v>634.66744176182556</v>
      </c>
      <c r="AJ240">
        <f t="shared" ca="1" si="123"/>
        <v>635.73516264273826</v>
      </c>
      <c r="AM240">
        <v>0</v>
      </c>
      <c r="AN240">
        <v>0</v>
      </c>
      <c r="AO240">
        <f t="shared" si="124"/>
        <v>0</v>
      </c>
      <c r="AP240">
        <f t="shared" si="133"/>
        <v>0</v>
      </c>
      <c r="AQ240">
        <f t="shared" ca="1" si="125"/>
        <v>1.0000000000000004</v>
      </c>
      <c r="AR240" t="str">
        <f t="shared" ca="1" si="126"/>
        <v>Supercritical</v>
      </c>
      <c r="AS240">
        <f t="shared" ca="1" si="127"/>
        <v>3.804553271357594E-3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191</v>
      </c>
      <c r="I241">
        <v>0.05</v>
      </c>
      <c r="J241">
        <f t="shared" si="128"/>
        <v>1</v>
      </c>
      <c r="K241">
        <f t="shared" si="129"/>
        <v>51</v>
      </c>
      <c r="L241">
        <f t="shared" ca="1" si="130"/>
        <v>0.05</v>
      </c>
      <c r="M241">
        <f t="shared" ca="1" si="103"/>
        <v>0.26015000000000005</v>
      </c>
      <c r="N241">
        <f t="shared" ca="1" si="104"/>
        <v>4.9057137469356978E-2</v>
      </c>
      <c r="O241">
        <f t="shared" ca="1" si="105"/>
        <v>196.04074572362094</v>
      </c>
      <c r="P241">
        <f t="shared" ca="1" si="106"/>
        <v>632.57999999999993</v>
      </c>
      <c r="Q241">
        <f t="shared" ca="1" si="107"/>
        <v>2591.3962071291235</v>
      </c>
      <c r="R241">
        <f t="shared" ca="1" si="108"/>
        <v>481.51032674976295</v>
      </c>
      <c r="S241">
        <f t="shared" ca="1" si="109"/>
        <v>279.91543059496547</v>
      </c>
      <c r="T241">
        <f t="shared" ca="1" si="110"/>
        <v>1019.1785763192831</v>
      </c>
      <c r="U241">
        <f t="shared" ca="1" si="131"/>
        <v>-492.64233055559953</v>
      </c>
      <c r="V241">
        <f t="shared" ca="1" si="132"/>
        <v>0</v>
      </c>
      <c r="W241">
        <f t="shared" ca="1" si="111"/>
        <v>0.05</v>
      </c>
      <c r="X241">
        <f t="shared" ca="1" si="112"/>
        <v>0.26015000000000005</v>
      </c>
      <c r="Y241">
        <f t="shared" ca="1" si="113"/>
        <v>4.9057137469356978E-2</v>
      </c>
      <c r="Z241">
        <f t="shared" ca="1" si="114"/>
        <v>196.04074572362094</v>
      </c>
      <c r="AA241">
        <f t="shared" ca="1" si="115"/>
        <v>632.57999999999993</v>
      </c>
      <c r="AB241">
        <f t="shared" ca="1" si="116"/>
        <v>2591.3962071291235</v>
      </c>
      <c r="AC241">
        <f t="shared" ca="1" si="117"/>
        <v>481.51032674976295</v>
      </c>
      <c r="AD241">
        <f t="shared" ca="1" si="118"/>
        <v>279.91543059496547</v>
      </c>
      <c r="AE241">
        <f t="shared" ca="1" si="119"/>
        <v>1019.1785763192831</v>
      </c>
      <c r="AF241">
        <f t="shared" ca="1" si="120"/>
        <v>484.2766046032657</v>
      </c>
      <c r="AG241">
        <f t="shared" ca="1" si="121"/>
        <v>0</v>
      </c>
      <c r="AH241">
        <f ca="1">IF(V32="Supercritical",L241,IF(V32="Subcritical",W241,IF(AND(V241=1,AG241=1),IF(T241&gt;=AE241,L241,W241),IF(V241=1,L241,IF(AG241=1,W241,MAX($D$16,POWER((ABS(K241)^2)/($I$5*MAX(F241,0.1)^2),1/3)))))))</f>
        <v>2.1395440432238884</v>
      </c>
      <c r="AI241">
        <f t="shared" ca="1" si="122"/>
        <v>634.66954404322382</v>
      </c>
      <c r="AJ241">
        <f t="shared" ca="1" si="123"/>
        <v>635.73931606483575</v>
      </c>
      <c r="AM241">
        <v>0</v>
      </c>
      <c r="AN241">
        <v>0</v>
      </c>
      <c r="AO241">
        <f t="shared" si="124"/>
        <v>0</v>
      </c>
      <c r="AP241">
        <f t="shared" si="133"/>
        <v>0</v>
      </c>
      <c r="AQ241">
        <f t="shared" ca="1" si="125"/>
        <v>1</v>
      </c>
      <c r="AR241" t="str">
        <f t="shared" ca="1" si="126"/>
        <v>Supercritical</v>
      </c>
      <c r="AS241">
        <f t="shared" ca="1" si="127"/>
        <v>3.8130982410580845E-3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191</v>
      </c>
      <c r="I242">
        <v>0</v>
      </c>
      <c r="J242">
        <f t="shared" si="128"/>
        <v>1</v>
      </c>
      <c r="K242">
        <f t="shared" si="129"/>
        <v>51</v>
      </c>
      <c r="L242">
        <f t="shared" ca="1" si="130"/>
        <v>0.05</v>
      </c>
      <c r="M242">
        <f t="shared" ca="1" si="103"/>
        <v>0.26</v>
      </c>
      <c r="N242">
        <f t="shared" ca="1" si="104"/>
        <v>4.9056603773584909E-2</v>
      </c>
      <c r="O242">
        <f t="shared" ca="1" si="105"/>
        <v>196.15384615384616</v>
      </c>
      <c r="P242">
        <f t="shared" ca="1" si="106"/>
        <v>632.57799999999997</v>
      </c>
      <c r="Q242">
        <f t="shared" ca="1" si="107"/>
        <v>2593.6550316486619</v>
      </c>
      <c r="R242">
        <f t="shared" ca="1" si="108"/>
        <v>482.07306851378365</v>
      </c>
      <c r="S242">
        <f t="shared" ca="1" si="109"/>
        <v>280.07692026646265</v>
      </c>
      <c r="T242">
        <f t="shared" ca="1" si="110"/>
        <v>1019.7665564573041</v>
      </c>
      <c r="U242">
        <f t="shared" ca="1" si="131"/>
        <v>-484.2766046032657</v>
      </c>
      <c r="V242">
        <f t="shared" ca="1" si="132"/>
        <v>0</v>
      </c>
      <c r="W242">
        <f t="shared" ca="1" si="111"/>
        <v>0.05</v>
      </c>
      <c r="X242">
        <f t="shared" ca="1" si="112"/>
        <v>0.26</v>
      </c>
      <c r="Y242">
        <f t="shared" ca="1" si="113"/>
        <v>4.9056603773584909E-2</v>
      </c>
      <c r="Z242">
        <f t="shared" ca="1" si="114"/>
        <v>196.15384615384616</v>
      </c>
      <c r="AA242">
        <f t="shared" ca="1" si="115"/>
        <v>632.57799999999997</v>
      </c>
      <c r="AB242">
        <f t="shared" ca="1" si="116"/>
        <v>2593.6550316486619</v>
      </c>
      <c r="AC242">
        <f t="shared" ca="1" si="117"/>
        <v>482.07306851378365</v>
      </c>
      <c r="AD242">
        <f t="shared" ca="1" si="118"/>
        <v>280.07692026646265</v>
      </c>
      <c r="AE242">
        <f t="shared" ca="1" si="119"/>
        <v>1019.7665564573041</v>
      </c>
      <c r="AF242">
        <f t="shared" ca="1" si="120"/>
        <v>474.79803442339517</v>
      </c>
      <c r="AG242">
        <f t="shared" ca="1" si="121"/>
        <v>0</v>
      </c>
      <c r="AH242">
        <f ca="1">IF(V32="Supercritical",L242,IF(V32="Subcritical",W242,IF(AND(V242=1,AG242=1),IF(T242&gt;=AE242,L242,W242),IF(V242=1,L242,IF(AG242=1,W242,MAX($D$16,POWER((ABS(K242)^2)/($I$5*MAX(F242,0.1)^2),1/3)))))))</f>
        <v>2.1403668656741068</v>
      </c>
      <c r="AI242">
        <f t="shared" ca="1" si="122"/>
        <v>634.6683668656741</v>
      </c>
      <c r="AJ242">
        <f t="shared" ca="1" si="123"/>
        <v>635.7385502985112</v>
      </c>
      <c r="AM242">
        <v>0</v>
      </c>
      <c r="AN242">
        <v>0</v>
      </c>
      <c r="AO242">
        <f t="shared" si="124"/>
        <v>0</v>
      </c>
      <c r="AP242">
        <f t="shared" si="133"/>
        <v>0</v>
      </c>
      <c r="AQ242">
        <f t="shared" ca="1" si="125"/>
        <v>0.99999999999999978</v>
      </c>
      <c r="AR242" t="str">
        <f t="shared" ca="1" si="126"/>
        <v>Supercritical</v>
      </c>
      <c r="AS242">
        <f t="shared" ca="1" si="127"/>
        <v>3.8148159832266538E-3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191</v>
      </c>
      <c r="I243">
        <v>0.05</v>
      </c>
      <c r="J243">
        <f t="shared" si="128"/>
        <v>1</v>
      </c>
      <c r="K243">
        <f t="shared" si="129"/>
        <v>51</v>
      </c>
      <c r="L243">
        <f t="shared" ca="1" si="130"/>
        <v>0.05</v>
      </c>
      <c r="M243">
        <f t="shared" ca="1" si="103"/>
        <v>0.2606</v>
      </c>
      <c r="N243">
        <f t="shared" ca="1" si="104"/>
        <v>4.9058734939759041E-2</v>
      </c>
      <c r="O243">
        <f t="shared" ca="1" si="105"/>
        <v>195.70222563315426</v>
      </c>
      <c r="P243">
        <f t="shared" ca="1" si="106"/>
        <v>632.57599999999991</v>
      </c>
      <c r="Q243">
        <f t="shared" ca="1" si="107"/>
        <v>2584.6331415784921</v>
      </c>
      <c r="R243">
        <f t="shared" ca="1" si="108"/>
        <v>479.82800025930317</v>
      </c>
      <c r="S243">
        <f t="shared" ca="1" si="109"/>
        <v>279.43207701181996</v>
      </c>
      <c r="T243">
        <f t="shared" ca="1" si="110"/>
        <v>1017.4186971907102</v>
      </c>
      <c r="U243">
        <f t="shared" ca="1" si="131"/>
        <v>-474.79803442339517</v>
      </c>
      <c r="V243">
        <f t="shared" ca="1" si="132"/>
        <v>0</v>
      </c>
      <c r="W243">
        <f t="shared" ca="1" si="111"/>
        <v>0.05</v>
      </c>
      <c r="X243">
        <f t="shared" ca="1" si="112"/>
        <v>0.2606</v>
      </c>
      <c r="Y243">
        <f t="shared" ca="1" si="113"/>
        <v>4.9058734939759041E-2</v>
      </c>
      <c r="Z243">
        <f t="shared" ca="1" si="114"/>
        <v>195.70222563315426</v>
      </c>
      <c r="AA243">
        <f t="shared" ca="1" si="115"/>
        <v>632.57599999999991</v>
      </c>
      <c r="AB243">
        <f t="shared" ca="1" si="116"/>
        <v>2584.6331415784921</v>
      </c>
      <c r="AC243">
        <f t="shared" ca="1" si="117"/>
        <v>479.82800025930317</v>
      </c>
      <c r="AD243">
        <f t="shared" ca="1" si="118"/>
        <v>279.43207701181996</v>
      </c>
      <c r="AE243">
        <f t="shared" ca="1" si="119"/>
        <v>1017.4186971907102</v>
      </c>
      <c r="AF243">
        <f t="shared" ca="1" si="120"/>
        <v>464.66021934363334</v>
      </c>
      <c r="AG243">
        <f t="shared" ca="1" si="121"/>
        <v>0</v>
      </c>
      <c r="AH243">
        <f ca="1">IF(V32="Supercritical",L243,IF(V32="Subcritical",W243,IF(AND(V243=1,AG243=1),IF(T243&gt;=AE243,L243,W243),IF(V243=1,L243,IF(AG243=1,W243,MAX($D$16,POWER((ABS(K243)^2)/($I$5*MAX(F243,0.1)^2),1/3)))))))</f>
        <v>2.1370803130572034</v>
      </c>
      <c r="AI243">
        <f t="shared" ca="1" si="122"/>
        <v>634.66308031305721</v>
      </c>
      <c r="AJ243">
        <f t="shared" ca="1" si="123"/>
        <v>635.73162046958578</v>
      </c>
      <c r="AM243">
        <v>0</v>
      </c>
      <c r="AN243">
        <v>0</v>
      </c>
      <c r="AO243">
        <f t="shared" si="124"/>
        <v>0</v>
      </c>
      <c r="AP243">
        <f t="shared" si="133"/>
        <v>0</v>
      </c>
      <c r="AQ243">
        <f t="shared" ca="1" si="125"/>
        <v>1</v>
      </c>
      <c r="AR243" t="str">
        <f t="shared" ca="1" si="126"/>
        <v>Supercritical</v>
      </c>
      <c r="AS243">
        <f t="shared" ca="1" si="127"/>
        <v>3.8079625369413124E-3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191</v>
      </c>
      <c r="I244">
        <v>0.05</v>
      </c>
      <c r="J244">
        <f t="shared" si="128"/>
        <v>1</v>
      </c>
      <c r="K244">
        <f t="shared" si="129"/>
        <v>51</v>
      </c>
      <c r="L244">
        <f t="shared" ca="1" si="130"/>
        <v>0.05</v>
      </c>
      <c r="M244">
        <f t="shared" ca="1" si="103"/>
        <v>0.26185000000000003</v>
      </c>
      <c r="N244">
        <f t="shared" ca="1" si="104"/>
        <v>4.9063144088439203E-2</v>
      </c>
      <c r="O244">
        <f t="shared" ca="1" si="105"/>
        <v>194.76799694481571</v>
      </c>
      <c r="P244">
        <f t="shared" ca="1" si="106"/>
        <v>632.57399999999996</v>
      </c>
      <c r="Q244">
        <f t="shared" ca="1" si="107"/>
        <v>2566.0384563657358</v>
      </c>
      <c r="R244">
        <f t="shared" ca="1" si="108"/>
        <v>475.20085486889269</v>
      </c>
      <c r="S244">
        <f t="shared" ca="1" si="109"/>
        <v>278.09814500393458</v>
      </c>
      <c r="T244">
        <f t="shared" ca="1" si="110"/>
        <v>1012.5618820487362</v>
      </c>
      <c r="U244">
        <f t="shared" ca="1" si="131"/>
        <v>-464.66021934363334</v>
      </c>
      <c r="V244">
        <f t="shared" ca="1" si="132"/>
        <v>0</v>
      </c>
      <c r="W244">
        <f t="shared" ca="1" si="111"/>
        <v>0.05</v>
      </c>
      <c r="X244">
        <f t="shared" ca="1" si="112"/>
        <v>0.26185000000000003</v>
      </c>
      <c r="Y244">
        <f t="shared" ca="1" si="113"/>
        <v>4.9063144088439203E-2</v>
      </c>
      <c r="Z244">
        <f t="shared" ca="1" si="114"/>
        <v>194.76799694481571</v>
      </c>
      <c r="AA244">
        <f t="shared" ca="1" si="115"/>
        <v>632.57399999999996</v>
      </c>
      <c r="AB244">
        <f t="shared" ca="1" si="116"/>
        <v>2566.0384563657358</v>
      </c>
      <c r="AC244">
        <f t="shared" ca="1" si="117"/>
        <v>475.20085486889269</v>
      </c>
      <c r="AD244">
        <f t="shared" ca="1" si="118"/>
        <v>278.09814500393458</v>
      </c>
      <c r="AE244">
        <f t="shared" ca="1" si="119"/>
        <v>1012.5618820487362</v>
      </c>
      <c r="AF244">
        <f t="shared" ca="1" si="120"/>
        <v>454.70179044340284</v>
      </c>
      <c r="AG244">
        <f t="shared" ca="1" si="121"/>
        <v>0</v>
      </c>
      <c r="AH244">
        <f ca="1">IF(V32="Supercritical",L244,IF(V32="Subcritical",W244,IF(AND(V244=1,AG244=1),IF(T244&gt;=AE244,L244,W244),IF(V244=1,L244,IF(AG244=1,W244,MAX($D$16,POWER((ABS(K244)^2)/($I$5*MAX(F244,0.1)^2),1/3)))))))</f>
        <v>2.1302736672791944</v>
      </c>
      <c r="AI244">
        <f t="shared" ca="1" si="122"/>
        <v>634.6542736672792</v>
      </c>
      <c r="AJ244">
        <f t="shared" ca="1" si="123"/>
        <v>635.7194105009188</v>
      </c>
      <c r="AM244">
        <v>0</v>
      </c>
      <c r="AN244">
        <v>0</v>
      </c>
      <c r="AO244">
        <f t="shared" si="124"/>
        <v>0</v>
      </c>
      <c r="AP244">
        <f t="shared" si="133"/>
        <v>0</v>
      </c>
      <c r="AQ244">
        <f t="shared" ca="1" si="125"/>
        <v>1</v>
      </c>
      <c r="AR244" t="str">
        <f t="shared" ca="1" si="126"/>
        <v>Supercritical</v>
      </c>
      <c r="AS244">
        <f t="shared" ca="1" si="127"/>
        <v>3.793833346857409E-3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191</v>
      </c>
      <c r="I245">
        <v>0</v>
      </c>
      <c r="J245">
        <f t="shared" si="128"/>
        <v>1</v>
      </c>
      <c r="K245">
        <f t="shared" si="129"/>
        <v>51</v>
      </c>
      <c r="L245">
        <f t="shared" ca="1" si="130"/>
        <v>0.05</v>
      </c>
      <c r="M245">
        <f t="shared" ca="1" si="103"/>
        <v>0.26355000000000001</v>
      </c>
      <c r="N245">
        <f t="shared" ca="1" si="104"/>
        <v>4.9069074660212257E-2</v>
      </c>
      <c r="O245">
        <f t="shared" ca="1" si="105"/>
        <v>193.51166761525326</v>
      </c>
      <c r="P245">
        <f t="shared" ca="1" si="106"/>
        <v>632.572</v>
      </c>
      <c r="Q245">
        <f t="shared" ca="1" si="107"/>
        <v>2541.1737076063332</v>
      </c>
      <c r="R245">
        <f t="shared" ca="1" si="108"/>
        <v>469.01457428107653</v>
      </c>
      <c r="S245">
        <f t="shared" ca="1" si="109"/>
        <v>276.30430381058727</v>
      </c>
      <c r="T245">
        <f t="shared" ca="1" si="110"/>
        <v>1006.0305488292983</v>
      </c>
      <c r="U245">
        <f t="shared" ca="1" si="131"/>
        <v>-454.70179044340284</v>
      </c>
      <c r="V245">
        <f t="shared" ca="1" si="132"/>
        <v>0</v>
      </c>
      <c r="W245">
        <f t="shared" ca="1" si="111"/>
        <v>0.05</v>
      </c>
      <c r="X245">
        <f t="shared" ca="1" si="112"/>
        <v>0.26355000000000001</v>
      </c>
      <c r="Y245">
        <f t="shared" ca="1" si="113"/>
        <v>4.9069074660212257E-2</v>
      </c>
      <c r="Z245">
        <f t="shared" ca="1" si="114"/>
        <v>193.51166761525326</v>
      </c>
      <c r="AA245">
        <f t="shared" ca="1" si="115"/>
        <v>632.572</v>
      </c>
      <c r="AB245">
        <f t="shared" ca="1" si="116"/>
        <v>2541.1737076063332</v>
      </c>
      <c r="AC245">
        <f t="shared" ca="1" si="117"/>
        <v>469.01457428107653</v>
      </c>
      <c r="AD245">
        <f t="shared" ca="1" si="118"/>
        <v>276.30430381058727</v>
      </c>
      <c r="AE245">
        <f t="shared" ca="1" si="119"/>
        <v>1006.0305488292983</v>
      </c>
      <c r="AF245">
        <f t="shared" ca="1" si="120"/>
        <v>436.10591003335776</v>
      </c>
      <c r="AG245">
        <f t="shared" ca="1" si="121"/>
        <v>0</v>
      </c>
      <c r="AH245">
        <f ca="1">IF(V32="Supercritical",L245,IF(V32="Subcritical",W245,IF(AND(V245=1,AG245=1),IF(T245&gt;=AE245,L245,W245),IF(V245=1,L245,IF(AG245=1,W245,MAX($D$16,POWER((ABS(K245)^2)/($I$5*MAX(F245,0.1)^2),1/3)))))))</f>
        <v>2.1211030614538129</v>
      </c>
      <c r="AI245">
        <f t="shared" ca="1" si="122"/>
        <v>634.64310306145387</v>
      </c>
      <c r="AJ245">
        <f t="shared" ca="1" si="123"/>
        <v>635.70365459218078</v>
      </c>
      <c r="AM245">
        <v>0</v>
      </c>
      <c r="AN245">
        <v>0</v>
      </c>
      <c r="AO245">
        <f t="shared" si="124"/>
        <v>0</v>
      </c>
      <c r="AP245">
        <f t="shared" si="133"/>
        <v>0</v>
      </c>
      <c r="AQ245">
        <f t="shared" ca="1" si="125"/>
        <v>1.0000000000000002</v>
      </c>
      <c r="AR245" t="str">
        <f t="shared" ca="1" si="126"/>
        <v>Supercritical</v>
      </c>
      <c r="AS245">
        <f t="shared" ca="1" si="127"/>
        <v>3.7749348080473033E-3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191</v>
      </c>
      <c r="I246">
        <v>0</v>
      </c>
      <c r="J246">
        <f t="shared" si="128"/>
        <v>1</v>
      </c>
      <c r="K246">
        <f t="shared" si="129"/>
        <v>51</v>
      </c>
      <c r="L246">
        <f t="shared" ca="1" si="130"/>
        <v>0.05</v>
      </c>
      <c r="M246">
        <f t="shared" ca="1" si="103"/>
        <v>0.26635000000000003</v>
      </c>
      <c r="N246">
        <f t="shared" ca="1" si="104"/>
        <v>4.9078680670720479E-2</v>
      </c>
      <c r="O246">
        <f t="shared" ca="1" si="105"/>
        <v>191.47737938802325</v>
      </c>
      <c r="P246">
        <f t="shared" ca="1" si="106"/>
        <v>632.56999999999994</v>
      </c>
      <c r="Q246">
        <f t="shared" ca="1" si="107"/>
        <v>2501.2543433896526</v>
      </c>
      <c r="R246">
        <f t="shared" ca="1" si="108"/>
        <v>459.08555568899197</v>
      </c>
      <c r="S246">
        <f t="shared" ca="1" si="109"/>
        <v>273.39965935528545</v>
      </c>
      <c r="T246">
        <f t="shared" ca="1" si="110"/>
        <v>995.45480847366821</v>
      </c>
      <c r="U246">
        <f t="shared" ca="1" si="131"/>
        <v>-436.10591003335776</v>
      </c>
      <c r="V246">
        <f t="shared" ca="1" si="132"/>
        <v>0</v>
      </c>
      <c r="W246">
        <f t="shared" ca="1" si="111"/>
        <v>0.05</v>
      </c>
      <c r="X246">
        <f t="shared" ca="1" si="112"/>
        <v>0.26635000000000003</v>
      </c>
      <c r="Y246">
        <f t="shared" ca="1" si="113"/>
        <v>4.9078680670720479E-2</v>
      </c>
      <c r="Z246">
        <f t="shared" ca="1" si="114"/>
        <v>191.47737938802325</v>
      </c>
      <c r="AA246">
        <f t="shared" ca="1" si="115"/>
        <v>632.56999999999994</v>
      </c>
      <c r="AB246">
        <f t="shared" ca="1" si="116"/>
        <v>2501.2543433896526</v>
      </c>
      <c r="AC246">
        <f t="shared" ca="1" si="117"/>
        <v>459.08555568899197</v>
      </c>
      <c r="AD246">
        <f t="shared" ca="1" si="118"/>
        <v>273.39965935528545</v>
      </c>
      <c r="AE246">
        <f t="shared" ca="1" si="119"/>
        <v>995.45480847366821</v>
      </c>
      <c r="AF246">
        <f t="shared" ca="1" si="120"/>
        <v>420.09651431560451</v>
      </c>
      <c r="AG246">
        <f t="shared" ca="1" si="121"/>
        <v>0</v>
      </c>
      <c r="AH246">
        <f ca="1">IF(V32="Supercritical",L246,IF(V32="Subcritical",W246,IF(AND(V246=1,AG246=1),IF(T246&gt;=AE246,L246,W246),IF(V246=1,L246,IF(AG246=1,W246,MAX($D$16,POWER((ABS(K246)^2)/($I$5*MAX(F246,0.1)^2),1/3)))))))</f>
        <v>2.106211519617597</v>
      </c>
      <c r="AI246">
        <f t="shared" ca="1" si="122"/>
        <v>634.62621151961753</v>
      </c>
      <c r="AJ246">
        <f t="shared" ca="1" si="123"/>
        <v>635.6793172794263</v>
      </c>
      <c r="AM246">
        <v>0</v>
      </c>
      <c r="AN246">
        <v>0</v>
      </c>
      <c r="AO246">
        <f t="shared" si="124"/>
        <v>0</v>
      </c>
      <c r="AP246">
        <f t="shared" si="133"/>
        <v>0</v>
      </c>
      <c r="AQ246">
        <f t="shared" ca="1" si="125"/>
        <v>1.0000000000000002</v>
      </c>
      <c r="AR246" t="str">
        <f t="shared" ca="1" si="126"/>
        <v>Supercritical</v>
      </c>
      <c r="AS246">
        <f t="shared" ca="1" si="127"/>
        <v>3.7445825864303975E-3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191</v>
      </c>
      <c r="I247">
        <v>0.05</v>
      </c>
      <c r="J247">
        <f t="shared" si="128"/>
        <v>1</v>
      </c>
      <c r="K247">
        <f t="shared" si="129"/>
        <v>51</v>
      </c>
      <c r="L247">
        <f t="shared" ca="1" si="130"/>
        <v>0.05</v>
      </c>
      <c r="M247">
        <f t="shared" ca="1" si="103"/>
        <v>0.26979999999999998</v>
      </c>
      <c r="N247">
        <f t="shared" ca="1" si="104"/>
        <v>4.9090247452692866E-2</v>
      </c>
      <c r="O247">
        <f t="shared" ca="1" si="105"/>
        <v>189.02891030392885</v>
      </c>
      <c r="P247">
        <f t="shared" ca="1" si="106"/>
        <v>632.56799999999998</v>
      </c>
      <c r="Q247">
        <f t="shared" ca="1" si="107"/>
        <v>2453.767231941426</v>
      </c>
      <c r="R247">
        <f t="shared" ca="1" si="108"/>
        <v>447.27918157917003</v>
      </c>
      <c r="S247">
        <f t="shared" ca="1" si="109"/>
        <v>269.90362961186173</v>
      </c>
      <c r="T247">
        <f t="shared" ca="1" si="110"/>
        <v>982.7258505555933</v>
      </c>
      <c r="U247">
        <f t="shared" ca="1" si="131"/>
        <v>-420.09651431560474</v>
      </c>
      <c r="V247">
        <f t="shared" ca="1" si="132"/>
        <v>0</v>
      </c>
      <c r="W247">
        <f t="shared" ca="1" si="111"/>
        <v>0.05</v>
      </c>
      <c r="X247">
        <f t="shared" ca="1" si="112"/>
        <v>0.26979999999999998</v>
      </c>
      <c r="Y247">
        <f t="shared" ca="1" si="113"/>
        <v>4.9090247452692866E-2</v>
      </c>
      <c r="Z247">
        <f t="shared" ca="1" si="114"/>
        <v>189.02891030392885</v>
      </c>
      <c r="AA247">
        <f t="shared" ca="1" si="115"/>
        <v>632.56799999999998</v>
      </c>
      <c r="AB247">
        <f t="shared" ca="1" si="116"/>
        <v>2453.767231941426</v>
      </c>
      <c r="AC247">
        <f t="shared" ca="1" si="117"/>
        <v>447.27918157917003</v>
      </c>
      <c r="AD247">
        <f t="shared" ca="1" si="118"/>
        <v>269.90362961186173</v>
      </c>
      <c r="AE247">
        <f t="shared" ca="1" si="119"/>
        <v>982.7258505555933</v>
      </c>
      <c r="AF247">
        <f t="shared" ca="1" si="120"/>
        <v>400.69987432364769</v>
      </c>
      <c r="AG247">
        <f t="shared" ca="1" si="121"/>
        <v>0</v>
      </c>
      <c r="AH247">
        <f ca="1">IF(V32="Supercritical",L247,IF(V32="Subcritical",W247,IF(AND(V247=1,AG247=1),IF(T247&gt;=AE247,L247,W247),IF(V247=1,L247,IF(AG247=1,W247,MAX($D$16,POWER((ABS(K247)^2)/($I$5*MAX(F247,0.1)^2),1/3)))))))</f>
        <v>2.088217932535386</v>
      </c>
      <c r="AI247">
        <f t="shared" ca="1" si="122"/>
        <v>634.6062179325354</v>
      </c>
      <c r="AJ247">
        <f t="shared" ca="1" si="123"/>
        <v>635.65032689880309</v>
      </c>
      <c r="AM247">
        <v>0</v>
      </c>
      <c r="AN247">
        <v>0</v>
      </c>
      <c r="AO247">
        <f t="shared" si="124"/>
        <v>0</v>
      </c>
      <c r="AP247">
        <f t="shared" si="133"/>
        <v>0</v>
      </c>
      <c r="AQ247">
        <f t="shared" ca="1" si="125"/>
        <v>1.0000000000000002</v>
      </c>
      <c r="AR247" t="str">
        <f t="shared" ca="1" si="126"/>
        <v>Supercritical</v>
      </c>
      <c r="AS247">
        <f t="shared" ca="1" si="127"/>
        <v>3.7084601582782696E-3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191</v>
      </c>
      <c r="I248">
        <v>0.05</v>
      </c>
      <c r="J248">
        <f t="shared" si="128"/>
        <v>1</v>
      </c>
      <c r="K248">
        <f t="shared" si="129"/>
        <v>51</v>
      </c>
      <c r="L248">
        <f t="shared" ca="1" si="130"/>
        <v>0.05</v>
      </c>
      <c r="M248">
        <f t="shared" ca="1" si="103"/>
        <v>0.27410000000000001</v>
      </c>
      <c r="N248">
        <f t="shared" ca="1" si="104"/>
        <v>4.9104263704765318E-2</v>
      </c>
      <c r="O248">
        <f t="shared" ca="1" si="105"/>
        <v>186.06348048157605</v>
      </c>
      <c r="P248">
        <f t="shared" ca="1" si="106"/>
        <v>632.56599999999992</v>
      </c>
      <c r="Q248">
        <f t="shared" ca="1" si="107"/>
        <v>2397.0725631456589</v>
      </c>
      <c r="R248">
        <f t="shared" ca="1" si="108"/>
        <v>433.19077017687607</v>
      </c>
      <c r="S248">
        <f t="shared" ca="1" si="109"/>
        <v>265.66946103349244</v>
      </c>
      <c r="T248">
        <f t="shared" ca="1" si="110"/>
        <v>967.30935041645046</v>
      </c>
      <c r="U248">
        <f t="shared" ca="1" si="131"/>
        <v>-400.69987432364792</v>
      </c>
      <c r="V248">
        <f t="shared" ca="1" si="132"/>
        <v>0</v>
      </c>
      <c r="W248">
        <f t="shared" ca="1" si="111"/>
        <v>0.05</v>
      </c>
      <c r="X248">
        <f t="shared" ca="1" si="112"/>
        <v>0.27410000000000001</v>
      </c>
      <c r="Y248">
        <f t="shared" ca="1" si="113"/>
        <v>4.9104263704765318E-2</v>
      </c>
      <c r="Z248">
        <f t="shared" ca="1" si="114"/>
        <v>186.06348048157605</v>
      </c>
      <c r="AA248">
        <f t="shared" ca="1" si="115"/>
        <v>632.56599999999992</v>
      </c>
      <c r="AB248">
        <f t="shared" ca="1" si="116"/>
        <v>2397.0725631456589</v>
      </c>
      <c r="AC248">
        <f t="shared" ca="1" si="117"/>
        <v>433.19077017687607</v>
      </c>
      <c r="AD248">
        <f t="shared" ca="1" si="118"/>
        <v>265.66946103349244</v>
      </c>
      <c r="AE248">
        <f t="shared" ca="1" si="119"/>
        <v>967.30935041645046</v>
      </c>
      <c r="AF248">
        <f t="shared" ca="1" si="120"/>
        <v>376.03839217513132</v>
      </c>
      <c r="AG248">
        <f t="shared" ca="1" si="121"/>
        <v>0</v>
      </c>
      <c r="AH248">
        <f ca="1">IF(V32="Supercritical",L248,IF(V32="Subcritical",W248,IF(AND(V248=1,AG248=1),IF(T248&gt;=AE248,L248,W248),IF(V248=1,L248,IF(AG248=1,W248,MAX($D$16,POWER((ABS(K248)^2)/($I$5*MAX(F248,0.1)^2),1/3)))))))</f>
        <v>2.0663208637071939</v>
      </c>
      <c r="AI248">
        <f t="shared" ca="1" si="122"/>
        <v>634.5823208637072</v>
      </c>
      <c r="AJ248">
        <f t="shared" ca="1" si="123"/>
        <v>635.61548129556081</v>
      </c>
      <c r="AM248">
        <v>0</v>
      </c>
      <c r="AN248">
        <v>0</v>
      </c>
      <c r="AO248">
        <f t="shared" si="124"/>
        <v>0</v>
      </c>
      <c r="AP248">
        <f t="shared" si="133"/>
        <v>0</v>
      </c>
      <c r="AQ248">
        <f t="shared" ca="1" si="125"/>
        <v>1.0000000000000002</v>
      </c>
      <c r="AR248" t="str">
        <f t="shared" ca="1" si="126"/>
        <v>Supercritical</v>
      </c>
      <c r="AS248">
        <f t="shared" ca="1" si="127"/>
        <v>3.6653127520924677E-3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191</v>
      </c>
      <c r="I249">
        <v>0</v>
      </c>
      <c r="J249">
        <f t="shared" si="128"/>
        <v>1</v>
      </c>
      <c r="K249">
        <f t="shared" si="129"/>
        <v>51</v>
      </c>
      <c r="L249">
        <f t="shared" ca="1" si="130"/>
        <v>0.05</v>
      </c>
      <c r="M249">
        <f t="shared" ca="1" si="103"/>
        <v>0.27965000000000001</v>
      </c>
      <c r="N249">
        <f t="shared" ca="1" si="104"/>
        <v>4.9121728438433168E-2</v>
      </c>
      <c r="O249">
        <f t="shared" ca="1" si="105"/>
        <v>182.370820668693</v>
      </c>
      <c r="P249">
        <f t="shared" ca="1" si="106"/>
        <v>632.56399999999996</v>
      </c>
      <c r="Q249">
        <f t="shared" ca="1" si="107"/>
        <v>2327.7279261657786</v>
      </c>
      <c r="R249">
        <f t="shared" ca="1" si="108"/>
        <v>415.96970594521855</v>
      </c>
      <c r="S249">
        <f t="shared" ca="1" si="109"/>
        <v>260.39692211435823</v>
      </c>
      <c r="T249">
        <f t="shared" ca="1" si="110"/>
        <v>948.11217515452029</v>
      </c>
      <c r="U249">
        <f t="shared" ca="1" si="131"/>
        <v>-376.03839217513109</v>
      </c>
      <c r="V249">
        <f t="shared" ca="1" si="132"/>
        <v>0</v>
      </c>
      <c r="W249">
        <f t="shared" ca="1" si="111"/>
        <v>0.05</v>
      </c>
      <c r="X249">
        <f t="shared" ca="1" si="112"/>
        <v>0.27965000000000001</v>
      </c>
      <c r="Y249">
        <f t="shared" ca="1" si="113"/>
        <v>4.9121728438433168E-2</v>
      </c>
      <c r="Z249">
        <f t="shared" ca="1" si="114"/>
        <v>182.370820668693</v>
      </c>
      <c r="AA249">
        <f t="shared" ca="1" si="115"/>
        <v>632.56399999999996</v>
      </c>
      <c r="AB249">
        <f t="shared" ca="1" si="116"/>
        <v>2327.7279261657786</v>
      </c>
      <c r="AC249">
        <f t="shared" ca="1" si="117"/>
        <v>415.96970594521855</v>
      </c>
      <c r="AD249">
        <f t="shared" ca="1" si="118"/>
        <v>260.39692211435823</v>
      </c>
      <c r="AE249">
        <f t="shared" ca="1" si="119"/>
        <v>948.11217515452029</v>
      </c>
      <c r="AF249">
        <f t="shared" ca="1" si="120"/>
        <v>394.53182723286864</v>
      </c>
      <c r="AG249">
        <f t="shared" ca="1" si="121"/>
        <v>0</v>
      </c>
      <c r="AH249">
        <f ca="1">IF(V32="Supercritical",L249,IF(V32="Subcritical",W249,IF(AND(V249=1,AG249=1),IF(T249&gt;=AE249,L249,W249),IF(V249=1,L249,IF(AG249=1,W249,MAX($D$16,POWER((ABS(K249)^2)/($I$5*MAX(F249,0.1)^2),1/3)))))))</f>
        <v>2.0388904987278194</v>
      </c>
      <c r="AI249">
        <f t="shared" ca="1" si="122"/>
        <v>634.55289049872783</v>
      </c>
      <c r="AJ249">
        <f t="shared" ca="1" si="123"/>
        <v>635.57233574809175</v>
      </c>
      <c r="AM249">
        <v>0</v>
      </c>
      <c r="AN249">
        <v>0</v>
      </c>
      <c r="AO249">
        <f t="shared" si="124"/>
        <v>0</v>
      </c>
      <c r="AP249">
        <f t="shared" si="133"/>
        <v>0</v>
      </c>
      <c r="AQ249">
        <f t="shared" ca="1" si="125"/>
        <v>1</v>
      </c>
      <c r="AR249" t="str">
        <f t="shared" ca="1" si="126"/>
        <v>Supercritical</v>
      </c>
      <c r="AS249">
        <f t="shared" ca="1" si="127"/>
        <v>3.6125111563455152E-3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191</v>
      </c>
      <c r="I250">
        <v>12.302</v>
      </c>
      <c r="J250">
        <f t="shared" si="128"/>
        <v>1</v>
      </c>
      <c r="K250">
        <f t="shared" si="129"/>
        <v>51</v>
      </c>
      <c r="L250">
        <f t="shared" ca="1" si="130"/>
        <v>0.05</v>
      </c>
      <c r="M250">
        <f t="shared" ca="1" si="103"/>
        <v>0.28544999999999998</v>
      </c>
      <c r="N250">
        <f t="shared" ca="1" si="104"/>
        <v>4.9139266655190222E-2</v>
      </c>
      <c r="O250">
        <f t="shared" ca="1" si="105"/>
        <v>178.66526537046769</v>
      </c>
      <c r="P250">
        <f t="shared" ca="1" si="106"/>
        <v>632.5619999999999</v>
      </c>
      <c r="Q250">
        <f t="shared" ca="1" si="107"/>
        <v>2259.5384041742936</v>
      </c>
      <c r="R250">
        <f t="shared" ca="1" si="108"/>
        <v>399.04745724295981</v>
      </c>
      <c r="S250">
        <f t="shared" ca="1" si="109"/>
        <v>255.10597046516128</v>
      </c>
      <c r="T250">
        <f t="shared" ca="1" si="110"/>
        <v>928.84796539310423</v>
      </c>
      <c r="U250">
        <f t="shared" ca="1" si="131"/>
        <v>-394.53182723286886</v>
      </c>
      <c r="V250">
        <f t="shared" ca="1" si="132"/>
        <v>0</v>
      </c>
      <c r="W250">
        <f t="shared" ca="1" si="111"/>
        <v>0.05</v>
      </c>
      <c r="X250">
        <f t="shared" ca="1" si="112"/>
        <v>0.28544999999999998</v>
      </c>
      <c r="Y250">
        <f t="shared" ca="1" si="113"/>
        <v>4.9139266655190222E-2</v>
      </c>
      <c r="Z250">
        <f t="shared" ca="1" si="114"/>
        <v>178.66526537046769</v>
      </c>
      <c r="AA250">
        <f t="shared" ca="1" si="115"/>
        <v>632.5619999999999</v>
      </c>
      <c r="AB250">
        <f t="shared" ca="1" si="116"/>
        <v>2259.5384041742936</v>
      </c>
      <c r="AC250">
        <f t="shared" ca="1" si="117"/>
        <v>399.04745724295981</v>
      </c>
      <c r="AD250">
        <f t="shared" ca="1" si="118"/>
        <v>255.10597046516128</v>
      </c>
      <c r="AE250">
        <f t="shared" ca="1" si="119"/>
        <v>928.84796539310423</v>
      </c>
      <c r="AF250">
        <f t="shared" ca="1" si="120"/>
        <v>841.80236953623944</v>
      </c>
      <c r="AG250">
        <f t="shared" ca="1" si="121"/>
        <v>0</v>
      </c>
      <c r="AH250">
        <f ca="1">IF(V32="Supercritical",L250,IF(V32="Subcritical",W250,IF(AND(V250=1,AG250=1),IF(T250&gt;=AE250,L250,W250),IF(V250=1,L250,IF(AG250=1,W250,MAX($D$16,POWER((ABS(K250)^2)/($I$5*MAX(F250,0.1)^2),1/3)))))))</f>
        <v>2.0111775828510221</v>
      </c>
      <c r="AI250">
        <f t="shared" ca="1" si="122"/>
        <v>634.52317758285096</v>
      </c>
      <c r="AJ250">
        <f t="shared" ca="1" si="123"/>
        <v>635.52876637427653</v>
      </c>
      <c r="AM250">
        <v>0</v>
      </c>
      <c r="AN250">
        <v>0</v>
      </c>
      <c r="AO250">
        <f t="shared" si="124"/>
        <v>0</v>
      </c>
      <c r="AP250">
        <f t="shared" si="133"/>
        <v>0</v>
      </c>
      <c r="AQ250">
        <f t="shared" ca="1" si="125"/>
        <v>1</v>
      </c>
      <c r="AR250" t="str">
        <f t="shared" ca="1" si="126"/>
        <v>Supercritical</v>
      </c>
      <c r="AS250">
        <f t="shared" ca="1" si="127"/>
        <v>3.5605664285307342E-3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191</v>
      </c>
      <c r="I251">
        <v>13.824999999999999</v>
      </c>
      <c r="J251">
        <f t="shared" si="128"/>
        <v>0.97399999999998954</v>
      </c>
      <c r="K251">
        <f t="shared" si="129"/>
        <v>51</v>
      </c>
      <c r="L251">
        <f t="shared" ca="1" si="130"/>
        <v>0.05</v>
      </c>
      <c r="M251">
        <f t="shared" ca="1" si="103"/>
        <v>0.26</v>
      </c>
      <c r="N251">
        <f t="shared" ca="1" si="104"/>
        <v>4.9056603773584909E-2</v>
      </c>
      <c r="O251">
        <f t="shared" ca="1" si="105"/>
        <v>196.15384615384616</v>
      </c>
      <c r="P251">
        <f t="shared" ca="1" si="106"/>
        <v>632.56149999999991</v>
      </c>
      <c r="Q251">
        <f t="shared" ca="1" si="107"/>
        <v>2593.6385316486621</v>
      </c>
      <c r="R251">
        <f t="shared" ca="1" si="108"/>
        <v>482.07306851378365</v>
      </c>
      <c r="S251">
        <f t="shared" ca="1" si="109"/>
        <v>280.07692026646265</v>
      </c>
      <c r="T251">
        <f t="shared" ca="1" si="110"/>
        <v>1019.7665564573041</v>
      </c>
      <c r="U251">
        <f t="shared" ca="1" si="131"/>
        <v>-841.80236953623944</v>
      </c>
      <c r="V251">
        <f t="shared" ca="1" si="132"/>
        <v>0</v>
      </c>
      <c r="W251">
        <f t="shared" ca="1" si="111"/>
        <v>0.05</v>
      </c>
      <c r="X251">
        <f t="shared" ca="1" si="112"/>
        <v>0.26</v>
      </c>
      <c r="Y251">
        <f t="shared" ca="1" si="113"/>
        <v>4.9056603773584909E-2</v>
      </c>
      <c r="Z251">
        <f t="shared" ca="1" si="114"/>
        <v>196.15384615384616</v>
      </c>
      <c r="AA251">
        <f t="shared" ca="1" si="115"/>
        <v>632.56149999999991</v>
      </c>
      <c r="AB251">
        <f t="shared" ca="1" si="116"/>
        <v>2593.6385316486621</v>
      </c>
      <c r="AC251">
        <f t="shared" ca="1" si="117"/>
        <v>482.07306851378365</v>
      </c>
      <c r="AD251">
        <f t="shared" ca="1" si="118"/>
        <v>280.07692026646265</v>
      </c>
      <c r="AE251">
        <f t="shared" ca="1" si="119"/>
        <v>1019.7665564573041</v>
      </c>
      <c r="AF251">
        <f t="shared" ca="1" si="120"/>
        <v>482.25887083179032</v>
      </c>
      <c r="AG251">
        <f t="shared" ca="1" si="121"/>
        <v>0</v>
      </c>
      <c r="AH251">
        <f ca="1">IF(V32="Supercritical",L251,IF(V32="Subcritical",W251,IF(AND(V251=1,AG251=1),IF(T251&gt;=AE251,L251,W251),IF(V251=1,L251,IF(AG251=1,W251,MAX($D$16,POWER((ABS(K251)^2)/($I$5*MAX(F251,0.1)^2),1/3)))))))</f>
        <v>2.1403668656741068</v>
      </c>
      <c r="AI251">
        <f t="shared" ca="1" si="122"/>
        <v>634.65186686567404</v>
      </c>
      <c r="AJ251">
        <f t="shared" ca="1" si="123"/>
        <v>635.72205029851114</v>
      </c>
      <c r="AM251">
        <v>0</v>
      </c>
      <c r="AN251">
        <v>0</v>
      </c>
      <c r="AO251">
        <f t="shared" si="124"/>
        <v>0</v>
      </c>
      <c r="AP251">
        <f t="shared" si="133"/>
        <v>0</v>
      </c>
      <c r="AQ251">
        <f t="shared" ca="1" si="125"/>
        <v>0.99999999999999978</v>
      </c>
      <c r="AR251" t="str">
        <f t="shared" ca="1" si="126"/>
        <v>Supercritical</v>
      </c>
      <c r="AS251">
        <f t="shared" ca="1" si="127"/>
        <v>3.8148159832266538E-3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191</v>
      </c>
      <c r="I252">
        <v>5.7000000000000002E-2</v>
      </c>
      <c r="J252">
        <f t="shared" si="128"/>
        <v>1</v>
      </c>
      <c r="K252">
        <f t="shared" si="129"/>
        <v>51</v>
      </c>
      <c r="L252">
        <f t="shared" ca="1" si="130"/>
        <v>0.05</v>
      </c>
      <c r="M252">
        <f t="shared" ca="1" si="103"/>
        <v>0.26</v>
      </c>
      <c r="N252">
        <f t="shared" ca="1" si="104"/>
        <v>4.9056603773584909E-2</v>
      </c>
      <c r="O252">
        <f t="shared" ca="1" si="105"/>
        <v>196.15384615384616</v>
      </c>
      <c r="P252">
        <f t="shared" ca="1" si="106"/>
        <v>632.56099999999992</v>
      </c>
      <c r="Q252">
        <f t="shared" ca="1" si="107"/>
        <v>2593.638031648662</v>
      </c>
      <c r="R252">
        <f t="shared" ca="1" si="108"/>
        <v>482.07306851378365</v>
      </c>
      <c r="S252">
        <f t="shared" ca="1" si="109"/>
        <v>280.07692026646265</v>
      </c>
      <c r="T252">
        <f t="shared" ca="1" si="110"/>
        <v>1019.7665564573041</v>
      </c>
      <c r="U252">
        <f t="shared" ca="1" si="131"/>
        <v>-482.25887083179032</v>
      </c>
      <c r="V252">
        <f t="shared" ca="1" si="132"/>
        <v>0</v>
      </c>
      <c r="W252">
        <f t="shared" ca="1" si="111"/>
        <v>0.05</v>
      </c>
      <c r="X252">
        <f t="shared" ca="1" si="112"/>
        <v>0.26</v>
      </c>
      <c r="Y252">
        <f t="shared" ca="1" si="113"/>
        <v>4.9056603773584909E-2</v>
      </c>
      <c r="Z252">
        <f t="shared" ca="1" si="114"/>
        <v>196.15384615384616</v>
      </c>
      <c r="AA252">
        <f t="shared" ca="1" si="115"/>
        <v>632.56099999999992</v>
      </c>
      <c r="AB252">
        <f t="shared" ca="1" si="116"/>
        <v>2593.638031648662</v>
      </c>
      <c r="AC252">
        <f t="shared" ca="1" si="117"/>
        <v>482.07306851378365</v>
      </c>
      <c r="AD252">
        <f t="shared" ca="1" si="118"/>
        <v>280.07692026646265</v>
      </c>
      <c r="AE252">
        <f t="shared" ca="1" si="119"/>
        <v>1019.7665564573041</v>
      </c>
      <c r="AF252">
        <f t="shared" ca="1" si="120"/>
        <v>482.07256851378361</v>
      </c>
      <c r="AG252">
        <f t="shared" ca="1" si="121"/>
        <v>0</v>
      </c>
      <c r="AH252">
        <f ca="1">IF(V32="Supercritical",L252,IF(V32="Subcritical",W252,IF(AND(V252=1,AG252=1),IF(T252&gt;=AE252,L252,W252),IF(V252=1,L252,IF(AG252=1,W252,MAX($D$16,POWER((ABS(K252)^2)/($I$5*MAX(F252,0.1)^2),1/3)))))))</f>
        <v>2.1403668656741068</v>
      </c>
      <c r="AI252">
        <f t="shared" ca="1" si="122"/>
        <v>634.65136686567405</v>
      </c>
      <c r="AJ252">
        <f t="shared" ca="1" si="123"/>
        <v>635.72155029851115</v>
      </c>
      <c r="AM252">
        <v>0</v>
      </c>
      <c r="AN252">
        <v>0</v>
      </c>
      <c r="AO252">
        <f t="shared" si="124"/>
        <v>0</v>
      </c>
      <c r="AP252">
        <f t="shared" si="133"/>
        <v>0</v>
      </c>
      <c r="AQ252">
        <f t="shared" ca="1" si="125"/>
        <v>0.99999999999999978</v>
      </c>
      <c r="AR252" t="str">
        <f t="shared" ca="1" si="126"/>
        <v>Supercritical</v>
      </c>
      <c r="AS252">
        <f t="shared" ca="1" si="127"/>
        <v>3.8148159832266538E-3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191</v>
      </c>
      <c r="I253">
        <v>0</v>
      </c>
      <c r="J253">
        <f t="shared" si="128"/>
        <v>1</v>
      </c>
      <c r="K253">
        <f t="shared" si="129"/>
        <v>51</v>
      </c>
      <c r="L253">
        <f t="shared" ca="1" si="130"/>
        <v>0.05</v>
      </c>
      <c r="M253">
        <f t="shared" ca="1" si="103"/>
        <v>0.26</v>
      </c>
      <c r="N253">
        <f t="shared" ca="1" si="104"/>
        <v>4.9056603773584909E-2</v>
      </c>
      <c r="O253">
        <f t="shared" ca="1" si="105"/>
        <v>196.15384615384616</v>
      </c>
      <c r="P253">
        <f t="shared" ca="1" si="106"/>
        <v>632.56049999999993</v>
      </c>
      <c r="Q253">
        <f t="shared" ca="1" si="107"/>
        <v>2593.6375316486619</v>
      </c>
      <c r="R253">
        <f t="shared" ca="1" si="108"/>
        <v>482.07306851378365</v>
      </c>
      <c r="S253">
        <f t="shared" ca="1" si="109"/>
        <v>280.07692026646265</v>
      </c>
      <c r="T253">
        <f t="shared" ca="1" si="110"/>
        <v>1019.7665564573041</v>
      </c>
      <c r="U253">
        <f t="shared" ca="1" si="131"/>
        <v>-482.07256851378361</v>
      </c>
      <c r="V253">
        <f t="shared" ca="1" si="132"/>
        <v>0</v>
      </c>
      <c r="W253">
        <f t="shared" ca="1" si="111"/>
        <v>0.05</v>
      </c>
      <c r="X253">
        <f t="shared" ca="1" si="112"/>
        <v>0.26</v>
      </c>
      <c r="Y253">
        <f t="shared" ca="1" si="113"/>
        <v>4.9056603773584909E-2</v>
      </c>
      <c r="Z253">
        <f t="shared" ca="1" si="114"/>
        <v>196.15384615384616</v>
      </c>
      <c r="AA253">
        <f t="shared" ca="1" si="115"/>
        <v>632.56049999999993</v>
      </c>
      <c r="AB253">
        <f t="shared" ca="1" si="116"/>
        <v>2593.6375316486619</v>
      </c>
      <c r="AC253">
        <f t="shared" ca="1" si="117"/>
        <v>482.07306851378365</v>
      </c>
      <c r="AD253">
        <f t="shared" ca="1" si="118"/>
        <v>280.07692026646265</v>
      </c>
      <c r="AE253">
        <f t="shared" ca="1" si="119"/>
        <v>1019.7665564573041</v>
      </c>
      <c r="AF253">
        <f t="shared" ca="1" si="120"/>
        <v>482.73440697686738</v>
      </c>
      <c r="AG253">
        <f t="shared" ca="1" si="121"/>
        <v>0</v>
      </c>
      <c r="AH253">
        <f ca="1">IF(V32="Supercritical",L253,IF(V32="Subcritical",W253,IF(AND(V253=1,AG253=1),IF(T253&gt;=AE253,L253,W253),IF(V253=1,L253,IF(AG253=1,W253,MAX($D$16,POWER((ABS(K253)^2)/($I$5*MAX(F253,0.1)^2),1/3)))))))</f>
        <v>2.1403668656741068</v>
      </c>
      <c r="AI253">
        <f t="shared" ca="1" si="122"/>
        <v>634.65086686567406</v>
      </c>
      <c r="AJ253">
        <f t="shared" ca="1" si="123"/>
        <v>635.72105029851116</v>
      </c>
      <c r="AM253">
        <v>0</v>
      </c>
      <c r="AN253">
        <v>0</v>
      </c>
      <c r="AO253">
        <f t="shared" si="124"/>
        <v>0</v>
      </c>
      <c r="AP253">
        <f t="shared" si="133"/>
        <v>0</v>
      </c>
      <c r="AQ253">
        <f t="shared" ca="1" si="125"/>
        <v>0.99999999999999978</v>
      </c>
      <c r="AR253" t="str">
        <f t="shared" ca="1" si="126"/>
        <v>Supercritical</v>
      </c>
      <c r="AS253">
        <f t="shared" ca="1" si="127"/>
        <v>3.8148159832266538E-3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191</v>
      </c>
      <c r="I254">
        <v>5.5E-2</v>
      </c>
      <c r="J254">
        <f t="shared" si="128"/>
        <v>1.0010000000000048</v>
      </c>
      <c r="K254">
        <f t="shared" si="129"/>
        <v>51</v>
      </c>
      <c r="L254">
        <f t="shared" ca="1" si="130"/>
        <v>0.05</v>
      </c>
      <c r="M254">
        <f t="shared" ca="1" si="103"/>
        <v>0.26</v>
      </c>
      <c r="N254">
        <f t="shared" ca="1" si="104"/>
        <v>4.9056603773584909E-2</v>
      </c>
      <c r="O254">
        <f t="shared" ca="1" si="105"/>
        <v>196.15384615384616</v>
      </c>
      <c r="P254">
        <f t="shared" ca="1" si="106"/>
        <v>632.55999999999995</v>
      </c>
      <c r="Q254">
        <f t="shared" ca="1" si="107"/>
        <v>2593.6370316486618</v>
      </c>
      <c r="R254">
        <f t="shared" ca="1" si="108"/>
        <v>482.07306851378365</v>
      </c>
      <c r="S254">
        <f t="shared" ca="1" si="109"/>
        <v>280.07692026646265</v>
      </c>
      <c r="T254">
        <f t="shared" ca="1" si="110"/>
        <v>1019.7665564573041</v>
      </c>
      <c r="U254">
        <f t="shared" ca="1" si="131"/>
        <v>-482.73440697686738</v>
      </c>
      <c r="V254">
        <f t="shared" ca="1" si="132"/>
        <v>0</v>
      </c>
      <c r="W254">
        <f t="shared" ca="1" si="111"/>
        <v>0.05</v>
      </c>
      <c r="X254">
        <f t="shared" ca="1" si="112"/>
        <v>0.26</v>
      </c>
      <c r="Y254">
        <f t="shared" ca="1" si="113"/>
        <v>4.9056603773584909E-2</v>
      </c>
      <c r="Z254">
        <f t="shared" ca="1" si="114"/>
        <v>196.15384615384616</v>
      </c>
      <c r="AA254">
        <f t="shared" ca="1" si="115"/>
        <v>632.55999999999995</v>
      </c>
      <c r="AB254">
        <f t="shared" ca="1" si="116"/>
        <v>2593.6370316486618</v>
      </c>
      <c r="AC254">
        <f t="shared" ca="1" si="117"/>
        <v>482.07306851378365</v>
      </c>
      <c r="AD254">
        <f t="shared" ca="1" si="118"/>
        <v>280.07692026646265</v>
      </c>
      <c r="AE254">
        <f t="shared" ca="1" si="119"/>
        <v>1019.7665564573041</v>
      </c>
      <c r="AF254">
        <f t="shared" ca="1" si="120"/>
        <v>481.77026083983583</v>
      </c>
      <c r="AG254">
        <f t="shared" ca="1" si="121"/>
        <v>0</v>
      </c>
      <c r="AH254">
        <f ca="1">IF(V32="Supercritical",L254,IF(V32="Subcritical",W254,IF(AND(V254=1,AG254=1),IF(T254&gt;=AE254,L254,W254),IF(V254=1,L254,IF(AG254=1,W254,MAX($D$16,POWER((ABS(K254)^2)/($I$5*MAX(F254,0.1)^2),1/3)))))))</f>
        <v>2.1403668656741068</v>
      </c>
      <c r="AI254">
        <f t="shared" ca="1" si="122"/>
        <v>634.65036686567407</v>
      </c>
      <c r="AJ254">
        <f t="shared" ca="1" si="123"/>
        <v>635.72055029851117</v>
      </c>
      <c r="AM254">
        <v>0</v>
      </c>
      <c r="AN254">
        <v>0</v>
      </c>
      <c r="AO254">
        <f t="shared" si="124"/>
        <v>0</v>
      </c>
      <c r="AP254">
        <f t="shared" si="133"/>
        <v>0</v>
      </c>
      <c r="AQ254">
        <f t="shared" ca="1" si="125"/>
        <v>0.99999999999999978</v>
      </c>
      <c r="AR254" t="str">
        <f t="shared" ca="1" si="126"/>
        <v>Supercritical</v>
      </c>
      <c r="AS254">
        <f t="shared" ca="1" si="127"/>
        <v>3.8148159832266538E-3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191</v>
      </c>
      <c r="I255">
        <v>5.5E-2</v>
      </c>
      <c r="J255">
        <f t="shared" si="128"/>
        <v>0.99899999999999523</v>
      </c>
      <c r="K255">
        <f t="shared" si="129"/>
        <v>51</v>
      </c>
      <c r="L255">
        <f t="shared" ca="1" si="130"/>
        <v>0.05</v>
      </c>
      <c r="M255">
        <f t="shared" ca="1" si="103"/>
        <v>0.26</v>
      </c>
      <c r="N255">
        <f t="shared" ca="1" si="104"/>
        <v>4.9056603773584909E-2</v>
      </c>
      <c r="O255">
        <f t="shared" ca="1" si="105"/>
        <v>196.15384615384616</v>
      </c>
      <c r="P255">
        <f t="shared" ca="1" si="106"/>
        <v>632.55949999999996</v>
      </c>
      <c r="Q255">
        <f t="shared" ca="1" si="107"/>
        <v>2593.6365316486622</v>
      </c>
      <c r="R255">
        <f t="shared" ca="1" si="108"/>
        <v>482.07306851378365</v>
      </c>
      <c r="S255">
        <f t="shared" ca="1" si="109"/>
        <v>280.07692026646265</v>
      </c>
      <c r="T255">
        <f t="shared" ca="1" si="110"/>
        <v>1019.7665564573041</v>
      </c>
      <c r="U255">
        <f t="shared" ca="1" si="131"/>
        <v>-481.77026083983583</v>
      </c>
      <c r="V255">
        <f t="shared" ca="1" si="132"/>
        <v>0</v>
      </c>
      <c r="W255">
        <f t="shared" ca="1" si="111"/>
        <v>0.05</v>
      </c>
      <c r="X255">
        <f t="shared" ca="1" si="112"/>
        <v>0.26</v>
      </c>
      <c r="Y255">
        <f t="shared" ca="1" si="113"/>
        <v>4.9056603773584909E-2</v>
      </c>
      <c r="Z255">
        <f t="shared" ca="1" si="114"/>
        <v>196.15384615384616</v>
      </c>
      <c r="AA255">
        <f t="shared" ca="1" si="115"/>
        <v>632.55949999999996</v>
      </c>
      <c r="AB255">
        <f t="shared" ca="1" si="116"/>
        <v>2593.6365316486622</v>
      </c>
      <c r="AC255">
        <f t="shared" ca="1" si="117"/>
        <v>482.07306851378365</v>
      </c>
      <c r="AD255">
        <f t="shared" ca="1" si="118"/>
        <v>280.07692026646265</v>
      </c>
      <c r="AE255">
        <f t="shared" ca="1" si="119"/>
        <v>1019.7665564573041</v>
      </c>
      <c r="AF255">
        <f t="shared" ca="1" si="120"/>
        <v>482.07256851378361</v>
      </c>
      <c r="AG255">
        <f t="shared" ca="1" si="121"/>
        <v>0</v>
      </c>
      <c r="AH255">
        <f ca="1">IF(V32="Supercritical",L255,IF(V32="Subcritical",W255,IF(AND(V255=1,AG255=1),IF(T255&gt;=AE255,L255,W255),IF(V255=1,L255,IF(AG255=1,W255,MAX($D$16,POWER((ABS(K255)^2)/($I$5*MAX(F255,0.1)^2),1/3)))))))</f>
        <v>2.1403668656741068</v>
      </c>
      <c r="AI255">
        <f t="shared" ca="1" si="122"/>
        <v>634.64986686567408</v>
      </c>
      <c r="AJ255">
        <f t="shared" ca="1" si="123"/>
        <v>635.72005029851118</v>
      </c>
      <c r="AM255">
        <v>0</v>
      </c>
      <c r="AN255">
        <v>0</v>
      </c>
      <c r="AO255">
        <f t="shared" si="124"/>
        <v>0</v>
      </c>
      <c r="AP255">
        <f t="shared" si="133"/>
        <v>0</v>
      </c>
      <c r="AQ255">
        <f t="shared" ca="1" si="125"/>
        <v>0.99999999999999978</v>
      </c>
      <c r="AR255" t="str">
        <f t="shared" ca="1" si="126"/>
        <v>Supercritical</v>
      </c>
      <c r="AS255">
        <f t="shared" ca="1" si="127"/>
        <v>3.8148159832266538E-3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191</v>
      </c>
      <c r="I256">
        <v>0</v>
      </c>
      <c r="J256">
        <f t="shared" si="128"/>
        <v>1</v>
      </c>
      <c r="K256">
        <f t="shared" si="129"/>
        <v>51</v>
      </c>
      <c r="L256">
        <f t="shared" ca="1" si="130"/>
        <v>0.05</v>
      </c>
      <c r="M256">
        <f t="shared" ca="1" si="103"/>
        <v>0.26</v>
      </c>
      <c r="N256">
        <f t="shared" ca="1" si="104"/>
        <v>4.9056603773584909E-2</v>
      </c>
      <c r="O256">
        <f t="shared" ca="1" si="105"/>
        <v>196.15384615384616</v>
      </c>
      <c r="P256">
        <f t="shared" ca="1" si="106"/>
        <v>632.55899999999997</v>
      </c>
      <c r="Q256">
        <f t="shared" ca="1" si="107"/>
        <v>2593.6360316486621</v>
      </c>
      <c r="R256">
        <f t="shared" ca="1" si="108"/>
        <v>482.07306851378365</v>
      </c>
      <c r="S256">
        <f t="shared" ca="1" si="109"/>
        <v>280.07692026646265</v>
      </c>
      <c r="T256">
        <f t="shared" ca="1" si="110"/>
        <v>1019.7665564573041</v>
      </c>
      <c r="U256">
        <f t="shared" ca="1" si="131"/>
        <v>-482.07256851378361</v>
      </c>
      <c r="V256">
        <f t="shared" ca="1" si="132"/>
        <v>0</v>
      </c>
      <c r="W256">
        <f t="shared" ca="1" si="111"/>
        <v>0.05</v>
      </c>
      <c r="X256">
        <f t="shared" ca="1" si="112"/>
        <v>0.26</v>
      </c>
      <c r="Y256">
        <f t="shared" ca="1" si="113"/>
        <v>4.9056603773584909E-2</v>
      </c>
      <c r="Z256">
        <f t="shared" ca="1" si="114"/>
        <v>196.15384615384616</v>
      </c>
      <c r="AA256">
        <f t="shared" ca="1" si="115"/>
        <v>632.55899999999997</v>
      </c>
      <c r="AB256">
        <f t="shared" ca="1" si="116"/>
        <v>2593.6360316486621</v>
      </c>
      <c r="AC256">
        <f t="shared" ca="1" si="117"/>
        <v>482.07306851378365</v>
      </c>
      <c r="AD256">
        <f t="shared" ca="1" si="118"/>
        <v>280.07692026646265</v>
      </c>
      <c r="AE256">
        <f t="shared" ca="1" si="119"/>
        <v>1019.7665564573041</v>
      </c>
      <c r="AF256">
        <f t="shared" ca="1" si="120"/>
        <v>482.25887083179032</v>
      </c>
      <c r="AG256">
        <f t="shared" ca="1" si="121"/>
        <v>0</v>
      </c>
      <c r="AH256">
        <f ca="1">IF(V32="Supercritical",L256,IF(V32="Subcritical",W256,IF(AND(V256=1,AG256=1),IF(T256&gt;=AE256,L256,W256),IF(V256=1,L256,IF(AG256=1,W256,MAX($D$16,POWER((ABS(K256)^2)/($I$5*MAX(F256,0.1)^2),1/3)))))))</f>
        <v>2.1403668656741068</v>
      </c>
      <c r="AI256">
        <f t="shared" ca="1" si="122"/>
        <v>634.6493668656741</v>
      </c>
      <c r="AJ256">
        <f t="shared" ca="1" si="123"/>
        <v>635.71955029851119</v>
      </c>
      <c r="AM256">
        <v>0</v>
      </c>
      <c r="AN256">
        <v>0</v>
      </c>
      <c r="AO256">
        <f t="shared" si="124"/>
        <v>0</v>
      </c>
      <c r="AP256">
        <f t="shared" si="133"/>
        <v>0</v>
      </c>
      <c r="AQ256">
        <f t="shared" ca="1" si="125"/>
        <v>0.99999999999999978</v>
      </c>
      <c r="AR256" t="str">
        <f t="shared" ca="1" si="126"/>
        <v>Supercritical</v>
      </c>
      <c r="AS256">
        <f t="shared" ca="1" si="127"/>
        <v>3.8148159832266538E-3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191</v>
      </c>
      <c r="I257">
        <v>5.7000000000000002E-2</v>
      </c>
      <c r="J257">
        <f t="shared" si="128"/>
        <v>1</v>
      </c>
      <c r="K257">
        <f t="shared" si="129"/>
        <v>51</v>
      </c>
      <c r="L257">
        <f t="shared" ca="1" si="130"/>
        <v>0.05</v>
      </c>
      <c r="M257">
        <f t="shared" ca="1" si="103"/>
        <v>0.26</v>
      </c>
      <c r="N257">
        <f t="shared" ca="1" si="104"/>
        <v>4.9056603773584909E-2</v>
      </c>
      <c r="O257">
        <f t="shared" ca="1" si="105"/>
        <v>196.15384615384616</v>
      </c>
      <c r="P257">
        <f t="shared" ca="1" si="106"/>
        <v>632.55849999999998</v>
      </c>
      <c r="Q257">
        <f t="shared" ca="1" si="107"/>
        <v>2593.635531648662</v>
      </c>
      <c r="R257">
        <f t="shared" ca="1" si="108"/>
        <v>482.07306851378365</v>
      </c>
      <c r="S257">
        <f t="shared" ca="1" si="109"/>
        <v>280.07692026646265</v>
      </c>
      <c r="T257">
        <f t="shared" ca="1" si="110"/>
        <v>1019.7665564573041</v>
      </c>
      <c r="U257">
        <f t="shared" ca="1" si="131"/>
        <v>-482.25887083179032</v>
      </c>
      <c r="V257">
        <f t="shared" ca="1" si="132"/>
        <v>0</v>
      </c>
      <c r="W257">
        <f t="shared" ca="1" si="111"/>
        <v>0.05</v>
      </c>
      <c r="X257">
        <f t="shared" ca="1" si="112"/>
        <v>0.26</v>
      </c>
      <c r="Y257">
        <f t="shared" ca="1" si="113"/>
        <v>4.9056603773584909E-2</v>
      </c>
      <c r="Z257">
        <f t="shared" ca="1" si="114"/>
        <v>196.15384615384616</v>
      </c>
      <c r="AA257">
        <f t="shared" ca="1" si="115"/>
        <v>632.55849999999998</v>
      </c>
      <c r="AB257">
        <f t="shared" ca="1" si="116"/>
        <v>2593.635531648662</v>
      </c>
      <c r="AC257">
        <f t="shared" ca="1" si="117"/>
        <v>482.07306851378365</v>
      </c>
      <c r="AD257">
        <f t="shared" ca="1" si="118"/>
        <v>280.07692026646265</v>
      </c>
      <c r="AE257">
        <f t="shared" ca="1" si="119"/>
        <v>1019.7665564573041</v>
      </c>
      <c r="AF257">
        <f t="shared" ca="1" si="120"/>
        <v>482.25887083179077</v>
      </c>
      <c r="AG257">
        <f t="shared" ca="1" si="121"/>
        <v>0</v>
      </c>
      <c r="AH257">
        <f ca="1">IF(V32="Supercritical",L257,IF(V32="Subcritical",W257,IF(AND(V257=1,AG257=1),IF(T257&gt;=AE257,L257,W257),IF(V257=1,L257,IF(AG257=1,W257,MAX($D$16,POWER((ABS(K257)^2)/($I$5*MAX(F257,0.1)^2),1/3)))))))</f>
        <v>2.1403668656741068</v>
      </c>
      <c r="AI257">
        <f t="shared" ca="1" si="122"/>
        <v>634.64886686567411</v>
      </c>
      <c r="AJ257">
        <f t="shared" ca="1" si="123"/>
        <v>635.71905029851121</v>
      </c>
      <c r="AM257">
        <v>0</v>
      </c>
      <c r="AN257">
        <v>0</v>
      </c>
      <c r="AO257">
        <f t="shared" si="124"/>
        <v>0</v>
      </c>
      <c r="AP257">
        <f t="shared" si="133"/>
        <v>0</v>
      </c>
      <c r="AQ257">
        <f t="shared" ca="1" si="125"/>
        <v>0.99999999999999978</v>
      </c>
      <c r="AR257" t="str">
        <f t="shared" ca="1" si="126"/>
        <v>Supercritical</v>
      </c>
      <c r="AS257">
        <f t="shared" ca="1" si="127"/>
        <v>3.8148159832266538E-3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191</v>
      </c>
      <c r="I258">
        <v>5.7000000000000002E-2</v>
      </c>
      <c r="J258">
        <f t="shared" si="128"/>
        <v>1</v>
      </c>
      <c r="K258">
        <f t="shared" si="129"/>
        <v>51</v>
      </c>
      <c r="L258">
        <f t="shared" ca="1" si="130"/>
        <v>0.05</v>
      </c>
      <c r="M258">
        <f t="shared" ca="1" si="103"/>
        <v>0.26</v>
      </c>
      <c r="N258">
        <f t="shared" ca="1" si="104"/>
        <v>4.9056603773584909E-2</v>
      </c>
      <c r="O258">
        <f t="shared" ca="1" si="105"/>
        <v>196.15384615384616</v>
      </c>
      <c r="P258">
        <f t="shared" ca="1" si="106"/>
        <v>632.55799999999999</v>
      </c>
      <c r="Q258">
        <f t="shared" ca="1" si="107"/>
        <v>2593.6350316486623</v>
      </c>
      <c r="R258">
        <f t="shared" ca="1" si="108"/>
        <v>482.07306851378365</v>
      </c>
      <c r="S258">
        <f t="shared" ca="1" si="109"/>
        <v>280.07692026646265</v>
      </c>
      <c r="T258">
        <f t="shared" ca="1" si="110"/>
        <v>1019.7665564573041</v>
      </c>
      <c r="U258">
        <f t="shared" ca="1" si="131"/>
        <v>-482.25887083179077</v>
      </c>
      <c r="V258">
        <f t="shared" ca="1" si="132"/>
        <v>0</v>
      </c>
      <c r="W258">
        <f t="shared" ca="1" si="111"/>
        <v>0.05</v>
      </c>
      <c r="X258">
        <f t="shared" ca="1" si="112"/>
        <v>0.26</v>
      </c>
      <c r="Y258">
        <f t="shared" ca="1" si="113"/>
        <v>4.9056603773584909E-2</v>
      </c>
      <c r="Z258">
        <f t="shared" ca="1" si="114"/>
        <v>196.15384615384616</v>
      </c>
      <c r="AA258">
        <f t="shared" ca="1" si="115"/>
        <v>632.55799999999999</v>
      </c>
      <c r="AB258">
        <f t="shared" ca="1" si="116"/>
        <v>2593.6350316486623</v>
      </c>
      <c r="AC258">
        <f t="shared" ca="1" si="117"/>
        <v>482.07306851378365</v>
      </c>
      <c r="AD258">
        <f t="shared" ca="1" si="118"/>
        <v>280.07692026646265</v>
      </c>
      <c r="AE258">
        <f t="shared" ca="1" si="119"/>
        <v>1019.7665564573041</v>
      </c>
      <c r="AF258">
        <f t="shared" ca="1" si="120"/>
        <v>482.25887083179032</v>
      </c>
      <c r="AG258">
        <f t="shared" ca="1" si="121"/>
        <v>0</v>
      </c>
      <c r="AH258">
        <f ca="1">IF(V32="Supercritical",L258,IF(V32="Subcritical",W258,IF(AND(V258=1,AG258=1),IF(T258&gt;=AE258,L258,W258),IF(V258=1,L258,IF(AG258=1,W258,MAX($D$16,POWER((ABS(K258)^2)/($I$5*MAX(F258,0.1)^2),1/3)))))))</f>
        <v>2.1403668656741068</v>
      </c>
      <c r="AI258">
        <f t="shared" ca="1" si="122"/>
        <v>634.64836686567412</v>
      </c>
      <c r="AJ258">
        <f t="shared" ca="1" si="123"/>
        <v>635.71855029851122</v>
      </c>
      <c r="AM258">
        <v>0</v>
      </c>
      <c r="AN258">
        <v>0</v>
      </c>
      <c r="AO258">
        <f t="shared" si="124"/>
        <v>0</v>
      </c>
      <c r="AP258">
        <f t="shared" si="133"/>
        <v>0</v>
      </c>
      <c r="AQ258">
        <f t="shared" ca="1" si="125"/>
        <v>0.99999999999999978</v>
      </c>
      <c r="AR258" t="str">
        <f t="shared" ca="1" si="126"/>
        <v>Supercritical</v>
      </c>
      <c r="AS258">
        <f t="shared" ca="1" si="127"/>
        <v>3.8148159832266538E-3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191</v>
      </c>
      <c r="I259">
        <v>5.7000000000000002E-2</v>
      </c>
      <c r="J259">
        <f t="shared" si="128"/>
        <v>1</v>
      </c>
      <c r="K259">
        <f t="shared" si="129"/>
        <v>51</v>
      </c>
      <c r="L259">
        <f t="shared" ca="1" si="130"/>
        <v>0.05</v>
      </c>
      <c r="M259">
        <f t="shared" ca="1" si="103"/>
        <v>0.26</v>
      </c>
      <c r="N259">
        <f t="shared" ca="1" si="104"/>
        <v>4.9056603773584909E-2</v>
      </c>
      <c r="O259">
        <f t="shared" ca="1" si="105"/>
        <v>196.15384615384616</v>
      </c>
      <c r="P259">
        <f t="shared" ca="1" si="106"/>
        <v>632.5575</v>
      </c>
      <c r="Q259">
        <f t="shared" ca="1" si="107"/>
        <v>2593.6345316486622</v>
      </c>
      <c r="R259">
        <f t="shared" ca="1" si="108"/>
        <v>482.07306851378365</v>
      </c>
      <c r="S259">
        <f t="shared" ca="1" si="109"/>
        <v>280.07692026646265</v>
      </c>
      <c r="T259">
        <f t="shared" ca="1" si="110"/>
        <v>1019.7665564573041</v>
      </c>
      <c r="U259">
        <f t="shared" ca="1" si="131"/>
        <v>-482.25887083179032</v>
      </c>
      <c r="V259">
        <f t="shared" ca="1" si="132"/>
        <v>0</v>
      </c>
      <c r="W259">
        <f t="shared" ca="1" si="111"/>
        <v>0.05</v>
      </c>
      <c r="X259">
        <f t="shared" ca="1" si="112"/>
        <v>0.26</v>
      </c>
      <c r="Y259">
        <f t="shared" ca="1" si="113"/>
        <v>4.9056603773584909E-2</v>
      </c>
      <c r="Z259">
        <f t="shared" ca="1" si="114"/>
        <v>196.15384615384616</v>
      </c>
      <c r="AA259">
        <f t="shared" ca="1" si="115"/>
        <v>632.5575</v>
      </c>
      <c r="AB259">
        <f t="shared" ca="1" si="116"/>
        <v>2593.6345316486622</v>
      </c>
      <c r="AC259">
        <f t="shared" ca="1" si="117"/>
        <v>482.07306851378365</v>
      </c>
      <c r="AD259">
        <f t="shared" ca="1" si="118"/>
        <v>280.07692026646265</v>
      </c>
      <c r="AE259">
        <f t="shared" ca="1" si="119"/>
        <v>1019.7665564573041</v>
      </c>
      <c r="AF259">
        <f t="shared" ca="1" si="120"/>
        <v>482.25887083179032</v>
      </c>
      <c r="AG259">
        <f t="shared" ca="1" si="121"/>
        <v>0</v>
      </c>
      <c r="AH259">
        <f ca="1">IF(V32="Supercritical",L259,IF(V32="Subcritical",W259,IF(AND(V259=1,AG259=1),IF(T259&gt;=AE259,L259,W259),IF(V259=1,L259,IF(AG259=1,W259,MAX($D$16,POWER((ABS(K259)^2)/($I$5*MAX(F259,0.1)^2),1/3)))))))</f>
        <v>2.1403668656741068</v>
      </c>
      <c r="AI259">
        <f t="shared" ca="1" si="122"/>
        <v>634.64786686567413</v>
      </c>
      <c r="AJ259">
        <f t="shared" ca="1" si="123"/>
        <v>635.71805029851123</v>
      </c>
      <c r="AM259">
        <v>0</v>
      </c>
      <c r="AN259">
        <v>0</v>
      </c>
      <c r="AO259">
        <f t="shared" si="124"/>
        <v>0</v>
      </c>
      <c r="AP259">
        <f t="shared" si="133"/>
        <v>0</v>
      </c>
      <c r="AQ259">
        <f t="shared" ca="1" si="125"/>
        <v>0.99999999999999978</v>
      </c>
      <c r="AR259" t="str">
        <f t="shared" ca="1" si="126"/>
        <v>Supercritical</v>
      </c>
      <c r="AS259">
        <f t="shared" ca="1" si="127"/>
        <v>3.8148159832266538E-3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191</v>
      </c>
      <c r="I260">
        <v>5.7000000000000002E-2</v>
      </c>
      <c r="J260">
        <f t="shared" si="128"/>
        <v>1</v>
      </c>
      <c r="K260">
        <f t="shared" si="129"/>
        <v>51</v>
      </c>
      <c r="L260">
        <f t="shared" ca="1" si="130"/>
        <v>0.05</v>
      </c>
      <c r="M260">
        <f t="shared" ca="1" si="103"/>
        <v>0.26</v>
      </c>
      <c r="N260">
        <f t="shared" ca="1" si="104"/>
        <v>4.9056603773584909E-2</v>
      </c>
      <c r="O260">
        <f t="shared" ca="1" si="105"/>
        <v>196.15384615384616</v>
      </c>
      <c r="P260">
        <f t="shared" ca="1" si="106"/>
        <v>632.5569999999999</v>
      </c>
      <c r="Q260">
        <f t="shared" ca="1" si="107"/>
        <v>2593.6340316486621</v>
      </c>
      <c r="R260">
        <f t="shared" ca="1" si="108"/>
        <v>482.07306851378365</v>
      </c>
      <c r="S260">
        <f t="shared" ca="1" si="109"/>
        <v>280.07692026646265</v>
      </c>
      <c r="T260">
        <f t="shared" ca="1" si="110"/>
        <v>1019.7665564573041</v>
      </c>
      <c r="U260">
        <f t="shared" ca="1" si="131"/>
        <v>-482.25887083179032</v>
      </c>
      <c r="V260">
        <f t="shared" ca="1" si="132"/>
        <v>0</v>
      </c>
      <c r="W260">
        <f t="shared" ca="1" si="111"/>
        <v>0.05</v>
      </c>
      <c r="X260">
        <f t="shared" ca="1" si="112"/>
        <v>0.26</v>
      </c>
      <c r="Y260">
        <f t="shared" ca="1" si="113"/>
        <v>4.9056603773584909E-2</v>
      </c>
      <c r="Z260">
        <f t="shared" ca="1" si="114"/>
        <v>196.15384615384616</v>
      </c>
      <c r="AA260">
        <f t="shared" ca="1" si="115"/>
        <v>632.5569999999999</v>
      </c>
      <c r="AB260">
        <f t="shared" ca="1" si="116"/>
        <v>2593.6340316486621</v>
      </c>
      <c r="AC260">
        <f t="shared" ca="1" si="117"/>
        <v>482.07306851378365</v>
      </c>
      <c r="AD260">
        <f t="shared" ca="1" si="118"/>
        <v>280.07692026646265</v>
      </c>
      <c r="AE260">
        <f t="shared" ca="1" si="119"/>
        <v>1019.7665564573041</v>
      </c>
      <c r="AF260">
        <f t="shared" ca="1" si="120"/>
        <v>482.55464158229961</v>
      </c>
      <c r="AG260">
        <f t="shared" ca="1" si="121"/>
        <v>0</v>
      </c>
      <c r="AH260">
        <f ca="1">IF(V32="Supercritical",L260,IF(V32="Subcritical",W260,IF(AND(V260=1,AG260=1),IF(T260&gt;=AE260,L260,W260),IF(V260=1,L260,IF(AG260=1,W260,MAX($D$16,POWER((ABS(K260)^2)/($I$5*MAX(F260,0.1)^2),1/3)))))))</f>
        <v>2.1403668656741068</v>
      </c>
      <c r="AI260">
        <f t="shared" ca="1" si="122"/>
        <v>634.64736686567403</v>
      </c>
      <c r="AJ260">
        <f t="shared" ca="1" si="123"/>
        <v>635.71755029851113</v>
      </c>
      <c r="AM260">
        <v>0</v>
      </c>
      <c r="AN260">
        <v>0</v>
      </c>
      <c r="AO260">
        <f t="shared" si="124"/>
        <v>0</v>
      </c>
      <c r="AP260">
        <f t="shared" si="133"/>
        <v>0</v>
      </c>
      <c r="AQ260">
        <f t="shared" ca="1" si="125"/>
        <v>0.99999999999999978</v>
      </c>
      <c r="AR260" t="str">
        <f t="shared" ca="1" si="126"/>
        <v>Supercritical</v>
      </c>
      <c r="AS260">
        <f t="shared" ca="1" si="127"/>
        <v>3.8148159832266538E-3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191</v>
      </c>
      <c r="I261">
        <v>0</v>
      </c>
      <c r="J261">
        <f t="shared" si="128"/>
        <v>1.0010000000000048</v>
      </c>
      <c r="K261">
        <f t="shared" si="129"/>
        <v>51</v>
      </c>
      <c r="L261">
        <f t="shared" ca="1" si="130"/>
        <v>0.05</v>
      </c>
      <c r="M261">
        <f t="shared" ca="1" si="103"/>
        <v>0.26</v>
      </c>
      <c r="N261">
        <f t="shared" ca="1" si="104"/>
        <v>4.9056603773584909E-2</v>
      </c>
      <c r="O261">
        <f t="shared" ca="1" si="105"/>
        <v>196.15384615384616</v>
      </c>
      <c r="P261">
        <f t="shared" ca="1" si="106"/>
        <v>632.55649999999991</v>
      </c>
      <c r="Q261">
        <f t="shared" ca="1" si="107"/>
        <v>2593.633531648662</v>
      </c>
      <c r="R261">
        <f t="shared" ca="1" si="108"/>
        <v>482.07306851378365</v>
      </c>
      <c r="S261">
        <f t="shared" ca="1" si="109"/>
        <v>280.07692026646265</v>
      </c>
      <c r="T261">
        <f t="shared" ca="1" si="110"/>
        <v>1019.7665564573041</v>
      </c>
      <c r="U261">
        <f t="shared" ca="1" si="131"/>
        <v>-482.55464158229961</v>
      </c>
      <c r="V261">
        <f t="shared" ca="1" si="132"/>
        <v>0</v>
      </c>
      <c r="W261">
        <f t="shared" ca="1" si="111"/>
        <v>0.05</v>
      </c>
      <c r="X261">
        <f t="shared" ca="1" si="112"/>
        <v>0.26</v>
      </c>
      <c r="Y261">
        <f t="shared" ca="1" si="113"/>
        <v>4.9056603773584909E-2</v>
      </c>
      <c r="Z261">
        <f t="shared" ca="1" si="114"/>
        <v>196.15384615384616</v>
      </c>
      <c r="AA261">
        <f t="shared" ca="1" si="115"/>
        <v>632.55649999999991</v>
      </c>
      <c r="AB261">
        <f t="shared" ca="1" si="116"/>
        <v>2593.633531648662</v>
      </c>
      <c r="AC261">
        <f t="shared" ca="1" si="117"/>
        <v>482.07306851378365</v>
      </c>
      <c r="AD261">
        <f t="shared" ca="1" si="118"/>
        <v>280.07692026646265</v>
      </c>
      <c r="AE261">
        <f t="shared" ca="1" si="119"/>
        <v>1019.7665564573041</v>
      </c>
      <c r="AF261">
        <f t="shared" ca="1" si="120"/>
        <v>482.25233390835137</v>
      </c>
      <c r="AG261">
        <f t="shared" ca="1" si="121"/>
        <v>0</v>
      </c>
      <c r="AH261">
        <f ca="1">IF(V32="Supercritical",L261,IF(V32="Subcritical",W261,IF(AND(V261=1,AG261=1),IF(T261&gt;=AE261,L261,W261),IF(V261=1,L261,IF(AG261=1,W261,MAX($D$16,POWER((ABS(K261)^2)/($I$5*MAX(F261,0.1)^2),1/3)))))))</f>
        <v>2.1403668656741068</v>
      </c>
      <c r="AI261">
        <f t="shared" ca="1" si="122"/>
        <v>634.64686686567404</v>
      </c>
      <c r="AJ261">
        <f t="shared" ca="1" si="123"/>
        <v>635.71705029851114</v>
      </c>
      <c r="AM261">
        <v>0</v>
      </c>
      <c r="AN261">
        <v>0</v>
      </c>
      <c r="AO261">
        <f t="shared" si="124"/>
        <v>0</v>
      </c>
      <c r="AP261">
        <f t="shared" si="133"/>
        <v>0</v>
      </c>
      <c r="AQ261">
        <f t="shared" ca="1" si="125"/>
        <v>0.99999999999999978</v>
      </c>
      <c r="AR261" t="str">
        <f t="shared" ca="1" si="126"/>
        <v>Supercritical</v>
      </c>
      <c r="AS261">
        <f t="shared" ca="1" si="127"/>
        <v>3.8148159832266538E-3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191</v>
      </c>
      <c r="I262">
        <v>5.5E-2</v>
      </c>
      <c r="J262">
        <f t="shared" si="128"/>
        <v>1</v>
      </c>
      <c r="K262">
        <f t="shared" si="129"/>
        <v>51</v>
      </c>
      <c r="L262">
        <f t="shared" ca="1" si="130"/>
        <v>0.05</v>
      </c>
      <c r="M262">
        <f t="shared" ca="1" si="103"/>
        <v>0.26</v>
      </c>
      <c r="N262">
        <f t="shared" ca="1" si="104"/>
        <v>4.9056603773584909E-2</v>
      </c>
      <c r="O262">
        <f t="shared" ca="1" si="105"/>
        <v>196.15384615384616</v>
      </c>
      <c r="P262">
        <f t="shared" ca="1" si="106"/>
        <v>632.55599999999993</v>
      </c>
      <c r="Q262">
        <f t="shared" ca="1" si="107"/>
        <v>2593.6330316486619</v>
      </c>
      <c r="R262">
        <f t="shared" ca="1" si="108"/>
        <v>482.07306851378365</v>
      </c>
      <c r="S262">
        <f t="shared" ca="1" si="109"/>
        <v>280.07692026646265</v>
      </c>
      <c r="T262">
        <f t="shared" ca="1" si="110"/>
        <v>1019.7665564573041</v>
      </c>
      <c r="U262">
        <f t="shared" ca="1" si="131"/>
        <v>-482.25233390835137</v>
      </c>
      <c r="V262">
        <f t="shared" ca="1" si="132"/>
        <v>0</v>
      </c>
      <c r="W262">
        <f t="shared" ca="1" si="111"/>
        <v>0.05</v>
      </c>
      <c r="X262">
        <f t="shared" ca="1" si="112"/>
        <v>0.26</v>
      </c>
      <c r="Y262">
        <f t="shared" ca="1" si="113"/>
        <v>4.9056603773584909E-2</v>
      </c>
      <c r="Z262">
        <f t="shared" ca="1" si="114"/>
        <v>196.15384615384616</v>
      </c>
      <c r="AA262">
        <f t="shared" ca="1" si="115"/>
        <v>632.55599999999993</v>
      </c>
      <c r="AB262">
        <f t="shared" ca="1" si="116"/>
        <v>2593.6330316486619</v>
      </c>
      <c r="AC262">
        <f t="shared" ca="1" si="117"/>
        <v>482.07306851378365</v>
      </c>
      <c r="AD262">
        <f t="shared" ca="1" si="118"/>
        <v>280.07692026646265</v>
      </c>
      <c r="AE262">
        <f t="shared" ca="1" si="119"/>
        <v>1019.7665564573041</v>
      </c>
      <c r="AF262">
        <f t="shared" ca="1" si="120"/>
        <v>481.77026083983537</v>
      </c>
      <c r="AG262">
        <f t="shared" ca="1" si="121"/>
        <v>0</v>
      </c>
      <c r="AH262">
        <f ca="1">IF(V32="Supercritical",L262,IF(V32="Subcritical",W262,IF(AND(V262=1,AG262=1),IF(T262&gt;=AE262,L262,W262),IF(V262=1,L262,IF(AG262=1,W262,MAX($D$16,POWER((ABS(K262)^2)/($I$5*MAX(F262,0.1)^2),1/3)))))))</f>
        <v>2.1403668656741068</v>
      </c>
      <c r="AI262">
        <f t="shared" ca="1" si="122"/>
        <v>634.64636686567405</v>
      </c>
      <c r="AJ262">
        <f t="shared" ca="1" si="123"/>
        <v>635.71655029851115</v>
      </c>
      <c r="AM262">
        <v>0</v>
      </c>
      <c r="AN262">
        <v>0</v>
      </c>
      <c r="AO262">
        <f t="shared" si="124"/>
        <v>0</v>
      </c>
      <c r="AP262">
        <f t="shared" si="133"/>
        <v>0</v>
      </c>
      <c r="AQ262">
        <f t="shared" ca="1" si="125"/>
        <v>0.99999999999999978</v>
      </c>
      <c r="AR262" t="str">
        <f t="shared" ca="1" si="126"/>
        <v>Supercritical</v>
      </c>
      <c r="AS262">
        <f t="shared" ca="1" si="127"/>
        <v>3.8148159832266538E-3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191</v>
      </c>
      <c r="I263">
        <v>5.5E-2</v>
      </c>
      <c r="J263">
        <f t="shared" si="128"/>
        <v>0.99899999999999523</v>
      </c>
      <c r="K263">
        <f t="shared" si="129"/>
        <v>51</v>
      </c>
      <c r="L263">
        <f t="shared" ca="1" si="130"/>
        <v>0.05</v>
      </c>
      <c r="M263">
        <f t="shared" ca="1" si="103"/>
        <v>0.26</v>
      </c>
      <c r="N263">
        <f t="shared" ca="1" si="104"/>
        <v>4.9056603773584909E-2</v>
      </c>
      <c r="O263">
        <f t="shared" ca="1" si="105"/>
        <v>196.15384615384616</v>
      </c>
      <c r="P263">
        <f t="shared" ca="1" si="106"/>
        <v>632.55549999999994</v>
      </c>
      <c r="Q263">
        <f t="shared" ca="1" si="107"/>
        <v>2593.6325316486618</v>
      </c>
      <c r="R263">
        <f t="shared" ca="1" si="108"/>
        <v>482.07306851378365</v>
      </c>
      <c r="S263">
        <f t="shared" ca="1" si="109"/>
        <v>280.07692026646265</v>
      </c>
      <c r="T263">
        <f t="shared" ca="1" si="110"/>
        <v>1019.7665564573041</v>
      </c>
      <c r="U263">
        <f t="shared" ca="1" si="131"/>
        <v>-481.77026083983537</v>
      </c>
      <c r="V263">
        <f t="shared" ca="1" si="132"/>
        <v>0</v>
      </c>
      <c r="W263">
        <f t="shared" ca="1" si="111"/>
        <v>0.05</v>
      </c>
      <c r="X263">
        <f t="shared" ca="1" si="112"/>
        <v>0.26</v>
      </c>
      <c r="Y263">
        <f t="shared" ca="1" si="113"/>
        <v>4.9056603773584909E-2</v>
      </c>
      <c r="Z263">
        <f t="shared" ca="1" si="114"/>
        <v>196.15384615384616</v>
      </c>
      <c r="AA263">
        <f t="shared" ca="1" si="115"/>
        <v>632.55549999999994</v>
      </c>
      <c r="AB263">
        <f t="shared" ca="1" si="116"/>
        <v>2593.6325316486618</v>
      </c>
      <c r="AC263">
        <f t="shared" ca="1" si="117"/>
        <v>482.07306851378365</v>
      </c>
      <c r="AD263">
        <f t="shared" ca="1" si="118"/>
        <v>280.07692026646265</v>
      </c>
      <c r="AE263">
        <f t="shared" ca="1" si="119"/>
        <v>1019.7665564573041</v>
      </c>
      <c r="AF263">
        <f t="shared" ca="1" si="120"/>
        <v>482.07256851378406</v>
      </c>
      <c r="AG263">
        <f t="shared" ca="1" si="121"/>
        <v>0</v>
      </c>
      <c r="AH263">
        <f ca="1">IF(V32="Supercritical",L263,IF(V32="Subcritical",W263,IF(AND(V263=1,AG263=1),IF(T263&gt;=AE263,L263,W263),IF(V263=1,L263,IF(AG263=1,W263,MAX($D$16,POWER((ABS(K263)^2)/($I$5*MAX(F263,0.1)^2),1/3)))))))</f>
        <v>2.1403668656741068</v>
      </c>
      <c r="AI263">
        <f t="shared" ca="1" si="122"/>
        <v>634.64586686567407</v>
      </c>
      <c r="AJ263">
        <f t="shared" ca="1" si="123"/>
        <v>635.71605029851116</v>
      </c>
      <c r="AM263">
        <v>0</v>
      </c>
      <c r="AN263">
        <v>0</v>
      </c>
      <c r="AO263">
        <f t="shared" si="124"/>
        <v>0</v>
      </c>
      <c r="AP263">
        <f t="shared" si="133"/>
        <v>0</v>
      </c>
      <c r="AQ263">
        <f t="shared" ca="1" si="125"/>
        <v>0.99999999999999978</v>
      </c>
      <c r="AR263" t="str">
        <f t="shared" ca="1" si="126"/>
        <v>Supercritical</v>
      </c>
      <c r="AS263">
        <f t="shared" ca="1" si="127"/>
        <v>3.8148159832266538E-3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191</v>
      </c>
      <c r="I264">
        <v>0</v>
      </c>
      <c r="J264">
        <f t="shared" si="128"/>
        <v>1</v>
      </c>
      <c r="K264">
        <f t="shared" si="129"/>
        <v>51</v>
      </c>
      <c r="L264">
        <f t="shared" ca="1" si="130"/>
        <v>0.05</v>
      </c>
      <c r="M264">
        <f t="shared" ca="1" si="103"/>
        <v>0.26</v>
      </c>
      <c r="N264">
        <f t="shared" ca="1" si="104"/>
        <v>4.9056603773584909E-2</v>
      </c>
      <c r="O264">
        <f t="shared" ca="1" si="105"/>
        <v>196.15384615384616</v>
      </c>
      <c r="P264">
        <f t="shared" ca="1" si="106"/>
        <v>632.55499999999995</v>
      </c>
      <c r="Q264">
        <f t="shared" ca="1" si="107"/>
        <v>2593.6320316486622</v>
      </c>
      <c r="R264">
        <f t="shared" ca="1" si="108"/>
        <v>482.07306851378365</v>
      </c>
      <c r="S264">
        <f t="shared" ca="1" si="109"/>
        <v>280.07692026646265</v>
      </c>
      <c r="T264">
        <f t="shared" ca="1" si="110"/>
        <v>1019.7665564573041</v>
      </c>
      <c r="U264">
        <f t="shared" ca="1" si="131"/>
        <v>-482.07256851378406</v>
      </c>
      <c r="V264">
        <f t="shared" ca="1" si="132"/>
        <v>0</v>
      </c>
      <c r="W264">
        <f t="shared" ca="1" si="111"/>
        <v>0.05</v>
      </c>
      <c r="X264">
        <f t="shared" ca="1" si="112"/>
        <v>0.26</v>
      </c>
      <c r="Y264">
        <f t="shared" ca="1" si="113"/>
        <v>4.9056603773584909E-2</v>
      </c>
      <c r="Z264">
        <f t="shared" ca="1" si="114"/>
        <v>196.15384615384616</v>
      </c>
      <c r="AA264">
        <f t="shared" ca="1" si="115"/>
        <v>632.55499999999995</v>
      </c>
      <c r="AB264">
        <f t="shared" ca="1" si="116"/>
        <v>2593.6320316486622</v>
      </c>
      <c r="AC264">
        <f t="shared" ca="1" si="117"/>
        <v>482.07306851378365</v>
      </c>
      <c r="AD264">
        <f t="shared" ca="1" si="118"/>
        <v>280.07692026646265</v>
      </c>
      <c r="AE264">
        <f t="shared" ca="1" si="119"/>
        <v>1019.7665564573041</v>
      </c>
      <c r="AF264">
        <f t="shared" ca="1" si="120"/>
        <v>482.25887083179032</v>
      </c>
      <c r="AG264">
        <f t="shared" ca="1" si="121"/>
        <v>0</v>
      </c>
      <c r="AH264">
        <f ca="1">IF(V32="Supercritical",L264,IF(V32="Subcritical",W264,IF(AND(V264=1,AG264=1),IF(T264&gt;=AE264,L264,W264),IF(V264=1,L264,IF(AG264=1,W264,MAX($D$16,POWER((ABS(K264)^2)/($I$5*MAX(F264,0.1)^2),1/3)))))))</f>
        <v>2.1403668656741068</v>
      </c>
      <c r="AI264">
        <f t="shared" ca="1" si="122"/>
        <v>634.64536686567408</v>
      </c>
      <c r="AJ264">
        <f t="shared" ca="1" si="123"/>
        <v>635.71555029851118</v>
      </c>
      <c r="AM264">
        <v>0</v>
      </c>
      <c r="AN264">
        <v>0</v>
      </c>
      <c r="AO264">
        <f t="shared" si="124"/>
        <v>0</v>
      </c>
      <c r="AP264">
        <f t="shared" si="133"/>
        <v>0</v>
      </c>
      <c r="AQ264">
        <f t="shared" ca="1" si="125"/>
        <v>0.99999999999999978</v>
      </c>
      <c r="AR264" t="str">
        <f t="shared" ca="1" si="126"/>
        <v>Supercritical</v>
      </c>
      <c r="AS264">
        <f t="shared" ca="1" si="127"/>
        <v>3.8148159832266538E-3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191</v>
      </c>
      <c r="I265">
        <v>5.7000000000000002E-2</v>
      </c>
      <c r="J265">
        <f t="shared" si="128"/>
        <v>1</v>
      </c>
      <c r="K265">
        <f t="shared" si="129"/>
        <v>51</v>
      </c>
      <c r="L265">
        <f t="shared" ca="1" si="130"/>
        <v>0.05</v>
      </c>
      <c r="M265">
        <f t="shared" ca="1" si="103"/>
        <v>0.26</v>
      </c>
      <c r="N265">
        <f t="shared" ca="1" si="104"/>
        <v>4.9056603773584909E-2</v>
      </c>
      <c r="O265">
        <f t="shared" ca="1" si="105"/>
        <v>196.15384615384616</v>
      </c>
      <c r="P265">
        <f t="shared" ca="1" si="106"/>
        <v>632.55449999999996</v>
      </c>
      <c r="Q265">
        <f t="shared" ca="1" si="107"/>
        <v>2593.6315316486621</v>
      </c>
      <c r="R265">
        <f t="shared" ca="1" si="108"/>
        <v>482.07306851378365</v>
      </c>
      <c r="S265">
        <f t="shared" ca="1" si="109"/>
        <v>280.07692026646265</v>
      </c>
      <c r="T265">
        <f t="shared" ca="1" si="110"/>
        <v>1019.7665564573041</v>
      </c>
      <c r="U265">
        <f t="shared" ca="1" si="131"/>
        <v>-482.25887083179032</v>
      </c>
      <c r="V265">
        <f t="shared" ca="1" si="132"/>
        <v>0</v>
      </c>
      <c r="W265">
        <f t="shared" ca="1" si="111"/>
        <v>0.05</v>
      </c>
      <c r="X265">
        <f t="shared" ca="1" si="112"/>
        <v>0.26</v>
      </c>
      <c r="Y265">
        <f t="shared" ca="1" si="113"/>
        <v>4.9056603773584909E-2</v>
      </c>
      <c r="Z265">
        <f t="shared" ca="1" si="114"/>
        <v>196.15384615384616</v>
      </c>
      <c r="AA265">
        <f t="shared" ca="1" si="115"/>
        <v>632.55449999999996</v>
      </c>
      <c r="AB265">
        <f t="shared" ca="1" si="116"/>
        <v>2593.6315316486621</v>
      </c>
      <c r="AC265">
        <f t="shared" ca="1" si="117"/>
        <v>482.07306851378365</v>
      </c>
      <c r="AD265">
        <f t="shared" ca="1" si="118"/>
        <v>280.07692026646265</v>
      </c>
      <c r="AE265">
        <f t="shared" ca="1" si="119"/>
        <v>1019.7665564573041</v>
      </c>
      <c r="AF265">
        <f t="shared" ca="1" si="120"/>
        <v>482.25887083179032</v>
      </c>
      <c r="AG265">
        <f t="shared" ca="1" si="121"/>
        <v>0</v>
      </c>
      <c r="AH265">
        <f ca="1">IF(V32="Supercritical",L265,IF(V32="Subcritical",W265,IF(AND(V265=1,AG265=1),IF(T265&gt;=AE265,L265,W265),IF(V265=1,L265,IF(AG265=1,W265,MAX($D$16,POWER((ABS(K265)^2)/($I$5*MAX(F265,0.1)^2),1/3)))))))</f>
        <v>2.1403668656741068</v>
      </c>
      <c r="AI265">
        <f t="shared" ca="1" si="122"/>
        <v>634.64486686567409</v>
      </c>
      <c r="AJ265">
        <f t="shared" ca="1" si="123"/>
        <v>635.71505029851119</v>
      </c>
      <c r="AM265">
        <v>0</v>
      </c>
      <c r="AN265">
        <v>0</v>
      </c>
      <c r="AO265">
        <f t="shared" si="124"/>
        <v>0</v>
      </c>
      <c r="AP265">
        <f t="shared" si="133"/>
        <v>0</v>
      </c>
      <c r="AQ265">
        <f t="shared" ca="1" si="125"/>
        <v>0.99999999999999978</v>
      </c>
      <c r="AR265" t="str">
        <f t="shared" ca="1" si="126"/>
        <v>Supercritical</v>
      </c>
      <c r="AS265">
        <f t="shared" ca="1" si="127"/>
        <v>3.8148159832266538E-3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191</v>
      </c>
      <c r="I266">
        <v>5.7000000000000002E-2</v>
      </c>
      <c r="J266">
        <f t="shared" si="128"/>
        <v>1</v>
      </c>
      <c r="K266">
        <f t="shared" si="129"/>
        <v>51</v>
      </c>
      <c r="L266">
        <f t="shared" ca="1" si="130"/>
        <v>0.05</v>
      </c>
      <c r="M266">
        <f t="shared" ca="1" si="103"/>
        <v>0.26</v>
      </c>
      <c r="N266">
        <f t="shared" ca="1" si="104"/>
        <v>4.9056603773584909E-2</v>
      </c>
      <c r="O266">
        <f t="shared" ca="1" si="105"/>
        <v>196.15384615384616</v>
      </c>
      <c r="P266">
        <f t="shared" ca="1" si="106"/>
        <v>632.55399999999997</v>
      </c>
      <c r="Q266">
        <f t="shared" ca="1" si="107"/>
        <v>2593.631031648662</v>
      </c>
      <c r="R266">
        <f t="shared" ca="1" si="108"/>
        <v>482.07306851378365</v>
      </c>
      <c r="S266">
        <f t="shared" ca="1" si="109"/>
        <v>280.07692026646265</v>
      </c>
      <c r="T266">
        <f t="shared" ca="1" si="110"/>
        <v>1019.7665564573041</v>
      </c>
      <c r="U266">
        <f t="shared" ca="1" si="131"/>
        <v>-482.25887083179032</v>
      </c>
      <c r="V266">
        <f t="shared" ca="1" si="132"/>
        <v>0</v>
      </c>
      <c r="W266">
        <f t="shared" ca="1" si="111"/>
        <v>0.05</v>
      </c>
      <c r="X266">
        <f t="shared" ca="1" si="112"/>
        <v>0.26</v>
      </c>
      <c r="Y266">
        <f t="shared" ca="1" si="113"/>
        <v>4.9056603773584909E-2</v>
      </c>
      <c r="Z266">
        <f t="shared" ca="1" si="114"/>
        <v>196.15384615384616</v>
      </c>
      <c r="AA266">
        <f t="shared" ca="1" si="115"/>
        <v>632.55399999999997</v>
      </c>
      <c r="AB266">
        <f t="shared" ca="1" si="116"/>
        <v>2593.631031648662</v>
      </c>
      <c r="AC266">
        <f t="shared" ca="1" si="117"/>
        <v>482.07306851378365</v>
      </c>
      <c r="AD266">
        <f t="shared" ca="1" si="118"/>
        <v>280.07692026646265</v>
      </c>
      <c r="AE266">
        <f t="shared" ca="1" si="119"/>
        <v>1019.7665564573041</v>
      </c>
      <c r="AF266">
        <f t="shared" ca="1" si="120"/>
        <v>482.25887083179077</v>
      </c>
      <c r="AG266">
        <f t="shared" ca="1" si="121"/>
        <v>0</v>
      </c>
      <c r="AH266">
        <f ca="1">IF(V32="Supercritical",L266,IF(V32="Subcritical",W266,IF(AND(V266=1,AG266=1),IF(T266&gt;=AE266,L266,W266),IF(V266=1,L266,IF(AG266=1,W266,MAX($D$16,POWER((ABS(K266)^2)/($I$5*MAX(F266,0.1)^2),1/3)))))))</f>
        <v>2.1403668656741068</v>
      </c>
      <c r="AI266">
        <f t="shared" ca="1" si="122"/>
        <v>634.6443668656741</v>
      </c>
      <c r="AJ266">
        <f t="shared" ca="1" si="123"/>
        <v>635.7145502985112</v>
      </c>
      <c r="AM266">
        <v>0</v>
      </c>
      <c r="AN266">
        <v>0</v>
      </c>
      <c r="AO266">
        <f t="shared" si="124"/>
        <v>0</v>
      </c>
      <c r="AP266">
        <f t="shared" si="133"/>
        <v>0</v>
      </c>
      <c r="AQ266">
        <f t="shared" ca="1" si="125"/>
        <v>0.99999999999999978</v>
      </c>
      <c r="AR266" t="str">
        <f t="shared" ca="1" si="126"/>
        <v>Supercritical</v>
      </c>
      <c r="AS266">
        <f t="shared" ca="1" si="127"/>
        <v>3.8148159832266538E-3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191</v>
      </c>
      <c r="I267">
        <v>5.7000000000000002E-2</v>
      </c>
      <c r="J267">
        <f t="shared" si="128"/>
        <v>1</v>
      </c>
      <c r="K267">
        <f t="shared" si="129"/>
        <v>51</v>
      </c>
      <c r="L267">
        <f t="shared" ca="1" si="130"/>
        <v>0.05</v>
      </c>
      <c r="M267">
        <f t="shared" ca="1" si="103"/>
        <v>0.26</v>
      </c>
      <c r="N267">
        <f t="shared" ca="1" si="104"/>
        <v>4.9056603773584909E-2</v>
      </c>
      <c r="O267">
        <f t="shared" ca="1" si="105"/>
        <v>196.15384615384616</v>
      </c>
      <c r="P267">
        <f t="shared" ca="1" si="106"/>
        <v>632.55349999999999</v>
      </c>
      <c r="Q267">
        <f t="shared" ca="1" si="107"/>
        <v>2593.6305316486623</v>
      </c>
      <c r="R267">
        <f t="shared" ca="1" si="108"/>
        <v>482.07306851378365</v>
      </c>
      <c r="S267">
        <f t="shared" ca="1" si="109"/>
        <v>280.07692026646265</v>
      </c>
      <c r="T267">
        <f t="shared" ca="1" si="110"/>
        <v>1019.7665564573041</v>
      </c>
      <c r="U267">
        <f t="shared" ca="1" si="131"/>
        <v>-482.25887083179077</v>
      </c>
      <c r="V267">
        <f t="shared" ca="1" si="132"/>
        <v>0</v>
      </c>
      <c r="W267">
        <f t="shared" ca="1" si="111"/>
        <v>0.05</v>
      </c>
      <c r="X267">
        <f t="shared" ca="1" si="112"/>
        <v>0.26</v>
      </c>
      <c r="Y267">
        <f t="shared" ca="1" si="113"/>
        <v>4.9056603773584909E-2</v>
      </c>
      <c r="Z267">
        <f t="shared" ca="1" si="114"/>
        <v>196.15384615384616</v>
      </c>
      <c r="AA267">
        <f t="shared" ca="1" si="115"/>
        <v>632.55349999999999</v>
      </c>
      <c r="AB267">
        <f t="shared" ca="1" si="116"/>
        <v>2593.6305316486623</v>
      </c>
      <c r="AC267">
        <f t="shared" ca="1" si="117"/>
        <v>482.07306851378365</v>
      </c>
      <c r="AD267">
        <f t="shared" ca="1" si="118"/>
        <v>280.07692026646265</v>
      </c>
      <c r="AE267">
        <f t="shared" ca="1" si="119"/>
        <v>1019.7665564573041</v>
      </c>
      <c r="AF267">
        <f t="shared" ca="1" si="120"/>
        <v>482.25887083179032</v>
      </c>
      <c r="AG267">
        <f t="shared" ca="1" si="121"/>
        <v>0</v>
      </c>
      <c r="AH267">
        <f ca="1">IF(V32="Supercritical",L267,IF(V32="Subcritical",W267,IF(AND(V267=1,AG267=1),IF(T267&gt;=AE267,L267,W267),IF(V267=1,L267,IF(AG267=1,W267,MAX($D$16,POWER((ABS(K267)^2)/($I$5*MAX(F267,0.1)^2),1/3)))))))</f>
        <v>2.1403668656741068</v>
      </c>
      <c r="AI267">
        <f t="shared" ca="1" si="122"/>
        <v>634.64386686567411</v>
      </c>
      <c r="AJ267">
        <f t="shared" ca="1" si="123"/>
        <v>635.71405029851121</v>
      </c>
      <c r="AM267">
        <v>0</v>
      </c>
      <c r="AN267">
        <v>0</v>
      </c>
      <c r="AO267">
        <f t="shared" si="124"/>
        <v>0</v>
      </c>
      <c r="AP267">
        <f t="shared" si="133"/>
        <v>0</v>
      </c>
      <c r="AQ267">
        <f t="shared" ca="1" si="125"/>
        <v>0.99999999999999978</v>
      </c>
      <c r="AR267" t="str">
        <f t="shared" ca="1" si="126"/>
        <v>Supercritical</v>
      </c>
      <c r="AS267">
        <f t="shared" ca="1" si="127"/>
        <v>3.8148159832266538E-3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191</v>
      </c>
      <c r="I268">
        <v>5.7000000000000002E-2</v>
      </c>
      <c r="J268">
        <f t="shared" si="128"/>
        <v>1</v>
      </c>
      <c r="K268">
        <f t="shared" si="129"/>
        <v>51</v>
      </c>
      <c r="L268">
        <f t="shared" ca="1" si="130"/>
        <v>0.05</v>
      </c>
      <c r="M268">
        <f t="shared" ca="1" si="103"/>
        <v>0.26</v>
      </c>
      <c r="N268">
        <f t="shared" ca="1" si="104"/>
        <v>4.9056603773584909E-2</v>
      </c>
      <c r="O268">
        <f t="shared" ca="1" si="105"/>
        <v>196.15384615384616</v>
      </c>
      <c r="P268">
        <f t="shared" ca="1" si="106"/>
        <v>632.553</v>
      </c>
      <c r="Q268">
        <f t="shared" ca="1" si="107"/>
        <v>2593.6300316486622</v>
      </c>
      <c r="R268">
        <f t="shared" ca="1" si="108"/>
        <v>482.07306851378365</v>
      </c>
      <c r="S268">
        <f t="shared" ca="1" si="109"/>
        <v>280.07692026646265</v>
      </c>
      <c r="T268">
        <f t="shared" ca="1" si="110"/>
        <v>1019.7665564573041</v>
      </c>
      <c r="U268">
        <f t="shared" ca="1" si="131"/>
        <v>-482.25887083179032</v>
      </c>
      <c r="V268">
        <f t="shared" ca="1" si="132"/>
        <v>0</v>
      </c>
      <c r="W268">
        <f t="shared" ca="1" si="111"/>
        <v>0.05</v>
      </c>
      <c r="X268">
        <f t="shared" ca="1" si="112"/>
        <v>0.26</v>
      </c>
      <c r="Y268">
        <f t="shared" ca="1" si="113"/>
        <v>4.9056603773584909E-2</v>
      </c>
      <c r="Z268">
        <f t="shared" ca="1" si="114"/>
        <v>196.15384615384616</v>
      </c>
      <c r="AA268">
        <f t="shared" ca="1" si="115"/>
        <v>632.553</v>
      </c>
      <c r="AB268">
        <f t="shared" ca="1" si="116"/>
        <v>2593.6300316486622</v>
      </c>
      <c r="AC268">
        <f t="shared" ca="1" si="117"/>
        <v>482.07306851378365</v>
      </c>
      <c r="AD268">
        <f t="shared" ca="1" si="118"/>
        <v>280.07692026646265</v>
      </c>
      <c r="AE268">
        <f t="shared" ca="1" si="119"/>
        <v>1019.7665564573041</v>
      </c>
      <c r="AF268">
        <f t="shared" ca="1" si="120"/>
        <v>482.56444696745803</v>
      </c>
      <c r="AG268">
        <f t="shared" ca="1" si="121"/>
        <v>0</v>
      </c>
      <c r="AH268">
        <f ca="1">IF(V32="Supercritical",L268,IF(V32="Subcritical",W268,IF(AND(V268=1,AG268=1),IF(T268&gt;=AE268,L268,W268),IF(V268=1,L268,IF(AG268=1,W268,MAX($D$16,POWER((ABS(K268)^2)/($I$5*MAX(F268,0.1)^2),1/3)))))))</f>
        <v>2.1403668656741068</v>
      </c>
      <c r="AI268">
        <f t="shared" ca="1" si="122"/>
        <v>634.64336686567412</v>
      </c>
      <c r="AJ268">
        <f t="shared" ca="1" si="123"/>
        <v>635.71355029851122</v>
      </c>
      <c r="AM268">
        <v>0</v>
      </c>
      <c r="AN268">
        <v>0</v>
      </c>
      <c r="AO268">
        <f t="shared" si="124"/>
        <v>0</v>
      </c>
      <c r="AP268">
        <f t="shared" si="133"/>
        <v>0</v>
      </c>
      <c r="AQ268">
        <f t="shared" ca="1" si="125"/>
        <v>0.99999999999999978</v>
      </c>
      <c r="AR268" t="str">
        <f t="shared" ca="1" si="126"/>
        <v>Supercritical</v>
      </c>
      <c r="AS268">
        <f t="shared" ca="1" si="127"/>
        <v>3.8148159832266538E-3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191</v>
      </c>
      <c r="I269">
        <v>3.0000000000000001E-3</v>
      </c>
      <c r="J269">
        <f t="shared" si="128"/>
        <v>1.0010000000000048</v>
      </c>
      <c r="K269">
        <f t="shared" si="129"/>
        <v>51</v>
      </c>
      <c r="L269">
        <f t="shared" ca="1" si="130"/>
        <v>0.05</v>
      </c>
      <c r="M269">
        <f t="shared" ca="1" si="103"/>
        <v>0.26</v>
      </c>
      <c r="N269">
        <f t="shared" ca="1" si="104"/>
        <v>4.9056603773584909E-2</v>
      </c>
      <c r="O269">
        <f t="shared" ca="1" si="105"/>
        <v>196.15384615384616</v>
      </c>
      <c r="P269">
        <f t="shared" ca="1" si="106"/>
        <v>632.55250000000001</v>
      </c>
      <c r="Q269">
        <f t="shared" ca="1" si="107"/>
        <v>2593.6295316486621</v>
      </c>
      <c r="R269">
        <f t="shared" ca="1" si="108"/>
        <v>482.07306851378365</v>
      </c>
      <c r="S269">
        <f t="shared" ca="1" si="109"/>
        <v>280.07692026646265</v>
      </c>
      <c r="T269">
        <f t="shared" ca="1" si="110"/>
        <v>1019.7665564573041</v>
      </c>
      <c r="U269">
        <f t="shared" ca="1" si="131"/>
        <v>-482.56444696745803</v>
      </c>
      <c r="V269">
        <f t="shared" ca="1" si="132"/>
        <v>0</v>
      </c>
      <c r="W269">
        <f t="shared" ca="1" si="111"/>
        <v>0.05</v>
      </c>
      <c r="X269">
        <f t="shared" ca="1" si="112"/>
        <v>0.26</v>
      </c>
      <c r="Y269">
        <f t="shared" ca="1" si="113"/>
        <v>4.9056603773584909E-2</v>
      </c>
      <c r="Z269">
        <f t="shared" ca="1" si="114"/>
        <v>196.15384615384616</v>
      </c>
      <c r="AA269">
        <f t="shared" ca="1" si="115"/>
        <v>632.55250000000001</v>
      </c>
      <c r="AB269">
        <f t="shared" ca="1" si="116"/>
        <v>2593.6295316486621</v>
      </c>
      <c r="AC269">
        <f t="shared" ca="1" si="117"/>
        <v>482.07306851378365</v>
      </c>
      <c r="AD269">
        <f t="shared" ca="1" si="118"/>
        <v>280.07692026646265</v>
      </c>
      <c r="AE269">
        <f t="shared" ca="1" si="119"/>
        <v>1019.7665564573041</v>
      </c>
      <c r="AF269">
        <f t="shared" ca="1" si="120"/>
        <v>481.78660314843228</v>
      </c>
      <c r="AG269">
        <f t="shared" ca="1" si="121"/>
        <v>0</v>
      </c>
      <c r="AH269">
        <f ca="1">IF(V32="Supercritical",L269,IF(V32="Subcritical",W269,IF(AND(V269=1,AG269=1),IF(T269&gt;=AE269,L269,W269),IF(V269=1,L269,IF(AG269=1,W269,MAX($D$16,POWER((ABS(K269)^2)/($I$5*MAX(F269,0.1)^2),1/3)))))))</f>
        <v>2.1403668656741068</v>
      </c>
      <c r="AI269">
        <f t="shared" ca="1" si="122"/>
        <v>634.64286686567414</v>
      </c>
      <c r="AJ269">
        <f t="shared" ca="1" si="123"/>
        <v>635.71305029851123</v>
      </c>
      <c r="AM269">
        <v>0</v>
      </c>
      <c r="AN269">
        <v>0</v>
      </c>
      <c r="AO269">
        <f t="shared" si="124"/>
        <v>0</v>
      </c>
      <c r="AP269">
        <f t="shared" si="133"/>
        <v>0</v>
      </c>
      <c r="AQ269">
        <f t="shared" ca="1" si="125"/>
        <v>0.99999999999999978</v>
      </c>
      <c r="AR269" t="str">
        <f t="shared" ca="1" si="126"/>
        <v>Supercritical</v>
      </c>
      <c r="AS269">
        <f t="shared" ca="1" si="127"/>
        <v>3.8148159832266538E-3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191</v>
      </c>
      <c r="I270">
        <v>0.06</v>
      </c>
      <c r="J270">
        <f t="shared" si="128"/>
        <v>0.99899999999999523</v>
      </c>
      <c r="K270">
        <f t="shared" si="129"/>
        <v>51</v>
      </c>
      <c r="L270">
        <f t="shared" ca="1" si="130"/>
        <v>0.05</v>
      </c>
      <c r="M270">
        <f t="shared" ca="1" si="103"/>
        <v>0.26</v>
      </c>
      <c r="N270">
        <f t="shared" ca="1" si="104"/>
        <v>4.9056603773584909E-2</v>
      </c>
      <c r="O270">
        <f t="shared" ca="1" si="105"/>
        <v>196.15384615384616</v>
      </c>
      <c r="P270">
        <f t="shared" ca="1" si="106"/>
        <v>632.55199999999991</v>
      </c>
      <c r="Q270">
        <f t="shared" ca="1" si="107"/>
        <v>2593.629031648662</v>
      </c>
      <c r="R270">
        <f t="shared" ca="1" si="108"/>
        <v>482.07306851378365</v>
      </c>
      <c r="S270">
        <f t="shared" ca="1" si="109"/>
        <v>280.07692026646265</v>
      </c>
      <c r="T270">
        <f t="shared" ca="1" si="110"/>
        <v>1019.7665564573041</v>
      </c>
      <c r="U270">
        <f t="shared" ca="1" si="131"/>
        <v>-481.78660314843228</v>
      </c>
      <c r="V270">
        <f t="shared" ca="1" si="132"/>
        <v>0</v>
      </c>
      <c r="W270">
        <f t="shared" ca="1" si="111"/>
        <v>0.05</v>
      </c>
      <c r="X270">
        <f t="shared" ca="1" si="112"/>
        <v>0.26</v>
      </c>
      <c r="Y270">
        <f t="shared" ca="1" si="113"/>
        <v>4.9056603773584909E-2</v>
      </c>
      <c r="Z270">
        <f t="shared" ca="1" si="114"/>
        <v>196.15384615384616</v>
      </c>
      <c r="AA270">
        <f t="shared" ca="1" si="115"/>
        <v>632.55199999999991</v>
      </c>
      <c r="AB270">
        <f t="shared" ca="1" si="116"/>
        <v>2593.629031648662</v>
      </c>
      <c r="AC270">
        <f t="shared" ca="1" si="117"/>
        <v>482.07306851378365</v>
      </c>
      <c r="AD270">
        <f t="shared" ca="1" si="118"/>
        <v>280.07692026646265</v>
      </c>
      <c r="AE270">
        <f t="shared" ca="1" si="119"/>
        <v>1019.7665564573041</v>
      </c>
      <c r="AF270">
        <f t="shared" ca="1" si="120"/>
        <v>482.25887083179032</v>
      </c>
      <c r="AG270">
        <f t="shared" ca="1" si="121"/>
        <v>0</v>
      </c>
      <c r="AH270">
        <f ca="1">IF(V32="Supercritical",L270,IF(V32="Subcritical",W270,IF(AND(V270=1,AG270=1),IF(T270&gt;=AE270,L270,W270),IF(V270=1,L270,IF(AG270=1,W270,MAX($D$16,POWER((ABS(K270)^2)/($I$5*MAX(F270,0.1)^2),1/3)))))))</f>
        <v>2.1403668656741068</v>
      </c>
      <c r="AI270">
        <f t="shared" ca="1" si="122"/>
        <v>634.64236686567403</v>
      </c>
      <c r="AJ270">
        <f t="shared" ca="1" si="123"/>
        <v>635.71255029851113</v>
      </c>
      <c r="AM270">
        <v>0</v>
      </c>
      <c r="AN270">
        <v>0</v>
      </c>
      <c r="AO270">
        <f t="shared" si="124"/>
        <v>0</v>
      </c>
      <c r="AP270">
        <f t="shared" si="133"/>
        <v>0</v>
      </c>
      <c r="AQ270">
        <f t="shared" ca="1" si="125"/>
        <v>0.99999999999999978</v>
      </c>
      <c r="AR270" t="str">
        <f t="shared" ca="1" si="126"/>
        <v>Supercritical</v>
      </c>
      <c r="AS270">
        <f t="shared" ca="1" si="127"/>
        <v>3.8148159832266538E-3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191</v>
      </c>
      <c r="I271">
        <v>5.7000000000000002E-2</v>
      </c>
      <c r="J271">
        <f t="shared" si="128"/>
        <v>1</v>
      </c>
      <c r="K271">
        <f t="shared" si="129"/>
        <v>51</v>
      </c>
      <c r="L271">
        <f t="shared" ca="1" si="130"/>
        <v>0.05</v>
      </c>
      <c r="M271">
        <f t="shared" ca="1" si="103"/>
        <v>0.26</v>
      </c>
      <c r="N271">
        <f t="shared" ca="1" si="104"/>
        <v>4.9056603773584909E-2</v>
      </c>
      <c r="O271">
        <f t="shared" ca="1" si="105"/>
        <v>196.15384615384616</v>
      </c>
      <c r="P271">
        <f t="shared" ca="1" si="106"/>
        <v>632.55149999999992</v>
      </c>
      <c r="Q271">
        <f t="shared" ca="1" si="107"/>
        <v>2593.6285316486619</v>
      </c>
      <c r="R271">
        <f t="shared" ca="1" si="108"/>
        <v>482.07306851378365</v>
      </c>
      <c r="S271">
        <f t="shared" ca="1" si="109"/>
        <v>280.07692026646265</v>
      </c>
      <c r="T271">
        <f t="shared" ca="1" si="110"/>
        <v>1019.7665564573041</v>
      </c>
      <c r="U271">
        <f t="shared" ca="1" si="131"/>
        <v>-482.25887083179032</v>
      </c>
      <c r="V271">
        <f t="shared" ca="1" si="132"/>
        <v>0</v>
      </c>
      <c r="W271">
        <f t="shared" ca="1" si="111"/>
        <v>0.05</v>
      </c>
      <c r="X271">
        <f t="shared" ca="1" si="112"/>
        <v>0.26</v>
      </c>
      <c r="Y271">
        <f t="shared" ca="1" si="113"/>
        <v>4.9056603773584909E-2</v>
      </c>
      <c r="Z271">
        <f t="shared" ca="1" si="114"/>
        <v>196.15384615384616</v>
      </c>
      <c r="AA271">
        <f t="shared" ca="1" si="115"/>
        <v>632.55149999999992</v>
      </c>
      <c r="AB271">
        <f t="shared" ca="1" si="116"/>
        <v>2593.6285316486619</v>
      </c>
      <c r="AC271">
        <f t="shared" ca="1" si="117"/>
        <v>482.07306851378365</v>
      </c>
      <c r="AD271">
        <f t="shared" ca="1" si="118"/>
        <v>280.07692026646265</v>
      </c>
      <c r="AE271">
        <f t="shared" ca="1" si="119"/>
        <v>1019.7665564573041</v>
      </c>
      <c r="AF271">
        <f t="shared" ca="1" si="120"/>
        <v>482.25887083179032</v>
      </c>
      <c r="AG271">
        <f t="shared" ca="1" si="121"/>
        <v>0</v>
      </c>
      <c r="AH271">
        <f ca="1">IF(V32="Supercritical",L271,IF(V32="Subcritical",W271,IF(AND(V271=1,AG271=1),IF(T271&gt;=AE271,L271,W271),IF(V271=1,L271,IF(AG271=1,W271,MAX($D$16,POWER((ABS(K271)^2)/($I$5*MAX(F271,0.1)^2),1/3)))))))</f>
        <v>2.1403668656741068</v>
      </c>
      <c r="AI271">
        <f t="shared" ca="1" si="122"/>
        <v>634.64186686567405</v>
      </c>
      <c r="AJ271">
        <f t="shared" ca="1" si="123"/>
        <v>635.71205029851114</v>
      </c>
      <c r="AM271">
        <v>0</v>
      </c>
      <c r="AN271">
        <v>0</v>
      </c>
      <c r="AO271">
        <f t="shared" si="124"/>
        <v>0</v>
      </c>
      <c r="AP271">
        <f t="shared" si="133"/>
        <v>0</v>
      </c>
      <c r="AQ271">
        <f t="shared" ca="1" si="125"/>
        <v>0.99999999999999978</v>
      </c>
      <c r="AR271" t="str">
        <f t="shared" ca="1" si="126"/>
        <v>Supercritical</v>
      </c>
      <c r="AS271">
        <f t="shared" ca="1" si="127"/>
        <v>3.8148159832266538E-3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191</v>
      </c>
      <c r="I272">
        <v>5.7000000000000002E-2</v>
      </c>
      <c r="J272">
        <f t="shared" si="128"/>
        <v>1</v>
      </c>
      <c r="K272">
        <f t="shared" si="129"/>
        <v>51</v>
      </c>
      <c r="L272">
        <f t="shared" ca="1" si="130"/>
        <v>0.05</v>
      </c>
      <c r="M272">
        <f t="shared" ca="1" si="103"/>
        <v>0.26</v>
      </c>
      <c r="N272">
        <f t="shared" ca="1" si="104"/>
        <v>4.9056603773584909E-2</v>
      </c>
      <c r="O272">
        <f t="shared" ca="1" si="105"/>
        <v>196.15384615384616</v>
      </c>
      <c r="P272">
        <f t="shared" ca="1" si="106"/>
        <v>632.55099999999993</v>
      </c>
      <c r="Q272">
        <f t="shared" ca="1" si="107"/>
        <v>2593.6280316486618</v>
      </c>
      <c r="R272">
        <f t="shared" ca="1" si="108"/>
        <v>482.07306851378365</v>
      </c>
      <c r="S272">
        <f t="shared" ca="1" si="109"/>
        <v>280.07692026646265</v>
      </c>
      <c r="T272">
        <f t="shared" ca="1" si="110"/>
        <v>1019.7665564573041</v>
      </c>
      <c r="U272">
        <f t="shared" ca="1" si="131"/>
        <v>-482.25887083179032</v>
      </c>
      <c r="V272">
        <f t="shared" ca="1" si="132"/>
        <v>0</v>
      </c>
      <c r="W272">
        <f t="shared" ca="1" si="111"/>
        <v>0.05</v>
      </c>
      <c r="X272">
        <f t="shared" ca="1" si="112"/>
        <v>0.26</v>
      </c>
      <c r="Y272">
        <f t="shared" ca="1" si="113"/>
        <v>4.9056603773584909E-2</v>
      </c>
      <c r="Z272">
        <f t="shared" ca="1" si="114"/>
        <v>196.15384615384616</v>
      </c>
      <c r="AA272">
        <f t="shared" ca="1" si="115"/>
        <v>632.55099999999993</v>
      </c>
      <c r="AB272">
        <f t="shared" ca="1" si="116"/>
        <v>2593.6280316486618</v>
      </c>
      <c r="AC272">
        <f t="shared" ca="1" si="117"/>
        <v>482.07306851378365</v>
      </c>
      <c r="AD272">
        <f t="shared" ca="1" si="118"/>
        <v>280.07692026646265</v>
      </c>
      <c r="AE272">
        <f t="shared" ca="1" si="119"/>
        <v>1019.7665564573041</v>
      </c>
      <c r="AF272">
        <f t="shared" ca="1" si="120"/>
        <v>482.25887083179077</v>
      </c>
      <c r="AG272">
        <f t="shared" ca="1" si="121"/>
        <v>0</v>
      </c>
      <c r="AH272">
        <f ca="1">IF(V32="Supercritical",L272,IF(V32="Subcritical",W272,IF(AND(V272=1,AG272=1),IF(T272&gt;=AE272,L272,W272),IF(V272=1,L272,IF(AG272=1,W272,MAX($D$16,POWER((ABS(K272)^2)/($I$5*MAX(F272,0.1)^2),1/3)))))))</f>
        <v>2.1403668656741068</v>
      </c>
      <c r="AI272">
        <f t="shared" ca="1" si="122"/>
        <v>634.64136686567406</v>
      </c>
      <c r="AJ272">
        <f t="shared" ca="1" si="123"/>
        <v>635.71155029851116</v>
      </c>
      <c r="AM272">
        <v>0</v>
      </c>
      <c r="AN272">
        <v>0</v>
      </c>
      <c r="AO272">
        <f t="shared" si="124"/>
        <v>0</v>
      </c>
      <c r="AP272">
        <f t="shared" si="133"/>
        <v>0</v>
      </c>
      <c r="AQ272">
        <f t="shared" ca="1" si="125"/>
        <v>0.99999999999999978</v>
      </c>
      <c r="AR272" t="str">
        <f t="shared" ca="1" si="126"/>
        <v>Supercritical</v>
      </c>
      <c r="AS272">
        <f t="shared" ca="1" si="127"/>
        <v>3.8148159832266538E-3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191</v>
      </c>
      <c r="I273">
        <v>5.7000000000000002E-2</v>
      </c>
      <c r="J273">
        <f t="shared" si="128"/>
        <v>1</v>
      </c>
      <c r="K273">
        <f t="shared" si="129"/>
        <v>51</v>
      </c>
      <c r="L273">
        <f t="shared" ca="1" si="130"/>
        <v>0.05</v>
      </c>
      <c r="M273">
        <f t="shared" ca="1" si="103"/>
        <v>0.26</v>
      </c>
      <c r="N273">
        <f t="shared" ca="1" si="104"/>
        <v>4.9056603773584909E-2</v>
      </c>
      <c r="O273">
        <f t="shared" ca="1" si="105"/>
        <v>196.15384615384616</v>
      </c>
      <c r="P273">
        <f t="shared" ca="1" si="106"/>
        <v>632.55049999999994</v>
      </c>
      <c r="Q273">
        <f t="shared" ca="1" si="107"/>
        <v>2593.6275316486622</v>
      </c>
      <c r="R273">
        <f t="shared" ca="1" si="108"/>
        <v>482.07306851378365</v>
      </c>
      <c r="S273">
        <f t="shared" ca="1" si="109"/>
        <v>280.07692026646265</v>
      </c>
      <c r="T273">
        <f t="shared" ca="1" si="110"/>
        <v>1019.7665564573041</v>
      </c>
      <c r="U273">
        <f t="shared" ca="1" si="131"/>
        <v>-482.25887083179077</v>
      </c>
      <c r="V273">
        <f t="shared" ca="1" si="132"/>
        <v>0</v>
      </c>
      <c r="W273">
        <f t="shared" ca="1" si="111"/>
        <v>0.05</v>
      </c>
      <c r="X273">
        <f t="shared" ca="1" si="112"/>
        <v>0.26</v>
      </c>
      <c r="Y273">
        <f t="shared" ca="1" si="113"/>
        <v>4.9056603773584909E-2</v>
      </c>
      <c r="Z273">
        <f t="shared" ca="1" si="114"/>
        <v>196.15384615384616</v>
      </c>
      <c r="AA273">
        <f t="shared" ca="1" si="115"/>
        <v>632.55049999999994</v>
      </c>
      <c r="AB273">
        <f t="shared" ca="1" si="116"/>
        <v>2593.6275316486622</v>
      </c>
      <c r="AC273">
        <f t="shared" ca="1" si="117"/>
        <v>482.07306851378365</v>
      </c>
      <c r="AD273">
        <f t="shared" ca="1" si="118"/>
        <v>280.07692026646265</v>
      </c>
      <c r="AE273">
        <f t="shared" ca="1" si="119"/>
        <v>1019.7665564573041</v>
      </c>
      <c r="AF273">
        <f t="shared" ca="1" si="120"/>
        <v>482.07256851378361</v>
      </c>
      <c r="AG273">
        <f t="shared" ca="1" si="121"/>
        <v>0</v>
      </c>
      <c r="AH273">
        <f ca="1">IF(V32="Supercritical",L273,IF(V32="Subcritical",W273,IF(AND(V273=1,AG273=1),IF(T273&gt;=AE273,L273,W273),IF(V273=1,L273,IF(AG273=1,W273,MAX($D$16,POWER((ABS(K273)^2)/($I$5*MAX(F273,0.1)^2),1/3)))))))</f>
        <v>2.1403668656741068</v>
      </c>
      <c r="AI273">
        <f t="shared" ca="1" si="122"/>
        <v>634.64086686567407</v>
      </c>
      <c r="AJ273">
        <f t="shared" ca="1" si="123"/>
        <v>635.71105029851117</v>
      </c>
      <c r="AM273">
        <v>0</v>
      </c>
      <c r="AN273">
        <v>0</v>
      </c>
      <c r="AO273">
        <f t="shared" si="124"/>
        <v>0</v>
      </c>
      <c r="AP273">
        <f t="shared" si="133"/>
        <v>0</v>
      </c>
      <c r="AQ273">
        <f t="shared" ca="1" si="125"/>
        <v>0.99999999999999978</v>
      </c>
      <c r="AR273" t="str">
        <f t="shared" ca="1" si="126"/>
        <v>Supercritical</v>
      </c>
      <c r="AS273">
        <f t="shared" ca="1" si="127"/>
        <v>3.8148159832266538E-3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191</v>
      </c>
      <c r="I274">
        <v>0</v>
      </c>
      <c r="J274">
        <f t="shared" si="128"/>
        <v>1</v>
      </c>
      <c r="K274">
        <f t="shared" si="129"/>
        <v>51</v>
      </c>
      <c r="L274">
        <f t="shared" ca="1" si="130"/>
        <v>0.05</v>
      </c>
      <c r="M274">
        <f t="shared" ca="1" si="103"/>
        <v>0.26</v>
      </c>
      <c r="N274">
        <f t="shared" ca="1" si="104"/>
        <v>4.9056603773584909E-2</v>
      </c>
      <c r="O274">
        <f t="shared" ca="1" si="105"/>
        <v>196.15384615384616</v>
      </c>
      <c r="P274">
        <f t="shared" ca="1" si="106"/>
        <v>632.54999999999995</v>
      </c>
      <c r="Q274">
        <f t="shared" ca="1" si="107"/>
        <v>2593.6270316486621</v>
      </c>
      <c r="R274">
        <f t="shared" ca="1" si="108"/>
        <v>482.07306851378365</v>
      </c>
      <c r="S274">
        <f t="shared" ca="1" si="109"/>
        <v>280.07692026646265</v>
      </c>
      <c r="T274">
        <f t="shared" ca="1" si="110"/>
        <v>1019.7665564573041</v>
      </c>
      <c r="U274">
        <f t="shared" ca="1" si="131"/>
        <v>-482.07256851378361</v>
      </c>
      <c r="V274">
        <f t="shared" ca="1" si="132"/>
        <v>0</v>
      </c>
      <c r="W274">
        <f t="shared" ca="1" si="111"/>
        <v>0.05</v>
      </c>
      <c r="X274">
        <f t="shared" ca="1" si="112"/>
        <v>0.26</v>
      </c>
      <c r="Y274">
        <f t="shared" ca="1" si="113"/>
        <v>4.9056603773584909E-2</v>
      </c>
      <c r="Z274">
        <f t="shared" ca="1" si="114"/>
        <v>196.15384615384616</v>
      </c>
      <c r="AA274">
        <f t="shared" ca="1" si="115"/>
        <v>632.54999999999995</v>
      </c>
      <c r="AB274">
        <f t="shared" ca="1" si="116"/>
        <v>2593.6270316486621</v>
      </c>
      <c r="AC274">
        <f t="shared" ca="1" si="117"/>
        <v>482.07306851378365</v>
      </c>
      <c r="AD274">
        <f t="shared" ca="1" si="118"/>
        <v>280.07692026646265</v>
      </c>
      <c r="AE274">
        <f t="shared" ca="1" si="119"/>
        <v>1019.7665564573041</v>
      </c>
      <c r="AF274">
        <f t="shared" ca="1" si="120"/>
        <v>482.25887083179032</v>
      </c>
      <c r="AG274">
        <f t="shared" ca="1" si="121"/>
        <v>0</v>
      </c>
      <c r="AH274">
        <f ca="1">IF(V32="Supercritical",L274,IF(V32="Subcritical",W274,IF(AND(V274=1,AG274=1),IF(T274&gt;=AE274,L274,W274),IF(V274=1,L274,IF(AG274=1,W274,MAX($D$16,POWER((ABS(K274)^2)/($I$5*MAX(F274,0.1)^2),1/3)))))))</f>
        <v>2.1403668656741068</v>
      </c>
      <c r="AI274">
        <f t="shared" ca="1" si="122"/>
        <v>634.64036686567408</v>
      </c>
      <c r="AJ274">
        <f t="shared" ca="1" si="123"/>
        <v>635.71055029851118</v>
      </c>
      <c r="AM274">
        <v>0</v>
      </c>
      <c r="AN274">
        <v>0</v>
      </c>
      <c r="AO274">
        <f t="shared" si="124"/>
        <v>0</v>
      </c>
      <c r="AP274">
        <f t="shared" si="133"/>
        <v>0</v>
      </c>
      <c r="AQ274">
        <f t="shared" ca="1" si="125"/>
        <v>0.99999999999999978</v>
      </c>
      <c r="AR274" t="str">
        <f t="shared" ca="1" si="126"/>
        <v>Supercritical</v>
      </c>
      <c r="AS274">
        <f t="shared" ca="1" si="127"/>
        <v>3.8148159832266538E-3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191</v>
      </c>
      <c r="I275">
        <v>5.7000000000000002E-2</v>
      </c>
      <c r="J275">
        <f t="shared" si="128"/>
        <v>1</v>
      </c>
      <c r="K275">
        <f t="shared" si="129"/>
        <v>51</v>
      </c>
      <c r="L275">
        <f t="shared" ca="1" si="130"/>
        <v>0.05</v>
      </c>
      <c r="M275">
        <f t="shared" ca="1" si="103"/>
        <v>0.26</v>
      </c>
      <c r="N275">
        <f t="shared" ca="1" si="104"/>
        <v>4.9056603773584909E-2</v>
      </c>
      <c r="O275">
        <f t="shared" ca="1" si="105"/>
        <v>196.15384615384616</v>
      </c>
      <c r="P275">
        <f t="shared" ca="1" si="106"/>
        <v>632.54949999999997</v>
      </c>
      <c r="Q275">
        <f t="shared" ca="1" si="107"/>
        <v>2593.626531648662</v>
      </c>
      <c r="R275">
        <f t="shared" ca="1" si="108"/>
        <v>482.07306851378365</v>
      </c>
      <c r="S275">
        <f t="shared" ca="1" si="109"/>
        <v>280.07692026646265</v>
      </c>
      <c r="T275">
        <f t="shared" ca="1" si="110"/>
        <v>1019.7665564573041</v>
      </c>
      <c r="U275">
        <f t="shared" ca="1" si="131"/>
        <v>-482.25887083179032</v>
      </c>
      <c r="V275">
        <f t="shared" ca="1" si="132"/>
        <v>0</v>
      </c>
      <c r="W275">
        <f t="shared" ca="1" si="111"/>
        <v>0.05</v>
      </c>
      <c r="X275">
        <f t="shared" ca="1" si="112"/>
        <v>0.26</v>
      </c>
      <c r="Y275">
        <f t="shared" ca="1" si="113"/>
        <v>4.9056603773584909E-2</v>
      </c>
      <c r="Z275">
        <f t="shared" ca="1" si="114"/>
        <v>196.15384615384616</v>
      </c>
      <c r="AA275">
        <f t="shared" ca="1" si="115"/>
        <v>632.54949999999997</v>
      </c>
      <c r="AB275">
        <f t="shared" ca="1" si="116"/>
        <v>2593.626531648662</v>
      </c>
      <c r="AC275">
        <f t="shared" ca="1" si="117"/>
        <v>482.07306851378365</v>
      </c>
      <c r="AD275">
        <f t="shared" ca="1" si="118"/>
        <v>280.07692026646265</v>
      </c>
      <c r="AE275">
        <f t="shared" ca="1" si="119"/>
        <v>1019.7665564573041</v>
      </c>
      <c r="AF275">
        <f t="shared" ca="1" si="120"/>
        <v>482.74094390030677</v>
      </c>
      <c r="AG275">
        <f t="shared" ca="1" si="121"/>
        <v>0</v>
      </c>
      <c r="AH275">
        <f ca="1">IF(V32="Supercritical",L275,IF(V32="Subcritical",W275,IF(AND(V275=1,AG275=1),IF(T275&gt;=AE275,L275,W275),IF(V275=1,L275,IF(AG275=1,W275,MAX($D$16,POWER((ABS(K275)^2)/($I$5*MAX(F275,0.1)^2),1/3)))))))</f>
        <v>2.1403668656741068</v>
      </c>
      <c r="AI275">
        <f t="shared" ca="1" si="122"/>
        <v>634.63986686567409</v>
      </c>
      <c r="AJ275">
        <f t="shared" ca="1" si="123"/>
        <v>635.71005029851119</v>
      </c>
      <c r="AM275">
        <v>0</v>
      </c>
      <c r="AN275">
        <v>0</v>
      </c>
      <c r="AO275">
        <f t="shared" si="124"/>
        <v>0</v>
      </c>
      <c r="AP275">
        <f t="shared" si="133"/>
        <v>0</v>
      </c>
      <c r="AQ275">
        <f t="shared" ca="1" si="125"/>
        <v>0.99999999999999978</v>
      </c>
      <c r="AR275" t="str">
        <f t="shared" ca="1" si="126"/>
        <v>Supercritical</v>
      </c>
      <c r="AS275">
        <f t="shared" ca="1" si="127"/>
        <v>3.8148159832266538E-3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191</v>
      </c>
      <c r="I276">
        <v>5.7000000000000002E-2</v>
      </c>
      <c r="J276">
        <f t="shared" si="128"/>
        <v>1.0010000000000048</v>
      </c>
      <c r="K276">
        <f t="shared" si="129"/>
        <v>51</v>
      </c>
      <c r="L276">
        <f t="shared" ca="1" si="130"/>
        <v>0.05</v>
      </c>
      <c r="M276">
        <f t="shared" ca="1" si="103"/>
        <v>0.26</v>
      </c>
      <c r="N276">
        <f t="shared" ca="1" si="104"/>
        <v>4.9056603773584909E-2</v>
      </c>
      <c r="O276">
        <f t="shared" ca="1" si="105"/>
        <v>196.15384615384616</v>
      </c>
      <c r="P276">
        <f t="shared" ca="1" si="106"/>
        <v>632.54899999999998</v>
      </c>
      <c r="Q276">
        <f t="shared" ca="1" si="107"/>
        <v>2593.6260316486623</v>
      </c>
      <c r="R276">
        <f t="shared" ca="1" si="108"/>
        <v>482.07306851378365</v>
      </c>
      <c r="S276">
        <f t="shared" ca="1" si="109"/>
        <v>280.07692026646265</v>
      </c>
      <c r="T276">
        <f t="shared" ca="1" si="110"/>
        <v>1019.7665564573041</v>
      </c>
      <c r="U276">
        <f t="shared" ca="1" si="131"/>
        <v>-482.74094390030677</v>
      </c>
      <c r="V276">
        <f t="shared" ca="1" si="132"/>
        <v>0</v>
      </c>
      <c r="W276">
        <f t="shared" ca="1" si="111"/>
        <v>0.05</v>
      </c>
      <c r="X276">
        <f t="shared" ca="1" si="112"/>
        <v>0.26</v>
      </c>
      <c r="Y276">
        <f t="shared" ca="1" si="113"/>
        <v>4.9056603773584909E-2</v>
      </c>
      <c r="Z276">
        <f t="shared" ca="1" si="114"/>
        <v>196.15384615384616</v>
      </c>
      <c r="AA276">
        <f t="shared" ca="1" si="115"/>
        <v>632.54899999999998</v>
      </c>
      <c r="AB276">
        <f t="shared" ca="1" si="116"/>
        <v>2593.6260316486623</v>
      </c>
      <c r="AC276">
        <f t="shared" ca="1" si="117"/>
        <v>482.07306851378365</v>
      </c>
      <c r="AD276">
        <f t="shared" ca="1" si="118"/>
        <v>280.07692026646265</v>
      </c>
      <c r="AE276">
        <f t="shared" ca="1" si="119"/>
        <v>1019.7665564573041</v>
      </c>
      <c r="AF276">
        <f t="shared" ca="1" si="120"/>
        <v>482.08237389894202</v>
      </c>
      <c r="AG276">
        <f t="shared" ca="1" si="121"/>
        <v>0</v>
      </c>
      <c r="AH276">
        <f ca="1">IF(V32="Supercritical",L276,IF(V32="Subcritical",W276,IF(AND(V276=1,AG276=1),IF(T276&gt;=AE276,L276,W276),IF(V276=1,L276,IF(AG276=1,W276,MAX($D$16,POWER((ABS(K276)^2)/($I$5*MAX(F276,0.1)^2),1/3)))))))</f>
        <v>2.1403668656741068</v>
      </c>
      <c r="AI276">
        <f t="shared" ca="1" si="122"/>
        <v>634.63936686567411</v>
      </c>
      <c r="AJ276">
        <f t="shared" ca="1" si="123"/>
        <v>635.7095502985112</v>
      </c>
      <c r="AM276">
        <v>0</v>
      </c>
      <c r="AN276">
        <v>0</v>
      </c>
      <c r="AO276">
        <f t="shared" si="124"/>
        <v>0</v>
      </c>
      <c r="AP276">
        <f t="shared" si="133"/>
        <v>0</v>
      </c>
      <c r="AQ276">
        <f t="shared" ca="1" si="125"/>
        <v>0.99999999999999978</v>
      </c>
      <c r="AR276" t="str">
        <f t="shared" ca="1" si="126"/>
        <v>Supercritical</v>
      </c>
      <c r="AS276">
        <f t="shared" ca="1" si="127"/>
        <v>3.8148159832266538E-3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191</v>
      </c>
      <c r="I277">
        <v>3.0000000000000001E-3</v>
      </c>
      <c r="J277">
        <f t="shared" si="128"/>
        <v>1</v>
      </c>
      <c r="K277">
        <f t="shared" si="129"/>
        <v>51</v>
      </c>
      <c r="L277">
        <f t="shared" ca="1" si="130"/>
        <v>0.05</v>
      </c>
      <c r="M277">
        <f t="shared" ca="1" si="103"/>
        <v>0.26</v>
      </c>
      <c r="N277">
        <f t="shared" ca="1" si="104"/>
        <v>4.9056603773584909E-2</v>
      </c>
      <c r="O277">
        <f t="shared" ca="1" si="105"/>
        <v>196.15384615384616</v>
      </c>
      <c r="P277">
        <f t="shared" ca="1" si="106"/>
        <v>632.54849999999999</v>
      </c>
      <c r="Q277">
        <f t="shared" ca="1" si="107"/>
        <v>2593.6255316486622</v>
      </c>
      <c r="R277">
        <f t="shared" ca="1" si="108"/>
        <v>482.07306851378365</v>
      </c>
      <c r="S277">
        <f t="shared" ca="1" si="109"/>
        <v>280.07692026646265</v>
      </c>
      <c r="T277">
        <f t="shared" ca="1" si="110"/>
        <v>1019.7665564573041</v>
      </c>
      <c r="U277">
        <f t="shared" ca="1" si="131"/>
        <v>-482.08237389894202</v>
      </c>
      <c r="V277">
        <f t="shared" ca="1" si="132"/>
        <v>0</v>
      </c>
      <c r="W277">
        <f t="shared" ca="1" si="111"/>
        <v>0.05</v>
      </c>
      <c r="X277">
        <f t="shared" ca="1" si="112"/>
        <v>0.26</v>
      </c>
      <c r="Y277">
        <f t="shared" ca="1" si="113"/>
        <v>4.9056603773584909E-2</v>
      </c>
      <c r="Z277">
        <f t="shared" ca="1" si="114"/>
        <v>196.15384615384616</v>
      </c>
      <c r="AA277">
        <f t="shared" ca="1" si="115"/>
        <v>632.54849999999999</v>
      </c>
      <c r="AB277">
        <f t="shared" ca="1" si="116"/>
        <v>2593.6255316486622</v>
      </c>
      <c r="AC277">
        <f t="shared" ca="1" si="117"/>
        <v>482.07306851378365</v>
      </c>
      <c r="AD277">
        <f t="shared" ca="1" si="118"/>
        <v>280.07692026646265</v>
      </c>
      <c r="AE277">
        <f t="shared" ca="1" si="119"/>
        <v>1019.7665564573041</v>
      </c>
      <c r="AF277">
        <f t="shared" ca="1" si="120"/>
        <v>481.78660314843228</v>
      </c>
      <c r="AG277">
        <f t="shared" ca="1" si="121"/>
        <v>0</v>
      </c>
      <c r="AH277">
        <f ca="1">IF(V32="Supercritical",L277,IF(V32="Subcritical",W277,IF(AND(V277=1,AG277=1),IF(T277&gt;=AE277,L277,W277),IF(V277=1,L277,IF(AG277=1,W277,MAX($D$16,POWER((ABS(K277)^2)/($I$5*MAX(F277,0.1)^2),1/3)))))))</f>
        <v>2.1403668656741068</v>
      </c>
      <c r="AI277">
        <f t="shared" ca="1" si="122"/>
        <v>634.63886686567412</v>
      </c>
      <c r="AJ277">
        <f t="shared" ca="1" si="123"/>
        <v>635.70905029851122</v>
      </c>
      <c r="AM277">
        <v>0</v>
      </c>
      <c r="AN277">
        <v>0</v>
      </c>
      <c r="AO277">
        <f t="shared" si="124"/>
        <v>0</v>
      </c>
      <c r="AP277">
        <f t="shared" si="133"/>
        <v>0</v>
      </c>
      <c r="AQ277">
        <f t="shared" ca="1" si="125"/>
        <v>0.99999999999999978</v>
      </c>
      <c r="AR277" t="str">
        <f t="shared" ca="1" si="126"/>
        <v>Supercritical</v>
      </c>
      <c r="AS277">
        <f t="shared" ca="1" si="127"/>
        <v>3.8148159832266538E-3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191</v>
      </c>
      <c r="I278">
        <v>0.06</v>
      </c>
      <c r="J278">
        <f t="shared" si="128"/>
        <v>0.99899999999999523</v>
      </c>
      <c r="K278">
        <f t="shared" si="129"/>
        <v>51</v>
      </c>
      <c r="L278">
        <f t="shared" ca="1" si="130"/>
        <v>0.05</v>
      </c>
      <c r="M278">
        <f t="shared" ref="M278:M341" ca="1" si="134">((F278)+(G278)*(L278))*(L278)</f>
        <v>0.26</v>
      </c>
      <c r="N278">
        <f t="shared" ref="N278:N341" ca="1" si="135">(((F278)+(G278)*(L278))*(L278))/MAX((F278)+2*(L278)*SQRT(1+(G278)^2),0.000001)</f>
        <v>4.9056603773584909E-2</v>
      </c>
      <c r="O278">
        <f t="shared" ref="O278:O341" ca="1" si="136">ABS(K278)/MAX(((F278)+(G278)*(L278))*(L278),0.000001)</f>
        <v>196.15384615384616</v>
      </c>
      <c r="P278">
        <f t="shared" ref="P278:P341" ca="1" si="137">E278+L278</f>
        <v>632.548</v>
      </c>
      <c r="Q278">
        <f t="shared" ref="Q278:Q341" ca="1" si="138">P278+((ABS(K278)/MAX(((F278)+(G278)*(L278))*(L278),0.000001))^2)/(2*$I$5)</f>
        <v>2593.6250316486621</v>
      </c>
      <c r="R278">
        <f t="shared" ref="R278:R341" ca="1" si="139">((ABS(K278)*$D$6)/(MAX(((F278)+(G278)*(L278))*(L278),0.000001)*MAX(((((F278)+(G278)*(L278))*(L278))/MAX((F278)+2*(L278)*SQRT(1+(G278)^2),0.000001))^(2/3),0.000001)))^2</f>
        <v>482.07306851378365</v>
      </c>
      <c r="S278">
        <f t="shared" ref="S278:S341" ca="1" si="140">ABS(ABS(K278)/MAX(((F278)+(G278)*(L278))*(L278),0.000001))/SQRT($I$5*MAX((((F278)+(G278)*(L278))*(L278))/MAX((F278)+2*(G278)*(L278),0.000001),0.000001))</f>
        <v>280.07692026646265</v>
      </c>
      <c r="T278">
        <f t="shared" ref="T278:T341" ca="1" si="141">((F278)*(L278)^2)/2+(G278)*(L278)^3/3+(ABS(K278)^2)/($I$5*MAX(((F278)+(G278)*(L278))*(L278),0.000001))</f>
        <v>1019.7665564573041</v>
      </c>
      <c r="U278">
        <f t="shared" ca="1" si="131"/>
        <v>-481.78660314843228</v>
      </c>
      <c r="V278">
        <f t="shared" ca="1" si="132"/>
        <v>0</v>
      </c>
      <c r="W278">
        <f t="shared" ref="W278:W341" ca="1" si="142">IF(OR($D$20=0,AG279=0),W279,IF(OR(W278=0,AD279&gt;1),MAX($D$16,POWER((ABS(K278)^2)/($I$5*MAX(F278,0.1)^2),1/3)),IF(AF278&gt;0,MAX($D$16,W278+((AF278)*$D$18*IF((AD278)&lt;1,1,-1))),IF(AF278&lt;0,IF(ABS((MAX($D$16,POWER((ABS(K278)^2)/($I$5*MAX(F278,0.1)^2),1/3)))-W278)&gt;$D$19,MAX($D$16,W278+($D$18*((MAX($D$16,POWER((ABS(K278)^2)/($I$5*MAX(F278,0.1)^2),1/3)))-W278))),MAX($D$16,POWER((ABS(K278)^2)/($I$5*MAX(F278,0.1)^2),1/3))),W278))))</f>
        <v>0.05</v>
      </c>
      <c r="X278">
        <f t="shared" ref="X278:X341" ca="1" si="143">((F278)+(G278)*(W278))*(W278)</f>
        <v>0.26</v>
      </c>
      <c r="Y278">
        <f t="shared" ref="Y278:Y341" ca="1" si="144">(((F278)+(G278)*(W278))*(W278))/MAX((F278)+2*(W278)*SQRT(1+(G278)^2),0.000001)</f>
        <v>4.9056603773584909E-2</v>
      </c>
      <c r="Z278">
        <f t="shared" ref="Z278:Z341" ca="1" si="145">ABS(K278)/MAX(((F278)+(G278)*(W278))*(W278),0.000001)</f>
        <v>196.15384615384616</v>
      </c>
      <c r="AA278">
        <f t="shared" ref="AA278:AA341" ca="1" si="146">E278+W278</f>
        <v>632.548</v>
      </c>
      <c r="AB278">
        <f t="shared" ref="AB278:AB341" ca="1" si="147">AA278+((ABS(K278)/MAX(((F278)+(G278)*(W278))*(W278),0.000001))^2)/(2*$I$5)</f>
        <v>2593.6250316486621</v>
      </c>
      <c r="AC278">
        <f t="shared" ref="AC278:AC341" ca="1" si="148">((ABS(K278)*$D$6)/(MAX(((F278)+(G278)*(W278))*(W278),0.000001)*MAX(((((F278)+(G278)*(W278))*(W278))/MAX((F278)+2*(W278)*SQRT(1+(G278)^2),0.000001))^(2/3),0.000001)))^2</f>
        <v>482.07306851378365</v>
      </c>
      <c r="AD278">
        <f t="shared" ref="AD278:AD341" ca="1" si="149">ABS(ABS(K278)/MAX(((F278)+(G278)*(W278))*(W278),0.000001))/SQRT($I$5*MAX((((F278)+(G278)*(W278))*(W278))/MAX((F278)+2*(G278)*(W278),0.000001),0.000001))</f>
        <v>280.07692026646265</v>
      </c>
      <c r="AE278">
        <f t="shared" ref="AE278:AE341" ca="1" si="150">((F278)*(W278)^2)/2+(G278)*(W278)^3/3+(ABS(K278)^2)/($I$5*MAX(((F278)+(G278)*(W278))*(W278),0.000001))</f>
        <v>1019.7665564573041</v>
      </c>
      <c r="AF278">
        <f t="shared" ref="AF278:AF341" ca="1" si="151">AB279+(((AC278+AC279)/2)*J279)+(IF(Z278&gt;Z279,$D$8*((Z278^2-Z279^2)/(2*$I$5)),$D$9*((Z279^2-Z278^2)/(2*$I$5)))+($D$10*(ABS(I279)/90)*(MAX(Z278^2,Z279^2)/(2*$I$5))))-AB278</f>
        <v>482.25887083179714</v>
      </c>
      <c r="AG278">
        <f t="shared" ref="AG278:AG341" ca="1" si="152">IF(ROUND(AD278,3)=1,1,IF(AND(ABS(AF278)&lt;$D$19,AD278&lt;1),1,0))</f>
        <v>0</v>
      </c>
      <c r="AH278">
        <f ca="1">IF(V32="Supercritical",L278,IF(V32="Subcritical",W278,IF(AND(V278=1,AG278=1),IF(T278&gt;=AE278,L278,W278),IF(V278=1,L278,IF(AG278=1,W278,MAX($D$16,POWER((ABS(K278)^2)/($I$5*MAX(F278,0.1)^2),1/3)))))))</f>
        <v>2.1403668656741068</v>
      </c>
      <c r="AI278">
        <f t="shared" ref="AI278:AI341" ca="1" si="153">E278+AH278</f>
        <v>634.63836686567413</v>
      </c>
      <c r="AJ278">
        <f t="shared" ref="AJ278:AJ341" ca="1" si="154">AI278+((ABS(K278)/MAX(((F278)+(G278)*(AH278))*(AH278),0.000001))^2)/(2*$I$5)</f>
        <v>635.70855029851123</v>
      </c>
      <c r="AM278">
        <v>0</v>
      </c>
      <c r="AN278">
        <v>0</v>
      </c>
      <c r="AO278">
        <f t="shared" ref="AO278:AO341" si="155">AM278+AN278</f>
        <v>0</v>
      </c>
      <c r="AP278">
        <f t="shared" si="133"/>
        <v>0</v>
      </c>
      <c r="AQ278">
        <f t="shared" ref="AQ278:AQ341" ca="1" si="156">ABS(ABS(K278)/MAX(((F278)+(G278)*(AH278))*(AH278),0.000001))/SQRT($I$5*MAX((((F278)+(G278)*(AH278))*(AH278))/MAX((F278)+2*(G278)*(AH278),0.000001),0.000001))</f>
        <v>0.99999999999999978</v>
      </c>
      <c r="AR278" t="str">
        <f t="shared" ref="AR278:AR341" ca="1" si="157">IF(AQ278&lt;1,"Subcritical","Supercritical")</f>
        <v>Supercritical</v>
      </c>
      <c r="AS278">
        <f t="shared" ref="AS278:AS341" ca="1" si="158">((ABS(K278)*$D$6)/(MAX(((F278)+(G278)*(AH278))*(AH278),0.000001)*MAX(((((F278)+(G278)*(AH278))*(AH278))/MAX((F278)+2*(AH278)*SQRT(1+(G278)^2),0.000001))^(2/3),0.000001)))^2</f>
        <v>3.8148159832266538E-3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191</v>
      </c>
      <c r="I279">
        <v>5.7000000000000002E-2</v>
      </c>
      <c r="J279">
        <f t="shared" ref="J279:J342" si="159">B279-B278</f>
        <v>1.0000000000000142</v>
      </c>
      <c r="K279">
        <f t="shared" ref="K279:K342" si="160">MAX(0,K278-AO278)</f>
        <v>51</v>
      </c>
      <c r="L279">
        <f t="shared" ref="L279:L342" ca="1" si="161">IF(OR($D$20=0,V278=0),L278,IF(OR(L279=0,S278&lt;1,S279&lt;1),MAX($D$16,POWER((ABS(K279)^2)/($I$5*MAX(F279,0.1)^2),1/3)),IF(U279&gt;0,MAX($D$16,L279+((U279)*$D$18*IF((S279)&lt;1,1,-1))),IF(U279&lt;0,IF(ABS((MAX($D$16,POWER((ABS(K279)^2)/($I$5*MAX(F279,0.1)^2),1/3)))-L279)&gt;$D$19,MAX($D$16,L279+($D$18*((MAX($D$16,POWER((ABS(K279)^2)/($I$5*MAX(F279,0.1)^2),1/3)))-L279))),MAX($D$16,POWER((ABS(K279)^2)/($I$5*MAX(F279,0.1)^2),1/3))),L279))))</f>
        <v>0.05</v>
      </c>
      <c r="M279">
        <f t="shared" ca="1" si="134"/>
        <v>0.26</v>
      </c>
      <c r="N279">
        <f t="shared" ca="1" si="135"/>
        <v>4.9056603773584909E-2</v>
      </c>
      <c r="O279">
        <f t="shared" ca="1" si="136"/>
        <v>196.15384615384616</v>
      </c>
      <c r="P279">
        <f t="shared" ca="1" si="137"/>
        <v>632.5474999999999</v>
      </c>
      <c r="Q279">
        <f t="shared" ca="1" si="138"/>
        <v>2593.624531648662</v>
      </c>
      <c r="R279">
        <f t="shared" ca="1" si="139"/>
        <v>482.07306851378365</v>
      </c>
      <c r="S279">
        <f t="shared" ca="1" si="140"/>
        <v>280.07692026646265</v>
      </c>
      <c r="T279">
        <f t="shared" ca="1" si="141"/>
        <v>1019.7665564573041</v>
      </c>
      <c r="U279">
        <f t="shared" ref="U279:U342" ca="1" si="162">Q278-(((R278+R279)/2)*J279)-(IF(O278&gt;O279,$D$8*((O278^2-O279^2)/(2*$I$5)),$D$9*((O279^2-O278^2)/(2*$I$5)))+($D$10*(ABS(I279)/90)*(MAX(O278^2,O279^2)/(2*$I$5))))-Q279</f>
        <v>-482.25887083179714</v>
      </c>
      <c r="V279">
        <f t="shared" ref="V279:V342" ca="1" si="163">IF(ROUND(S279,3)=1,1,IF(AND(ABS(U279)&lt;$D$19,S279&gt;1),1,0))</f>
        <v>0</v>
      </c>
      <c r="W279">
        <f t="shared" ca="1" si="142"/>
        <v>0.05</v>
      </c>
      <c r="X279">
        <f t="shared" ca="1" si="143"/>
        <v>0.26</v>
      </c>
      <c r="Y279">
        <f t="shared" ca="1" si="144"/>
        <v>4.9056603773584909E-2</v>
      </c>
      <c r="Z279">
        <f t="shared" ca="1" si="145"/>
        <v>196.15384615384616</v>
      </c>
      <c r="AA279">
        <f t="shared" ca="1" si="146"/>
        <v>632.5474999999999</v>
      </c>
      <c r="AB279">
        <f t="shared" ca="1" si="147"/>
        <v>2593.624531648662</v>
      </c>
      <c r="AC279">
        <f t="shared" ca="1" si="148"/>
        <v>482.07306851378365</v>
      </c>
      <c r="AD279">
        <f t="shared" ca="1" si="149"/>
        <v>280.07692026646265</v>
      </c>
      <c r="AE279">
        <f t="shared" ca="1" si="150"/>
        <v>1019.7665564573041</v>
      </c>
      <c r="AF279">
        <f t="shared" ca="1" si="151"/>
        <v>482.25887083179032</v>
      </c>
      <c r="AG279">
        <f t="shared" ca="1" si="152"/>
        <v>0</v>
      </c>
      <c r="AH279">
        <f ca="1">IF(V32="Supercritical",L279,IF(V32="Subcritical",W279,IF(AND(V279=1,AG279=1),IF(T279&gt;=AE279,L279,W279),IF(V279=1,L279,IF(AG279=1,W279,MAX($D$16,POWER((ABS(K279)^2)/($I$5*MAX(F279,0.1)^2),1/3)))))))</f>
        <v>2.1403668656741068</v>
      </c>
      <c r="AI279">
        <f t="shared" ca="1" si="153"/>
        <v>634.63786686567403</v>
      </c>
      <c r="AJ279">
        <f t="shared" ca="1" si="154"/>
        <v>635.70805029851113</v>
      </c>
      <c r="AM279">
        <v>0</v>
      </c>
      <c r="AN279">
        <v>0</v>
      </c>
      <c r="AO279">
        <f t="shared" si="155"/>
        <v>0</v>
      </c>
      <c r="AP279">
        <f t="shared" ref="AP279:AP342" si="164">AP278+AO279</f>
        <v>0</v>
      </c>
      <c r="AQ279">
        <f t="shared" ca="1" si="156"/>
        <v>0.99999999999999978</v>
      </c>
      <c r="AR279" t="str">
        <f t="shared" ca="1" si="157"/>
        <v>Supercritical</v>
      </c>
      <c r="AS279">
        <f t="shared" ca="1" si="158"/>
        <v>3.8148159832266538E-3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191</v>
      </c>
      <c r="I280">
        <v>5.7000000000000002E-2</v>
      </c>
      <c r="J280">
        <f t="shared" si="159"/>
        <v>1</v>
      </c>
      <c r="K280">
        <f t="shared" si="160"/>
        <v>51</v>
      </c>
      <c r="L280">
        <f t="shared" ca="1" si="161"/>
        <v>0.05</v>
      </c>
      <c r="M280">
        <f t="shared" ca="1" si="134"/>
        <v>0.26</v>
      </c>
      <c r="N280">
        <f t="shared" ca="1" si="135"/>
        <v>4.9056603773584909E-2</v>
      </c>
      <c r="O280">
        <f t="shared" ca="1" si="136"/>
        <v>196.15384615384616</v>
      </c>
      <c r="P280">
        <f t="shared" ca="1" si="137"/>
        <v>632.54699999999991</v>
      </c>
      <c r="Q280">
        <f t="shared" ca="1" si="138"/>
        <v>2593.6240316486619</v>
      </c>
      <c r="R280">
        <f t="shared" ca="1" si="139"/>
        <v>482.07306851378365</v>
      </c>
      <c r="S280">
        <f t="shared" ca="1" si="140"/>
        <v>280.07692026646265</v>
      </c>
      <c r="T280">
        <f t="shared" ca="1" si="141"/>
        <v>1019.7665564573041</v>
      </c>
      <c r="U280">
        <f t="shared" ca="1" si="162"/>
        <v>-482.25887083179032</v>
      </c>
      <c r="V280">
        <f t="shared" ca="1" si="163"/>
        <v>0</v>
      </c>
      <c r="W280">
        <f t="shared" ca="1" si="142"/>
        <v>0.05</v>
      </c>
      <c r="X280">
        <f t="shared" ca="1" si="143"/>
        <v>0.26</v>
      </c>
      <c r="Y280">
        <f t="shared" ca="1" si="144"/>
        <v>4.9056603773584909E-2</v>
      </c>
      <c r="Z280">
        <f t="shared" ca="1" si="145"/>
        <v>196.15384615384616</v>
      </c>
      <c r="AA280">
        <f t="shared" ca="1" si="146"/>
        <v>632.54699999999991</v>
      </c>
      <c r="AB280">
        <f t="shared" ca="1" si="147"/>
        <v>2593.6240316486619</v>
      </c>
      <c r="AC280">
        <f t="shared" ca="1" si="148"/>
        <v>482.07306851378365</v>
      </c>
      <c r="AD280">
        <f t="shared" ca="1" si="149"/>
        <v>280.07692026646265</v>
      </c>
      <c r="AE280">
        <f t="shared" ca="1" si="150"/>
        <v>1019.7665564573041</v>
      </c>
      <c r="AF280">
        <f t="shared" ca="1" si="151"/>
        <v>482.25887083179032</v>
      </c>
      <c r="AG280">
        <f t="shared" ca="1" si="152"/>
        <v>0</v>
      </c>
      <c r="AH280">
        <f ca="1">IF(V32="Supercritical",L280,IF(V32="Subcritical",W280,IF(AND(V280=1,AG280=1),IF(T280&gt;=AE280,L280,W280),IF(V280=1,L280,IF(AG280=1,W280,MAX($D$16,POWER((ABS(K280)^2)/($I$5*MAX(F280,0.1)^2),1/3)))))))</f>
        <v>2.1403668656741068</v>
      </c>
      <c r="AI280">
        <f t="shared" ca="1" si="153"/>
        <v>634.63736686567404</v>
      </c>
      <c r="AJ280">
        <f t="shared" ca="1" si="154"/>
        <v>635.70755029851114</v>
      </c>
      <c r="AM280">
        <v>0</v>
      </c>
      <c r="AN280">
        <v>0</v>
      </c>
      <c r="AO280">
        <f t="shared" si="155"/>
        <v>0</v>
      </c>
      <c r="AP280">
        <f t="shared" si="164"/>
        <v>0</v>
      </c>
      <c r="AQ280">
        <f t="shared" ca="1" si="156"/>
        <v>0.99999999999999978</v>
      </c>
      <c r="AR280" t="str">
        <f t="shared" ca="1" si="157"/>
        <v>Supercritical</v>
      </c>
      <c r="AS280">
        <f t="shared" ca="1" si="158"/>
        <v>3.8148159832266538E-3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191</v>
      </c>
      <c r="I281">
        <v>5.7000000000000002E-2</v>
      </c>
      <c r="J281">
        <f t="shared" si="159"/>
        <v>1</v>
      </c>
      <c r="K281">
        <f t="shared" si="160"/>
        <v>51</v>
      </c>
      <c r="L281">
        <f t="shared" ca="1" si="161"/>
        <v>0.05</v>
      </c>
      <c r="M281">
        <f t="shared" ca="1" si="134"/>
        <v>0.26</v>
      </c>
      <c r="N281">
        <f t="shared" ca="1" si="135"/>
        <v>4.9056603773584909E-2</v>
      </c>
      <c r="O281">
        <f t="shared" ca="1" si="136"/>
        <v>196.15384615384616</v>
      </c>
      <c r="P281">
        <f t="shared" ca="1" si="137"/>
        <v>632.54649999999992</v>
      </c>
      <c r="Q281">
        <f t="shared" ca="1" si="138"/>
        <v>2593.6235316486618</v>
      </c>
      <c r="R281">
        <f t="shared" ca="1" si="139"/>
        <v>482.07306851378365</v>
      </c>
      <c r="S281">
        <f t="shared" ca="1" si="140"/>
        <v>280.07692026646265</v>
      </c>
      <c r="T281">
        <f t="shared" ca="1" si="141"/>
        <v>1019.7665564573041</v>
      </c>
      <c r="U281">
        <f t="shared" ca="1" si="162"/>
        <v>-482.25887083179032</v>
      </c>
      <c r="V281">
        <f t="shared" ca="1" si="163"/>
        <v>0</v>
      </c>
      <c r="W281">
        <f t="shared" ca="1" si="142"/>
        <v>0.05</v>
      </c>
      <c r="X281">
        <f t="shared" ca="1" si="143"/>
        <v>0.26</v>
      </c>
      <c r="Y281">
        <f t="shared" ca="1" si="144"/>
        <v>4.9056603773584909E-2</v>
      </c>
      <c r="Z281">
        <f t="shared" ca="1" si="145"/>
        <v>196.15384615384616</v>
      </c>
      <c r="AA281">
        <f t="shared" ca="1" si="146"/>
        <v>632.54649999999992</v>
      </c>
      <c r="AB281">
        <f t="shared" ca="1" si="147"/>
        <v>2593.6235316486618</v>
      </c>
      <c r="AC281">
        <f t="shared" ca="1" si="148"/>
        <v>482.07306851378365</v>
      </c>
      <c r="AD281">
        <f t="shared" ca="1" si="149"/>
        <v>280.07692026646265</v>
      </c>
      <c r="AE281">
        <f t="shared" ca="1" si="150"/>
        <v>1019.7665564573041</v>
      </c>
      <c r="AF281">
        <f t="shared" ca="1" si="151"/>
        <v>482.07256851378406</v>
      </c>
      <c r="AG281">
        <f t="shared" ca="1" si="152"/>
        <v>0</v>
      </c>
      <c r="AH281">
        <f ca="1">IF(V32="Supercritical",L281,IF(V32="Subcritical",W281,IF(AND(V281=1,AG281=1),IF(T281&gt;=AE281,L281,W281),IF(V281=1,L281,IF(AG281=1,W281,MAX($D$16,POWER((ABS(K281)^2)/($I$5*MAX(F281,0.1)^2),1/3)))))))</f>
        <v>2.1403668656741068</v>
      </c>
      <c r="AI281">
        <f t="shared" ca="1" si="153"/>
        <v>634.63686686567405</v>
      </c>
      <c r="AJ281">
        <f t="shared" ca="1" si="154"/>
        <v>635.70705029851115</v>
      </c>
      <c r="AM281">
        <v>0</v>
      </c>
      <c r="AN281">
        <v>0</v>
      </c>
      <c r="AO281">
        <f t="shared" si="155"/>
        <v>0</v>
      </c>
      <c r="AP281">
        <f t="shared" si="164"/>
        <v>0</v>
      </c>
      <c r="AQ281">
        <f t="shared" ca="1" si="156"/>
        <v>0.99999999999999978</v>
      </c>
      <c r="AR281" t="str">
        <f t="shared" ca="1" si="157"/>
        <v>Supercritical</v>
      </c>
      <c r="AS281">
        <f t="shared" ca="1" si="158"/>
        <v>3.8148159832266538E-3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191</v>
      </c>
      <c r="I282">
        <v>0</v>
      </c>
      <c r="J282">
        <f t="shared" si="159"/>
        <v>1</v>
      </c>
      <c r="K282">
        <f t="shared" si="160"/>
        <v>51</v>
      </c>
      <c r="L282">
        <f t="shared" ca="1" si="161"/>
        <v>0.05</v>
      </c>
      <c r="M282">
        <f t="shared" ca="1" si="134"/>
        <v>0.26</v>
      </c>
      <c r="N282">
        <f t="shared" ca="1" si="135"/>
        <v>4.9056603773584909E-2</v>
      </c>
      <c r="O282">
        <f t="shared" ca="1" si="136"/>
        <v>196.15384615384616</v>
      </c>
      <c r="P282">
        <f t="shared" ca="1" si="137"/>
        <v>632.54599999999994</v>
      </c>
      <c r="Q282">
        <f t="shared" ca="1" si="138"/>
        <v>2593.6230316486622</v>
      </c>
      <c r="R282">
        <f t="shared" ca="1" si="139"/>
        <v>482.07306851378365</v>
      </c>
      <c r="S282">
        <f t="shared" ca="1" si="140"/>
        <v>280.07692026646265</v>
      </c>
      <c r="T282">
        <f t="shared" ca="1" si="141"/>
        <v>1019.7665564573041</v>
      </c>
      <c r="U282">
        <f t="shared" ca="1" si="162"/>
        <v>-482.07256851378406</v>
      </c>
      <c r="V282">
        <f t="shared" ca="1" si="163"/>
        <v>0</v>
      </c>
      <c r="W282">
        <f t="shared" ca="1" si="142"/>
        <v>0.05</v>
      </c>
      <c r="X282">
        <f t="shared" ca="1" si="143"/>
        <v>0.26</v>
      </c>
      <c r="Y282">
        <f t="shared" ca="1" si="144"/>
        <v>4.9056603773584909E-2</v>
      </c>
      <c r="Z282">
        <f t="shared" ca="1" si="145"/>
        <v>196.15384615384616</v>
      </c>
      <c r="AA282">
        <f t="shared" ca="1" si="146"/>
        <v>632.54599999999994</v>
      </c>
      <c r="AB282">
        <f t="shared" ca="1" si="147"/>
        <v>2593.6230316486622</v>
      </c>
      <c r="AC282">
        <f t="shared" ca="1" si="148"/>
        <v>482.07306851378365</v>
      </c>
      <c r="AD282">
        <f t="shared" ca="1" si="149"/>
        <v>280.07692026646265</v>
      </c>
      <c r="AE282">
        <f t="shared" ca="1" si="150"/>
        <v>1019.7665564573041</v>
      </c>
      <c r="AF282">
        <f t="shared" ca="1" si="151"/>
        <v>482.74094390030632</v>
      </c>
      <c r="AG282">
        <f t="shared" ca="1" si="152"/>
        <v>0</v>
      </c>
      <c r="AH282">
        <f ca="1">IF(V32="Supercritical",L282,IF(V32="Subcritical",W282,IF(AND(V282=1,AG282=1),IF(T282&gt;=AE282,L282,W282),IF(V282=1,L282,IF(AG282=1,W282,MAX($D$16,POWER((ABS(K282)^2)/($I$5*MAX(F282,0.1)^2),1/3)))))))</f>
        <v>2.1403668656741068</v>
      </c>
      <c r="AI282">
        <f t="shared" ca="1" si="153"/>
        <v>634.63636686567406</v>
      </c>
      <c r="AJ282">
        <f t="shared" ca="1" si="154"/>
        <v>635.70655029851116</v>
      </c>
      <c r="AM282">
        <v>0</v>
      </c>
      <c r="AN282">
        <v>0</v>
      </c>
      <c r="AO282">
        <f t="shared" si="155"/>
        <v>0</v>
      </c>
      <c r="AP282">
        <f t="shared" si="164"/>
        <v>0</v>
      </c>
      <c r="AQ282">
        <f t="shared" ca="1" si="156"/>
        <v>0.99999999999999978</v>
      </c>
      <c r="AR282" t="str">
        <f t="shared" ca="1" si="157"/>
        <v>Supercritical</v>
      </c>
      <c r="AS282">
        <f t="shared" ca="1" si="158"/>
        <v>3.8148159832266538E-3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191</v>
      </c>
      <c r="I283">
        <v>5.7000000000000002E-2</v>
      </c>
      <c r="J283">
        <f t="shared" si="159"/>
        <v>1.0010000000000048</v>
      </c>
      <c r="K283">
        <f t="shared" si="160"/>
        <v>51</v>
      </c>
      <c r="L283">
        <f t="shared" ca="1" si="161"/>
        <v>0.05</v>
      </c>
      <c r="M283">
        <f t="shared" ca="1" si="134"/>
        <v>0.26</v>
      </c>
      <c r="N283">
        <f t="shared" ca="1" si="135"/>
        <v>4.9056603773584909E-2</v>
      </c>
      <c r="O283">
        <f t="shared" ca="1" si="136"/>
        <v>196.15384615384616</v>
      </c>
      <c r="P283">
        <f t="shared" ca="1" si="137"/>
        <v>632.54549999999995</v>
      </c>
      <c r="Q283">
        <f t="shared" ca="1" si="138"/>
        <v>2593.6225316486621</v>
      </c>
      <c r="R283">
        <f t="shared" ca="1" si="139"/>
        <v>482.07306851378365</v>
      </c>
      <c r="S283">
        <f t="shared" ca="1" si="140"/>
        <v>280.07692026646265</v>
      </c>
      <c r="T283">
        <f t="shared" ca="1" si="141"/>
        <v>1019.7665564573041</v>
      </c>
      <c r="U283">
        <f t="shared" ca="1" si="162"/>
        <v>-482.74094390030632</v>
      </c>
      <c r="V283">
        <f t="shared" ca="1" si="163"/>
        <v>0</v>
      </c>
      <c r="W283">
        <f t="shared" ca="1" si="142"/>
        <v>0.05</v>
      </c>
      <c r="X283">
        <f t="shared" ca="1" si="143"/>
        <v>0.26</v>
      </c>
      <c r="Y283">
        <f t="shared" ca="1" si="144"/>
        <v>4.9056603773584909E-2</v>
      </c>
      <c r="Z283">
        <f t="shared" ca="1" si="145"/>
        <v>196.15384615384616</v>
      </c>
      <c r="AA283">
        <f t="shared" ca="1" si="146"/>
        <v>632.54549999999995</v>
      </c>
      <c r="AB283">
        <f t="shared" ca="1" si="147"/>
        <v>2593.6225316486621</v>
      </c>
      <c r="AC283">
        <f t="shared" ca="1" si="148"/>
        <v>482.07306851378365</v>
      </c>
      <c r="AD283">
        <f t="shared" ca="1" si="149"/>
        <v>280.07692026646265</v>
      </c>
      <c r="AE283">
        <f t="shared" ca="1" si="150"/>
        <v>1019.7665564573041</v>
      </c>
      <c r="AF283">
        <f t="shared" ca="1" si="151"/>
        <v>482.26867621694828</v>
      </c>
      <c r="AG283">
        <f t="shared" ca="1" si="152"/>
        <v>0</v>
      </c>
      <c r="AH283">
        <f ca="1">IF(V32="Supercritical",L283,IF(V32="Subcritical",W283,IF(AND(V283=1,AG283=1),IF(T283&gt;=AE283,L283,W283),IF(V283=1,L283,IF(AG283=1,W283,MAX($D$16,POWER((ABS(K283)^2)/($I$5*MAX(F283,0.1)^2),1/3)))))))</f>
        <v>2.1403668656741068</v>
      </c>
      <c r="AI283">
        <f t="shared" ca="1" si="153"/>
        <v>634.63586686567407</v>
      </c>
      <c r="AJ283">
        <f t="shared" ca="1" si="154"/>
        <v>635.70605029851117</v>
      </c>
      <c r="AM283">
        <v>0</v>
      </c>
      <c r="AN283">
        <v>0</v>
      </c>
      <c r="AO283">
        <f t="shared" si="155"/>
        <v>0</v>
      </c>
      <c r="AP283">
        <f t="shared" si="164"/>
        <v>0</v>
      </c>
      <c r="AQ283">
        <f t="shared" ca="1" si="156"/>
        <v>0.99999999999999978</v>
      </c>
      <c r="AR283" t="str">
        <f t="shared" ca="1" si="157"/>
        <v>Supercritical</v>
      </c>
      <c r="AS283">
        <f t="shared" ca="1" si="158"/>
        <v>3.8148159832266538E-3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191</v>
      </c>
      <c r="I284">
        <v>0.06</v>
      </c>
      <c r="J284">
        <f t="shared" si="159"/>
        <v>1</v>
      </c>
      <c r="K284">
        <f t="shared" si="160"/>
        <v>51</v>
      </c>
      <c r="L284">
        <f t="shared" ca="1" si="161"/>
        <v>0.05</v>
      </c>
      <c r="M284">
        <f t="shared" ca="1" si="134"/>
        <v>0.26</v>
      </c>
      <c r="N284">
        <f t="shared" ca="1" si="135"/>
        <v>4.9056603773584909E-2</v>
      </c>
      <c r="O284">
        <f t="shared" ca="1" si="136"/>
        <v>196.15384615384616</v>
      </c>
      <c r="P284">
        <f t="shared" ca="1" si="137"/>
        <v>632.54499999999996</v>
      </c>
      <c r="Q284">
        <f t="shared" ca="1" si="138"/>
        <v>2593.622031648662</v>
      </c>
      <c r="R284">
        <f t="shared" ca="1" si="139"/>
        <v>482.07306851378365</v>
      </c>
      <c r="S284">
        <f t="shared" ca="1" si="140"/>
        <v>280.07692026646265</v>
      </c>
      <c r="T284">
        <f t="shared" ca="1" si="141"/>
        <v>1019.7665564573041</v>
      </c>
      <c r="U284">
        <f t="shared" ca="1" si="162"/>
        <v>-482.26867621694828</v>
      </c>
      <c r="V284">
        <f t="shared" ca="1" si="163"/>
        <v>0</v>
      </c>
      <c r="W284">
        <f t="shared" ca="1" si="142"/>
        <v>0.05</v>
      </c>
      <c r="X284">
        <f t="shared" ca="1" si="143"/>
        <v>0.26</v>
      </c>
      <c r="Y284">
        <f t="shared" ca="1" si="144"/>
        <v>4.9056603773584909E-2</v>
      </c>
      <c r="Z284">
        <f t="shared" ca="1" si="145"/>
        <v>196.15384615384616</v>
      </c>
      <c r="AA284">
        <f t="shared" ca="1" si="146"/>
        <v>632.54499999999996</v>
      </c>
      <c r="AB284">
        <f t="shared" ca="1" si="147"/>
        <v>2593.622031648662</v>
      </c>
      <c r="AC284">
        <f t="shared" ca="1" si="148"/>
        <v>482.07306851378365</v>
      </c>
      <c r="AD284">
        <f t="shared" ca="1" si="149"/>
        <v>280.07692026646265</v>
      </c>
      <c r="AE284">
        <f t="shared" ca="1" si="150"/>
        <v>1019.7665564573041</v>
      </c>
      <c r="AF284">
        <f t="shared" ca="1" si="151"/>
        <v>481.78660314843273</v>
      </c>
      <c r="AG284">
        <f t="shared" ca="1" si="152"/>
        <v>0</v>
      </c>
      <c r="AH284">
        <f ca="1">IF(V32="Supercritical",L284,IF(V32="Subcritical",W284,IF(AND(V284=1,AG284=1),IF(T284&gt;=AE284,L284,W284),IF(V284=1,L284,IF(AG284=1,W284,MAX($D$16,POWER((ABS(K284)^2)/($I$5*MAX(F284,0.1)^2),1/3)))))))</f>
        <v>2.1403668656741068</v>
      </c>
      <c r="AI284">
        <f t="shared" ca="1" si="153"/>
        <v>634.63536686567409</v>
      </c>
      <c r="AJ284">
        <f t="shared" ca="1" si="154"/>
        <v>635.70555029851118</v>
      </c>
      <c r="AM284">
        <v>0</v>
      </c>
      <c r="AN284">
        <v>0</v>
      </c>
      <c r="AO284">
        <f t="shared" si="155"/>
        <v>0</v>
      </c>
      <c r="AP284">
        <f t="shared" si="164"/>
        <v>0</v>
      </c>
      <c r="AQ284">
        <f t="shared" ca="1" si="156"/>
        <v>0.99999999999999978</v>
      </c>
      <c r="AR284" t="str">
        <f t="shared" ca="1" si="157"/>
        <v>Supercritical</v>
      </c>
      <c r="AS284">
        <f t="shared" ca="1" si="158"/>
        <v>3.8148159832266538E-3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191</v>
      </c>
      <c r="I285">
        <v>0.06</v>
      </c>
      <c r="J285">
        <f t="shared" si="159"/>
        <v>0.99899999999999523</v>
      </c>
      <c r="K285">
        <f t="shared" si="160"/>
        <v>51</v>
      </c>
      <c r="L285">
        <f t="shared" ca="1" si="161"/>
        <v>0.05</v>
      </c>
      <c r="M285">
        <f t="shared" ca="1" si="134"/>
        <v>0.26</v>
      </c>
      <c r="N285">
        <f t="shared" ca="1" si="135"/>
        <v>4.9056603773584909E-2</v>
      </c>
      <c r="O285">
        <f t="shared" ca="1" si="136"/>
        <v>196.15384615384616</v>
      </c>
      <c r="P285">
        <f t="shared" ca="1" si="137"/>
        <v>632.54449999999997</v>
      </c>
      <c r="Q285">
        <f t="shared" ca="1" si="138"/>
        <v>2593.6215316486623</v>
      </c>
      <c r="R285">
        <f t="shared" ca="1" si="139"/>
        <v>482.07306851378365</v>
      </c>
      <c r="S285">
        <f t="shared" ca="1" si="140"/>
        <v>280.07692026646265</v>
      </c>
      <c r="T285">
        <f t="shared" ca="1" si="141"/>
        <v>1019.7665564573041</v>
      </c>
      <c r="U285">
        <f t="shared" ca="1" si="162"/>
        <v>-481.78660314843273</v>
      </c>
      <c r="V285">
        <f t="shared" ca="1" si="163"/>
        <v>0</v>
      </c>
      <c r="W285">
        <f t="shared" ca="1" si="142"/>
        <v>0.05</v>
      </c>
      <c r="X285">
        <f t="shared" ca="1" si="143"/>
        <v>0.26</v>
      </c>
      <c r="Y285">
        <f t="shared" ca="1" si="144"/>
        <v>4.9056603773584909E-2</v>
      </c>
      <c r="Z285">
        <f t="shared" ca="1" si="145"/>
        <v>196.15384615384616</v>
      </c>
      <c r="AA285">
        <f t="shared" ca="1" si="146"/>
        <v>632.54449999999997</v>
      </c>
      <c r="AB285">
        <f t="shared" ca="1" si="147"/>
        <v>2593.6215316486623</v>
      </c>
      <c r="AC285">
        <f t="shared" ca="1" si="148"/>
        <v>482.07306851378365</v>
      </c>
      <c r="AD285">
        <f t="shared" ca="1" si="149"/>
        <v>280.07692026646265</v>
      </c>
      <c r="AE285">
        <f t="shared" ca="1" si="150"/>
        <v>1019.7665564573041</v>
      </c>
      <c r="AF285">
        <f t="shared" ca="1" si="151"/>
        <v>482.25887083179032</v>
      </c>
      <c r="AG285">
        <f t="shared" ca="1" si="152"/>
        <v>0</v>
      </c>
      <c r="AH285">
        <f ca="1">IF(V32="Supercritical",L285,IF(V32="Subcritical",W285,IF(AND(V285=1,AG285=1),IF(T285&gt;=AE285,L285,W285),IF(V285=1,L285,IF(AG285=1,W285,MAX($D$16,POWER((ABS(K285)^2)/($I$5*MAX(F285,0.1)^2),1/3)))))))</f>
        <v>2.1403668656741068</v>
      </c>
      <c r="AI285">
        <f t="shared" ca="1" si="153"/>
        <v>634.6348668656741</v>
      </c>
      <c r="AJ285">
        <f t="shared" ca="1" si="154"/>
        <v>635.7050502985112</v>
      </c>
      <c r="AM285">
        <v>0</v>
      </c>
      <c r="AN285">
        <v>0</v>
      </c>
      <c r="AO285">
        <f t="shared" si="155"/>
        <v>0</v>
      </c>
      <c r="AP285">
        <f t="shared" si="164"/>
        <v>0</v>
      </c>
      <c r="AQ285">
        <f t="shared" ca="1" si="156"/>
        <v>0.99999999999999978</v>
      </c>
      <c r="AR285" t="str">
        <f t="shared" ca="1" si="157"/>
        <v>Supercritical</v>
      </c>
      <c r="AS285">
        <f t="shared" ca="1" si="158"/>
        <v>3.8148159832266538E-3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191</v>
      </c>
      <c r="I286">
        <v>5.7000000000000002E-2</v>
      </c>
      <c r="J286">
        <f t="shared" si="159"/>
        <v>1</v>
      </c>
      <c r="K286">
        <f t="shared" si="160"/>
        <v>51</v>
      </c>
      <c r="L286">
        <f t="shared" ca="1" si="161"/>
        <v>0.05</v>
      </c>
      <c r="M286">
        <f t="shared" ca="1" si="134"/>
        <v>0.26</v>
      </c>
      <c r="N286">
        <f t="shared" ca="1" si="135"/>
        <v>4.9056603773584909E-2</v>
      </c>
      <c r="O286">
        <f t="shared" ca="1" si="136"/>
        <v>196.15384615384616</v>
      </c>
      <c r="P286">
        <f t="shared" ca="1" si="137"/>
        <v>632.54399999999998</v>
      </c>
      <c r="Q286">
        <f t="shared" ca="1" si="138"/>
        <v>2593.6210316486622</v>
      </c>
      <c r="R286">
        <f t="shared" ca="1" si="139"/>
        <v>482.07306851378365</v>
      </c>
      <c r="S286">
        <f t="shared" ca="1" si="140"/>
        <v>280.07692026646265</v>
      </c>
      <c r="T286">
        <f t="shared" ca="1" si="141"/>
        <v>1019.7665564573041</v>
      </c>
      <c r="U286">
        <f t="shared" ca="1" si="162"/>
        <v>-482.25887083179032</v>
      </c>
      <c r="V286">
        <f t="shared" ca="1" si="163"/>
        <v>0</v>
      </c>
      <c r="W286">
        <f t="shared" ca="1" si="142"/>
        <v>0.05</v>
      </c>
      <c r="X286">
        <f t="shared" ca="1" si="143"/>
        <v>0.26</v>
      </c>
      <c r="Y286">
        <f t="shared" ca="1" si="144"/>
        <v>4.9056603773584909E-2</v>
      </c>
      <c r="Z286">
        <f t="shared" ca="1" si="145"/>
        <v>196.15384615384616</v>
      </c>
      <c r="AA286">
        <f t="shared" ca="1" si="146"/>
        <v>632.54399999999998</v>
      </c>
      <c r="AB286">
        <f t="shared" ca="1" si="147"/>
        <v>2593.6210316486622</v>
      </c>
      <c r="AC286">
        <f t="shared" ca="1" si="148"/>
        <v>482.07306851378365</v>
      </c>
      <c r="AD286">
        <f t="shared" ca="1" si="149"/>
        <v>280.07692026646265</v>
      </c>
      <c r="AE286">
        <f t="shared" ca="1" si="150"/>
        <v>1019.7665564573041</v>
      </c>
      <c r="AF286">
        <f t="shared" ca="1" si="151"/>
        <v>482.07256851378361</v>
      </c>
      <c r="AG286">
        <f t="shared" ca="1" si="152"/>
        <v>0</v>
      </c>
      <c r="AH286">
        <f ca="1">IF(V32="Supercritical",L286,IF(V32="Subcritical",W286,IF(AND(V286=1,AG286=1),IF(T286&gt;=AE286,L286,W286),IF(V286=1,L286,IF(AG286=1,W286,MAX($D$16,POWER((ABS(K286)^2)/($I$5*MAX(F286,0.1)^2),1/3)))))))</f>
        <v>2.1403668656741068</v>
      </c>
      <c r="AI286">
        <f t="shared" ca="1" si="153"/>
        <v>634.63436686567411</v>
      </c>
      <c r="AJ286">
        <f t="shared" ca="1" si="154"/>
        <v>635.70455029851121</v>
      </c>
      <c r="AM286">
        <v>0</v>
      </c>
      <c r="AN286">
        <v>0</v>
      </c>
      <c r="AO286">
        <f t="shared" si="155"/>
        <v>0</v>
      </c>
      <c r="AP286">
        <f t="shared" si="164"/>
        <v>0</v>
      </c>
      <c r="AQ286">
        <f t="shared" ca="1" si="156"/>
        <v>0.99999999999999978</v>
      </c>
      <c r="AR286" t="str">
        <f t="shared" ca="1" si="157"/>
        <v>Supercritical</v>
      </c>
      <c r="AS286">
        <f t="shared" ca="1" si="158"/>
        <v>3.8148159832266538E-3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191</v>
      </c>
      <c r="I287">
        <v>0</v>
      </c>
      <c r="J287">
        <f t="shared" si="159"/>
        <v>1</v>
      </c>
      <c r="K287">
        <f t="shared" si="160"/>
        <v>51</v>
      </c>
      <c r="L287">
        <f t="shared" ca="1" si="161"/>
        <v>0.05</v>
      </c>
      <c r="M287">
        <f t="shared" ca="1" si="134"/>
        <v>0.26</v>
      </c>
      <c r="N287">
        <f t="shared" ca="1" si="135"/>
        <v>4.9056603773584909E-2</v>
      </c>
      <c r="O287">
        <f t="shared" ca="1" si="136"/>
        <v>196.15384615384616</v>
      </c>
      <c r="P287">
        <f t="shared" ca="1" si="137"/>
        <v>632.54349999999999</v>
      </c>
      <c r="Q287">
        <f t="shared" ca="1" si="138"/>
        <v>2593.6205316486621</v>
      </c>
      <c r="R287">
        <f t="shared" ca="1" si="139"/>
        <v>482.07306851378365</v>
      </c>
      <c r="S287">
        <f t="shared" ca="1" si="140"/>
        <v>280.07692026646265</v>
      </c>
      <c r="T287">
        <f t="shared" ca="1" si="141"/>
        <v>1019.7665564573041</v>
      </c>
      <c r="U287">
        <f t="shared" ca="1" si="162"/>
        <v>-482.07256851378361</v>
      </c>
      <c r="V287">
        <f t="shared" ca="1" si="163"/>
        <v>0</v>
      </c>
      <c r="W287">
        <f t="shared" ca="1" si="142"/>
        <v>0.05</v>
      </c>
      <c r="X287">
        <f t="shared" ca="1" si="143"/>
        <v>0.26</v>
      </c>
      <c r="Y287">
        <f t="shared" ca="1" si="144"/>
        <v>4.9056603773584909E-2</v>
      </c>
      <c r="Z287">
        <f t="shared" ca="1" si="145"/>
        <v>196.15384615384616</v>
      </c>
      <c r="AA287">
        <f t="shared" ca="1" si="146"/>
        <v>632.54349999999999</v>
      </c>
      <c r="AB287">
        <f t="shared" ca="1" si="147"/>
        <v>2593.6205316486621</v>
      </c>
      <c r="AC287">
        <f t="shared" ca="1" si="148"/>
        <v>482.07306851378365</v>
      </c>
      <c r="AD287">
        <f t="shared" ca="1" si="149"/>
        <v>280.07692026646265</v>
      </c>
      <c r="AE287">
        <f t="shared" ca="1" si="150"/>
        <v>1019.7665564573041</v>
      </c>
      <c r="AF287">
        <f t="shared" ca="1" si="151"/>
        <v>482.25887083179032</v>
      </c>
      <c r="AG287">
        <f t="shared" ca="1" si="152"/>
        <v>0</v>
      </c>
      <c r="AH287">
        <f ca="1">IF(V32="Supercritical",L287,IF(V32="Subcritical",W287,IF(AND(V287=1,AG287=1),IF(T287&gt;=AE287,L287,W287),IF(V287=1,L287,IF(AG287=1,W287,MAX($D$16,POWER((ABS(K287)^2)/($I$5*MAX(F287,0.1)^2),1/3)))))))</f>
        <v>2.1403668656741068</v>
      </c>
      <c r="AI287">
        <f t="shared" ca="1" si="153"/>
        <v>634.63386686567412</v>
      </c>
      <c r="AJ287">
        <f t="shared" ca="1" si="154"/>
        <v>635.70405029851122</v>
      </c>
      <c r="AM287">
        <v>0</v>
      </c>
      <c r="AN287">
        <v>0</v>
      </c>
      <c r="AO287">
        <f t="shared" si="155"/>
        <v>0</v>
      </c>
      <c r="AP287">
        <f t="shared" si="164"/>
        <v>0</v>
      </c>
      <c r="AQ287">
        <f t="shared" ca="1" si="156"/>
        <v>0.99999999999999978</v>
      </c>
      <c r="AR287" t="str">
        <f t="shared" ca="1" si="157"/>
        <v>Supercritical</v>
      </c>
      <c r="AS287">
        <f t="shared" ca="1" si="158"/>
        <v>3.8148159832266538E-3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191</v>
      </c>
      <c r="I288">
        <v>5.7000000000000002E-2</v>
      </c>
      <c r="J288">
        <f t="shared" si="159"/>
        <v>1</v>
      </c>
      <c r="K288">
        <f t="shared" si="160"/>
        <v>51</v>
      </c>
      <c r="L288">
        <f t="shared" ca="1" si="161"/>
        <v>0.05</v>
      </c>
      <c r="M288">
        <f t="shared" ca="1" si="134"/>
        <v>0.26</v>
      </c>
      <c r="N288">
        <f t="shared" ca="1" si="135"/>
        <v>4.9056603773584909E-2</v>
      </c>
      <c r="O288">
        <f t="shared" ca="1" si="136"/>
        <v>196.15384615384616</v>
      </c>
      <c r="P288">
        <f t="shared" ca="1" si="137"/>
        <v>632.54300000000001</v>
      </c>
      <c r="Q288">
        <f t="shared" ca="1" si="138"/>
        <v>2593.620031648662</v>
      </c>
      <c r="R288">
        <f t="shared" ca="1" si="139"/>
        <v>482.07306851378365</v>
      </c>
      <c r="S288">
        <f t="shared" ca="1" si="140"/>
        <v>280.07692026646265</v>
      </c>
      <c r="T288">
        <f t="shared" ca="1" si="141"/>
        <v>1019.7665564573041</v>
      </c>
      <c r="U288">
        <f t="shared" ca="1" si="162"/>
        <v>-482.25887083179032</v>
      </c>
      <c r="V288">
        <f t="shared" ca="1" si="163"/>
        <v>0</v>
      </c>
      <c r="W288">
        <f t="shared" ca="1" si="142"/>
        <v>0.05</v>
      </c>
      <c r="X288">
        <f t="shared" ca="1" si="143"/>
        <v>0.26</v>
      </c>
      <c r="Y288">
        <f t="shared" ca="1" si="144"/>
        <v>4.9056603773584909E-2</v>
      </c>
      <c r="Z288">
        <f t="shared" ca="1" si="145"/>
        <v>196.15384615384616</v>
      </c>
      <c r="AA288">
        <f t="shared" ca="1" si="146"/>
        <v>632.54300000000001</v>
      </c>
      <c r="AB288">
        <f t="shared" ca="1" si="147"/>
        <v>2593.620031648662</v>
      </c>
      <c r="AC288">
        <f t="shared" ca="1" si="148"/>
        <v>482.07306851378365</v>
      </c>
      <c r="AD288">
        <f t="shared" ca="1" si="149"/>
        <v>280.07692026646265</v>
      </c>
      <c r="AE288">
        <f t="shared" ca="1" si="150"/>
        <v>1019.7665564573041</v>
      </c>
      <c r="AF288">
        <f t="shared" ca="1" si="151"/>
        <v>482.25887083179032</v>
      </c>
      <c r="AG288">
        <f t="shared" ca="1" si="152"/>
        <v>0</v>
      </c>
      <c r="AH288">
        <f ca="1">IF(V32="Supercritical",L288,IF(V32="Subcritical",W288,IF(AND(V288=1,AG288=1),IF(T288&gt;=AE288,L288,W288),IF(V288=1,L288,IF(AG288=1,W288,MAX($D$16,POWER((ABS(K288)^2)/($I$5*MAX(F288,0.1)^2),1/3)))))))</f>
        <v>2.1403668656741068</v>
      </c>
      <c r="AI288">
        <f t="shared" ca="1" si="153"/>
        <v>634.63336686567413</v>
      </c>
      <c r="AJ288">
        <f t="shared" ca="1" si="154"/>
        <v>635.70355029851123</v>
      </c>
      <c r="AM288">
        <v>0</v>
      </c>
      <c r="AN288">
        <v>0</v>
      </c>
      <c r="AO288">
        <f t="shared" si="155"/>
        <v>0</v>
      </c>
      <c r="AP288">
        <f t="shared" si="164"/>
        <v>0</v>
      </c>
      <c r="AQ288">
        <f t="shared" ca="1" si="156"/>
        <v>0.99999999999999978</v>
      </c>
      <c r="AR288" t="str">
        <f t="shared" ca="1" si="157"/>
        <v>Supercritical</v>
      </c>
      <c r="AS288">
        <f t="shared" ca="1" si="158"/>
        <v>3.8148159832266538E-3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191</v>
      </c>
      <c r="I289">
        <v>5.7000000000000002E-2</v>
      </c>
      <c r="J289">
        <f t="shared" si="159"/>
        <v>1</v>
      </c>
      <c r="K289">
        <f t="shared" si="160"/>
        <v>51</v>
      </c>
      <c r="L289">
        <f t="shared" ca="1" si="161"/>
        <v>0.05</v>
      </c>
      <c r="M289">
        <f t="shared" ca="1" si="134"/>
        <v>0.26</v>
      </c>
      <c r="N289">
        <f t="shared" ca="1" si="135"/>
        <v>4.9056603773584909E-2</v>
      </c>
      <c r="O289">
        <f t="shared" ca="1" si="136"/>
        <v>196.15384615384616</v>
      </c>
      <c r="P289">
        <f t="shared" ca="1" si="137"/>
        <v>632.5424999999999</v>
      </c>
      <c r="Q289">
        <f t="shared" ca="1" si="138"/>
        <v>2593.6195316486619</v>
      </c>
      <c r="R289">
        <f t="shared" ca="1" si="139"/>
        <v>482.07306851378365</v>
      </c>
      <c r="S289">
        <f t="shared" ca="1" si="140"/>
        <v>280.07692026646265</v>
      </c>
      <c r="T289">
        <f t="shared" ca="1" si="141"/>
        <v>1019.7665564573041</v>
      </c>
      <c r="U289">
        <f t="shared" ca="1" si="162"/>
        <v>-482.25887083179032</v>
      </c>
      <c r="V289">
        <f t="shared" ca="1" si="163"/>
        <v>0</v>
      </c>
      <c r="W289">
        <f t="shared" ca="1" si="142"/>
        <v>0.05</v>
      </c>
      <c r="X289">
        <f t="shared" ca="1" si="143"/>
        <v>0.26</v>
      </c>
      <c r="Y289">
        <f t="shared" ca="1" si="144"/>
        <v>4.9056603773584909E-2</v>
      </c>
      <c r="Z289">
        <f t="shared" ca="1" si="145"/>
        <v>196.15384615384616</v>
      </c>
      <c r="AA289">
        <f t="shared" ca="1" si="146"/>
        <v>632.5424999999999</v>
      </c>
      <c r="AB289">
        <f t="shared" ca="1" si="147"/>
        <v>2593.6195316486619</v>
      </c>
      <c r="AC289">
        <f t="shared" ca="1" si="148"/>
        <v>482.07306851378365</v>
      </c>
      <c r="AD289">
        <f t="shared" ca="1" si="149"/>
        <v>280.07692026646265</v>
      </c>
      <c r="AE289">
        <f t="shared" ca="1" si="150"/>
        <v>1019.7665564573041</v>
      </c>
      <c r="AF289">
        <f t="shared" ca="1" si="151"/>
        <v>482.07256851378361</v>
      </c>
      <c r="AG289">
        <f t="shared" ca="1" si="152"/>
        <v>0</v>
      </c>
      <c r="AH289">
        <f ca="1">IF(V32="Supercritical",L289,IF(V32="Subcritical",W289,IF(AND(V289=1,AG289=1),IF(T289&gt;=AE289,L289,W289),IF(V289=1,L289,IF(AG289=1,W289,MAX($D$16,POWER((ABS(K289)^2)/($I$5*MAX(F289,0.1)^2),1/3)))))))</f>
        <v>2.1403668656741068</v>
      </c>
      <c r="AI289">
        <f t="shared" ca="1" si="153"/>
        <v>634.63286686567403</v>
      </c>
      <c r="AJ289">
        <f t="shared" ca="1" si="154"/>
        <v>635.70305029851113</v>
      </c>
      <c r="AM289">
        <v>0</v>
      </c>
      <c r="AN289">
        <v>0</v>
      </c>
      <c r="AO289">
        <f t="shared" si="155"/>
        <v>0</v>
      </c>
      <c r="AP289">
        <f t="shared" si="164"/>
        <v>0</v>
      </c>
      <c r="AQ289">
        <f t="shared" ca="1" si="156"/>
        <v>0.99999999999999978</v>
      </c>
      <c r="AR289" t="str">
        <f t="shared" ca="1" si="157"/>
        <v>Supercritical</v>
      </c>
      <c r="AS289">
        <f t="shared" ca="1" si="158"/>
        <v>3.8148159832266538E-3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191</v>
      </c>
      <c r="I290">
        <v>0</v>
      </c>
      <c r="J290">
        <f t="shared" si="159"/>
        <v>1</v>
      </c>
      <c r="K290">
        <f t="shared" si="160"/>
        <v>51</v>
      </c>
      <c r="L290">
        <f t="shared" ca="1" si="161"/>
        <v>0.05</v>
      </c>
      <c r="M290">
        <f t="shared" ca="1" si="134"/>
        <v>0.26</v>
      </c>
      <c r="N290">
        <f t="shared" ca="1" si="135"/>
        <v>4.9056603773584909E-2</v>
      </c>
      <c r="O290">
        <f t="shared" ca="1" si="136"/>
        <v>196.15384615384616</v>
      </c>
      <c r="P290">
        <f t="shared" ca="1" si="137"/>
        <v>632.54199999999992</v>
      </c>
      <c r="Q290">
        <f t="shared" ca="1" si="138"/>
        <v>2593.6190316486618</v>
      </c>
      <c r="R290">
        <f t="shared" ca="1" si="139"/>
        <v>482.07306851378365</v>
      </c>
      <c r="S290">
        <f t="shared" ca="1" si="140"/>
        <v>280.07692026646265</v>
      </c>
      <c r="T290">
        <f t="shared" ca="1" si="141"/>
        <v>1019.7665564573041</v>
      </c>
      <c r="U290">
        <f t="shared" ca="1" si="162"/>
        <v>-482.07256851378361</v>
      </c>
      <c r="V290">
        <f t="shared" ca="1" si="163"/>
        <v>0</v>
      </c>
      <c r="W290">
        <f t="shared" ca="1" si="142"/>
        <v>0.05</v>
      </c>
      <c r="X290">
        <f t="shared" ca="1" si="143"/>
        <v>0.26</v>
      </c>
      <c r="Y290">
        <f t="shared" ca="1" si="144"/>
        <v>4.9056603773584909E-2</v>
      </c>
      <c r="Z290">
        <f t="shared" ca="1" si="145"/>
        <v>196.15384615384616</v>
      </c>
      <c r="AA290">
        <f t="shared" ca="1" si="146"/>
        <v>632.54199999999992</v>
      </c>
      <c r="AB290">
        <f t="shared" ca="1" si="147"/>
        <v>2593.6190316486618</v>
      </c>
      <c r="AC290">
        <f t="shared" ca="1" si="148"/>
        <v>482.07306851378365</v>
      </c>
      <c r="AD290">
        <f t="shared" ca="1" si="149"/>
        <v>280.07692026646265</v>
      </c>
      <c r="AE290">
        <f t="shared" ca="1" si="150"/>
        <v>1019.7665564573041</v>
      </c>
      <c r="AF290">
        <f t="shared" ca="1" si="151"/>
        <v>482.73440697686783</v>
      </c>
      <c r="AG290">
        <f t="shared" ca="1" si="152"/>
        <v>0</v>
      </c>
      <c r="AH290">
        <f ca="1">IF(V32="Supercritical",L290,IF(V32="Subcritical",W290,IF(AND(V290=1,AG290=1),IF(T290&gt;=AE290,L290,W290),IF(V290=1,L290,IF(AG290=1,W290,MAX($D$16,POWER((ABS(K290)^2)/($I$5*MAX(F290,0.1)^2),1/3)))))))</f>
        <v>2.1403668656741068</v>
      </c>
      <c r="AI290">
        <f t="shared" ca="1" si="153"/>
        <v>634.63236686567404</v>
      </c>
      <c r="AJ290">
        <f t="shared" ca="1" si="154"/>
        <v>635.70255029851114</v>
      </c>
      <c r="AM290">
        <v>0</v>
      </c>
      <c r="AN290">
        <v>0</v>
      </c>
      <c r="AO290">
        <f t="shared" si="155"/>
        <v>0</v>
      </c>
      <c r="AP290">
        <f t="shared" si="164"/>
        <v>0</v>
      </c>
      <c r="AQ290">
        <f t="shared" ca="1" si="156"/>
        <v>0.99999999999999978</v>
      </c>
      <c r="AR290" t="str">
        <f t="shared" ca="1" si="157"/>
        <v>Supercritical</v>
      </c>
      <c r="AS290">
        <f t="shared" ca="1" si="158"/>
        <v>3.8148159832266538E-3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191</v>
      </c>
      <c r="I291">
        <v>5.5E-2</v>
      </c>
      <c r="J291">
        <f t="shared" si="159"/>
        <v>1.0010000000000048</v>
      </c>
      <c r="K291">
        <f t="shared" si="160"/>
        <v>51</v>
      </c>
      <c r="L291">
        <f t="shared" ca="1" si="161"/>
        <v>0.05</v>
      </c>
      <c r="M291">
        <f t="shared" ca="1" si="134"/>
        <v>0.26</v>
      </c>
      <c r="N291">
        <f t="shared" ca="1" si="135"/>
        <v>4.9056603773584909E-2</v>
      </c>
      <c r="O291">
        <f t="shared" ca="1" si="136"/>
        <v>196.15384615384616</v>
      </c>
      <c r="P291">
        <f t="shared" ca="1" si="137"/>
        <v>632.54149999999993</v>
      </c>
      <c r="Q291">
        <f t="shared" ca="1" si="138"/>
        <v>2593.6185316486622</v>
      </c>
      <c r="R291">
        <f t="shared" ca="1" si="139"/>
        <v>482.07306851378365</v>
      </c>
      <c r="S291">
        <f t="shared" ca="1" si="140"/>
        <v>280.07692026646265</v>
      </c>
      <c r="T291">
        <f t="shared" ca="1" si="141"/>
        <v>1019.7665564573041</v>
      </c>
      <c r="U291">
        <f t="shared" ca="1" si="162"/>
        <v>-482.73440697686783</v>
      </c>
      <c r="V291">
        <f t="shared" ca="1" si="163"/>
        <v>0</v>
      </c>
      <c r="W291">
        <f t="shared" ca="1" si="142"/>
        <v>0.05</v>
      </c>
      <c r="X291">
        <f t="shared" ca="1" si="143"/>
        <v>0.26</v>
      </c>
      <c r="Y291">
        <f t="shared" ca="1" si="144"/>
        <v>4.9056603773584909E-2</v>
      </c>
      <c r="Z291">
        <f t="shared" ca="1" si="145"/>
        <v>196.15384615384616</v>
      </c>
      <c r="AA291">
        <f t="shared" ca="1" si="146"/>
        <v>632.54149999999993</v>
      </c>
      <c r="AB291">
        <f t="shared" ca="1" si="147"/>
        <v>2593.6185316486622</v>
      </c>
      <c r="AC291">
        <f t="shared" ca="1" si="148"/>
        <v>482.07306851378365</v>
      </c>
      <c r="AD291">
        <f t="shared" ca="1" si="149"/>
        <v>280.07692026646265</v>
      </c>
      <c r="AE291">
        <f t="shared" ca="1" si="150"/>
        <v>1019.7665564573041</v>
      </c>
      <c r="AF291">
        <f t="shared" ca="1" si="151"/>
        <v>481.77026083983537</v>
      </c>
      <c r="AG291">
        <f t="shared" ca="1" si="152"/>
        <v>0</v>
      </c>
      <c r="AH291">
        <f ca="1">IF(V32="Supercritical",L291,IF(V32="Subcritical",W291,IF(AND(V291=1,AG291=1),IF(T291&gt;=AE291,L291,W291),IF(V291=1,L291,IF(AG291=1,W291,MAX($D$16,POWER((ABS(K291)^2)/($I$5*MAX(F291,0.1)^2),1/3)))))))</f>
        <v>2.1403668656741068</v>
      </c>
      <c r="AI291">
        <f t="shared" ca="1" si="153"/>
        <v>634.63186686567406</v>
      </c>
      <c r="AJ291">
        <f t="shared" ca="1" si="154"/>
        <v>635.70205029851115</v>
      </c>
      <c r="AM291">
        <v>0</v>
      </c>
      <c r="AN291">
        <v>0</v>
      </c>
      <c r="AO291">
        <f t="shared" si="155"/>
        <v>0</v>
      </c>
      <c r="AP291">
        <f t="shared" si="164"/>
        <v>0</v>
      </c>
      <c r="AQ291">
        <f t="shared" ca="1" si="156"/>
        <v>0.99999999999999978</v>
      </c>
      <c r="AR291" t="str">
        <f t="shared" ca="1" si="157"/>
        <v>Supercritical</v>
      </c>
      <c r="AS291">
        <f t="shared" ca="1" si="158"/>
        <v>3.8148159832266538E-3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191</v>
      </c>
      <c r="I292">
        <v>5.5E-2</v>
      </c>
      <c r="J292">
        <f t="shared" si="159"/>
        <v>0.99899999999999523</v>
      </c>
      <c r="K292">
        <f t="shared" si="160"/>
        <v>51</v>
      </c>
      <c r="L292">
        <f t="shared" ca="1" si="161"/>
        <v>0.05</v>
      </c>
      <c r="M292">
        <f t="shared" ca="1" si="134"/>
        <v>0.26</v>
      </c>
      <c r="N292">
        <f t="shared" ca="1" si="135"/>
        <v>4.9056603773584909E-2</v>
      </c>
      <c r="O292">
        <f t="shared" ca="1" si="136"/>
        <v>196.15384615384616</v>
      </c>
      <c r="P292">
        <f t="shared" ca="1" si="137"/>
        <v>632.54099999999994</v>
      </c>
      <c r="Q292">
        <f t="shared" ca="1" si="138"/>
        <v>2593.6180316486621</v>
      </c>
      <c r="R292">
        <f t="shared" ca="1" si="139"/>
        <v>482.07306851378365</v>
      </c>
      <c r="S292">
        <f t="shared" ca="1" si="140"/>
        <v>280.07692026646265</v>
      </c>
      <c r="T292">
        <f t="shared" ca="1" si="141"/>
        <v>1019.7665564573041</v>
      </c>
      <c r="U292">
        <f t="shared" ca="1" si="162"/>
        <v>-481.77026083983537</v>
      </c>
      <c r="V292">
        <f t="shared" ca="1" si="163"/>
        <v>0</v>
      </c>
      <c r="W292">
        <f t="shared" ca="1" si="142"/>
        <v>0.05</v>
      </c>
      <c r="X292">
        <f t="shared" ca="1" si="143"/>
        <v>0.26</v>
      </c>
      <c r="Y292">
        <f t="shared" ca="1" si="144"/>
        <v>4.9056603773584909E-2</v>
      </c>
      <c r="Z292">
        <f t="shared" ca="1" si="145"/>
        <v>196.15384615384616</v>
      </c>
      <c r="AA292">
        <f t="shared" ca="1" si="146"/>
        <v>632.54099999999994</v>
      </c>
      <c r="AB292">
        <f t="shared" ca="1" si="147"/>
        <v>2593.6180316486621</v>
      </c>
      <c r="AC292">
        <f t="shared" ca="1" si="148"/>
        <v>482.07306851378365</v>
      </c>
      <c r="AD292">
        <f t="shared" ca="1" si="149"/>
        <v>280.07692026646265</v>
      </c>
      <c r="AE292">
        <f t="shared" ca="1" si="150"/>
        <v>1019.7665564573041</v>
      </c>
      <c r="AF292">
        <f t="shared" ca="1" si="151"/>
        <v>482.25887083179032</v>
      </c>
      <c r="AG292">
        <f t="shared" ca="1" si="152"/>
        <v>0</v>
      </c>
      <c r="AH292">
        <f ca="1">IF(V32="Supercritical",L292,IF(V32="Subcritical",W292,IF(AND(V292=1,AG292=1),IF(T292&gt;=AE292,L292,W292),IF(V292=1,L292,IF(AG292=1,W292,MAX($D$16,POWER((ABS(K292)^2)/($I$5*MAX(F292,0.1)^2),1/3)))))))</f>
        <v>2.1403668656741068</v>
      </c>
      <c r="AI292">
        <f t="shared" ca="1" si="153"/>
        <v>634.63136686567407</v>
      </c>
      <c r="AJ292">
        <f t="shared" ca="1" si="154"/>
        <v>635.70155029851117</v>
      </c>
      <c r="AM292">
        <v>0</v>
      </c>
      <c r="AN292">
        <v>0</v>
      </c>
      <c r="AO292">
        <f t="shared" si="155"/>
        <v>0</v>
      </c>
      <c r="AP292">
        <f t="shared" si="164"/>
        <v>0</v>
      </c>
      <c r="AQ292">
        <f t="shared" ca="1" si="156"/>
        <v>0.99999999999999978</v>
      </c>
      <c r="AR292" t="str">
        <f t="shared" ca="1" si="157"/>
        <v>Supercritical</v>
      </c>
      <c r="AS292">
        <f t="shared" ca="1" si="158"/>
        <v>3.8148159832266538E-3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191</v>
      </c>
      <c r="I293">
        <v>5.7000000000000002E-2</v>
      </c>
      <c r="J293">
        <f t="shared" si="159"/>
        <v>1</v>
      </c>
      <c r="K293">
        <f t="shared" si="160"/>
        <v>51</v>
      </c>
      <c r="L293">
        <f t="shared" ca="1" si="161"/>
        <v>0.05</v>
      </c>
      <c r="M293">
        <f t="shared" ca="1" si="134"/>
        <v>0.26</v>
      </c>
      <c r="N293">
        <f t="shared" ca="1" si="135"/>
        <v>4.9056603773584909E-2</v>
      </c>
      <c r="O293">
        <f t="shared" ca="1" si="136"/>
        <v>196.15384615384616</v>
      </c>
      <c r="P293">
        <f t="shared" ca="1" si="137"/>
        <v>632.54049999999995</v>
      </c>
      <c r="Q293">
        <f t="shared" ca="1" si="138"/>
        <v>2593.617531648662</v>
      </c>
      <c r="R293">
        <f t="shared" ca="1" si="139"/>
        <v>482.07306851378365</v>
      </c>
      <c r="S293">
        <f t="shared" ca="1" si="140"/>
        <v>280.07692026646265</v>
      </c>
      <c r="T293">
        <f t="shared" ca="1" si="141"/>
        <v>1019.7665564573041</v>
      </c>
      <c r="U293">
        <f t="shared" ca="1" si="162"/>
        <v>-482.25887083179032</v>
      </c>
      <c r="V293">
        <f t="shared" ca="1" si="163"/>
        <v>0</v>
      </c>
      <c r="W293">
        <f t="shared" ca="1" si="142"/>
        <v>0.05</v>
      </c>
      <c r="X293">
        <f t="shared" ca="1" si="143"/>
        <v>0.26</v>
      </c>
      <c r="Y293">
        <f t="shared" ca="1" si="144"/>
        <v>4.9056603773584909E-2</v>
      </c>
      <c r="Z293">
        <f t="shared" ca="1" si="145"/>
        <v>196.15384615384616</v>
      </c>
      <c r="AA293">
        <f t="shared" ca="1" si="146"/>
        <v>632.54049999999995</v>
      </c>
      <c r="AB293">
        <f t="shared" ca="1" si="147"/>
        <v>2593.617531648662</v>
      </c>
      <c r="AC293">
        <f t="shared" ca="1" si="148"/>
        <v>482.07306851378365</v>
      </c>
      <c r="AD293">
        <f t="shared" ca="1" si="149"/>
        <v>280.07692026646265</v>
      </c>
      <c r="AE293">
        <f t="shared" ca="1" si="150"/>
        <v>1019.7665564573041</v>
      </c>
      <c r="AF293">
        <f t="shared" ca="1" si="151"/>
        <v>482.25887083179077</v>
      </c>
      <c r="AG293">
        <f t="shared" ca="1" si="152"/>
        <v>0</v>
      </c>
      <c r="AH293">
        <f ca="1">IF(V32="Supercritical",L293,IF(V32="Subcritical",W293,IF(AND(V293=1,AG293=1),IF(T293&gt;=AE293,L293,W293),IF(V293=1,L293,IF(AG293=1,W293,MAX($D$16,POWER((ABS(K293)^2)/($I$5*MAX(F293,0.1)^2),1/3)))))))</f>
        <v>2.1403668656741068</v>
      </c>
      <c r="AI293">
        <f t="shared" ca="1" si="153"/>
        <v>634.63086686567408</v>
      </c>
      <c r="AJ293">
        <f t="shared" ca="1" si="154"/>
        <v>635.70105029851118</v>
      </c>
      <c r="AM293">
        <v>0</v>
      </c>
      <c r="AN293">
        <v>0</v>
      </c>
      <c r="AO293">
        <f t="shared" si="155"/>
        <v>0</v>
      </c>
      <c r="AP293">
        <f t="shared" si="164"/>
        <v>0</v>
      </c>
      <c r="AQ293">
        <f t="shared" ca="1" si="156"/>
        <v>0.99999999999999978</v>
      </c>
      <c r="AR293" t="str">
        <f t="shared" ca="1" si="157"/>
        <v>Supercritical</v>
      </c>
      <c r="AS293">
        <f t="shared" ca="1" si="158"/>
        <v>3.8148159832266538E-3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191</v>
      </c>
      <c r="I294">
        <v>5.7000000000000002E-2</v>
      </c>
      <c r="J294">
        <f t="shared" si="159"/>
        <v>1</v>
      </c>
      <c r="K294">
        <f t="shared" si="160"/>
        <v>51</v>
      </c>
      <c r="L294">
        <f t="shared" ca="1" si="161"/>
        <v>0.05</v>
      </c>
      <c r="M294">
        <f t="shared" ca="1" si="134"/>
        <v>0.26</v>
      </c>
      <c r="N294">
        <f t="shared" ca="1" si="135"/>
        <v>4.9056603773584909E-2</v>
      </c>
      <c r="O294">
        <f t="shared" ca="1" si="136"/>
        <v>196.15384615384616</v>
      </c>
      <c r="P294">
        <f t="shared" ca="1" si="137"/>
        <v>632.54</v>
      </c>
      <c r="Q294">
        <f t="shared" ca="1" si="138"/>
        <v>2593.6170316486623</v>
      </c>
      <c r="R294">
        <f t="shared" ca="1" si="139"/>
        <v>482.07306851378365</v>
      </c>
      <c r="S294">
        <f t="shared" ca="1" si="140"/>
        <v>280.07692026646265</v>
      </c>
      <c r="T294">
        <f t="shared" ca="1" si="141"/>
        <v>1019.7665564573041</v>
      </c>
      <c r="U294">
        <f t="shared" ca="1" si="162"/>
        <v>-482.25887083179077</v>
      </c>
      <c r="V294">
        <f t="shared" ca="1" si="163"/>
        <v>0</v>
      </c>
      <c r="W294">
        <f t="shared" ca="1" si="142"/>
        <v>0.05</v>
      </c>
      <c r="X294">
        <f t="shared" ca="1" si="143"/>
        <v>0.26</v>
      </c>
      <c r="Y294">
        <f t="shared" ca="1" si="144"/>
        <v>4.9056603773584909E-2</v>
      </c>
      <c r="Z294">
        <f t="shared" ca="1" si="145"/>
        <v>196.15384615384616</v>
      </c>
      <c r="AA294">
        <f t="shared" ca="1" si="146"/>
        <v>632.54</v>
      </c>
      <c r="AB294">
        <f t="shared" ca="1" si="147"/>
        <v>2593.6170316486623</v>
      </c>
      <c r="AC294">
        <f t="shared" ca="1" si="148"/>
        <v>482.07306851378365</v>
      </c>
      <c r="AD294">
        <f t="shared" ca="1" si="149"/>
        <v>280.07692026646265</v>
      </c>
      <c r="AE294">
        <f t="shared" ca="1" si="150"/>
        <v>1019.7665564573041</v>
      </c>
      <c r="AF294">
        <f t="shared" ca="1" si="151"/>
        <v>482.07256851378361</v>
      </c>
      <c r="AG294">
        <f t="shared" ca="1" si="152"/>
        <v>0</v>
      </c>
      <c r="AH294">
        <f ca="1">IF(V32="Supercritical",L294,IF(V32="Subcritical",W294,IF(AND(V294=1,AG294=1),IF(T294&gt;=AE294,L294,W294),IF(V294=1,L294,IF(AG294=1,W294,MAX($D$16,POWER((ABS(K294)^2)/($I$5*MAX(F294,0.1)^2),1/3)))))))</f>
        <v>2.1403668656741068</v>
      </c>
      <c r="AI294">
        <f t="shared" ca="1" si="153"/>
        <v>634.63036686567409</v>
      </c>
      <c r="AJ294">
        <f t="shared" ca="1" si="154"/>
        <v>635.70055029851119</v>
      </c>
      <c r="AM294">
        <v>0</v>
      </c>
      <c r="AN294">
        <v>0</v>
      </c>
      <c r="AO294">
        <f t="shared" si="155"/>
        <v>0</v>
      </c>
      <c r="AP294">
        <f t="shared" si="164"/>
        <v>0</v>
      </c>
      <c r="AQ294">
        <f t="shared" ca="1" si="156"/>
        <v>0.99999999999999978</v>
      </c>
      <c r="AR294" t="str">
        <f t="shared" ca="1" si="157"/>
        <v>Supercritical</v>
      </c>
      <c r="AS294">
        <f t="shared" ca="1" si="158"/>
        <v>3.8148159832266538E-3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191</v>
      </c>
      <c r="I295">
        <v>0</v>
      </c>
      <c r="J295">
        <f t="shared" si="159"/>
        <v>1</v>
      </c>
      <c r="K295">
        <f t="shared" si="160"/>
        <v>51</v>
      </c>
      <c r="L295">
        <f t="shared" ca="1" si="161"/>
        <v>0.05</v>
      </c>
      <c r="M295">
        <f t="shared" ca="1" si="134"/>
        <v>0.26</v>
      </c>
      <c r="N295">
        <f t="shared" ca="1" si="135"/>
        <v>4.9056603773584909E-2</v>
      </c>
      <c r="O295">
        <f t="shared" ca="1" si="136"/>
        <v>196.15384615384616</v>
      </c>
      <c r="P295">
        <f t="shared" ca="1" si="137"/>
        <v>632.53949999999998</v>
      </c>
      <c r="Q295">
        <f t="shared" ca="1" si="138"/>
        <v>2593.6165316486622</v>
      </c>
      <c r="R295">
        <f t="shared" ca="1" si="139"/>
        <v>482.07306851378365</v>
      </c>
      <c r="S295">
        <f t="shared" ca="1" si="140"/>
        <v>280.07692026646265</v>
      </c>
      <c r="T295">
        <f t="shared" ca="1" si="141"/>
        <v>1019.7665564573041</v>
      </c>
      <c r="U295">
        <f t="shared" ca="1" si="162"/>
        <v>-482.07256851378361</v>
      </c>
      <c r="V295">
        <f t="shared" ca="1" si="163"/>
        <v>0</v>
      </c>
      <c r="W295">
        <f t="shared" ca="1" si="142"/>
        <v>0.05</v>
      </c>
      <c r="X295">
        <f t="shared" ca="1" si="143"/>
        <v>0.26</v>
      </c>
      <c r="Y295">
        <f t="shared" ca="1" si="144"/>
        <v>4.9056603773584909E-2</v>
      </c>
      <c r="Z295">
        <f t="shared" ca="1" si="145"/>
        <v>196.15384615384616</v>
      </c>
      <c r="AA295">
        <f t="shared" ca="1" si="146"/>
        <v>632.53949999999998</v>
      </c>
      <c r="AB295">
        <f t="shared" ca="1" si="147"/>
        <v>2593.6165316486622</v>
      </c>
      <c r="AC295">
        <f t="shared" ca="1" si="148"/>
        <v>482.07306851378365</v>
      </c>
      <c r="AD295">
        <f t="shared" ca="1" si="149"/>
        <v>280.07692026646265</v>
      </c>
      <c r="AE295">
        <f t="shared" ca="1" si="150"/>
        <v>1019.7665564573041</v>
      </c>
      <c r="AF295">
        <f t="shared" ca="1" si="151"/>
        <v>482.25887083179032</v>
      </c>
      <c r="AG295">
        <f t="shared" ca="1" si="152"/>
        <v>0</v>
      </c>
      <c r="AH295">
        <f ca="1">IF(V32="Supercritical",L295,IF(V32="Subcritical",W295,IF(AND(V295=1,AG295=1),IF(T295&gt;=AE295,L295,W295),IF(V295=1,L295,IF(AG295=1,W295,MAX($D$16,POWER((ABS(K295)^2)/($I$5*MAX(F295,0.1)^2),1/3)))))))</f>
        <v>2.1403668656741068</v>
      </c>
      <c r="AI295">
        <f t="shared" ca="1" si="153"/>
        <v>634.6298668656741</v>
      </c>
      <c r="AJ295">
        <f t="shared" ca="1" si="154"/>
        <v>635.7000502985112</v>
      </c>
      <c r="AM295">
        <v>0</v>
      </c>
      <c r="AN295">
        <v>0</v>
      </c>
      <c r="AO295">
        <f t="shared" si="155"/>
        <v>0</v>
      </c>
      <c r="AP295">
        <f t="shared" si="164"/>
        <v>0</v>
      </c>
      <c r="AQ295">
        <f t="shared" ca="1" si="156"/>
        <v>0.99999999999999978</v>
      </c>
      <c r="AR295" t="str">
        <f t="shared" ca="1" si="157"/>
        <v>Supercritical</v>
      </c>
      <c r="AS295">
        <f t="shared" ca="1" si="158"/>
        <v>3.8148159832266538E-3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191</v>
      </c>
      <c r="I296">
        <v>5.7000000000000002E-2</v>
      </c>
      <c r="J296">
        <f t="shared" si="159"/>
        <v>1</v>
      </c>
      <c r="K296">
        <f t="shared" si="160"/>
        <v>51</v>
      </c>
      <c r="L296">
        <f t="shared" ca="1" si="161"/>
        <v>0.05</v>
      </c>
      <c r="M296">
        <f t="shared" ca="1" si="134"/>
        <v>0.26</v>
      </c>
      <c r="N296">
        <f t="shared" ca="1" si="135"/>
        <v>4.9056603773584909E-2</v>
      </c>
      <c r="O296">
        <f t="shared" ca="1" si="136"/>
        <v>196.15384615384616</v>
      </c>
      <c r="P296">
        <f t="shared" ca="1" si="137"/>
        <v>632.53899999999999</v>
      </c>
      <c r="Q296">
        <f t="shared" ca="1" si="138"/>
        <v>2593.6160316486621</v>
      </c>
      <c r="R296">
        <f t="shared" ca="1" si="139"/>
        <v>482.07306851378365</v>
      </c>
      <c r="S296">
        <f t="shared" ca="1" si="140"/>
        <v>280.07692026646265</v>
      </c>
      <c r="T296">
        <f t="shared" ca="1" si="141"/>
        <v>1019.7665564573041</v>
      </c>
      <c r="U296">
        <f t="shared" ca="1" si="162"/>
        <v>-482.25887083179032</v>
      </c>
      <c r="V296">
        <f t="shared" ca="1" si="163"/>
        <v>0</v>
      </c>
      <c r="W296">
        <f t="shared" ca="1" si="142"/>
        <v>0.05</v>
      </c>
      <c r="X296">
        <f t="shared" ca="1" si="143"/>
        <v>0.26</v>
      </c>
      <c r="Y296">
        <f t="shared" ca="1" si="144"/>
        <v>4.9056603773584909E-2</v>
      </c>
      <c r="Z296">
        <f t="shared" ca="1" si="145"/>
        <v>196.15384615384616</v>
      </c>
      <c r="AA296">
        <f t="shared" ca="1" si="146"/>
        <v>632.53899999999999</v>
      </c>
      <c r="AB296">
        <f t="shared" ca="1" si="147"/>
        <v>2593.6160316486621</v>
      </c>
      <c r="AC296">
        <f t="shared" ca="1" si="148"/>
        <v>482.07306851378365</v>
      </c>
      <c r="AD296">
        <f t="shared" ca="1" si="149"/>
        <v>280.07692026646265</v>
      </c>
      <c r="AE296">
        <f t="shared" ca="1" si="150"/>
        <v>1019.7665564573041</v>
      </c>
      <c r="AF296">
        <f t="shared" ca="1" si="151"/>
        <v>482.25887083179032</v>
      </c>
      <c r="AG296">
        <f t="shared" ca="1" si="152"/>
        <v>0</v>
      </c>
      <c r="AH296">
        <f ca="1">IF(V32="Supercritical",L296,IF(V32="Subcritical",W296,IF(AND(V296=1,AG296=1),IF(T296&gt;=AE296,L296,W296),IF(V296=1,L296,IF(AG296=1,W296,MAX($D$16,POWER((ABS(K296)^2)/($I$5*MAX(F296,0.1)^2),1/3)))))))</f>
        <v>2.1403668656741068</v>
      </c>
      <c r="AI296">
        <f t="shared" ca="1" si="153"/>
        <v>634.62936686567411</v>
      </c>
      <c r="AJ296">
        <f t="shared" ca="1" si="154"/>
        <v>635.69955029851121</v>
      </c>
      <c r="AM296">
        <v>0</v>
      </c>
      <c r="AN296">
        <v>0</v>
      </c>
      <c r="AO296">
        <f t="shared" si="155"/>
        <v>0</v>
      </c>
      <c r="AP296">
        <f t="shared" si="164"/>
        <v>0</v>
      </c>
      <c r="AQ296">
        <f t="shared" ca="1" si="156"/>
        <v>0.99999999999999978</v>
      </c>
      <c r="AR296" t="str">
        <f t="shared" ca="1" si="157"/>
        <v>Supercritical</v>
      </c>
      <c r="AS296">
        <f t="shared" ca="1" si="158"/>
        <v>3.8148159832266538E-3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191</v>
      </c>
      <c r="I297">
        <v>5.7000000000000002E-2</v>
      </c>
      <c r="J297">
        <f t="shared" si="159"/>
        <v>1</v>
      </c>
      <c r="K297">
        <f t="shared" si="160"/>
        <v>51</v>
      </c>
      <c r="L297">
        <f t="shared" ca="1" si="161"/>
        <v>0.05</v>
      </c>
      <c r="M297">
        <f t="shared" ca="1" si="134"/>
        <v>0.26</v>
      </c>
      <c r="N297">
        <f t="shared" ca="1" si="135"/>
        <v>4.9056603773584909E-2</v>
      </c>
      <c r="O297">
        <f t="shared" ca="1" si="136"/>
        <v>196.15384615384616</v>
      </c>
      <c r="P297">
        <f t="shared" ca="1" si="137"/>
        <v>632.5385</v>
      </c>
      <c r="Q297">
        <f t="shared" ca="1" si="138"/>
        <v>2593.615531648662</v>
      </c>
      <c r="R297">
        <f t="shared" ca="1" si="139"/>
        <v>482.07306851378365</v>
      </c>
      <c r="S297">
        <f t="shared" ca="1" si="140"/>
        <v>280.07692026646265</v>
      </c>
      <c r="T297">
        <f t="shared" ca="1" si="141"/>
        <v>1019.7665564573041</v>
      </c>
      <c r="U297">
        <f t="shared" ca="1" si="162"/>
        <v>-482.25887083179032</v>
      </c>
      <c r="V297">
        <f t="shared" ca="1" si="163"/>
        <v>0</v>
      </c>
      <c r="W297">
        <f t="shared" ca="1" si="142"/>
        <v>0.05</v>
      </c>
      <c r="X297">
        <f t="shared" ca="1" si="143"/>
        <v>0.26</v>
      </c>
      <c r="Y297">
        <f t="shared" ca="1" si="144"/>
        <v>4.9056603773584909E-2</v>
      </c>
      <c r="Z297">
        <f t="shared" ca="1" si="145"/>
        <v>196.15384615384616</v>
      </c>
      <c r="AA297">
        <f t="shared" ca="1" si="146"/>
        <v>632.5385</v>
      </c>
      <c r="AB297">
        <f t="shared" ca="1" si="147"/>
        <v>2593.615531648662</v>
      </c>
      <c r="AC297">
        <f t="shared" ca="1" si="148"/>
        <v>482.07306851378365</v>
      </c>
      <c r="AD297">
        <f t="shared" ca="1" si="149"/>
        <v>280.07692026646265</v>
      </c>
      <c r="AE297">
        <f t="shared" ca="1" si="150"/>
        <v>1019.7665564573041</v>
      </c>
      <c r="AF297">
        <f t="shared" ca="1" si="151"/>
        <v>482.55464158229961</v>
      </c>
      <c r="AG297">
        <f t="shared" ca="1" si="152"/>
        <v>0</v>
      </c>
      <c r="AH297">
        <f ca="1">IF(V32="Supercritical",L297,IF(V32="Subcritical",W297,IF(AND(V297=1,AG297=1),IF(T297&gt;=AE297,L297,W297),IF(V297=1,L297,IF(AG297=1,W297,MAX($D$16,POWER((ABS(K297)^2)/($I$5*MAX(F297,0.1)^2),1/3)))))))</f>
        <v>2.1403668656741068</v>
      </c>
      <c r="AI297">
        <f t="shared" ca="1" si="153"/>
        <v>634.62886686567413</v>
      </c>
      <c r="AJ297">
        <f t="shared" ca="1" si="154"/>
        <v>635.69905029851122</v>
      </c>
      <c r="AM297">
        <v>0</v>
      </c>
      <c r="AN297">
        <v>0</v>
      </c>
      <c r="AO297">
        <f t="shared" si="155"/>
        <v>0</v>
      </c>
      <c r="AP297">
        <f t="shared" si="164"/>
        <v>0</v>
      </c>
      <c r="AQ297">
        <f t="shared" ca="1" si="156"/>
        <v>0.99999999999999978</v>
      </c>
      <c r="AR297" t="str">
        <f t="shared" ca="1" si="157"/>
        <v>Supercritical</v>
      </c>
      <c r="AS297">
        <f t="shared" ca="1" si="158"/>
        <v>3.8148159832266538E-3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191</v>
      </c>
      <c r="I298">
        <v>0</v>
      </c>
      <c r="J298">
        <f t="shared" si="159"/>
        <v>1.0010000000000048</v>
      </c>
      <c r="K298">
        <f t="shared" si="160"/>
        <v>51</v>
      </c>
      <c r="L298">
        <f t="shared" ca="1" si="161"/>
        <v>0.05</v>
      </c>
      <c r="M298">
        <f t="shared" ca="1" si="134"/>
        <v>0.26</v>
      </c>
      <c r="N298">
        <f t="shared" ca="1" si="135"/>
        <v>4.9056603773584909E-2</v>
      </c>
      <c r="O298">
        <f t="shared" ca="1" si="136"/>
        <v>196.15384615384616</v>
      </c>
      <c r="P298">
        <f t="shared" ca="1" si="137"/>
        <v>632.53800000000001</v>
      </c>
      <c r="Q298">
        <f t="shared" ca="1" si="138"/>
        <v>2593.6150316486619</v>
      </c>
      <c r="R298">
        <f t="shared" ca="1" si="139"/>
        <v>482.07306851378365</v>
      </c>
      <c r="S298">
        <f t="shared" ca="1" si="140"/>
        <v>280.07692026646265</v>
      </c>
      <c r="T298">
        <f t="shared" ca="1" si="141"/>
        <v>1019.7665564573041</v>
      </c>
      <c r="U298">
        <f t="shared" ca="1" si="162"/>
        <v>-482.55464158229961</v>
      </c>
      <c r="V298">
        <f t="shared" ca="1" si="163"/>
        <v>0</v>
      </c>
      <c r="W298">
        <f t="shared" ca="1" si="142"/>
        <v>0.05</v>
      </c>
      <c r="X298">
        <f t="shared" ca="1" si="143"/>
        <v>0.26</v>
      </c>
      <c r="Y298">
        <f t="shared" ca="1" si="144"/>
        <v>4.9056603773584909E-2</v>
      </c>
      <c r="Z298">
        <f t="shared" ca="1" si="145"/>
        <v>196.15384615384616</v>
      </c>
      <c r="AA298">
        <f t="shared" ca="1" si="146"/>
        <v>632.53800000000001</v>
      </c>
      <c r="AB298">
        <f t="shared" ca="1" si="147"/>
        <v>2593.6150316486619</v>
      </c>
      <c r="AC298">
        <f t="shared" ca="1" si="148"/>
        <v>482.07306851378365</v>
      </c>
      <c r="AD298">
        <f t="shared" ca="1" si="149"/>
        <v>280.07692026646265</v>
      </c>
      <c r="AE298">
        <f t="shared" ca="1" si="150"/>
        <v>1019.7665564573041</v>
      </c>
      <c r="AF298">
        <f t="shared" ca="1" si="151"/>
        <v>482.25233390835137</v>
      </c>
      <c r="AG298">
        <f t="shared" ca="1" si="152"/>
        <v>0</v>
      </c>
      <c r="AH298">
        <f ca="1">IF(V32="Supercritical",L298,IF(V32="Subcritical",W298,IF(AND(V298=1,AG298=1),IF(T298&gt;=AE298,L298,W298),IF(V298=1,L298,IF(AG298=1,W298,MAX($D$16,POWER((ABS(K298)^2)/($I$5*MAX(F298,0.1)^2),1/3)))))))</f>
        <v>2.1403668656741068</v>
      </c>
      <c r="AI298">
        <f t="shared" ca="1" si="153"/>
        <v>634.62836686567414</v>
      </c>
      <c r="AJ298">
        <f t="shared" ca="1" si="154"/>
        <v>635.69855029851124</v>
      </c>
      <c r="AM298">
        <v>0</v>
      </c>
      <c r="AN298">
        <v>0</v>
      </c>
      <c r="AO298">
        <f t="shared" si="155"/>
        <v>0</v>
      </c>
      <c r="AP298">
        <f t="shared" si="164"/>
        <v>0</v>
      </c>
      <c r="AQ298">
        <f t="shared" ca="1" si="156"/>
        <v>0.99999999999999978</v>
      </c>
      <c r="AR298" t="str">
        <f t="shared" ca="1" si="157"/>
        <v>Supercritical</v>
      </c>
      <c r="AS298">
        <f t="shared" ca="1" si="158"/>
        <v>3.8148159832266538E-3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191</v>
      </c>
      <c r="I299">
        <v>5.5E-2</v>
      </c>
      <c r="J299">
        <f t="shared" si="159"/>
        <v>1</v>
      </c>
      <c r="K299">
        <f t="shared" si="160"/>
        <v>51</v>
      </c>
      <c r="L299">
        <f t="shared" ca="1" si="161"/>
        <v>0.05</v>
      </c>
      <c r="M299">
        <f t="shared" ca="1" si="134"/>
        <v>0.26</v>
      </c>
      <c r="N299">
        <f t="shared" ca="1" si="135"/>
        <v>4.9056603773584909E-2</v>
      </c>
      <c r="O299">
        <f t="shared" ca="1" si="136"/>
        <v>196.15384615384616</v>
      </c>
      <c r="P299">
        <f t="shared" ca="1" si="137"/>
        <v>632.53749999999991</v>
      </c>
      <c r="Q299">
        <f t="shared" ca="1" si="138"/>
        <v>2593.6145316486618</v>
      </c>
      <c r="R299">
        <f t="shared" ca="1" si="139"/>
        <v>482.07306851378365</v>
      </c>
      <c r="S299">
        <f t="shared" ca="1" si="140"/>
        <v>280.07692026646265</v>
      </c>
      <c r="T299">
        <f t="shared" ca="1" si="141"/>
        <v>1019.7665564573041</v>
      </c>
      <c r="U299">
        <f t="shared" ca="1" si="162"/>
        <v>-482.25233390835137</v>
      </c>
      <c r="V299">
        <f t="shared" ca="1" si="163"/>
        <v>0</v>
      </c>
      <c r="W299">
        <f t="shared" ca="1" si="142"/>
        <v>0.05</v>
      </c>
      <c r="X299">
        <f t="shared" ca="1" si="143"/>
        <v>0.26</v>
      </c>
      <c r="Y299">
        <f t="shared" ca="1" si="144"/>
        <v>4.9056603773584909E-2</v>
      </c>
      <c r="Z299">
        <f t="shared" ca="1" si="145"/>
        <v>196.15384615384616</v>
      </c>
      <c r="AA299">
        <f t="shared" ca="1" si="146"/>
        <v>632.53749999999991</v>
      </c>
      <c r="AB299">
        <f t="shared" ca="1" si="147"/>
        <v>2593.6145316486618</v>
      </c>
      <c r="AC299">
        <f t="shared" ca="1" si="148"/>
        <v>482.07306851378365</v>
      </c>
      <c r="AD299">
        <f t="shared" ca="1" si="149"/>
        <v>280.07692026646265</v>
      </c>
      <c r="AE299">
        <f t="shared" ca="1" si="150"/>
        <v>1019.7665564573041</v>
      </c>
      <c r="AF299">
        <f t="shared" ca="1" si="151"/>
        <v>481.77026083983583</v>
      </c>
      <c r="AG299">
        <f t="shared" ca="1" si="152"/>
        <v>0</v>
      </c>
      <c r="AH299">
        <f ca="1">IF(V32="Supercritical",L299,IF(V32="Subcritical",W299,IF(AND(V299=1,AG299=1),IF(T299&gt;=AE299,L299,W299),IF(V299=1,L299,IF(AG299=1,W299,MAX($D$16,POWER((ABS(K299)^2)/($I$5*MAX(F299,0.1)^2),1/3)))))))</f>
        <v>2.1403668656741068</v>
      </c>
      <c r="AI299">
        <f t="shared" ca="1" si="153"/>
        <v>634.62786686567404</v>
      </c>
      <c r="AJ299">
        <f t="shared" ca="1" si="154"/>
        <v>635.69805029851113</v>
      </c>
      <c r="AM299">
        <v>0</v>
      </c>
      <c r="AN299">
        <v>0</v>
      </c>
      <c r="AO299">
        <f t="shared" si="155"/>
        <v>0</v>
      </c>
      <c r="AP299">
        <f t="shared" si="164"/>
        <v>0</v>
      </c>
      <c r="AQ299">
        <f t="shared" ca="1" si="156"/>
        <v>0.99999999999999978</v>
      </c>
      <c r="AR299" t="str">
        <f t="shared" ca="1" si="157"/>
        <v>Supercritical</v>
      </c>
      <c r="AS299">
        <f t="shared" ca="1" si="158"/>
        <v>3.8148159832266538E-3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191</v>
      </c>
      <c r="I300">
        <v>5.5E-2</v>
      </c>
      <c r="J300">
        <f t="shared" si="159"/>
        <v>0.99899999999999523</v>
      </c>
      <c r="K300">
        <f t="shared" si="160"/>
        <v>51</v>
      </c>
      <c r="L300">
        <f t="shared" ca="1" si="161"/>
        <v>0.05</v>
      </c>
      <c r="M300">
        <f t="shared" ca="1" si="134"/>
        <v>0.26</v>
      </c>
      <c r="N300">
        <f t="shared" ca="1" si="135"/>
        <v>4.9056603773584909E-2</v>
      </c>
      <c r="O300">
        <f t="shared" ca="1" si="136"/>
        <v>196.15384615384616</v>
      </c>
      <c r="P300">
        <f t="shared" ca="1" si="137"/>
        <v>632.53699999999992</v>
      </c>
      <c r="Q300">
        <f t="shared" ca="1" si="138"/>
        <v>2593.6140316486621</v>
      </c>
      <c r="R300">
        <f t="shared" ca="1" si="139"/>
        <v>482.07306851378365</v>
      </c>
      <c r="S300">
        <f t="shared" ca="1" si="140"/>
        <v>280.07692026646265</v>
      </c>
      <c r="T300">
        <f t="shared" ca="1" si="141"/>
        <v>1019.7665564573041</v>
      </c>
      <c r="U300">
        <f t="shared" ca="1" si="162"/>
        <v>-481.77026083983583</v>
      </c>
      <c r="V300">
        <f t="shared" ca="1" si="163"/>
        <v>0</v>
      </c>
      <c r="W300">
        <f t="shared" ca="1" si="142"/>
        <v>0.05</v>
      </c>
      <c r="X300">
        <f t="shared" ca="1" si="143"/>
        <v>0.26</v>
      </c>
      <c r="Y300">
        <f t="shared" ca="1" si="144"/>
        <v>4.9056603773584909E-2</v>
      </c>
      <c r="Z300">
        <f t="shared" ca="1" si="145"/>
        <v>196.15384615384616</v>
      </c>
      <c r="AA300">
        <f t="shared" ca="1" si="146"/>
        <v>632.53699999999992</v>
      </c>
      <c r="AB300">
        <f t="shared" ca="1" si="147"/>
        <v>2593.6140316486621</v>
      </c>
      <c r="AC300">
        <f t="shared" ca="1" si="148"/>
        <v>482.07306851378365</v>
      </c>
      <c r="AD300">
        <f t="shared" ca="1" si="149"/>
        <v>280.07692026646265</v>
      </c>
      <c r="AE300">
        <f t="shared" ca="1" si="150"/>
        <v>1019.7665564573041</v>
      </c>
      <c r="AF300">
        <f t="shared" ca="1" si="151"/>
        <v>482.25887083179032</v>
      </c>
      <c r="AG300">
        <f t="shared" ca="1" si="152"/>
        <v>0</v>
      </c>
      <c r="AH300">
        <f ca="1">IF(V32="Supercritical",L300,IF(V32="Subcritical",W300,IF(AND(V300=1,AG300=1),IF(T300&gt;=AE300,L300,W300),IF(V300=1,L300,IF(AG300=1,W300,MAX($D$16,POWER((ABS(K300)^2)/($I$5*MAX(F300,0.1)^2),1/3)))))))</f>
        <v>2.1403668656741068</v>
      </c>
      <c r="AI300">
        <f t="shared" ca="1" si="153"/>
        <v>634.62736686567405</v>
      </c>
      <c r="AJ300">
        <f t="shared" ca="1" si="154"/>
        <v>635.69755029851115</v>
      </c>
      <c r="AM300">
        <v>0</v>
      </c>
      <c r="AN300">
        <v>0</v>
      </c>
      <c r="AO300">
        <f t="shared" si="155"/>
        <v>0</v>
      </c>
      <c r="AP300">
        <f t="shared" si="164"/>
        <v>0</v>
      </c>
      <c r="AQ300">
        <f t="shared" ca="1" si="156"/>
        <v>0.99999999999999978</v>
      </c>
      <c r="AR300" t="str">
        <f t="shared" ca="1" si="157"/>
        <v>Supercritical</v>
      </c>
      <c r="AS300">
        <f t="shared" ca="1" si="158"/>
        <v>3.8148159832266538E-3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191</v>
      </c>
      <c r="I301">
        <v>5.7000000000000002E-2</v>
      </c>
      <c r="J301">
        <f t="shared" si="159"/>
        <v>1</v>
      </c>
      <c r="K301">
        <f t="shared" si="160"/>
        <v>51</v>
      </c>
      <c r="L301">
        <f t="shared" ca="1" si="161"/>
        <v>0.05</v>
      </c>
      <c r="M301">
        <f t="shared" ca="1" si="134"/>
        <v>0.26</v>
      </c>
      <c r="N301">
        <f t="shared" ca="1" si="135"/>
        <v>4.9056603773584909E-2</v>
      </c>
      <c r="O301">
        <f t="shared" ca="1" si="136"/>
        <v>196.15384615384616</v>
      </c>
      <c r="P301">
        <f t="shared" ca="1" si="137"/>
        <v>632.53649999999993</v>
      </c>
      <c r="Q301">
        <f t="shared" ca="1" si="138"/>
        <v>2593.613531648662</v>
      </c>
      <c r="R301">
        <f t="shared" ca="1" si="139"/>
        <v>482.07306851378365</v>
      </c>
      <c r="S301">
        <f t="shared" ca="1" si="140"/>
        <v>280.07692026646265</v>
      </c>
      <c r="T301">
        <f t="shared" ca="1" si="141"/>
        <v>1019.7665564573041</v>
      </c>
      <c r="U301">
        <f t="shared" ca="1" si="162"/>
        <v>-482.25887083179032</v>
      </c>
      <c r="V301">
        <f t="shared" ca="1" si="163"/>
        <v>0</v>
      </c>
      <c r="W301">
        <f t="shared" ca="1" si="142"/>
        <v>0.05</v>
      </c>
      <c r="X301">
        <f t="shared" ca="1" si="143"/>
        <v>0.26</v>
      </c>
      <c r="Y301">
        <f t="shared" ca="1" si="144"/>
        <v>4.9056603773584909E-2</v>
      </c>
      <c r="Z301">
        <f t="shared" ca="1" si="145"/>
        <v>196.15384615384616</v>
      </c>
      <c r="AA301">
        <f t="shared" ca="1" si="146"/>
        <v>632.53649999999993</v>
      </c>
      <c r="AB301">
        <f t="shared" ca="1" si="147"/>
        <v>2593.613531648662</v>
      </c>
      <c r="AC301">
        <f t="shared" ca="1" si="148"/>
        <v>482.07306851378365</v>
      </c>
      <c r="AD301">
        <f t="shared" ca="1" si="149"/>
        <v>280.07692026646265</v>
      </c>
      <c r="AE301">
        <f t="shared" ca="1" si="150"/>
        <v>1019.7665564573041</v>
      </c>
      <c r="AF301">
        <f t="shared" ca="1" si="151"/>
        <v>482.25887083179032</v>
      </c>
      <c r="AG301">
        <f t="shared" ca="1" si="152"/>
        <v>0</v>
      </c>
      <c r="AH301">
        <f ca="1">IF(V32="Supercritical",L301,IF(V32="Subcritical",W301,IF(AND(V301=1,AG301=1),IF(T301&gt;=AE301,L301,W301),IF(V301=1,L301,IF(AG301=1,W301,MAX($D$16,POWER((ABS(K301)^2)/($I$5*MAX(F301,0.1)^2),1/3)))))))</f>
        <v>2.1403668656741068</v>
      </c>
      <c r="AI301">
        <f t="shared" ca="1" si="153"/>
        <v>634.62686686567406</v>
      </c>
      <c r="AJ301">
        <f t="shared" ca="1" si="154"/>
        <v>635.69705029851116</v>
      </c>
      <c r="AM301">
        <v>0</v>
      </c>
      <c r="AN301">
        <v>0</v>
      </c>
      <c r="AO301">
        <f t="shared" si="155"/>
        <v>0</v>
      </c>
      <c r="AP301">
        <f t="shared" si="164"/>
        <v>0</v>
      </c>
      <c r="AQ301">
        <f t="shared" ca="1" si="156"/>
        <v>0.99999999999999978</v>
      </c>
      <c r="AR301" t="str">
        <f t="shared" ca="1" si="157"/>
        <v>Supercritical</v>
      </c>
      <c r="AS301">
        <f t="shared" ca="1" si="158"/>
        <v>3.8148159832266538E-3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191</v>
      </c>
      <c r="I302">
        <v>5.7000000000000002E-2</v>
      </c>
      <c r="J302">
        <f t="shared" si="159"/>
        <v>1</v>
      </c>
      <c r="K302">
        <f t="shared" si="160"/>
        <v>51</v>
      </c>
      <c r="L302">
        <f t="shared" ca="1" si="161"/>
        <v>0.05</v>
      </c>
      <c r="M302">
        <f t="shared" ca="1" si="134"/>
        <v>0.26</v>
      </c>
      <c r="N302">
        <f t="shared" ca="1" si="135"/>
        <v>4.9056603773584909E-2</v>
      </c>
      <c r="O302">
        <f t="shared" ca="1" si="136"/>
        <v>196.15384615384616</v>
      </c>
      <c r="P302">
        <f t="shared" ca="1" si="137"/>
        <v>632.53599999999994</v>
      </c>
      <c r="Q302">
        <f t="shared" ca="1" si="138"/>
        <v>2593.6130316486619</v>
      </c>
      <c r="R302">
        <f t="shared" ca="1" si="139"/>
        <v>482.07306851378365</v>
      </c>
      <c r="S302">
        <f t="shared" ca="1" si="140"/>
        <v>280.07692026646265</v>
      </c>
      <c r="T302">
        <f t="shared" ca="1" si="141"/>
        <v>1019.7665564573041</v>
      </c>
      <c r="U302">
        <f t="shared" ca="1" si="162"/>
        <v>-482.25887083179032</v>
      </c>
      <c r="V302">
        <f t="shared" ca="1" si="163"/>
        <v>0</v>
      </c>
      <c r="W302">
        <f t="shared" ca="1" si="142"/>
        <v>0.05</v>
      </c>
      <c r="X302">
        <f t="shared" ca="1" si="143"/>
        <v>0.26</v>
      </c>
      <c r="Y302">
        <f t="shared" ca="1" si="144"/>
        <v>4.9056603773584909E-2</v>
      </c>
      <c r="Z302">
        <f t="shared" ca="1" si="145"/>
        <v>196.15384615384616</v>
      </c>
      <c r="AA302">
        <f t="shared" ca="1" si="146"/>
        <v>632.53599999999994</v>
      </c>
      <c r="AB302">
        <f t="shared" ca="1" si="147"/>
        <v>2593.6130316486619</v>
      </c>
      <c r="AC302">
        <f t="shared" ca="1" si="148"/>
        <v>482.07306851378365</v>
      </c>
      <c r="AD302">
        <f t="shared" ca="1" si="149"/>
        <v>280.07692026646265</v>
      </c>
      <c r="AE302">
        <f t="shared" ca="1" si="150"/>
        <v>1019.7665564573041</v>
      </c>
      <c r="AF302">
        <f t="shared" ca="1" si="151"/>
        <v>482.07256851378406</v>
      </c>
      <c r="AG302">
        <f t="shared" ca="1" si="152"/>
        <v>0</v>
      </c>
      <c r="AH302">
        <f ca="1">IF(V32="Supercritical",L302,IF(V32="Subcritical",W302,IF(AND(V302=1,AG302=1),IF(T302&gt;=AE302,L302,W302),IF(V302=1,L302,IF(AG302=1,W302,MAX($D$16,POWER((ABS(K302)^2)/($I$5*MAX(F302,0.1)^2),1/3)))))))</f>
        <v>2.1403668656741068</v>
      </c>
      <c r="AI302">
        <f t="shared" ca="1" si="153"/>
        <v>634.62636686567407</v>
      </c>
      <c r="AJ302">
        <f t="shared" ca="1" si="154"/>
        <v>635.69655029851117</v>
      </c>
      <c r="AM302">
        <v>0</v>
      </c>
      <c r="AN302">
        <v>0</v>
      </c>
      <c r="AO302">
        <f t="shared" si="155"/>
        <v>0</v>
      </c>
      <c r="AP302">
        <f t="shared" si="164"/>
        <v>0</v>
      </c>
      <c r="AQ302">
        <f t="shared" ca="1" si="156"/>
        <v>0.99999999999999978</v>
      </c>
      <c r="AR302" t="str">
        <f t="shared" ca="1" si="157"/>
        <v>Supercritical</v>
      </c>
      <c r="AS302">
        <f t="shared" ca="1" si="158"/>
        <v>3.8148159832266538E-3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191</v>
      </c>
      <c r="I303">
        <v>0</v>
      </c>
      <c r="J303">
        <f t="shared" si="159"/>
        <v>1</v>
      </c>
      <c r="K303">
        <f t="shared" si="160"/>
        <v>51</v>
      </c>
      <c r="L303">
        <f t="shared" ca="1" si="161"/>
        <v>0.05</v>
      </c>
      <c r="M303">
        <f t="shared" ca="1" si="134"/>
        <v>0.26</v>
      </c>
      <c r="N303">
        <f t="shared" ca="1" si="135"/>
        <v>4.9056603773584909E-2</v>
      </c>
      <c r="O303">
        <f t="shared" ca="1" si="136"/>
        <v>196.15384615384616</v>
      </c>
      <c r="P303">
        <f t="shared" ca="1" si="137"/>
        <v>632.53549999999996</v>
      </c>
      <c r="Q303">
        <f t="shared" ca="1" si="138"/>
        <v>2593.6125316486623</v>
      </c>
      <c r="R303">
        <f t="shared" ca="1" si="139"/>
        <v>482.07306851378365</v>
      </c>
      <c r="S303">
        <f t="shared" ca="1" si="140"/>
        <v>280.07692026646265</v>
      </c>
      <c r="T303">
        <f t="shared" ca="1" si="141"/>
        <v>1019.7665564573041</v>
      </c>
      <c r="U303">
        <f t="shared" ca="1" si="162"/>
        <v>-482.07256851378406</v>
      </c>
      <c r="V303">
        <f t="shared" ca="1" si="163"/>
        <v>0</v>
      </c>
      <c r="W303">
        <f t="shared" ca="1" si="142"/>
        <v>0.05</v>
      </c>
      <c r="X303">
        <f t="shared" ca="1" si="143"/>
        <v>0.26</v>
      </c>
      <c r="Y303">
        <f t="shared" ca="1" si="144"/>
        <v>4.9056603773584909E-2</v>
      </c>
      <c r="Z303">
        <f t="shared" ca="1" si="145"/>
        <v>196.15384615384616</v>
      </c>
      <c r="AA303">
        <f t="shared" ca="1" si="146"/>
        <v>632.53549999999996</v>
      </c>
      <c r="AB303">
        <f t="shared" ca="1" si="147"/>
        <v>2593.6125316486623</v>
      </c>
      <c r="AC303">
        <f t="shared" ca="1" si="148"/>
        <v>482.07306851378365</v>
      </c>
      <c r="AD303">
        <f t="shared" ca="1" si="149"/>
        <v>280.07692026646265</v>
      </c>
      <c r="AE303">
        <f t="shared" ca="1" si="150"/>
        <v>1019.7665564573041</v>
      </c>
      <c r="AF303">
        <f t="shared" ca="1" si="151"/>
        <v>482.25887083179032</v>
      </c>
      <c r="AG303">
        <f t="shared" ca="1" si="152"/>
        <v>0</v>
      </c>
      <c r="AH303">
        <f ca="1">IF(V32="Supercritical",L303,IF(V32="Subcritical",W303,IF(AND(V303=1,AG303=1),IF(T303&gt;=AE303,L303,W303),IF(V303=1,L303,IF(AG303=1,W303,MAX($D$16,POWER((ABS(K303)^2)/($I$5*MAX(F303,0.1)^2),1/3)))))))</f>
        <v>2.1403668656741068</v>
      </c>
      <c r="AI303">
        <f t="shared" ca="1" si="153"/>
        <v>634.62586686567408</v>
      </c>
      <c r="AJ303">
        <f t="shared" ca="1" si="154"/>
        <v>635.69605029851118</v>
      </c>
      <c r="AM303">
        <v>0</v>
      </c>
      <c r="AN303">
        <v>0</v>
      </c>
      <c r="AO303">
        <f t="shared" si="155"/>
        <v>0</v>
      </c>
      <c r="AP303">
        <f t="shared" si="164"/>
        <v>0</v>
      </c>
      <c r="AQ303">
        <f t="shared" ca="1" si="156"/>
        <v>0.99999999999999978</v>
      </c>
      <c r="AR303" t="str">
        <f t="shared" ca="1" si="157"/>
        <v>Supercritical</v>
      </c>
      <c r="AS303">
        <f t="shared" ca="1" si="158"/>
        <v>3.8148159832266538E-3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191</v>
      </c>
      <c r="I304">
        <v>5.7000000000000002E-2</v>
      </c>
      <c r="J304">
        <f t="shared" si="159"/>
        <v>1</v>
      </c>
      <c r="K304">
        <f t="shared" si="160"/>
        <v>51</v>
      </c>
      <c r="L304">
        <f t="shared" ca="1" si="161"/>
        <v>0.05</v>
      </c>
      <c r="M304">
        <f t="shared" ca="1" si="134"/>
        <v>0.26</v>
      </c>
      <c r="N304">
        <f t="shared" ca="1" si="135"/>
        <v>4.9056603773584909E-2</v>
      </c>
      <c r="O304">
        <f t="shared" ca="1" si="136"/>
        <v>196.15384615384616</v>
      </c>
      <c r="P304">
        <f t="shared" ca="1" si="137"/>
        <v>632.53499999999997</v>
      </c>
      <c r="Q304">
        <f t="shared" ca="1" si="138"/>
        <v>2593.6120316486622</v>
      </c>
      <c r="R304">
        <f t="shared" ca="1" si="139"/>
        <v>482.07306851378365</v>
      </c>
      <c r="S304">
        <f t="shared" ca="1" si="140"/>
        <v>280.07692026646265</v>
      </c>
      <c r="T304">
        <f t="shared" ca="1" si="141"/>
        <v>1019.7665564573041</v>
      </c>
      <c r="U304">
        <f t="shared" ca="1" si="162"/>
        <v>-482.25887083179032</v>
      </c>
      <c r="V304">
        <f t="shared" ca="1" si="163"/>
        <v>0</v>
      </c>
      <c r="W304">
        <f t="shared" ca="1" si="142"/>
        <v>0.05</v>
      </c>
      <c r="X304">
        <f t="shared" ca="1" si="143"/>
        <v>0.26</v>
      </c>
      <c r="Y304">
        <f t="shared" ca="1" si="144"/>
        <v>4.9056603773584909E-2</v>
      </c>
      <c r="Z304">
        <f t="shared" ca="1" si="145"/>
        <v>196.15384615384616</v>
      </c>
      <c r="AA304">
        <f t="shared" ca="1" si="146"/>
        <v>632.53499999999997</v>
      </c>
      <c r="AB304">
        <f t="shared" ca="1" si="147"/>
        <v>2593.6120316486622</v>
      </c>
      <c r="AC304">
        <f t="shared" ca="1" si="148"/>
        <v>482.07306851378365</v>
      </c>
      <c r="AD304">
        <f t="shared" ca="1" si="149"/>
        <v>280.07692026646265</v>
      </c>
      <c r="AE304">
        <f t="shared" ca="1" si="150"/>
        <v>1019.7665564573041</v>
      </c>
      <c r="AF304">
        <f t="shared" ca="1" si="151"/>
        <v>482.25887083179032</v>
      </c>
      <c r="AG304">
        <f t="shared" ca="1" si="152"/>
        <v>0</v>
      </c>
      <c r="AH304">
        <f ca="1">IF(V32="Supercritical",L304,IF(V32="Subcritical",W304,IF(AND(V304=1,AG304=1),IF(T304&gt;=AE304,L304,W304),IF(V304=1,L304,IF(AG304=1,W304,MAX($D$16,POWER((ABS(K304)^2)/($I$5*MAX(F304,0.1)^2),1/3)))))))</f>
        <v>2.1403668656741068</v>
      </c>
      <c r="AI304">
        <f t="shared" ca="1" si="153"/>
        <v>634.6253668656741</v>
      </c>
      <c r="AJ304">
        <f t="shared" ca="1" si="154"/>
        <v>635.69555029851119</v>
      </c>
      <c r="AM304">
        <v>0</v>
      </c>
      <c r="AN304">
        <v>0</v>
      </c>
      <c r="AO304">
        <f t="shared" si="155"/>
        <v>0</v>
      </c>
      <c r="AP304">
        <f t="shared" si="164"/>
        <v>0</v>
      </c>
      <c r="AQ304">
        <f t="shared" ca="1" si="156"/>
        <v>0.99999999999999978</v>
      </c>
      <c r="AR304" t="str">
        <f t="shared" ca="1" si="157"/>
        <v>Supercritical</v>
      </c>
      <c r="AS304">
        <f t="shared" ca="1" si="158"/>
        <v>3.8148159832266538E-3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191</v>
      </c>
      <c r="I305">
        <v>5.7000000000000002E-2</v>
      </c>
      <c r="J305">
        <f t="shared" si="159"/>
        <v>1</v>
      </c>
      <c r="K305">
        <f t="shared" si="160"/>
        <v>51</v>
      </c>
      <c r="L305">
        <f t="shared" ca="1" si="161"/>
        <v>0.05</v>
      </c>
      <c r="M305">
        <f t="shared" ca="1" si="134"/>
        <v>0.26</v>
      </c>
      <c r="N305">
        <f t="shared" ca="1" si="135"/>
        <v>4.9056603773584909E-2</v>
      </c>
      <c r="O305">
        <f t="shared" ca="1" si="136"/>
        <v>196.15384615384616</v>
      </c>
      <c r="P305">
        <f t="shared" ca="1" si="137"/>
        <v>632.53449999999998</v>
      </c>
      <c r="Q305">
        <f t="shared" ca="1" si="138"/>
        <v>2593.6115316486621</v>
      </c>
      <c r="R305">
        <f t="shared" ca="1" si="139"/>
        <v>482.07306851378365</v>
      </c>
      <c r="S305">
        <f t="shared" ca="1" si="140"/>
        <v>280.07692026646265</v>
      </c>
      <c r="T305">
        <f t="shared" ca="1" si="141"/>
        <v>1019.7665564573041</v>
      </c>
      <c r="U305">
        <f t="shared" ca="1" si="162"/>
        <v>-482.25887083179032</v>
      </c>
      <c r="V305">
        <f t="shared" ca="1" si="163"/>
        <v>0</v>
      </c>
      <c r="W305">
        <f t="shared" ca="1" si="142"/>
        <v>0.05</v>
      </c>
      <c r="X305">
        <f t="shared" ca="1" si="143"/>
        <v>0.26</v>
      </c>
      <c r="Y305">
        <f t="shared" ca="1" si="144"/>
        <v>4.9056603773584909E-2</v>
      </c>
      <c r="Z305">
        <f t="shared" ca="1" si="145"/>
        <v>196.15384615384616</v>
      </c>
      <c r="AA305">
        <f t="shared" ca="1" si="146"/>
        <v>632.53449999999998</v>
      </c>
      <c r="AB305">
        <f t="shared" ca="1" si="147"/>
        <v>2593.6115316486621</v>
      </c>
      <c r="AC305">
        <f t="shared" ca="1" si="148"/>
        <v>482.07306851378365</v>
      </c>
      <c r="AD305">
        <f t="shared" ca="1" si="149"/>
        <v>280.07692026646265</v>
      </c>
      <c r="AE305">
        <f t="shared" ca="1" si="150"/>
        <v>1019.7665564573041</v>
      </c>
      <c r="AF305">
        <f t="shared" ca="1" si="151"/>
        <v>482.73440697686738</v>
      </c>
      <c r="AG305">
        <f t="shared" ca="1" si="152"/>
        <v>0</v>
      </c>
      <c r="AH305">
        <f ca="1">IF(V32="Supercritical",L305,IF(V32="Subcritical",W305,IF(AND(V305=1,AG305=1),IF(T305&gt;=AE305,L305,W305),IF(V305=1,L305,IF(AG305=1,W305,MAX($D$16,POWER((ABS(K305)^2)/($I$5*MAX(F305,0.1)^2),1/3)))))))</f>
        <v>2.1403668656741068</v>
      </c>
      <c r="AI305">
        <f t="shared" ca="1" si="153"/>
        <v>634.62486686567411</v>
      </c>
      <c r="AJ305">
        <f t="shared" ca="1" si="154"/>
        <v>635.69505029851121</v>
      </c>
      <c r="AM305">
        <v>0</v>
      </c>
      <c r="AN305">
        <v>0</v>
      </c>
      <c r="AO305">
        <f t="shared" si="155"/>
        <v>0</v>
      </c>
      <c r="AP305">
        <f t="shared" si="164"/>
        <v>0</v>
      </c>
      <c r="AQ305">
        <f t="shared" ca="1" si="156"/>
        <v>0.99999999999999978</v>
      </c>
      <c r="AR305" t="str">
        <f t="shared" ca="1" si="157"/>
        <v>Supercritical</v>
      </c>
      <c r="AS305">
        <f t="shared" ca="1" si="158"/>
        <v>3.8148159832266538E-3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191</v>
      </c>
      <c r="I306">
        <v>5.5E-2</v>
      </c>
      <c r="J306">
        <f t="shared" si="159"/>
        <v>1.0010000000000048</v>
      </c>
      <c r="K306">
        <f t="shared" si="160"/>
        <v>51</v>
      </c>
      <c r="L306">
        <f t="shared" ca="1" si="161"/>
        <v>0.05</v>
      </c>
      <c r="M306">
        <f t="shared" ca="1" si="134"/>
        <v>0.26</v>
      </c>
      <c r="N306">
        <f t="shared" ca="1" si="135"/>
        <v>4.9056603773584909E-2</v>
      </c>
      <c r="O306">
        <f t="shared" ca="1" si="136"/>
        <v>196.15384615384616</v>
      </c>
      <c r="P306">
        <f t="shared" ca="1" si="137"/>
        <v>632.53399999999999</v>
      </c>
      <c r="Q306">
        <f t="shared" ca="1" si="138"/>
        <v>2593.611031648662</v>
      </c>
      <c r="R306">
        <f t="shared" ca="1" si="139"/>
        <v>482.07306851378365</v>
      </c>
      <c r="S306">
        <f t="shared" ca="1" si="140"/>
        <v>280.07692026646265</v>
      </c>
      <c r="T306">
        <f t="shared" ca="1" si="141"/>
        <v>1019.7665564573041</v>
      </c>
      <c r="U306">
        <f t="shared" ca="1" si="162"/>
        <v>-482.73440697686738</v>
      </c>
      <c r="V306">
        <f t="shared" ca="1" si="163"/>
        <v>0</v>
      </c>
      <c r="W306">
        <f t="shared" ca="1" si="142"/>
        <v>0.05</v>
      </c>
      <c r="X306">
        <f t="shared" ca="1" si="143"/>
        <v>0.26</v>
      </c>
      <c r="Y306">
        <f t="shared" ca="1" si="144"/>
        <v>4.9056603773584909E-2</v>
      </c>
      <c r="Z306">
        <f t="shared" ca="1" si="145"/>
        <v>196.15384615384616</v>
      </c>
      <c r="AA306">
        <f t="shared" ca="1" si="146"/>
        <v>632.53399999999999</v>
      </c>
      <c r="AB306">
        <f t="shared" ca="1" si="147"/>
        <v>2593.611031648662</v>
      </c>
      <c r="AC306">
        <f t="shared" ca="1" si="148"/>
        <v>482.07306851378365</v>
      </c>
      <c r="AD306">
        <f t="shared" ca="1" si="149"/>
        <v>280.07692026646265</v>
      </c>
      <c r="AE306">
        <f t="shared" ca="1" si="150"/>
        <v>1019.7665564573041</v>
      </c>
      <c r="AF306">
        <f t="shared" ca="1" si="151"/>
        <v>481.77026083983537</v>
      </c>
      <c r="AG306">
        <f t="shared" ca="1" si="152"/>
        <v>0</v>
      </c>
      <c r="AH306">
        <f ca="1">IF(V32="Supercritical",L306,IF(V32="Subcritical",W306,IF(AND(V306=1,AG306=1),IF(T306&gt;=AE306,L306,W306),IF(V306=1,L306,IF(AG306=1,W306,MAX($D$16,POWER((ABS(K306)^2)/($I$5*MAX(F306,0.1)^2),1/3)))))))</f>
        <v>2.1403668656741068</v>
      </c>
      <c r="AI306">
        <f t="shared" ca="1" si="153"/>
        <v>634.62436686567412</v>
      </c>
      <c r="AJ306">
        <f t="shared" ca="1" si="154"/>
        <v>635.69455029851122</v>
      </c>
      <c r="AM306">
        <v>0</v>
      </c>
      <c r="AN306">
        <v>0</v>
      </c>
      <c r="AO306">
        <f t="shared" si="155"/>
        <v>0</v>
      </c>
      <c r="AP306">
        <f t="shared" si="164"/>
        <v>0</v>
      </c>
      <c r="AQ306">
        <f t="shared" ca="1" si="156"/>
        <v>0.99999999999999978</v>
      </c>
      <c r="AR306" t="str">
        <f t="shared" ca="1" si="157"/>
        <v>Supercritical</v>
      </c>
      <c r="AS306">
        <f t="shared" ca="1" si="158"/>
        <v>3.8148159832266538E-3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191</v>
      </c>
      <c r="I307">
        <v>5.5E-2</v>
      </c>
      <c r="J307">
        <f t="shared" si="159"/>
        <v>0.99899999999999523</v>
      </c>
      <c r="K307">
        <f t="shared" si="160"/>
        <v>51</v>
      </c>
      <c r="L307">
        <f t="shared" ca="1" si="161"/>
        <v>0.05</v>
      </c>
      <c r="M307">
        <f t="shared" ca="1" si="134"/>
        <v>0.26</v>
      </c>
      <c r="N307">
        <f t="shared" ca="1" si="135"/>
        <v>4.9056603773584909E-2</v>
      </c>
      <c r="O307">
        <f t="shared" ca="1" si="136"/>
        <v>196.15384615384616</v>
      </c>
      <c r="P307">
        <f t="shared" ca="1" si="137"/>
        <v>632.5335</v>
      </c>
      <c r="Q307">
        <f t="shared" ca="1" si="138"/>
        <v>2593.6105316486619</v>
      </c>
      <c r="R307">
        <f t="shared" ca="1" si="139"/>
        <v>482.07306851378365</v>
      </c>
      <c r="S307">
        <f t="shared" ca="1" si="140"/>
        <v>280.07692026646265</v>
      </c>
      <c r="T307">
        <f t="shared" ca="1" si="141"/>
        <v>1019.7665564573041</v>
      </c>
      <c r="U307">
        <f t="shared" ca="1" si="162"/>
        <v>-481.77026083983537</v>
      </c>
      <c r="V307">
        <f t="shared" ca="1" si="163"/>
        <v>0</v>
      </c>
      <c r="W307">
        <f t="shared" ca="1" si="142"/>
        <v>0.05</v>
      </c>
      <c r="X307">
        <f t="shared" ca="1" si="143"/>
        <v>0.26</v>
      </c>
      <c r="Y307">
        <f t="shared" ca="1" si="144"/>
        <v>4.9056603773584909E-2</v>
      </c>
      <c r="Z307">
        <f t="shared" ca="1" si="145"/>
        <v>196.15384615384616</v>
      </c>
      <c r="AA307">
        <f t="shared" ca="1" si="146"/>
        <v>632.5335</v>
      </c>
      <c r="AB307">
        <f t="shared" ca="1" si="147"/>
        <v>2593.6105316486619</v>
      </c>
      <c r="AC307">
        <f t="shared" ca="1" si="148"/>
        <v>482.07306851378365</v>
      </c>
      <c r="AD307">
        <f t="shared" ca="1" si="149"/>
        <v>280.07692026646265</v>
      </c>
      <c r="AE307">
        <f t="shared" ca="1" si="150"/>
        <v>1019.7665564573041</v>
      </c>
      <c r="AF307">
        <f t="shared" ca="1" si="151"/>
        <v>482.07256851378361</v>
      </c>
      <c r="AG307">
        <f t="shared" ca="1" si="152"/>
        <v>0</v>
      </c>
      <c r="AH307">
        <f ca="1">IF(V32="Supercritical",L307,IF(V32="Subcritical",W307,IF(AND(V307=1,AG307=1),IF(T307&gt;=AE307,L307,W307),IF(V307=1,L307,IF(AG307=1,W307,MAX($D$16,POWER((ABS(K307)^2)/($I$5*MAX(F307,0.1)^2),1/3)))))))</f>
        <v>2.1403668656741068</v>
      </c>
      <c r="AI307">
        <f t="shared" ca="1" si="153"/>
        <v>634.62386686567413</v>
      </c>
      <c r="AJ307">
        <f t="shared" ca="1" si="154"/>
        <v>635.69405029851123</v>
      </c>
      <c r="AM307">
        <v>0</v>
      </c>
      <c r="AN307">
        <v>0</v>
      </c>
      <c r="AO307">
        <f t="shared" si="155"/>
        <v>0</v>
      </c>
      <c r="AP307">
        <f t="shared" si="164"/>
        <v>0</v>
      </c>
      <c r="AQ307">
        <f t="shared" ca="1" si="156"/>
        <v>0.99999999999999978</v>
      </c>
      <c r="AR307" t="str">
        <f t="shared" ca="1" si="157"/>
        <v>Supercritical</v>
      </c>
      <c r="AS307">
        <f t="shared" ca="1" si="158"/>
        <v>3.8148159832266538E-3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191</v>
      </c>
      <c r="I308">
        <v>0</v>
      </c>
      <c r="J308">
        <f t="shared" si="159"/>
        <v>1</v>
      </c>
      <c r="K308">
        <f t="shared" si="160"/>
        <v>51</v>
      </c>
      <c r="L308">
        <f t="shared" ca="1" si="161"/>
        <v>0.05</v>
      </c>
      <c r="M308">
        <f t="shared" ca="1" si="134"/>
        <v>0.26</v>
      </c>
      <c r="N308">
        <f t="shared" ca="1" si="135"/>
        <v>4.9056603773584909E-2</v>
      </c>
      <c r="O308">
        <f t="shared" ca="1" si="136"/>
        <v>196.15384615384616</v>
      </c>
      <c r="P308">
        <f t="shared" ca="1" si="137"/>
        <v>632.5329999999999</v>
      </c>
      <c r="Q308">
        <f t="shared" ca="1" si="138"/>
        <v>2593.6100316486618</v>
      </c>
      <c r="R308">
        <f t="shared" ca="1" si="139"/>
        <v>482.07306851378365</v>
      </c>
      <c r="S308">
        <f t="shared" ca="1" si="140"/>
        <v>280.07692026646265</v>
      </c>
      <c r="T308">
        <f t="shared" ca="1" si="141"/>
        <v>1019.7665564573041</v>
      </c>
      <c r="U308">
        <f t="shared" ca="1" si="162"/>
        <v>-482.07256851378361</v>
      </c>
      <c r="V308">
        <f t="shared" ca="1" si="163"/>
        <v>0</v>
      </c>
      <c r="W308">
        <f t="shared" ca="1" si="142"/>
        <v>0.05</v>
      </c>
      <c r="X308">
        <f t="shared" ca="1" si="143"/>
        <v>0.26</v>
      </c>
      <c r="Y308">
        <f t="shared" ca="1" si="144"/>
        <v>4.9056603773584909E-2</v>
      </c>
      <c r="Z308">
        <f t="shared" ca="1" si="145"/>
        <v>196.15384615384616</v>
      </c>
      <c r="AA308">
        <f t="shared" ca="1" si="146"/>
        <v>632.5329999999999</v>
      </c>
      <c r="AB308">
        <f t="shared" ca="1" si="147"/>
        <v>2593.6100316486618</v>
      </c>
      <c r="AC308">
        <f t="shared" ca="1" si="148"/>
        <v>482.07306851378365</v>
      </c>
      <c r="AD308">
        <f t="shared" ca="1" si="149"/>
        <v>280.07692026646265</v>
      </c>
      <c r="AE308">
        <f t="shared" ca="1" si="150"/>
        <v>1019.7665564573041</v>
      </c>
      <c r="AF308">
        <f t="shared" ca="1" si="151"/>
        <v>482.25887083179077</v>
      </c>
      <c r="AG308">
        <f t="shared" ca="1" si="152"/>
        <v>0</v>
      </c>
      <c r="AH308">
        <f ca="1">IF(V32="Supercritical",L308,IF(V32="Subcritical",W308,IF(AND(V308=1,AG308=1),IF(T308&gt;=AE308,L308,W308),IF(V308=1,L308,IF(AG308=1,W308,MAX($D$16,POWER((ABS(K308)^2)/($I$5*MAX(F308,0.1)^2),1/3)))))))</f>
        <v>2.1403668656741068</v>
      </c>
      <c r="AI308">
        <f t="shared" ca="1" si="153"/>
        <v>634.62336686567403</v>
      </c>
      <c r="AJ308">
        <f t="shared" ca="1" si="154"/>
        <v>635.69355029851113</v>
      </c>
      <c r="AM308">
        <v>0</v>
      </c>
      <c r="AN308">
        <v>0</v>
      </c>
      <c r="AO308">
        <f t="shared" si="155"/>
        <v>0</v>
      </c>
      <c r="AP308">
        <f t="shared" si="164"/>
        <v>0</v>
      </c>
      <c r="AQ308">
        <f t="shared" ca="1" si="156"/>
        <v>0.99999999999999978</v>
      </c>
      <c r="AR308" t="str">
        <f t="shared" ca="1" si="157"/>
        <v>Supercritical</v>
      </c>
      <c r="AS308">
        <f t="shared" ca="1" si="158"/>
        <v>3.8148159832266538E-3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191</v>
      </c>
      <c r="I309">
        <v>5.7000000000000002E-2</v>
      </c>
      <c r="J309">
        <f t="shared" si="159"/>
        <v>1</v>
      </c>
      <c r="K309">
        <f t="shared" si="160"/>
        <v>51</v>
      </c>
      <c r="L309">
        <f t="shared" ca="1" si="161"/>
        <v>0.05</v>
      </c>
      <c r="M309">
        <f t="shared" ca="1" si="134"/>
        <v>0.26</v>
      </c>
      <c r="N309">
        <f t="shared" ca="1" si="135"/>
        <v>4.9056603773584909E-2</v>
      </c>
      <c r="O309">
        <f t="shared" ca="1" si="136"/>
        <v>196.15384615384616</v>
      </c>
      <c r="P309">
        <f t="shared" ca="1" si="137"/>
        <v>632.53249999999991</v>
      </c>
      <c r="Q309">
        <f t="shared" ca="1" si="138"/>
        <v>2593.6095316486621</v>
      </c>
      <c r="R309">
        <f t="shared" ca="1" si="139"/>
        <v>482.07306851378365</v>
      </c>
      <c r="S309">
        <f t="shared" ca="1" si="140"/>
        <v>280.07692026646265</v>
      </c>
      <c r="T309">
        <f t="shared" ca="1" si="141"/>
        <v>1019.7665564573041</v>
      </c>
      <c r="U309">
        <f t="shared" ca="1" si="162"/>
        <v>-482.25887083179077</v>
      </c>
      <c r="V309">
        <f t="shared" ca="1" si="163"/>
        <v>0</v>
      </c>
      <c r="W309">
        <f t="shared" ca="1" si="142"/>
        <v>0.05</v>
      </c>
      <c r="X309">
        <f t="shared" ca="1" si="143"/>
        <v>0.26</v>
      </c>
      <c r="Y309">
        <f t="shared" ca="1" si="144"/>
        <v>4.9056603773584909E-2</v>
      </c>
      <c r="Z309">
        <f t="shared" ca="1" si="145"/>
        <v>196.15384615384616</v>
      </c>
      <c r="AA309">
        <f t="shared" ca="1" si="146"/>
        <v>632.53249999999991</v>
      </c>
      <c r="AB309">
        <f t="shared" ca="1" si="147"/>
        <v>2593.6095316486621</v>
      </c>
      <c r="AC309">
        <f t="shared" ca="1" si="148"/>
        <v>482.07306851378365</v>
      </c>
      <c r="AD309">
        <f t="shared" ca="1" si="149"/>
        <v>280.07692026646265</v>
      </c>
      <c r="AE309">
        <f t="shared" ca="1" si="150"/>
        <v>1019.7665564573041</v>
      </c>
      <c r="AF309">
        <f t="shared" ca="1" si="151"/>
        <v>482.25887083179032</v>
      </c>
      <c r="AG309">
        <f t="shared" ca="1" si="152"/>
        <v>0</v>
      </c>
      <c r="AH309">
        <f ca="1">IF(V32="Supercritical",L309,IF(V32="Subcritical",W309,IF(AND(V309=1,AG309=1),IF(T309&gt;=AE309,L309,W309),IF(V309=1,L309,IF(AG309=1,W309,MAX($D$16,POWER((ABS(K309)^2)/($I$5*MAX(F309,0.1)^2),1/3)))))))</f>
        <v>2.1403668656741068</v>
      </c>
      <c r="AI309">
        <f t="shared" ca="1" si="153"/>
        <v>634.62286686567404</v>
      </c>
      <c r="AJ309">
        <f t="shared" ca="1" si="154"/>
        <v>635.69305029851114</v>
      </c>
      <c r="AM309">
        <v>0</v>
      </c>
      <c r="AN309">
        <v>0</v>
      </c>
      <c r="AO309">
        <f t="shared" si="155"/>
        <v>0</v>
      </c>
      <c r="AP309">
        <f t="shared" si="164"/>
        <v>0</v>
      </c>
      <c r="AQ309">
        <f t="shared" ca="1" si="156"/>
        <v>0.99999999999999978</v>
      </c>
      <c r="AR309" t="str">
        <f t="shared" ca="1" si="157"/>
        <v>Supercritical</v>
      </c>
      <c r="AS309">
        <f t="shared" ca="1" si="158"/>
        <v>3.8148159832266538E-3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191</v>
      </c>
      <c r="I310">
        <v>5.7000000000000002E-2</v>
      </c>
      <c r="J310">
        <f t="shared" si="159"/>
        <v>1</v>
      </c>
      <c r="K310">
        <f t="shared" si="160"/>
        <v>51</v>
      </c>
      <c r="L310">
        <f t="shared" ca="1" si="161"/>
        <v>0.05</v>
      </c>
      <c r="M310">
        <f t="shared" ca="1" si="134"/>
        <v>0.26</v>
      </c>
      <c r="N310">
        <f t="shared" ca="1" si="135"/>
        <v>4.9056603773584909E-2</v>
      </c>
      <c r="O310">
        <f t="shared" ca="1" si="136"/>
        <v>196.15384615384616</v>
      </c>
      <c r="P310">
        <f t="shared" ca="1" si="137"/>
        <v>632.53199999999993</v>
      </c>
      <c r="Q310">
        <f t="shared" ca="1" si="138"/>
        <v>2593.609031648662</v>
      </c>
      <c r="R310">
        <f t="shared" ca="1" si="139"/>
        <v>482.07306851378365</v>
      </c>
      <c r="S310">
        <f t="shared" ca="1" si="140"/>
        <v>280.07692026646265</v>
      </c>
      <c r="T310">
        <f t="shared" ca="1" si="141"/>
        <v>1019.7665564573041</v>
      </c>
      <c r="U310">
        <f t="shared" ca="1" si="162"/>
        <v>-482.25887083179032</v>
      </c>
      <c r="V310">
        <f t="shared" ca="1" si="163"/>
        <v>0</v>
      </c>
      <c r="W310">
        <f t="shared" ca="1" si="142"/>
        <v>0.05</v>
      </c>
      <c r="X310">
        <f t="shared" ca="1" si="143"/>
        <v>0.26</v>
      </c>
      <c r="Y310">
        <f t="shared" ca="1" si="144"/>
        <v>4.9056603773584909E-2</v>
      </c>
      <c r="Z310">
        <f t="shared" ca="1" si="145"/>
        <v>196.15384615384616</v>
      </c>
      <c r="AA310">
        <f t="shared" ca="1" si="146"/>
        <v>632.53199999999993</v>
      </c>
      <c r="AB310">
        <f t="shared" ca="1" si="147"/>
        <v>2593.609031648662</v>
      </c>
      <c r="AC310">
        <f t="shared" ca="1" si="148"/>
        <v>482.07306851378365</v>
      </c>
      <c r="AD310">
        <f t="shared" ca="1" si="149"/>
        <v>280.07692026646265</v>
      </c>
      <c r="AE310">
        <f t="shared" ca="1" si="150"/>
        <v>1019.7665564573041</v>
      </c>
      <c r="AF310">
        <f t="shared" ca="1" si="151"/>
        <v>482.07256851378361</v>
      </c>
      <c r="AG310">
        <f t="shared" ca="1" si="152"/>
        <v>0</v>
      </c>
      <c r="AH310">
        <f ca="1">IF(V32="Supercritical",L310,IF(V32="Subcritical",W310,IF(AND(V310=1,AG310=1),IF(T310&gt;=AE310,L310,W310),IF(V310=1,L310,IF(AG310=1,W310,MAX($D$16,POWER((ABS(K310)^2)/($I$5*MAX(F310,0.1)^2),1/3)))))))</f>
        <v>2.1403668656741068</v>
      </c>
      <c r="AI310">
        <f t="shared" ca="1" si="153"/>
        <v>634.62236686567405</v>
      </c>
      <c r="AJ310">
        <f t="shared" ca="1" si="154"/>
        <v>635.69255029851115</v>
      </c>
      <c r="AM310">
        <v>0</v>
      </c>
      <c r="AN310">
        <v>0</v>
      </c>
      <c r="AO310">
        <f t="shared" si="155"/>
        <v>0</v>
      </c>
      <c r="AP310">
        <f t="shared" si="164"/>
        <v>0</v>
      </c>
      <c r="AQ310">
        <f t="shared" ca="1" si="156"/>
        <v>0.99999999999999978</v>
      </c>
      <c r="AR310" t="str">
        <f t="shared" ca="1" si="157"/>
        <v>Supercritical</v>
      </c>
      <c r="AS310">
        <f t="shared" ca="1" si="158"/>
        <v>3.8148159832266538E-3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191</v>
      </c>
      <c r="I311">
        <v>0</v>
      </c>
      <c r="J311">
        <f t="shared" si="159"/>
        <v>1</v>
      </c>
      <c r="K311">
        <f t="shared" si="160"/>
        <v>51</v>
      </c>
      <c r="L311">
        <f t="shared" ca="1" si="161"/>
        <v>0.05</v>
      </c>
      <c r="M311">
        <f t="shared" ca="1" si="134"/>
        <v>0.26</v>
      </c>
      <c r="N311">
        <f t="shared" ca="1" si="135"/>
        <v>4.9056603773584909E-2</v>
      </c>
      <c r="O311">
        <f t="shared" ca="1" si="136"/>
        <v>196.15384615384616</v>
      </c>
      <c r="P311">
        <f t="shared" ca="1" si="137"/>
        <v>632.53149999999994</v>
      </c>
      <c r="Q311">
        <f t="shared" ca="1" si="138"/>
        <v>2593.6085316486619</v>
      </c>
      <c r="R311">
        <f t="shared" ca="1" si="139"/>
        <v>482.07306851378365</v>
      </c>
      <c r="S311">
        <f t="shared" ca="1" si="140"/>
        <v>280.07692026646265</v>
      </c>
      <c r="T311">
        <f t="shared" ca="1" si="141"/>
        <v>1019.7665564573041</v>
      </c>
      <c r="U311">
        <f t="shared" ca="1" si="162"/>
        <v>-482.07256851378361</v>
      </c>
      <c r="V311">
        <f t="shared" ca="1" si="163"/>
        <v>0</v>
      </c>
      <c r="W311">
        <f t="shared" ca="1" si="142"/>
        <v>0.05</v>
      </c>
      <c r="X311">
        <f t="shared" ca="1" si="143"/>
        <v>0.26</v>
      </c>
      <c r="Y311">
        <f t="shared" ca="1" si="144"/>
        <v>4.9056603773584909E-2</v>
      </c>
      <c r="Z311">
        <f t="shared" ca="1" si="145"/>
        <v>196.15384615384616</v>
      </c>
      <c r="AA311">
        <f t="shared" ca="1" si="146"/>
        <v>632.53149999999994</v>
      </c>
      <c r="AB311">
        <f t="shared" ca="1" si="147"/>
        <v>2593.6085316486619</v>
      </c>
      <c r="AC311">
        <f t="shared" ca="1" si="148"/>
        <v>482.07306851378365</v>
      </c>
      <c r="AD311">
        <f t="shared" ca="1" si="149"/>
        <v>280.07692026646265</v>
      </c>
      <c r="AE311">
        <f t="shared" ca="1" si="150"/>
        <v>1019.7665564573041</v>
      </c>
      <c r="AF311">
        <f t="shared" ca="1" si="151"/>
        <v>482.25887083179077</v>
      </c>
      <c r="AG311">
        <f t="shared" ca="1" si="152"/>
        <v>0</v>
      </c>
      <c r="AH311">
        <f ca="1">IF(V32="Supercritical",L311,IF(V32="Subcritical",W311,IF(AND(V311=1,AG311=1),IF(T311&gt;=AE311,L311,W311),IF(V311=1,L311,IF(AG311=1,W311,MAX($D$16,POWER((ABS(K311)^2)/($I$5*MAX(F311,0.1)^2),1/3)))))))</f>
        <v>2.1403668656741068</v>
      </c>
      <c r="AI311">
        <f t="shared" ca="1" si="153"/>
        <v>634.62186686567406</v>
      </c>
      <c r="AJ311">
        <f t="shared" ca="1" si="154"/>
        <v>635.69205029851116</v>
      </c>
      <c r="AM311">
        <v>0</v>
      </c>
      <c r="AN311">
        <v>0</v>
      </c>
      <c r="AO311">
        <f t="shared" si="155"/>
        <v>0</v>
      </c>
      <c r="AP311">
        <f t="shared" si="164"/>
        <v>0</v>
      </c>
      <c r="AQ311">
        <f t="shared" ca="1" si="156"/>
        <v>0.99999999999999978</v>
      </c>
      <c r="AR311" t="str">
        <f t="shared" ca="1" si="157"/>
        <v>Supercritical</v>
      </c>
      <c r="AS311">
        <f t="shared" ca="1" si="158"/>
        <v>3.8148159832266538E-3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191</v>
      </c>
      <c r="I312">
        <v>5.7000000000000002E-2</v>
      </c>
      <c r="J312">
        <f t="shared" si="159"/>
        <v>1</v>
      </c>
      <c r="K312">
        <f t="shared" si="160"/>
        <v>51</v>
      </c>
      <c r="L312">
        <f t="shared" ca="1" si="161"/>
        <v>0.05</v>
      </c>
      <c r="M312">
        <f t="shared" ca="1" si="134"/>
        <v>0.26</v>
      </c>
      <c r="N312">
        <f t="shared" ca="1" si="135"/>
        <v>4.9056603773584909E-2</v>
      </c>
      <c r="O312">
        <f t="shared" ca="1" si="136"/>
        <v>196.15384615384616</v>
      </c>
      <c r="P312">
        <f t="shared" ca="1" si="137"/>
        <v>632.53099999999995</v>
      </c>
      <c r="Q312">
        <f t="shared" ca="1" si="138"/>
        <v>2593.6080316486623</v>
      </c>
      <c r="R312">
        <f t="shared" ca="1" si="139"/>
        <v>482.07306851378365</v>
      </c>
      <c r="S312">
        <f t="shared" ca="1" si="140"/>
        <v>280.07692026646265</v>
      </c>
      <c r="T312">
        <f t="shared" ca="1" si="141"/>
        <v>1019.7665564573041</v>
      </c>
      <c r="U312">
        <f t="shared" ca="1" si="162"/>
        <v>-482.25887083179077</v>
      </c>
      <c r="V312">
        <f t="shared" ca="1" si="163"/>
        <v>0</v>
      </c>
      <c r="W312">
        <f t="shared" ca="1" si="142"/>
        <v>0.05</v>
      </c>
      <c r="X312">
        <f t="shared" ca="1" si="143"/>
        <v>0.26</v>
      </c>
      <c r="Y312">
        <f t="shared" ca="1" si="144"/>
        <v>4.9056603773584909E-2</v>
      </c>
      <c r="Z312">
        <f t="shared" ca="1" si="145"/>
        <v>196.15384615384616</v>
      </c>
      <c r="AA312">
        <f t="shared" ca="1" si="146"/>
        <v>632.53099999999995</v>
      </c>
      <c r="AB312">
        <f t="shared" ca="1" si="147"/>
        <v>2593.6080316486623</v>
      </c>
      <c r="AC312">
        <f t="shared" ca="1" si="148"/>
        <v>482.07306851378365</v>
      </c>
      <c r="AD312">
        <f t="shared" ca="1" si="149"/>
        <v>280.07692026646265</v>
      </c>
      <c r="AE312">
        <f t="shared" ca="1" si="150"/>
        <v>1019.7665564573041</v>
      </c>
      <c r="AF312">
        <f t="shared" ca="1" si="151"/>
        <v>482.74094390030632</v>
      </c>
      <c r="AG312">
        <f t="shared" ca="1" si="152"/>
        <v>0</v>
      </c>
      <c r="AH312">
        <f ca="1">IF(V32="Supercritical",L312,IF(V32="Subcritical",W312,IF(AND(V312=1,AG312=1),IF(T312&gt;=AE312,L312,W312),IF(V312=1,L312,IF(AG312=1,W312,MAX($D$16,POWER((ABS(K312)^2)/($I$5*MAX(F312,0.1)^2),1/3)))))))</f>
        <v>2.1403668656741068</v>
      </c>
      <c r="AI312">
        <f t="shared" ca="1" si="153"/>
        <v>634.62136686567408</v>
      </c>
      <c r="AJ312">
        <f t="shared" ca="1" si="154"/>
        <v>635.69155029851117</v>
      </c>
      <c r="AM312">
        <v>0</v>
      </c>
      <c r="AN312">
        <v>0</v>
      </c>
      <c r="AO312">
        <f t="shared" si="155"/>
        <v>0</v>
      </c>
      <c r="AP312">
        <f t="shared" si="164"/>
        <v>0</v>
      </c>
      <c r="AQ312">
        <f t="shared" ca="1" si="156"/>
        <v>0.99999999999999978</v>
      </c>
      <c r="AR312" t="str">
        <f t="shared" ca="1" si="157"/>
        <v>Supercritical</v>
      </c>
      <c r="AS312">
        <f t="shared" ca="1" si="158"/>
        <v>3.8148159832266538E-3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191</v>
      </c>
      <c r="I313">
        <v>5.7000000000000002E-2</v>
      </c>
      <c r="J313">
        <f t="shared" si="159"/>
        <v>1.0010000000000048</v>
      </c>
      <c r="K313">
        <f t="shared" si="160"/>
        <v>51</v>
      </c>
      <c r="L313">
        <f t="shared" ca="1" si="161"/>
        <v>0.05</v>
      </c>
      <c r="M313">
        <f t="shared" ca="1" si="134"/>
        <v>0.26</v>
      </c>
      <c r="N313">
        <f t="shared" ca="1" si="135"/>
        <v>4.9056603773584909E-2</v>
      </c>
      <c r="O313">
        <f t="shared" ca="1" si="136"/>
        <v>196.15384615384616</v>
      </c>
      <c r="P313">
        <f t="shared" ca="1" si="137"/>
        <v>632.53049999999996</v>
      </c>
      <c r="Q313">
        <f t="shared" ca="1" si="138"/>
        <v>2593.6075316486622</v>
      </c>
      <c r="R313">
        <f t="shared" ca="1" si="139"/>
        <v>482.07306851378365</v>
      </c>
      <c r="S313">
        <f t="shared" ca="1" si="140"/>
        <v>280.07692026646265</v>
      </c>
      <c r="T313">
        <f t="shared" ca="1" si="141"/>
        <v>1019.7665564573041</v>
      </c>
      <c r="U313">
        <f t="shared" ca="1" si="162"/>
        <v>-482.74094390030632</v>
      </c>
      <c r="V313">
        <f t="shared" ca="1" si="163"/>
        <v>0</v>
      </c>
      <c r="W313">
        <f t="shared" ca="1" si="142"/>
        <v>0.05</v>
      </c>
      <c r="X313">
        <f t="shared" ca="1" si="143"/>
        <v>0.26</v>
      </c>
      <c r="Y313">
        <f t="shared" ca="1" si="144"/>
        <v>4.9056603773584909E-2</v>
      </c>
      <c r="Z313">
        <f t="shared" ca="1" si="145"/>
        <v>196.15384615384616</v>
      </c>
      <c r="AA313">
        <f t="shared" ca="1" si="146"/>
        <v>632.53049999999996</v>
      </c>
      <c r="AB313">
        <f t="shared" ca="1" si="147"/>
        <v>2593.6075316486622</v>
      </c>
      <c r="AC313">
        <f t="shared" ca="1" si="148"/>
        <v>482.07306851378365</v>
      </c>
      <c r="AD313">
        <f t="shared" ca="1" si="149"/>
        <v>280.07692026646265</v>
      </c>
      <c r="AE313">
        <f t="shared" ca="1" si="150"/>
        <v>1019.7665564573041</v>
      </c>
      <c r="AF313">
        <f t="shared" ca="1" si="151"/>
        <v>482.25233390835137</v>
      </c>
      <c r="AG313">
        <f t="shared" ca="1" si="152"/>
        <v>0</v>
      </c>
      <c r="AH313">
        <f ca="1">IF(V32="Supercritical",L313,IF(V32="Subcritical",W313,IF(AND(V313=1,AG313=1),IF(T313&gt;=AE313,L313,W313),IF(V313=1,L313,IF(AG313=1,W313,MAX($D$16,POWER((ABS(K313)^2)/($I$5*MAX(F313,0.1)^2),1/3)))))))</f>
        <v>2.1403668656741068</v>
      </c>
      <c r="AI313">
        <f t="shared" ca="1" si="153"/>
        <v>634.62086686567409</v>
      </c>
      <c r="AJ313">
        <f t="shared" ca="1" si="154"/>
        <v>635.69105029851119</v>
      </c>
      <c r="AM313">
        <v>0</v>
      </c>
      <c r="AN313">
        <v>0</v>
      </c>
      <c r="AO313">
        <f t="shared" si="155"/>
        <v>0</v>
      </c>
      <c r="AP313">
        <f t="shared" si="164"/>
        <v>0</v>
      </c>
      <c r="AQ313">
        <f t="shared" ca="1" si="156"/>
        <v>0.99999999999999978</v>
      </c>
      <c r="AR313" t="str">
        <f t="shared" ca="1" si="157"/>
        <v>Supercritical</v>
      </c>
      <c r="AS313">
        <f t="shared" ca="1" si="158"/>
        <v>3.8148159832266538E-3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191</v>
      </c>
      <c r="I314">
        <v>5.5E-2</v>
      </c>
      <c r="J314">
        <f t="shared" si="159"/>
        <v>1</v>
      </c>
      <c r="K314">
        <f t="shared" si="160"/>
        <v>51</v>
      </c>
      <c r="L314">
        <f t="shared" ca="1" si="161"/>
        <v>0.05</v>
      </c>
      <c r="M314">
        <f t="shared" ca="1" si="134"/>
        <v>0.26</v>
      </c>
      <c r="N314">
        <f t="shared" ca="1" si="135"/>
        <v>4.9056603773584909E-2</v>
      </c>
      <c r="O314">
        <f t="shared" ca="1" si="136"/>
        <v>196.15384615384616</v>
      </c>
      <c r="P314">
        <f t="shared" ca="1" si="137"/>
        <v>632.53</v>
      </c>
      <c r="Q314">
        <f t="shared" ca="1" si="138"/>
        <v>2593.6070316486621</v>
      </c>
      <c r="R314">
        <f t="shared" ca="1" si="139"/>
        <v>482.07306851378365</v>
      </c>
      <c r="S314">
        <f t="shared" ca="1" si="140"/>
        <v>280.07692026646265</v>
      </c>
      <c r="T314">
        <f t="shared" ca="1" si="141"/>
        <v>1019.7665564573041</v>
      </c>
      <c r="U314">
        <f t="shared" ca="1" si="162"/>
        <v>-482.25233390835137</v>
      </c>
      <c r="V314">
        <f t="shared" ca="1" si="163"/>
        <v>0</v>
      </c>
      <c r="W314">
        <f t="shared" ca="1" si="142"/>
        <v>0.05</v>
      </c>
      <c r="X314">
        <f t="shared" ca="1" si="143"/>
        <v>0.26</v>
      </c>
      <c r="Y314">
        <f t="shared" ca="1" si="144"/>
        <v>4.9056603773584909E-2</v>
      </c>
      <c r="Z314">
        <f t="shared" ca="1" si="145"/>
        <v>196.15384615384616</v>
      </c>
      <c r="AA314">
        <f t="shared" ca="1" si="146"/>
        <v>632.53</v>
      </c>
      <c r="AB314">
        <f t="shared" ca="1" si="147"/>
        <v>2593.6070316486621</v>
      </c>
      <c r="AC314">
        <f t="shared" ca="1" si="148"/>
        <v>482.07306851378365</v>
      </c>
      <c r="AD314">
        <f t="shared" ca="1" si="149"/>
        <v>280.07692026646265</v>
      </c>
      <c r="AE314">
        <f t="shared" ca="1" si="150"/>
        <v>1019.7665564573041</v>
      </c>
      <c r="AF314">
        <f t="shared" ca="1" si="151"/>
        <v>481.77026083983537</v>
      </c>
      <c r="AG314">
        <f t="shared" ca="1" si="152"/>
        <v>0</v>
      </c>
      <c r="AH314">
        <f ca="1">IF(V32="Supercritical",L314,IF(V32="Subcritical",W314,IF(AND(V314=1,AG314=1),IF(T314&gt;=AE314,L314,W314),IF(V314=1,L314,IF(AG314=1,W314,MAX($D$16,POWER((ABS(K314)^2)/($I$5*MAX(F314,0.1)^2),1/3)))))))</f>
        <v>2.1403668656741068</v>
      </c>
      <c r="AI314">
        <f t="shared" ca="1" si="153"/>
        <v>634.6203668656741</v>
      </c>
      <c r="AJ314">
        <f t="shared" ca="1" si="154"/>
        <v>635.6905502985112</v>
      </c>
      <c r="AM314">
        <v>0</v>
      </c>
      <c r="AN314">
        <v>0</v>
      </c>
      <c r="AO314">
        <f t="shared" si="155"/>
        <v>0</v>
      </c>
      <c r="AP314">
        <f t="shared" si="164"/>
        <v>0</v>
      </c>
      <c r="AQ314">
        <f t="shared" ca="1" si="156"/>
        <v>0.99999999999999978</v>
      </c>
      <c r="AR314" t="str">
        <f t="shared" ca="1" si="157"/>
        <v>Supercritical</v>
      </c>
      <c r="AS314">
        <f t="shared" ca="1" si="158"/>
        <v>3.8148159832266538E-3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191</v>
      </c>
      <c r="I315">
        <v>5.5E-2</v>
      </c>
      <c r="J315">
        <f t="shared" si="159"/>
        <v>0.99899999999999523</v>
      </c>
      <c r="K315">
        <f t="shared" si="160"/>
        <v>51</v>
      </c>
      <c r="L315">
        <f t="shared" ca="1" si="161"/>
        <v>0.05</v>
      </c>
      <c r="M315">
        <f t="shared" ca="1" si="134"/>
        <v>0.26</v>
      </c>
      <c r="N315">
        <f t="shared" ca="1" si="135"/>
        <v>4.9056603773584909E-2</v>
      </c>
      <c r="O315">
        <f t="shared" ca="1" si="136"/>
        <v>196.15384615384616</v>
      </c>
      <c r="P315">
        <f t="shared" ca="1" si="137"/>
        <v>632.52949999999998</v>
      </c>
      <c r="Q315">
        <f t="shared" ca="1" si="138"/>
        <v>2593.606531648662</v>
      </c>
      <c r="R315">
        <f t="shared" ca="1" si="139"/>
        <v>482.07306851378365</v>
      </c>
      <c r="S315">
        <f t="shared" ca="1" si="140"/>
        <v>280.07692026646265</v>
      </c>
      <c r="T315">
        <f t="shared" ca="1" si="141"/>
        <v>1019.7665564573041</v>
      </c>
      <c r="U315">
        <f t="shared" ca="1" si="162"/>
        <v>-481.77026083983537</v>
      </c>
      <c r="V315">
        <f t="shared" ca="1" si="163"/>
        <v>0</v>
      </c>
      <c r="W315">
        <f t="shared" ca="1" si="142"/>
        <v>0.05</v>
      </c>
      <c r="X315">
        <f t="shared" ca="1" si="143"/>
        <v>0.26</v>
      </c>
      <c r="Y315">
        <f t="shared" ca="1" si="144"/>
        <v>4.9056603773584909E-2</v>
      </c>
      <c r="Z315">
        <f t="shared" ca="1" si="145"/>
        <v>196.15384615384616</v>
      </c>
      <c r="AA315">
        <f t="shared" ca="1" si="146"/>
        <v>632.52949999999998</v>
      </c>
      <c r="AB315">
        <f t="shared" ca="1" si="147"/>
        <v>2593.606531648662</v>
      </c>
      <c r="AC315">
        <f t="shared" ca="1" si="148"/>
        <v>482.07306851378365</v>
      </c>
      <c r="AD315">
        <f t="shared" ca="1" si="149"/>
        <v>280.07692026646265</v>
      </c>
      <c r="AE315">
        <f t="shared" ca="1" si="150"/>
        <v>1019.7665564573041</v>
      </c>
      <c r="AF315">
        <f t="shared" ca="1" si="151"/>
        <v>482.07256851378361</v>
      </c>
      <c r="AG315">
        <f t="shared" ca="1" si="152"/>
        <v>0</v>
      </c>
      <c r="AH315">
        <f ca="1">IF(V32="Supercritical",L315,IF(V32="Subcritical",W315,IF(AND(V315=1,AG315=1),IF(T315&gt;=AE315,L315,W315),IF(V315=1,L315,IF(AG315=1,W315,MAX($D$16,POWER((ABS(K315)^2)/($I$5*MAX(F315,0.1)^2),1/3)))))))</f>
        <v>2.1403668656741068</v>
      </c>
      <c r="AI315">
        <f t="shared" ca="1" si="153"/>
        <v>634.61986686567411</v>
      </c>
      <c r="AJ315">
        <f t="shared" ca="1" si="154"/>
        <v>635.69005029851121</v>
      </c>
      <c r="AM315">
        <v>0</v>
      </c>
      <c r="AN315">
        <v>0</v>
      </c>
      <c r="AO315">
        <f t="shared" si="155"/>
        <v>0</v>
      </c>
      <c r="AP315">
        <f t="shared" si="164"/>
        <v>0</v>
      </c>
      <c r="AQ315">
        <f t="shared" ca="1" si="156"/>
        <v>0.99999999999999978</v>
      </c>
      <c r="AR315" t="str">
        <f t="shared" ca="1" si="157"/>
        <v>Supercritical</v>
      </c>
      <c r="AS315">
        <f t="shared" ca="1" si="158"/>
        <v>3.8148159832266538E-3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191</v>
      </c>
      <c r="I316">
        <v>0</v>
      </c>
      <c r="J316">
        <f t="shared" si="159"/>
        <v>1</v>
      </c>
      <c r="K316">
        <f t="shared" si="160"/>
        <v>51</v>
      </c>
      <c r="L316">
        <f t="shared" ca="1" si="161"/>
        <v>0.05</v>
      </c>
      <c r="M316">
        <f t="shared" ca="1" si="134"/>
        <v>0.26</v>
      </c>
      <c r="N316">
        <f t="shared" ca="1" si="135"/>
        <v>4.9056603773584909E-2</v>
      </c>
      <c r="O316">
        <f t="shared" ca="1" si="136"/>
        <v>196.15384615384616</v>
      </c>
      <c r="P316">
        <f t="shared" ca="1" si="137"/>
        <v>632.529</v>
      </c>
      <c r="Q316">
        <f t="shared" ca="1" si="138"/>
        <v>2593.6060316486619</v>
      </c>
      <c r="R316">
        <f t="shared" ca="1" si="139"/>
        <v>482.07306851378365</v>
      </c>
      <c r="S316">
        <f t="shared" ca="1" si="140"/>
        <v>280.07692026646265</v>
      </c>
      <c r="T316">
        <f t="shared" ca="1" si="141"/>
        <v>1019.7665564573041</v>
      </c>
      <c r="U316">
        <f t="shared" ca="1" si="162"/>
        <v>-482.07256851378361</v>
      </c>
      <c r="V316">
        <f t="shared" ca="1" si="163"/>
        <v>0</v>
      </c>
      <c r="W316">
        <f t="shared" ca="1" si="142"/>
        <v>0.05</v>
      </c>
      <c r="X316">
        <f t="shared" ca="1" si="143"/>
        <v>0.26</v>
      </c>
      <c r="Y316">
        <f t="shared" ca="1" si="144"/>
        <v>4.9056603773584909E-2</v>
      </c>
      <c r="Z316">
        <f t="shared" ca="1" si="145"/>
        <v>196.15384615384616</v>
      </c>
      <c r="AA316">
        <f t="shared" ca="1" si="146"/>
        <v>632.529</v>
      </c>
      <c r="AB316">
        <f t="shared" ca="1" si="147"/>
        <v>2593.6060316486619</v>
      </c>
      <c r="AC316">
        <f t="shared" ca="1" si="148"/>
        <v>482.07306851378365</v>
      </c>
      <c r="AD316">
        <f t="shared" ca="1" si="149"/>
        <v>280.07692026646265</v>
      </c>
      <c r="AE316">
        <f t="shared" ca="1" si="150"/>
        <v>1019.7665564573041</v>
      </c>
      <c r="AF316">
        <f t="shared" ca="1" si="151"/>
        <v>482.25887083179077</v>
      </c>
      <c r="AG316">
        <f t="shared" ca="1" si="152"/>
        <v>0</v>
      </c>
      <c r="AH316">
        <f ca="1">IF(V32="Supercritical",L316,IF(V32="Subcritical",W316,IF(AND(V316=1,AG316=1),IF(T316&gt;=AE316,L316,W316),IF(V316=1,L316,IF(AG316=1,W316,MAX($D$16,POWER((ABS(K316)^2)/($I$5*MAX(F316,0.1)^2),1/3)))))))</f>
        <v>2.1403668656741068</v>
      </c>
      <c r="AI316">
        <f t="shared" ca="1" si="153"/>
        <v>634.61936686567412</v>
      </c>
      <c r="AJ316">
        <f t="shared" ca="1" si="154"/>
        <v>635.68955029851122</v>
      </c>
      <c r="AM316">
        <v>0</v>
      </c>
      <c r="AN316">
        <v>0</v>
      </c>
      <c r="AO316">
        <f t="shared" si="155"/>
        <v>0</v>
      </c>
      <c r="AP316">
        <f t="shared" si="164"/>
        <v>0</v>
      </c>
      <c r="AQ316">
        <f t="shared" ca="1" si="156"/>
        <v>0.99999999999999978</v>
      </c>
      <c r="AR316" t="str">
        <f t="shared" ca="1" si="157"/>
        <v>Supercritical</v>
      </c>
      <c r="AS316">
        <f t="shared" ca="1" si="158"/>
        <v>3.8148159832266538E-3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191</v>
      </c>
      <c r="I317">
        <v>5.7000000000000002E-2</v>
      </c>
      <c r="J317">
        <f t="shared" si="159"/>
        <v>1</v>
      </c>
      <c r="K317">
        <f t="shared" si="160"/>
        <v>51</v>
      </c>
      <c r="L317">
        <f t="shared" ca="1" si="161"/>
        <v>0.05</v>
      </c>
      <c r="M317">
        <f t="shared" ca="1" si="134"/>
        <v>0.26</v>
      </c>
      <c r="N317">
        <f t="shared" ca="1" si="135"/>
        <v>4.9056603773584909E-2</v>
      </c>
      <c r="O317">
        <f t="shared" ca="1" si="136"/>
        <v>196.15384615384616</v>
      </c>
      <c r="P317">
        <f t="shared" ca="1" si="137"/>
        <v>632.52850000000001</v>
      </c>
      <c r="Q317">
        <f t="shared" ca="1" si="138"/>
        <v>2593.6055316486622</v>
      </c>
      <c r="R317">
        <f t="shared" ca="1" si="139"/>
        <v>482.07306851378365</v>
      </c>
      <c r="S317">
        <f t="shared" ca="1" si="140"/>
        <v>280.07692026646265</v>
      </c>
      <c r="T317">
        <f t="shared" ca="1" si="141"/>
        <v>1019.7665564573041</v>
      </c>
      <c r="U317">
        <f t="shared" ca="1" si="162"/>
        <v>-482.25887083179077</v>
      </c>
      <c r="V317">
        <f t="shared" ca="1" si="163"/>
        <v>0</v>
      </c>
      <c r="W317">
        <f t="shared" ca="1" si="142"/>
        <v>0.05</v>
      </c>
      <c r="X317">
        <f t="shared" ca="1" si="143"/>
        <v>0.26</v>
      </c>
      <c r="Y317">
        <f t="shared" ca="1" si="144"/>
        <v>4.9056603773584909E-2</v>
      </c>
      <c r="Z317">
        <f t="shared" ca="1" si="145"/>
        <v>196.15384615384616</v>
      </c>
      <c r="AA317">
        <f t="shared" ca="1" si="146"/>
        <v>632.52850000000001</v>
      </c>
      <c r="AB317">
        <f t="shared" ca="1" si="147"/>
        <v>2593.6055316486622</v>
      </c>
      <c r="AC317">
        <f t="shared" ca="1" si="148"/>
        <v>482.07306851378365</v>
      </c>
      <c r="AD317">
        <f t="shared" ca="1" si="149"/>
        <v>280.07692026646265</v>
      </c>
      <c r="AE317">
        <f t="shared" ca="1" si="150"/>
        <v>1019.7665564573041</v>
      </c>
      <c r="AF317">
        <f t="shared" ca="1" si="151"/>
        <v>482.25887083179032</v>
      </c>
      <c r="AG317">
        <f t="shared" ca="1" si="152"/>
        <v>0</v>
      </c>
      <c r="AH317">
        <f ca="1">IF(V32="Supercritical",L317,IF(V32="Subcritical",W317,IF(AND(V317=1,AG317=1),IF(T317&gt;=AE317,L317,W317),IF(V317=1,L317,IF(AG317=1,W317,MAX($D$16,POWER((ABS(K317)^2)/($I$5*MAX(F317,0.1)^2),1/3)))))))</f>
        <v>2.1403668656741068</v>
      </c>
      <c r="AI317">
        <f t="shared" ca="1" si="153"/>
        <v>634.61886686567414</v>
      </c>
      <c r="AJ317">
        <f t="shared" ca="1" si="154"/>
        <v>635.68905029851123</v>
      </c>
      <c r="AM317">
        <v>0</v>
      </c>
      <c r="AN317">
        <v>0</v>
      </c>
      <c r="AO317">
        <f t="shared" si="155"/>
        <v>0</v>
      </c>
      <c r="AP317">
        <f t="shared" si="164"/>
        <v>0</v>
      </c>
      <c r="AQ317">
        <f t="shared" ca="1" si="156"/>
        <v>0.99999999999999978</v>
      </c>
      <c r="AR317" t="str">
        <f t="shared" ca="1" si="157"/>
        <v>Supercritical</v>
      </c>
      <c r="AS317">
        <f t="shared" ca="1" si="158"/>
        <v>3.8148159832266538E-3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191</v>
      </c>
      <c r="I318">
        <v>5.7000000000000002E-2</v>
      </c>
      <c r="J318">
        <f t="shared" si="159"/>
        <v>1</v>
      </c>
      <c r="K318">
        <f t="shared" si="160"/>
        <v>51</v>
      </c>
      <c r="L318">
        <f t="shared" ca="1" si="161"/>
        <v>0.05</v>
      </c>
      <c r="M318">
        <f t="shared" ca="1" si="134"/>
        <v>0.26</v>
      </c>
      <c r="N318">
        <f t="shared" ca="1" si="135"/>
        <v>4.9056603773584909E-2</v>
      </c>
      <c r="O318">
        <f t="shared" ca="1" si="136"/>
        <v>196.15384615384616</v>
      </c>
      <c r="P318">
        <f t="shared" ca="1" si="137"/>
        <v>632.52799999999991</v>
      </c>
      <c r="Q318">
        <f t="shared" ca="1" si="138"/>
        <v>2593.6050316486621</v>
      </c>
      <c r="R318">
        <f t="shared" ca="1" si="139"/>
        <v>482.07306851378365</v>
      </c>
      <c r="S318">
        <f t="shared" ca="1" si="140"/>
        <v>280.07692026646265</v>
      </c>
      <c r="T318">
        <f t="shared" ca="1" si="141"/>
        <v>1019.7665564573041</v>
      </c>
      <c r="U318">
        <f t="shared" ca="1" si="162"/>
        <v>-482.25887083179032</v>
      </c>
      <c r="V318">
        <f t="shared" ca="1" si="163"/>
        <v>0</v>
      </c>
      <c r="W318">
        <f t="shared" ca="1" si="142"/>
        <v>0.05</v>
      </c>
      <c r="X318">
        <f t="shared" ca="1" si="143"/>
        <v>0.26</v>
      </c>
      <c r="Y318">
        <f t="shared" ca="1" si="144"/>
        <v>4.9056603773584909E-2</v>
      </c>
      <c r="Z318">
        <f t="shared" ca="1" si="145"/>
        <v>196.15384615384616</v>
      </c>
      <c r="AA318">
        <f t="shared" ca="1" si="146"/>
        <v>632.52799999999991</v>
      </c>
      <c r="AB318">
        <f t="shared" ca="1" si="147"/>
        <v>2593.6050316486621</v>
      </c>
      <c r="AC318">
        <f t="shared" ca="1" si="148"/>
        <v>482.07306851378365</v>
      </c>
      <c r="AD318">
        <f t="shared" ca="1" si="149"/>
        <v>280.07692026646265</v>
      </c>
      <c r="AE318">
        <f t="shared" ca="1" si="150"/>
        <v>1019.7665564573041</v>
      </c>
      <c r="AF318">
        <f t="shared" ca="1" si="151"/>
        <v>482.07256851378361</v>
      </c>
      <c r="AG318">
        <f t="shared" ca="1" si="152"/>
        <v>0</v>
      </c>
      <c r="AH318">
        <f ca="1">IF(V32="Supercritical",L318,IF(V32="Subcritical",W318,IF(AND(V318=1,AG318=1),IF(T318&gt;=AE318,L318,W318),IF(V318=1,L318,IF(AG318=1,W318,MAX($D$16,POWER((ABS(K318)^2)/($I$5*MAX(F318,0.1)^2),1/3)))))))</f>
        <v>2.1403668656741068</v>
      </c>
      <c r="AI318">
        <f t="shared" ca="1" si="153"/>
        <v>634.61836686567403</v>
      </c>
      <c r="AJ318">
        <f t="shared" ca="1" si="154"/>
        <v>635.68855029851113</v>
      </c>
      <c r="AM318">
        <v>0</v>
      </c>
      <c r="AN318">
        <v>0</v>
      </c>
      <c r="AO318">
        <f t="shared" si="155"/>
        <v>0</v>
      </c>
      <c r="AP318">
        <f t="shared" si="164"/>
        <v>0</v>
      </c>
      <c r="AQ318">
        <f t="shared" ca="1" si="156"/>
        <v>0.99999999999999978</v>
      </c>
      <c r="AR318" t="str">
        <f t="shared" ca="1" si="157"/>
        <v>Supercritical</v>
      </c>
      <c r="AS318">
        <f t="shared" ca="1" si="158"/>
        <v>3.8148159832266538E-3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191</v>
      </c>
      <c r="I319">
        <v>0</v>
      </c>
      <c r="J319">
        <f t="shared" si="159"/>
        <v>1</v>
      </c>
      <c r="K319">
        <f t="shared" si="160"/>
        <v>51</v>
      </c>
      <c r="L319">
        <f t="shared" ca="1" si="161"/>
        <v>0.05</v>
      </c>
      <c r="M319">
        <f t="shared" ca="1" si="134"/>
        <v>0.26</v>
      </c>
      <c r="N319">
        <f t="shared" ca="1" si="135"/>
        <v>4.9056603773584909E-2</v>
      </c>
      <c r="O319">
        <f t="shared" ca="1" si="136"/>
        <v>196.15384615384616</v>
      </c>
      <c r="P319">
        <f t="shared" ca="1" si="137"/>
        <v>632.52749999999992</v>
      </c>
      <c r="Q319">
        <f t="shared" ca="1" si="138"/>
        <v>2593.604531648662</v>
      </c>
      <c r="R319">
        <f t="shared" ca="1" si="139"/>
        <v>482.07306851378365</v>
      </c>
      <c r="S319">
        <f t="shared" ca="1" si="140"/>
        <v>280.07692026646265</v>
      </c>
      <c r="T319">
        <f t="shared" ca="1" si="141"/>
        <v>1019.7665564573041</v>
      </c>
      <c r="U319">
        <f t="shared" ca="1" si="162"/>
        <v>-482.07256851378361</v>
      </c>
      <c r="V319">
        <f t="shared" ca="1" si="163"/>
        <v>0</v>
      </c>
      <c r="W319">
        <f t="shared" ca="1" si="142"/>
        <v>0.05</v>
      </c>
      <c r="X319">
        <f t="shared" ca="1" si="143"/>
        <v>0.26</v>
      </c>
      <c r="Y319">
        <f t="shared" ca="1" si="144"/>
        <v>4.9056603773584909E-2</v>
      </c>
      <c r="Z319">
        <f t="shared" ca="1" si="145"/>
        <v>196.15384615384616</v>
      </c>
      <c r="AA319">
        <f t="shared" ca="1" si="146"/>
        <v>632.52749999999992</v>
      </c>
      <c r="AB319">
        <f t="shared" ca="1" si="147"/>
        <v>2593.604531648662</v>
      </c>
      <c r="AC319">
        <f t="shared" ca="1" si="148"/>
        <v>482.07306851378365</v>
      </c>
      <c r="AD319">
        <f t="shared" ca="1" si="149"/>
        <v>280.07692026646265</v>
      </c>
      <c r="AE319">
        <f t="shared" ca="1" si="150"/>
        <v>1019.7665564573041</v>
      </c>
      <c r="AF319">
        <f t="shared" ca="1" si="151"/>
        <v>482.25887083179032</v>
      </c>
      <c r="AG319">
        <f t="shared" ca="1" si="152"/>
        <v>0</v>
      </c>
      <c r="AH319">
        <f ca="1">IF(V32="Supercritical",L319,IF(V32="Subcritical",W319,IF(AND(V319=1,AG319=1),IF(T319&gt;=AE319,L319,W319),IF(V319=1,L319,IF(AG319=1,W319,MAX($D$16,POWER((ABS(K319)^2)/($I$5*MAX(F319,0.1)^2),1/3)))))))</f>
        <v>2.1403668656741068</v>
      </c>
      <c r="AI319">
        <f t="shared" ca="1" si="153"/>
        <v>634.61786686567405</v>
      </c>
      <c r="AJ319">
        <f t="shared" ca="1" si="154"/>
        <v>635.68805029851114</v>
      </c>
      <c r="AM319">
        <v>0</v>
      </c>
      <c r="AN319">
        <v>0</v>
      </c>
      <c r="AO319">
        <f t="shared" si="155"/>
        <v>0</v>
      </c>
      <c r="AP319">
        <f t="shared" si="164"/>
        <v>0</v>
      </c>
      <c r="AQ319">
        <f t="shared" ca="1" si="156"/>
        <v>0.99999999999999978</v>
      </c>
      <c r="AR319" t="str">
        <f t="shared" ca="1" si="157"/>
        <v>Supercritical</v>
      </c>
      <c r="AS319">
        <f t="shared" ca="1" si="158"/>
        <v>3.8148159832266538E-3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191</v>
      </c>
      <c r="I320">
        <v>5.7000000000000002E-2</v>
      </c>
      <c r="J320">
        <f t="shared" si="159"/>
        <v>1</v>
      </c>
      <c r="K320">
        <f t="shared" si="160"/>
        <v>51</v>
      </c>
      <c r="L320">
        <f t="shared" ca="1" si="161"/>
        <v>0.05</v>
      </c>
      <c r="M320">
        <f t="shared" ca="1" si="134"/>
        <v>0.26</v>
      </c>
      <c r="N320">
        <f t="shared" ca="1" si="135"/>
        <v>4.9056603773584909E-2</v>
      </c>
      <c r="O320">
        <f t="shared" ca="1" si="136"/>
        <v>196.15384615384616</v>
      </c>
      <c r="P320">
        <f t="shared" ca="1" si="137"/>
        <v>632.52699999999993</v>
      </c>
      <c r="Q320">
        <f t="shared" ca="1" si="138"/>
        <v>2593.6040316486619</v>
      </c>
      <c r="R320">
        <f t="shared" ca="1" si="139"/>
        <v>482.07306851378365</v>
      </c>
      <c r="S320">
        <f t="shared" ca="1" si="140"/>
        <v>280.07692026646265</v>
      </c>
      <c r="T320">
        <f t="shared" ca="1" si="141"/>
        <v>1019.7665564573041</v>
      </c>
      <c r="U320">
        <f t="shared" ca="1" si="162"/>
        <v>-482.25887083179032</v>
      </c>
      <c r="V320">
        <f t="shared" ca="1" si="163"/>
        <v>0</v>
      </c>
      <c r="W320">
        <f t="shared" ca="1" si="142"/>
        <v>0.05</v>
      </c>
      <c r="X320">
        <f t="shared" ca="1" si="143"/>
        <v>0.26</v>
      </c>
      <c r="Y320">
        <f t="shared" ca="1" si="144"/>
        <v>4.9056603773584909E-2</v>
      </c>
      <c r="Z320">
        <f t="shared" ca="1" si="145"/>
        <v>196.15384615384616</v>
      </c>
      <c r="AA320">
        <f t="shared" ca="1" si="146"/>
        <v>632.52699999999993</v>
      </c>
      <c r="AB320">
        <f t="shared" ca="1" si="147"/>
        <v>2593.6040316486619</v>
      </c>
      <c r="AC320">
        <f t="shared" ca="1" si="148"/>
        <v>482.07306851378365</v>
      </c>
      <c r="AD320">
        <f t="shared" ca="1" si="149"/>
        <v>280.07692026646265</v>
      </c>
      <c r="AE320">
        <f t="shared" ca="1" si="150"/>
        <v>1019.7665564573041</v>
      </c>
      <c r="AF320">
        <f t="shared" ca="1" si="151"/>
        <v>482.75074928546474</v>
      </c>
      <c r="AG320">
        <f t="shared" ca="1" si="152"/>
        <v>0</v>
      </c>
      <c r="AH320">
        <f ca="1">IF(V32="Supercritical",L320,IF(V32="Subcritical",W320,IF(AND(V320=1,AG320=1),IF(T320&gt;=AE320,L320,W320),IF(V320=1,L320,IF(AG320=1,W320,MAX($D$16,POWER((ABS(K320)^2)/($I$5*MAX(F320,0.1)^2),1/3)))))))</f>
        <v>2.1403668656741068</v>
      </c>
      <c r="AI320">
        <f t="shared" ca="1" si="153"/>
        <v>634.61736686567406</v>
      </c>
      <c r="AJ320">
        <f t="shared" ca="1" si="154"/>
        <v>635.68755029851116</v>
      </c>
      <c r="AM320">
        <v>0</v>
      </c>
      <c r="AN320">
        <v>0</v>
      </c>
      <c r="AO320">
        <f t="shared" si="155"/>
        <v>0</v>
      </c>
      <c r="AP320">
        <f t="shared" si="164"/>
        <v>0</v>
      </c>
      <c r="AQ320">
        <f t="shared" ca="1" si="156"/>
        <v>0.99999999999999978</v>
      </c>
      <c r="AR320" t="str">
        <f t="shared" ca="1" si="157"/>
        <v>Supercritical</v>
      </c>
      <c r="AS320">
        <f t="shared" ca="1" si="158"/>
        <v>3.8148159832266538E-3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191</v>
      </c>
      <c r="I321">
        <v>0.06</v>
      </c>
      <c r="J321">
        <f t="shared" si="159"/>
        <v>1.0010000000000048</v>
      </c>
      <c r="K321">
        <f t="shared" si="160"/>
        <v>51</v>
      </c>
      <c r="L321">
        <f t="shared" ca="1" si="161"/>
        <v>0.05</v>
      </c>
      <c r="M321">
        <f t="shared" ca="1" si="134"/>
        <v>0.26</v>
      </c>
      <c r="N321">
        <f t="shared" ca="1" si="135"/>
        <v>4.9056603773584909E-2</v>
      </c>
      <c r="O321">
        <f t="shared" ca="1" si="136"/>
        <v>196.15384615384616</v>
      </c>
      <c r="P321">
        <f t="shared" ca="1" si="137"/>
        <v>632.52649999999994</v>
      </c>
      <c r="Q321">
        <f t="shared" ca="1" si="138"/>
        <v>2593.6035316486623</v>
      </c>
      <c r="R321">
        <f t="shared" ca="1" si="139"/>
        <v>482.07306851378365</v>
      </c>
      <c r="S321">
        <f t="shared" ca="1" si="140"/>
        <v>280.07692026646265</v>
      </c>
      <c r="T321">
        <f t="shared" ca="1" si="141"/>
        <v>1019.7665564573041</v>
      </c>
      <c r="U321">
        <f t="shared" ca="1" si="162"/>
        <v>-482.75074928546474</v>
      </c>
      <c r="V321">
        <f t="shared" ca="1" si="163"/>
        <v>0</v>
      </c>
      <c r="W321">
        <f t="shared" ca="1" si="142"/>
        <v>0.05</v>
      </c>
      <c r="X321">
        <f t="shared" ca="1" si="143"/>
        <v>0.26</v>
      </c>
      <c r="Y321">
        <f t="shared" ca="1" si="144"/>
        <v>4.9056603773584909E-2</v>
      </c>
      <c r="Z321">
        <f t="shared" ca="1" si="145"/>
        <v>196.15384615384616</v>
      </c>
      <c r="AA321">
        <f t="shared" ca="1" si="146"/>
        <v>632.52649999999994</v>
      </c>
      <c r="AB321">
        <f t="shared" ca="1" si="147"/>
        <v>2593.6035316486623</v>
      </c>
      <c r="AC321">
        <f t="shared" ca="1" si="148"/>
        <v>482.07306851378365</v>
      </c>
      <c r="AD321">
        <f t="shared" ca="1" si="149"/>
        <v>280.07692026646265</v>
      </c>
      <c r="AE321">
        <f t="shared" ca="1" si="150"/>
        <v>1019.7665564573041</v>
      </c>
      <c r="AF321">
        <f t="shared" ca="1" si="151"/>
        <v>481.78660314843228</v>
      </c>
      <c r="AG321">
        <f t="shared" ca="1" si="152"/>
        <v>0</v>
      </c>
      <c r="AH321">
        <f ca="1">IF(V32="Supercritical",L321,IF(V32="Subcritical",W321,IF(AND(V321=1,AG321=1),IF(T321&gt;=AE321,L321,W321),IF(V321=1,L321,IF(AG321=1,W321,MAX($D$16,POWER((ABS(K321)^2)/($I$5*MAX(F321,0.1)^2),1/3)))))))</f>
        <v>2.1403668656741068</v>
      </c>
      <c r="AI321">
        <f t="shared" ca="1" si="153"/>
        <v>634.61686686567407</v>
      </c>
      <c r="AJ321">
        <f t="shared" ca="1" si="154"/>
        <v>635.68705029851117</v>
      </c>
      <c r="AM321">
        <v>0</v>
      </c>
      <c r="AN321">
        <v>0</v>
      </c>
      <c r="AO321">
        <f t="shared" si="155"/>
        <v>0</v>
      </c>
      <c r="AP321">
        <f t="shared" si="164"/>
        <v>0</v>
      </c>
      <c r="AQ321">
        <f t="shared" ca="1" si="156"/>
        <v>0.99999999999999978</v>
      </c>
      <c r="AR321" t="str">
        <f t="shared" ca="1" si="157"/>
        <v>Supercritical</v>
      </c>
      <c r="AS321">
        <f t="shared" ca="1" si="158"/>
        <v>3.8148159832266538E-3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191</v>
      </c>
      <c r="I322">
        <v>0.06</v>
      </c>
      <c r="J322">
        <f t="shared" si="159"/>
        <v>0.99899999999999523</v>
      </c>
      <c r="K322">
        <f t="shared" si="160"/>
        <v>51</v>
      </c>
      <c r="L322">
        <f t="shared" ca="1" si="161"/>
        <v>0.05</v>
      </c>
      <c r="M322">
        <f t="shared" ca="1" si="134"/>
        <v>0.26</v>
      </c>
      <c r="N322">
        <f t="shared" ca="1" si="135"/>
        <v>4.9056603773584909E-2</v>
      </c>
      <c r="O322">
        <f t="shared" ca="1" si="136"/>
        <v>196.15384615384616</v>
      </c>
      <c r="P322">
        <f t="shared" ca="1" si="137"/>
        <v>632.52599999999995</v>
      </c>
      <c r="Q322">
        <f t="shared" ca="1" si="138"/>
        <v>2593.6030316486622</v>
      </c>
      <c r="R322">
        <f t="shared" ca="1" si="139"/>
        <v>482.07306851378365</v>
      </c>
      <c r="S322">
        <f t="shared" ca="1" si="140"/>
        <v>280.07692026646265</v>
      </c>
      <c r="T322">
        <f t="shared" ca="1" si="141"/>
        <v>1019.7665564573041</v>
      </c>
      <c r="U322">
        <f t="shared" ca="1" si="162"/>
        <v>-481.78660314843228</v>
      </c>
      <c r="V322">
        <f t="shared" ca="1" si="163"/>
        <v>0</v>
      </c>
      <c r="W322">
        <f t="shared" ca="1" si="142"/>
        <v>0.05</v>
      </c>
      <c r="X322">
        <f t="shared" ca="1" si="143"/>
        <v>0.26</v>
      </c>
      <c r="Y322">
        <f t="shared" ca="1" si="144"/>
        <v>4.9056603773584909E-2</v>
      </c>
      <c r="Z322">
        <f t="shared" ca="1" si="145"/>
        <v>196.15384615384616</v>
      </c>
      <c r="AA322">
        <f t="shared" ca="1" si="146"/>
        <v>632.52599999999995</v>
      </c>
      <c r="AB322">
        <f t="shared" ca="1" si="147"/>
        <v>2593.6030316486622</v>
      </c>
      <c r="AC322">
        <f t="shared" ca="1" si="148"/>
        <v>482.07306851378365</v>
      </c>
      <c r="AD322">
        <f t="shared" ca="1" si="149"/>
        <v>280.07692026646265</v>
      </c>
      <c r="AE322">
        <f t="shared" ca="1" si="150"/>
        <v>1019.7665564573041</v>
      </c>
      <c r="AF322">
        <f t="shared" ca="1" si="151"/>
        <v>482.25887083179032</v>
      </c>
      <c r="AG322">
        <f t="shared" ca="1" si="152"/>
        <v>0</v>
      </c>
      <c r="AH322">
        <f ca="1">IF(V32="Supercritical",L322,IF(V32="Subcritical",W322,IF(AND(V322=1,AG322=1),IF(T322&gt;=AE322,L322,W322),IF(V322=1,L322,IF(AG322=1,W322,MAX($D$16,POWER((ABS(K322)^2)/($I$5*MAX(F322,0.1)^2),1/3)))))))</f>
        <v>2.1403668656741068</v>
      </c>
      <c r="AI322">
        <f t="shared" ca="1" si="153"/>
        <v>634.61636686567408</v>
      </c>
      <c r="AJ322">
        <f t="shared" ca="1" si="154"/>
        <v>635.68655029851118</v>
      </c>
      <c r="AM322">
        <v>0</v>
      </c>
      <c r="AN322">
        <v>0</v>
      </c>
      <c r="AO322">
        <f t="shared" si="155"/>
        <v>0</v>
      </c>
      <c r="AP322">
        <f t="shared" si="164"/>
        <v>0</v>
      </c>
      <c r="AQ322">
        <f t="shared" ca="1" si="156"/>
        <v>0.99999999999999978</v>
      </c>
      <c r="AR322" t="str">
        <f t="shared" ca="1" si="157"/>
        <v>Supercritical</v>
      </c>
      <c r="AS322">
        <f t="shared" ca="1" si="158"/>
        <v>3.8148159832266538E-3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191</v>
      </c>
      <c r="I323">
        <v>5.7000000000000002E-2</v>
      </c>
      <c r="J323">
        <f t="shared" si="159"/>
        <v>1</v>
      </c>
      <c r="K323">
        <f t="shared" si="160"/>
        <v>51</v>
      </c>
      <c r="L323">
        <f t="shared" ca="1" si="161"/>
        <v>0.05</v>
      </c>
      <c r="M323">
        <f t="shared" ca="1" si="134"/>
        <v>0.26</v>
      </c>
      <c r="N323">
        <f t="shared" ca="1" si="135"/>
        <v>4.9056603773584909E-2</v>
      </c>
      <c r="O323">
        <f t="shared" ca="1" si="136"/>
        <v>196.15384615384616</v>
      </c>
      <c r="P323">
        <f t="shared" ca="1" si="137"/>
        <v>632.52549999999997</v>
      </c>
      <c r="Q323">
        <f t="shared" ca="1" si="138"/>
        <v>2593.6025316486621</v>
      </c>
      <c r="R323">
        <f t="shared" ca="1" si="139"/>
        <v>482.07306851378365</v>
      </c>
      <c r="S323">
        <f t="shared" ca="1" si="140"/>
        <v>280.07692026646265</v>
      </c>
      <c r="T323">
        <f t="shared" ca="1" si="141"/>
        <v>1019.7665564573041</v>
      </c>
      <c r="U323">
        <f t="shared" ca="1" si="162"/>
        <v>-482.25887083179032</v>
      </c>
      <c r="V323">
        <f t="shared" ca="1" si="163"/>
        <v>0</v>
      </c>
      <c r="W323">
        <f t="shared" ca="1" si="142"/>
        <v>0.05</v>
      </c>
      <c r="X323">
        <f t="shared" ca="1" si="143"/>
        <v>0.26</v>
      </c>
      <c r="Y323">
        <f t="shared" ca="1" si="144"/>
        <v>4.9056603773584909E-2</v>
      </c>
      <c r="Z323">
        <f t="shared" ca="1" si="145"/>
        <v>196.15384615384616</v>
      </c>
      <c r="AA323">
        <f t="shared" ca="1" si="146"/>
        <v>632.52549999999997</v>
      </c>
      <c r="AB323">
        <f t="shared" ca="1" si="147"/>
        <v>2593.6025316486621</v>
      </c>
      <c r="AC323">
        <f t="shared" ca="1" si="148"/>
        <v>482.07306851378365</v>
      </c>
      <c r="AD323">
        <f t="shared" ca="1" si="149"/>
        <v>280.07692026646265</v>
      </c>
      <c r="AE323">
        <f t="shared" ca="1" si="150"/>
        <v>1019.7665564573041</v>
      </c>
      <c r="AF323">
        <f t="shared" ca="1" si="151"/>
        <v>482.07256851378361</v>
      </c>
      <c r="AG323">
        <f t="shared" ca="1" si="152"/>
        <v>0</v>
      </c>
      <c r="AH323">
        <f ca="1">IF(V32="Supercritical",L323,IF(V32="Subcritical",W323,IF(AND(V323=1,AG323=1),IF(T323&gt;=AE323,L323,W323),IF(V323=1,L323,IF(AG323=1,W323,MAX($D$16,POWER((ABS(K323)^2)/($I$5*MAX(F323,0.1)^2),1/3)))))))</f>
        <v>2.1403668656741068</v>
      </c>
      <c r="AI323">
        <f t="shared" ca="1" si="153"/>
        <v>634.61586686567409</v>
      </c>
      <c r="AJ323">
        <f t="shared" ca="1" si="154"/>
        <v>635.68605029851119</v>
      </c>
      <c r="AM323">
        <v>0</v>
      </c>
      <c r="AN323">
        <v>0</v>
      </c>
      <c r="AO323">
        <f t="shared" si="155"/>
        <v>0</v>
      </c>
      <c r="AP323">
        <f t="shared" si="164"/>
        <v>0</v>
      </c>
      <c r="AQ323">
        <f t="shared" ca="1" si="156"/>
        <v>0.99999999999999978</v>
      </c>
      <c r="AR323" t="str">
        <f t="shared" ca="1" si="157"/>
        <v>Supercritical</v>
      </c>
      <c r="AS323">
        <f t="shared" ca="1" si="158"/>
        <v>3.8148159832266538E-3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191</v>
      </c>
      <c r="I324">
        <v>0</v>
      </c>
      <c r="J324">
        <f t="shared" si="159"/>
        <v>1</v>
      </c>
      <c r="K324">
        <f t="shared" si="160"/>
        <v>51</v>
      </c>
      <c r="L324">
        <f t="shared" ca="1" si="161"/>
        <v>0.05</v>
      </c>
      <c r="M324">
        <f t="shared" ca="1" si="134"/>
        <v>0.26</v>
      </c>
      <c r="N324">
        <f t="shared" ca="1" si="135"/>
        <v>4.9056603773584909E-2</v>
      </c>
      <c r="O324">
        <f t="shared" ca="1" si="136"/>
        <v>196.15384615384616</v>
      </c>
      <c r="P324">
        <f t="shared" ca="1" si="137"/>
        <v>632.52499999999998</v>
      </c>
      <c r="Q324">
        <f t="shared" ca="1" si="138"/>
        <v>2593.602031648662</v>
      </c>
      <c r="R324">
        <f t="shared" ca="1" si="139"/>
        <v>482.07306851378365</v>
      </c>
      <c r="S324">
        <f t="shared" ca="1" si="140"/>
        <v>280.07692026646265</v>
      </c>
      <c r="T324">
        <f t="shared" ca="1" si="141"/>
        <v>1019.7665564573041</v>
      </c>
      <c r="U324">
        <f t="shared" ca="1" si="162"/>
        <v>-482.07256851378361</v>
      </c>
      <c r="V324">
        <f t="shared" ca="1" si="163"/>
        <v>0</v>
      </c>
      <c r="W324">
        <f t="shared" ca="1" si="142"/>
        <v>0.05</v>
      </c>
      <c r="X324">
        <f t="shared" ca="1" si="143"/>
        <v>0.26</v>
      </c>
      <c r="Y324">
        <f t="shared" ca="1" si="144"/>
        <v>4.9056603773584909E-2</v>
      </c>
      <c r="Z324">
        <f t="shared" ca="1" si="145"/>
        <v>196.15384615384616</v>
      </c>
      <c r="AA324">
        <f t="shared" ca="1" si="146"/>
        <v>632.52499999999998</v>
      </c>
      <c r="AB324">
        <f t="shared" ca="1" si="147"/>
        <v>2593.602031648662</v>
      </c>
      <c r="AC324">
        <f t="shared" ca="1" si="148"/>
        <v>482.07306851378365</v>
      </c>
      <c r="AD324">
        <f t="shared" ca="1" si="149"/>
        <v>280.07692026646265</v>
      </c>
      <c r="AE324">
        <f t="shared" ca="1" si="150"/>
        <v>1019.7665564573041</v>
      </c>
      <c r="AF324">
        <f t="shared" ca="1" si="151"/>
        <v>482.25887083179032</v>
      </c>
      <c r="AG324">
        <f t="shared" ca="1" si="152"/>
        <v>0</v>
      </c>
      <c r="AH324">
        <f ca="1">IF(V32="Supercritical",L324,IF(V32="Subcritical",W324,IF(AND(V324=1,AG324=1),IF(T324&gt;=AE324,L324,W324),IF(V324=1,L324,IF(AG324=1,W324,MAX($D$16,POWER((ABS(K324)^2)/($I$5*MAX(F324,0.1)^2),1/3)))))))</f>
        <v>2.1403668656741068</v>
      </c>
      <c r="AI324">
        <f t="shared" ca="1" si="153"/>
        <v>634.6153668656741</v>
      </c>
      <c r="AJ324">
        <f t="shared" ca="1" si="154"/>
        <v>635.6855502985112</v>
      </c>
      <c r="AM324">
        <v>0</v>
      </c>
      <c r="AN324">
        <v>0</v>
      </c>
      <c r="AO324">
        <f t="shared" si="155"/>
        <v>0</v>
      </c>
      <c r="AP324">
        <f t="shared" si="164"/>
        <v>0</v>
      </c>
      <c r="AQ324">
        <f t="shared" ca="1" si="156"/>
        <v>0.99999999999999978</v>
      </c>
      <c r="AR324" t="str">
        <f t="shared" ca="1" si="157"/>
        <v>Supercritical</v>
      </c>
      <c r="AS324">
        <f t="shared" ca="1" si="158"/>
        <v>3.8148159832266538E-3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191</v>
      </c>
      <c r="I325">
        <v>5.7000000000000002E-2</v>
      </c>
      <c r="J325">
        <f t="shared" si="159"/>
        <v>1</v>
      </c>
      <c r="K325">
        <f t="shared" si="160"/>
        <v>51</v>
      </c>
      <c r="L325">
        <f t="shared" ca="1" si="161"/>
        <v>0.05</v>
      </c>
      <c r="M325">
        <f t="shared" ca="1" si="134"/>
        <v>0.26</v>
      </c>
      <c r="N325">
        <f t="shared" ca="1" si="135"/>
        <v>4.9056603773584909E-2</v>
      </c>
      <c r="O325">
        <f t="shared" ca="1" si="136"/>
        <v>196.15384615384616</v>
      </c>
      <c r="P325">
        <f t="shared" ca="1" si="137"/>
        <v>632.52449999999999</v>
      </c>
      <c r="Q325">
        <f t="shared" ca="1" si="138"/>
        <v>2593.6015316486619</v>
      </c>
      <c r="R325">
        <f t="shared" ca="1" si="139"/>
        <v>482.07306851378365</v>
      </c>
      <c r="S325">
        <f t="shared" ca="1" si="140"/>
        <v>280.07692026646265</v>
      </c>
      <c r="T325">
        <f t="shared" ca="1" si="141"/>
        <v>1019.7665564573041</v>
      </c>
      <c r="U325">
        <f t="shared" ca="1" si="162"/>
        <v>-482.25887083179032</v>
      </c>
      <c r="V325">
        <f t="shared" ca="1" si="163"/>
        <v>0</v>
      </c>
      <c r="W325">
        <f t="shared" ca="1" si="142"/>
        <v>0.05</v>
      </c>
      <c r="X325">
        <f t="shared" ca="1" si="143"/>
        <v>0.26</v>
      </c>
      <c r="Y325">
        <f t="shared" ca="1" si="144"/>
        <v>4.9056603773584909E-2</v>
      </c>
      <c r="Z325">
        <f t="shared" ca="1" si="145"/>
        <v>196.15384615384616</v>
      </c>
      <c r="AA325">
        <f t="shared" ca="1" si="146"/>
        <v>632.52449999999999</v>
      </c>
      <c r="AB325">
        <f t="shared" ca="1" si="147"/>
        <v>2593.6015316486619</v>
      </c>
      <c r="AC325">
        <f t="shared" ca="1" si="148"/>
        <v>482.07306851378365</v>
      </c>
      <c r="AD325">
        <f t="shared" ca="1" si="149"/>
        <v>280.07692026646265</v>
      </c>
      <c r="AE325">
        <f t="shared" ca="1" si="150"/>
        <v>1019.7665564573041</v>
      </c>
      <c r="AF325">
        <f t="shared" ca="1" si="151"/>
        <v>482.25887083179077</v>
      </c>
      <c r="AG325">
        <f t="shared" ca="1" si="152"/>
        <v>0</v>
      </c>
      <c r="AH325">
        <f ca="1">IF(V32="Supercritical",L325,IF(V32="Subcritical",W325,IF(AND(V325=1,AG325=1),IF(T325&gt;=AE325,L325,W325),IF(V325=1,L325,IF(AG325=1,W325,MAX($D$16,POWER((ABS(K325)^2)/($I$5*MAX(F325,0.1)^2),1/3)))))))</f>
        <v>2.1403668656741068</v>
      </c>
      <c r="AI325">
        <f t="shared" ca="1" si="153"/>
        <v>634.61486686567412</v>
      </c>
      <c r="AJ325">
        <f t="shared" ca="1" si="154"/>
        <v>635.68505029851121</v>
      </c>
      <c r="AM325">
        <v>0</v>
      </c>
      <c r="AN325">
        <v>0</v>
      </c>
      <c r="AO325">
        <f t="shared" si="155"/>
        <v>0</v>
      </c>
      <c r="AP325">
        <f t="shared" si="164"/>
        <v>0</v>
      </c>
      <c r="AQ325">
        <f t="shared" ca="1" si="156"/>
        <v>0.99999999999999978</v>
      </c>
      <c r="AR325" t="str">
        <f t="shared" ca="1" si="157"/>
        <v>Supercritical</v>
      </c>
      <c r="AS325">
        <f t="shared" ca="1" si="158"/>
        <v>3.8148159832266538E-3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191</v>
      </c>
      <c r="I326">
        <v>5.7000000000000002E-2</v>
      </c>
      <c r="J326">
        <f t="shared" si="159"/>
        <v>1</v>
      </c>
      <c r="K326">
        <f t="shared" si="160"/>
        <v>51</v>
      </c>
      <c r="L326">
        <f t="shared" ca="1" si="161"/>
        <v>0.05</v>
      </c>
      <c r="M326">
        <f t="shared" ca="1" si="134"/>
        <v>0.26</v>
      </c>
      <c r="N326">
        <f t="shared" ca="1" si="135"/>
        <v>4.9056603773584909E-2</v>
      </c>
      <c r="O326">
        <f t="shared" ca="1" si="136"/>
        <v>196.15384615384616</v>
      </c>
      <c r="P326">
        <f t="shared" ca="1" si="137"/>
        <v>632.524</v>
      </c>
      <c r="Q326">
        <f t="shared" ca="1" si="138"/>
        <v>2593.6010316486622</v>
      </c>
      <c r="R326">
        <f t="shared" ca="1" si="139"/>
        <v>482.07306851378365</v>
      </c>
      <c r="S326">
        <f t="shared" ca="1" si="140"/>
        <v>280.07692026646265</v>
      </c>
      <c r="T326">
        <f t="shared" ca="1" si="141"/>
        <v>1019.7665564573041</v>
      </c>
      <c r="U326">
        <f t="shared" ca="1" si="162"/>
        <v>-482.25887083179077</v>
      </c>
      <c r="V326">
        <f t="shared" ca="1" si="163"/>
        <v>0</v>
      </c>
      <c r="W326">
        <f t="shared" ca="1" si="142"/>
        <v>0.05</v>
      </c>
      <c r="X326">
        <f t="shared" ca="1" si="143"/>
        <v>0.26</v>
      </c>
      <c r="Y326">
        <f t="shared" ca="1" si="144"/>
        <v>4.9056603773584909E-2</v>
      </c>
      <c r="Z326">
        <f t="shared" ca="1" si="145"/>
        <v>196.15384615384616</v>
      </c>
      <c r="AA326">
        <f t="shared" ca="1" si="146"/>
        <v>632.524</v>
      </c>
      <c r="AB326">
        <f t="shared" ca="1" si="147"/>
        <v>2593.6010316486622</v>
      </c>
      <c r="AC326">
        <f t="shared" ca="1" si="148"/>
        <v>482.07306851378365</v>
      </c>
      <c r="AD326">
        <f t="shared" ca="1" si="149"/>
        <v>280.07692026646265</v>
      </c>
      <c r="AE326">
        <f t="shared" ca="1" si="150"/>
        <v>1019.7665564573041</v>
      </c>
      <c r="AF326">
        <f t="shared" ca="1" si="151"/>
        <v>482.25887083179032</v>
      </c>
      <c r="AG326">
        <f t="shared" ca="1" si="152"/>
        <v>0</v>
      </c>
      <c r="AH326">
        <f ca="1">IF(V32="Supercritical",L326,IF(V32="Subcritical",W326,IF(AND(V326=1,AG326=1),IF(T326&gt;=AE326,L326,W326),IF(V326=1,L326,IF(AG326=1,W326,MAX($D$16,POWER((ABS(K326)^2)/($I$5*MAX(F326,0.1)^2),1/3)))))))</f>
        <v>2.1403668656741068</v>
      </c>
      <c r="AI326">
        <f t="shared" ca="1" si="153"/>
        <v>634.61436686567413</v>
      </c>
      <c r="AJ326">
        <f t="shared" ca="1" si="154"/>
        <v>635.68455029851123</v>
      </c>
      <c r="AM326">
        <v>0</v>
      </c>
      <c r="AN326">
        <v>0</v>
      </c>
      <c r="AO326">
        <f t="shared" si="155"/>
        <v>0</v>
      </c>
      <c r="AP326">
        <f t="shared" si="164"/>
        <v>0</v>
      </c>
      <c r="AQ326">
        <f t="shared" ca="1" si="156"/>
        <v>0.99999999999999978</v>
      </c>
      <c r="AR326" t="str">
        <f t="shared" ca="1" si="157"/>
        <v>Supercritical</v>
      </c>
      <c r="AS326">
        <f t="shared" ca="1" si="158"/>
        <v>3.8148159832266538E-3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191</v>
      </c>
      <c r="I327">
        <v>5.7000000000000002E-2</v>
      </c>
      <c r="J327">
        <f t="shared" si="159"/>
        <v>1</v>
      </c>
      <c r="K327">
        <f t="shared" si="160"/>
        <v>51</v>
      </c>
      <c r="L327">
        <f t="shared" ca="1" si="161"/>
        <v>0.05</v>
      </c>
      <c r="M327">
        <f t="shared" ca="1" si="134"/>
        <v>0.26</v>
      </c>
      <c r="N327">
        <f t="shared" ca="1" si="135"/>
        <v>4.9056603773584909E-2</v>
      </c>
      <c r="O327">
        <f t="shared" ca="1" si="136"/>
        <v>196.15384615384616</v>
      </c>
      <c r="P327">
        <f t="shared" ca="1" si="137"/>
        <v>632.5234999999999</v>
      </c>
      <c r="Q327">
        <f t="shared" ca="1" si="138"/>
        <v>2593.6005316486621</v>
      </c>
      <c r="R327">
        <f t="shared" ca="1" si="139"/>
        <v>482.07306851378365</v>
      </c>
      <c r="S327">
        <f t="shared" ca="1" si="140"/>
        <v>280.07692026646265</v>
      </c>
      <c r="T327">
        <f t="shared" ca="1" si="141"/>
        <v>1019.7665564573041</v>
      </c>
      <c r="U327">
        <f t="shared" ca="1" si="162"/>
        <v>-482.25887083179032</v>
      </c>
      <c r="V327">
        <f t="shared" ca="1" si="163"/>
        <v>0</v>
      </c>
      <c r="W327">
        <f t="shared" ca="1" si="142"/>
        <v>0.05</v>
      </c>
      <c r="X327">
        <f t="shared" ca="1" si="143"/>
        <v>0.26</v>
      </c>
      <c r="Y327">
        <f t="shared" ca="1" si="144"/>
        <v>4.9056603773584909E-2</v>
      </c>
      <c r="Z327">
        <f t="shared" ca="1" si="145"/>
        <v>196.15384615384616</v>
      </c>
      <c r="AA327">
        <f t="shared" ca="1" si="146"/>
        <v>632.5234999999999</v>
      </c>
      <c r="AB327">
        <f t="shared" ca="1" si="147"/>
        <v>2593.6005316486621</v>
      </c>
      <c r="AC327">
        <f t="shared" ca="1" si="148"/>
        <v>482.07306851378365</v>
      </c>
      <c r="AD327">
        <f t="shared" ca="1" si="149"/>
        <v>280.07692026646265</v>
      </c>
      <c r="AE327">
        <f t="shared" ca="1" si="150"/>
        <v>1019.7665564573041</v>
      </c>
      <c r="AF327">
        <f t="shared" ca="1" si="151"/>
        <v>482.74094390030632</v>
      </c>
      <c r="AG327">
        <f t="shared" ca="1" si="152"/>
        <v>0</v>
      </c>
      <c r="AH327">
        <f ca="1">IF(V32="Supercritical",L327,IF(V32="Subcritical",W327,IF(AND(V327=1,AG327=1),IF(T327&gt;=AE327,L327,W327),IF(V327=1,L327,IF(AG327=1,W327,MAX($D$16,POWER((ABS(K327)^2)/($I$5*MAX(F327,0.1)^2),1/3)))))))</f>
        <v>2.1403668656741068</v>
      </c>
      <c r="AI327">
        <f t="shared" ca="1" si="153"/>
        <v>634.61386686567403</v>
      </c>
      <c r="AJ327">
        <f t="shared" ca="1" si="154"/>
        <v>635.68405029851112</v>
      </c>
      <c r="AM327">
        <v>0</v>
      </c>
      <c r="AN327">
        <v>0</v>
      </c>
      <c r="AO327">
        <f t="shared" si="155"/>
        <v>0</v>
      </c>
      <c r="AP327">
        <f t="shared" si="164"/>
        <v>0</v>
      </c>
      <c r="AQ327">
        <f t="shared" ca="1" si="156"/>
        <v>0.99999999999999978</v>
      </c>
      <c r="AR327" t="str">
        <f t="shared" ca="1" si="157"/>
        <v>Supercritical</v>
      </c>
      <c r="AS327">
        <f t="shared" ca="1" si="158"/>
        <v>3.8148159832266538E-3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191</v>
      </c>
      <c r="I328">
        <v>5.7000000000000002E-2</v>
      </c>
      <c r="J328">
        <f t="shared" si="159"/>
        <v>1.0010000000000048</v>
      </c>
      <c r="K328">
        <f t="shared" si="160"/>
        <v>51</v>
      </c>
      <c r="L328">
        <f t="shared" ca="1" si="161"/>
        <v>0.05</v>
      </c>
      <c r="M328">
        <f t="shared" ca="1" si="134"/>
        <v>0.26</v>
      </c>
      <c r="N328">
        <f t="shared" ca="1" si="135"/>
        <v>4.9056603773584909E-2</v>
      </c>
      <c r="O328">
        <f t="shared" ca="1" si="136"/>
        <v>196.15384615384616</v>
      </c>
      <c r="P328">
        <f t="shared" ca="1" si="137"/>
        <v>632.52299999999991</v>
      </c>
      <c r="Q328">
        <f t="shared" ca="1" si="138"/>
        <v>2593.600031648662</v>
      </c>
      <c r="R328">
        <f t="shared" ca="1" si="139"/>
        <v>482.07306851378365</v>
      </c>
      <c r="S328">
        <f t="shared" ca="1" si="140"/>
        <v>280.07692026646265</v>
      </c>
      <c r="T328">
        <f t="shared" ca="1" si="141"/>
        <v>1019.7665564573041</v>
      </c>
      <c r="U328">
        <f t="shared" ca="1" si="162"/>
        <v>-482.74094390030632</v>
      </c>
      <c r="V328">
        <f t="shared" ca="1" si="163"/>
        <v>0</v>
      </c>
      <c r="W328">
        <f t="shared" ca="1" si="142"/>
        <v>0.05</v>
      </c>
      <c r="X328">
        <f t="shared" ca="1" si="143"/>
        <v>0.26</v>
      </c>
      <c r="Y328">
        <f t="shared" ca="1" si="144"/>
        <v>4.9056603773584909E-2</v>
      </c>
      <c r="Z328">
        <f t="shared" ca="1" si="145"/>
        <v>196.15384615384616</v>
      </c>
      <c r="AA328">
        <f t="shared" ca="1" si="146"/>
        <v>632.52299999999991</v>
      </c>
      <c r="AB328">
        <f t="shared" ca="1" si="147"/>
        <v>2593.600031648662</v>
      </c>
      <c r="AC328">
        <f t="shared" ca="1" si="148"/>
        <v>482.07306851378365</v>
      </c>
      <c r="AD328">
        <f t="shared" ca="1" si="149"/>
        <v>280.07692026646265</v>
      </c>
      <c r="AE328">
        <f t="shared" ca="1" si="150"/>
        <v>1019.7665564573041</v>
      </c>
      <c r="AF328">
        <f t="shared" ca="1" si="151"/>
        <v>482.08237389894202</v>
      </c>
      <c r="AG328">
        <f t="shared" ca="1" si="152"/>
        <v>0</v>
      </c>
      <c r="AH328">
        <f ca="1">IF(V32="Supercritical",L328,IF(V32="Subcritical",W328,IF(AND(V328=1,AG328=1),IF(T328&gt;=AE328,L328,W328),IF(V328=1,L328,IF(AG328=1,W328,MAX($D$16,POWER((ABS(K328)^2)/($I$5*MAX(F328,0.1)^2),1/3)))))))</f>
        <v>2.1403668656741068</v>
      </c>
      <c r="AI328">
        <f t="shared" ca="1" si="153"/>
        <v>634.61336686567404</v>
      </c>
      <c r="AJ328">
        <f t="shared" ca="1" si="154"/>
        <v>635.68355029851114</v>
      </c>
      <c r="AM328">
        <v>0</v>
      </c>
      <c r="AN328">
        <v>0</v>
      </c>
      <c r="AO328">
        <f t="shared" si="155"/>
        <v>0</v>
      </c>
      <c r="AP328">
        <f t="shared" si="164"/>
        <v>0</v>
      </c>
      <c r="AQ328">
        <f t="shared" ca="1" si="156"/>
        <v>0.99999999999999978</v>
      </c>
      <c r="AR328" t="str">
        <f t="shared" ca="1" si="157"/>
        <v>Supercritical</v>
      </c>
      <c r="AS328">
        <f t="shared" ca="1" si="158"/>
        <v>3.8148159832266538E-3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191</v>
      </c>
      <c r="I329">
        <v>3.0000000000000001E-3</v>
      </c>
      <c r="J329">
        <f t="shared" si="159"/>
        <v>1</v>
      </c>
      <c r="K329">
        <f t="shared" si="160"/>
        <v>51</v>
      </c>
      <c r="L329">
        <f t="shared" ca="1" si="161"/>
        <v>0.05</v>
      </c>
      <c r="M329">
        <f t="shared" ca="1" si="134"/>
        <v>0.26</v>
      </c>
      <c r="N329">
        <f t="shared" ca="1" si="135"/>
        <v>4.9056603773584909E-2</v>
      </c>
      <c r="O329">
        <f t="shared" ca="1" si="136"/>
        <v>196.15384615384616</v>
      </c>
      <c r="P329">
        <f t="shared" ca="1" si="137"/>
        <v>632.52249999999992</v>
      </c>
      <c r="Q329">
        <f t="shared" ca="1" si="138"/>
        <v>2593.5995316486619</v>
      </c>
      <c r="R329">
        <f t="shared" ca="1" si="139"/>
        <v>482.07306851378365</v>
      </c>
      <c r="S329">
        <f t="shared" ca="1" si="140"/>
        <v>280.07692026646265</v>
      </c>
      <c r="T329">
        <f t="shared" ca="1" si="141"/>
        <v>1019.7665564573041</v>
      </c>
      <c r="U329">
        <f t="shared" ca="1" si="162"/>
        <v>-482.08237389894202</v>
      </c>
      <c r="V329">
        <f t="shared" ca="1" si="163"/>
        <v>0</v>
      </c>
      <c r="W329">
        <f t="shared" ca="1" si="142"/>
        <v>0.05</v>
      </c>
      <c r="X329">
        <f t="shared" ca="1" si="143"/>
        <v>0.26</v>
      </c>
      <c r="Y329">
        <f t="shared" ca="1" si="144"/>
        <v>4.9056603773584909E-2</v>
      </c>
      <c r="Z329">
        <f t="shared" ca="1" si="145"/>
        <v>196.15384615384616</v>
      </c>
      <c r="AA329">
        <f t="shared" ca="1" si="146"/>
        <v>632.52249999999992</v>
      </c>
      <c r="AB329">
        <f t="shared" ca="1" si="147"/>
        <v>2593.5995316486619</v>
      </c>
      <c r="AC329">
        <f t="shared" ca="1" si="148"/>
        <v>482.07306851378365</v>
      </c>
      <c r="AD329">
        <f t="shared" ca="1" si="149"/>
        <v>280.07692026646265</v>
      </c>
      <c r="AE329">
        <f t="shared" ca="1" si="150"/>
        <v>1019.7665564573041</v>
      </c>
      <c r="AF329">
        <f t="shared" ca="1" si="151"/>
        <v>481.78660314843273</v>
      </c>
      <c r="AG329">
        <f t="shared" ca="1" si="152"/>
        <v>0</v>
      </c>
      <c r="AH329">
        <f ca="1">IF(V32="Supercritical",L329,IF(V32="Subcritical",W329,IF(AND(V329=1,AG329=1),IF(T329&gt;=AE329,L329,W329),IF(V329=1,L329,IF(AG329=1,W329,MAX($D$16,POWER((ABS(K329)^2)/($I$5*MAX(F329,0.1)^2),1/3)))))))</f>
        <v>2.1403668656741068</v>
      </c>
      <c r="AI329">
        <f t="shared" ca="1" si="153"/>
        <v>634.61286686567405</v>
      </c>
      <c r="AJ329">
        <f t="shared" ca="1" si="154"/>
        <v>635.68305029851115</v>
      </c>
      <c r="AM329">
        <v>0</v>
      </c>
      <c r="AN329">
        <v>0</v>
      </c>
      <c r="AO329">
        <f t="shared" si="155"/>
        <v>0</v>
      </c>
      <c r="AP329">
        <f t="shared" si="164"/>
        <v>0</v>
      </c>
      <c r="AQ329">
        <f t="shared" ca="1" si="156"/>
        <v>0.99999999999999978</v>
      </c>
      <c r="AR329" t="str">
        <f t="shared" ca="1" si="157"/>
        <v>Supercritical</v>
      </c>
      <c r="AS329">
        <f t="shared" ca="1" si="158"/>
        <v>3.8148159832266538E-3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191</v>
      </c>
      <c r="I330">
        <v>0.06</v>
      </c>
      <c r="J330">
        <f t="shared" si="159"/>
        <v>0.99899999999999523</v>
      </c>
      <c r="K330">
        <f t="shared" si="160"/>
        <v>51</v>
      </c>
      <c r="L330">
        <f t="shared" ca="1" si="161"/>
        <v>0.05</v>
      </c>
      <c r="M330">
        <f t="shared" ca="1" si="134"/>
        <v>0.26</v>
      </c>
      <c r="N330">
        <f t="shared" ca="1" si="135"/>
        <v>4.9056603773584909E-2</v>
      </c>
      <c r="O330">
        <f t="shared" ca="1" si="136"/>
        <v>196.15384615384616</v>
      </c>
      <c r="P330">
        <f t="shared" ca="1" si="137"/>
        <v>632.52199999999993</v>
      </c>
      <c r="Q330">
        <f t="shared" ca="1" si="138"/>
        <v>2593.5990316486623</v>
      </c>
      <c r="R330">
        <f t="shared" ca="1" si="139"/>
        <v>482.07306851378365</v>
      </c>
      <c r="S330">
        <f t="shared" ca="1" si="140"/>
        <v>280.07692026646265</v>
      </c>
      <c r="T330">
        <f t="shared" ca="1" si="141"/>
        <v>1019.7665564573041</v>
      </c>
      <c r="U330">
        <f t="shared" ca="1" si="162"/>
        <v>-481.78660314843273</v>
      </c>
      <c r="V330">
        <f t="shared" ca="1" si="163"/>
        <v>0</v>
      </c>
      <c r="W330">
        <f t="shared" ca="1" si="142"/>
        <v>0.05</v>
      </c>
      <c r="X330">
        <f t="shared" ca="1" si="143"/>
        <v>0.26</v>
      </c>
      <c r="Y330">
        <f t="shared" ca="1" si="144"/>
        <v>4.9056603773584909E-2</v>
      </c>
      <c r="Z330">
        <f t="shared" ca="1" si="145"/>
        <v>196.15384615384616</v>
      </c>
      <c r="AA330">
        <f t="shared" ca="1" si="146"/>
        <v>632.52199999999993</v>
      </c>
      <c r="AB330">
        <f t="shared" ca="1" si="147"/>
        <v>2593.5990316486623</v>
      </c>
      <c r="AC330">
        <f t="shared" ca="1" si="148"/>
        <v>482.07306851378365</v>
      </c>
      <c r="AD330">
        <f t="shared" ca="1" si="149"/>
        <v>280.07692026646265</v>
      </c>
      <c r="AE330">
        <f t="shared" ca="1" si="150"/>
        <v>1019.7665564573041</v>
      </c>
      <c r="AF330">
        <f t="shared" ca="1" si="151"/>
        <v>482.25887083179032</v>
      </c>
      <c r="AG330">
        <f t="shared" ca="1" si="152"/>
        <v>0</v>
      </c>
      <c r="AH330">
        <f ca="1">IF(V32="Supercritical",L330,IF(V32="Subcritical",W330,IF(AND(V330=1,AG330=1),IF(T330&gt;=AE330,L330,W330),IF(V330=1,L330,IF(AG330=1,W330,MAX($D$16,POWER((ABS(K330)^2)/($I$5*MAX(F330,0.1)^2),1/3)))))))</f>
        <v>2.1403668656741068</v>
      </c>
      <c r="AI330">
        <f t="shared" ca="1" si="153"/>
        <v>634.61236686567406</v>
      </c>
      <c r="AJ330">
        <f t="shared" ca="1" si="154"/>
        <v>635.68255029851116</v>
      </c>
      <c r="AM330">
        <v>0</v>
      </c>
      <c r="AN330">
        <v>0</v>
      </c>
      <c r="AO330">
        <f t="shared" si="155"/>
        <v>0</v>
      </c>
      <c r="AP330">
        <f t="shared" si="164"/>
        <v>0</v>
      </c>
      <c r="AQ330">
        <f t="shared" ca="1" si="156"/>
        <v>0.99999999999999978</v>
      </c>
      <c r="AR330" t="str">
        <f t="shared" ca="1" si="157"/>
        <v>Supercritical</v>
      </c>
      <c r="AS330">
        <f t="shared" ca="1" si="158"/>
        <v>3.8148159832266538E-3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191</v>
      </c>
      <c r="I331">
        <v>5.7000000000000002E-2</v>
      </c>
      <c r="J331">
        <f t="shared" si="159"/>
        <v>1</v>
      </c>
      <c r="K331">
        <f t="shared" si="160"/>
        <v>51</v>
      </c>
      <c r="L331">
        <f t="shared" ca="1" si="161"/>
        <v>0.05</v>
      </c>
      <c r="M331">
        <f t="shared" ca="1" si="134"/>
        <v>0.26</v>
      </c>
      <c r="N331">
        <f t="shared" ca="1" si="135"/>
        <v>4.9056603773584909E-2</v>
      </c>
      <c r="O331">
        <f t="shared" ca="1" si="136"/>
        <v>196.15384615384616</v>
      </c>
      <c r="P331">
        <f t="shared" ca="1" si="137"/>
        <v>632.52149999999995</v>
      </c>
      <c r="Q331">
        <f t="shared" ca="1" si="138"/>
        <v>2593.5985316486622</v>
      </c>
      <c r="R331">
        <f t="shared" ca="1" si="139"/>
        <v>482.07306851378365</v>
      </c>
      <c r="S331">
        <f t="shared" ca="1" si="140"/>
        <v>280.07692026646265</v>
      </c>
      <c r="T331">
        <f t="shared" ca="1" si="141"/>
        <v>1019.7665564573041</v>
      </c>
      <c r="U331">
        <f t="shared" ca="1" si="162"/>
        <v>-482.25887083179032</v>
      </c>
      <c r="V331">
        <f t="shared" ca="1" si="163"/>
        <v>0</v>
      </c>
      <c r="W331">
        <f t="shared" ca="1" si="142"/>
        <v>0.05</v>
      </c>
      <c r="X331">
        <f t="shared" ca="1" si="143"/>
        <v>0.26</v>
      </c>
      <c r="Y331">
        <f t="shared" ca="1" si="144"/>
        <v>4.9056603773584909E-2</v>
      </c>
      <c r="Z331">
        <f t="shared" ca="1" si="145"/>
        <v>196.15384615384616</v>
      </c>
      <c r="AA331">
        <f t="shared" ca="1" si="146"/>
        <v>632.52149999999995</v>
      </c>
      <c r="AB331">
        <f t="shared" ca="1" si="147"/>
        <v>2593.5985316486622</v>
      </c>
      <c r="AC331">
        <f t="shared" ca="1" si="148"/>
        <v>482.07306851378365</v>
      </c>
      <c r="AD331">
        <f t="shared" ca="1" si="149"/>
        <v>280.07692026646265</v>
      </c>
      <c r="AE331">
        <f t="shared" ca="1" si="150"/>
        <v>1019.7665564573041</v>
      </c>
      <c r="AF331">
        <f t="shared" ca="1" si="151"/>
        <v>482.07256851378361</v>
      </c>
      <c r="AG331">
        <f t="shared" ca="1" si="152"/>
        <v>0</v>
      </c>
      <c r="AH331">
        <f ca="1">IF(V32="Supercritical",L331,IF(V32="Subcritical",W331,IF(AND(V331=1,AG331=1),IF(T331&gt;=AE331,L331,W331),IF(V331=1,L331,IF(AG331=1,W331,MAX($D$16,POWER((ABS(K331)^2)/($I$5*MAX(F331,0.1)^2),1/3)))))))</f>
        <v>2.1403668656741068</v>
      </c>
      <c r="AI331">
        <f t="shared" ca="1" si="153"/>
        <v>634.61186686567407</v>
      </c>
      <c r="AJ331">
        <f t="shared" ca="1" si="154"/>
        <v>635.68205029851117</v>
      </c>
      <c r="AM331">
        <v>0</v>
      </c>
      <c r="AN331">
        <v>0</v>
      </c>
      <c r="AO331">
        <f t="shared" si="155"/>
        <v>0</v>
      </c>
      <c r="AP331">
        <f t="shared" si="164"/>
        <v>0</v>
      </c>
      <c r="AQ331">
        <f t="shared" ca="1" si="156"/>
        <v>0.99999999999999978</v>
      </c>
      <c r="AR331" t="str">
        <f t="shared" ca="1" si="157"/>
        <v>Supercritical</v>
      </c>
      <c r="AS331">
        <f t="shared" ca="1" si="158"/>
        <v>3.8148159832266538E-3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191</v>
      </c>
      <c r="I332">
        <v>0</v>
      </c>
      <c r="J332">
        <f t="shared" si="159"/>
        <v>1</v>
      </c>
      <c r="K332">
        <f t="shared" si="160"/>
        <v>51</v>
      </c>
      <c r="L332">
        <f t="shared" ca="1" si="161"/>
        <v>0.05</v>
      </c>
      <c r="M332">
        <f t="shared" ca="1" si="134"/>
        <v>0.26</v>
      </c>
      <c r="N332">
        <f t="shared" ca="1" si="135"/>
        <v>4.9056603773584909E-2</v>
      </c>
      <c r="O332">
        <f t="shared" ca="1" si="136"/>
        <v>196.15384615384616</v>
      </c>
      <c r="P332">
        <f t="shared" ca="1" si="137"/>
        <v>632.52099999999996</v>
      </c>
      <c r="Q332">
        <f t="shared" ca="1" si="138"/>
        <v>2593.5980316486621</v>
      </c>
      <c r="R332">
        <f t="shared" ca="1" si="139"/>
        <v>482.07306851378365</v>
      </c>
      <c r="S332">
        <f t="shared" ca="1" si="140"/>
        <v>280.07692026646265</v>
      </c>
      <c r="T332">
        <f t="shared" ca="1" si="141"/>
        <v>1019.7665564573041</v>
      </c>
      <c r="U332">
        <f t="shared" ca="1" si="162"/>
        <v>-482.07256851378361</v>
      </c>
      <c r="V332">
        <f t="shared" ca="1" si="163"/>
        <v>0</v>
      </c>
      <c r="W332">
        <f t="shared" ca="1" si="142"/>
        <v>0.05</v>
      </c>
      <c r="X332">
        <f t="shared" ca="1" si="143"/>
        <v>0.26</v>
      </c>
      <c r="Y332">
        <f t="shared" ca="1" si="144"/>
        <v>4.9056603773584909E-2</v>
      </c>
      <c r="Z332">
        <f t="shared" ca="1" si="145"/>
        <v>196.15384615384616</v>
      </c>
      <c r="AA332">
        <f t="shared" ca="1" si="146"/>
        <v>632.52099999999996</v>
      </c>
      <c r="AB332">
        <f t="shared" ca="1" si="147"/>
        <v>2593.5980316486621</v>
      </c>
      <c r="AC332">
        <f t="shared" ca="1" si="148"/>
        <v>482.07306851378365</v>
      </c>
      <c r="AD332">
        <f t="shared" ca="1" si="149"/>
        <v>280.07692026646265</v>
      </c>
      <c r="AE332">
        <f t="shared" ca="1" si="150"/>
        <v>1019.7665564573041</v>
      </c>
      <c r="AF332">
        <f t="shared" ca="1" si="151"/>
        <v>482.25887083179032</v>
      </c>
      <c r="AG332">
        <f t="shared" ca="1" si="152"/>
        <v>0</v>
      </c>
      <c r="AH332">
        <f ca="1">IF(V32="Supercritical",L332,IF(V32="Subcritical",W332,IF(AND(V332=1,AG332=1),IF(T332&gt;=AE332,L332,W332),IF(V332=1,L332,IF(AG332=1,W332,MAX($D$16,POWER((ABS(K332)^2)/($I$5*MAX(F332,0.1)^2),1/3)))))))</f>
        <v>2.1403668656741068</v>
      </c>
      <c r="AI332">
        <f t="shared" ca="1" si="153"/>
        <v>634.61136686567409</v>
      </c>
      <c r="AJ332">
        <f t="shared" ca="1" si="154"/>
        <v>635.68155029851118</v>
      </c>
      <c r="AM332">
        <v>0</v>
      </c>
      <c r="AN332">
        <v>0</v>
      </c>
      <c r="AO332">
        <f t="shared" si="155"/>
        <v>0</v>
      </c>
      <c r="AP332">
        <f t="shared" si="164"/>
        <v>0</v>
      </c>
      <c r="AQ332">
        <f t="shared" ca="1" si="156"/>
        <v>0.99999999999999978</v>
      </c>
      <c r="AR332" t="str">
        <f t="shared" ca="1" si="157"/>
        <v>Supercritical</v>
      </c>
      <c r="AS332">
        <f t="shared" ca="1" si="158"/>
        <v>3.8148159832266538E-3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191</v>
      </c>
      <c r="I333">
        <v>5.7000000000000002E-2</v>
      </c>
      <c r="J333">
        <f t="shared" si="159"/>
        <v>1</v>
      </c>
      <c r="K333">
        <f t="shared" si="160"/>
        <v>51</v>
      </c>
      <c r="L333">
        <f t="shared" ca="1" si="161"/>
        <v>0.05</v>
      </c>
      <c r="M333">
        <f t="shared" ca="1" si="134"/>
        <v>0.26</v>
      </c>
      <c r="N333">
        <f t="shared" ca="1" si="135"/>
        <v>4.9056603773584909E-2</v>
      </c>
      <c r="O333">
        <f t="shared" ca="1" si="136"/>
        <v>196.15384615384616</v>
      </c>
      <c r="P333">
        <f t="shared" ca="1" si="137"/>
        <v>632.52049999999997</v>
      </c>
      <c r="Q333">
        <f t="shared" ca="1" si="138"/>
        <v>2593.597531648662</v>
      </c>
      <c r="R333">
        <f t="shared" ca="1" si="139"/>
        <v>482.07306851378365</v>
      </c>
      <c r="S333">
        <f t="shared" ca="1" si="140"/>
        <v>280.07692026646265</v>
      </c>
      <c r="T333">
        <f t="shared" ca="1" si="141"/>
        <v>1019.7665564573041</v>
      </c>
      <c r="U333">
        <f t="shared" ca="1" si="162"/>
        <v>-482.25887083179032</v>
      </c>
      <c r="V333">
        <f t="shared" ca="1" si="163"/>
        <v>0</v>
      </c>
      <c r="W333">
        <f t="shared" ca="1" si="142"/>
        <v>0.05</v>
      </c>
      <c r="X333">
        <f t="shared" ca="1" si="143"/>
        <v>0.26</v>
      </c>
      <c r="Y333">
        <f t="shared" ca="1" si="144"/>
        <v>4.9056603773584909E-2</v>
      </c>
      <c r="Z333">
        <f t="shared" ca="1" si="145"/>
        <v>196.15384615384616</v>
      </c>
      <c r="AA333">
        <f t="shared" ca="1" si="146"/>
        <v>632.52049999999997</v>
      </c>
      <c r="AB333">
        <f t="shared" ca="1" si="147"/>
        <v>2593.597531648662</v>
      </c>
      <c r="AC333">
        <f t="shared" ca="1" si="148"/>
        <v>482.07306851378365</v>
      </c>
      <c r="AD333">
        <f t="shared" ca="1" si="149"/>
        <v>280.07692026646265</v>
      </c>
      <c r="AE333">
        <f t="shared" ca="1" si="150"/>
        <v>1019.7665564573041</v>
      </c>
      <c r="AF333">
        <f t="shared" ca="1" si="151"/>
        <v>482.25887083179032</v>
      </c>
      <c r="AG333">
        <f t="shared" ca="1" si="152"/>
        <v>0</v>
      </c>
      <c r="AH333">
        <f ca="1">IF(V32="Supercritical",L333,IF(V32="Subcritical",W333,IF(AND(V333=1,AG333=1),IF(T333&gt;=AE333,L333,W333),IF(V333=1,L333,IF(AG333=1,W333,MAX($D$16,POWER((ABS(K333)^2)/($I$5*MAX(F333,0.1)^2),1/3)))))))</f>
        <v>2.1403668656741068</v>
      </c>
      <c r="AI333">
        <f t="shared" ca="1" si="153"/>
        <v>634.6108668656741</v>
      </c>
      <c r="AJ333">
        <f t="shared" ca="1" si="154"/>
        <v>635.6810502985112</v>
      </c>
      <c r="AM333">
        <v>0</v>
      </c>
      <c r="AN333">
        <v>0</v>
      </c>
      <c r="AO333">
        <f t="shared" si="155"/>
        <v>0</v>
      </c>
      <c r="AP333">
        <f t="shared" si="164"/>
        <v>0</v>
      </c>
      <c r="AQ333">
        <f t="shared" ca="1" si="156"/>
        <v>0.99999999999999978</v>
      </c>
      <c r="AR333" t="str">
        <f t="shared" ca="1" si="157"/>
        <v>Supercritical</v>
      </c>
      <c r="AS333">
        <f t="shared" ca="1" si="158"/>
        <v>3.8148159832266538E-3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191</v>
      </c>
      <c r="I334">
        <v>5.7000000000000002E-2</v>
      </c>
      <c r="J334">
        <f t="shared" si="159"/>
        <v>1</v>
      </c>
      <c r="K334">
        <f t="shared" si="160"/>
        <v>51</v>
      </c>
      <c r="L334">
        <f t="shared" ca="1" si="161"/>
        <v>0.05</v>
      </c>
      <c r="M334">
        <f t="shared" ca="1" si="134"/>
        <v>0.26</v>
      </c>
      <c r="N334">
        <f t="shared" ca="1" si="135"/>
        <v>4.9056603773584909E-2</v>
      </c>
      <c r="O334">
        <f t="shared" ca="1" si="136"/>
        <v>196.15384615384616</v>
      </c>
      <c r="P334">
        <f t="shared" ca="1" si="137"/>
        <v>632.52</v>
      </c>
      <c r="Q334">
        <f t="shared" ca="1" si="138"/>
        <v>2593.5970316486619</v>
      </c>
      <c r="R334">
        <f t="shared" ca="1" si="139"/>
        <v>482.07306851378365</v>
      </c>
      <c r="S334">
        <f t="shared" ca="1" si="140"/>
        <v>280.07692026646265</v>
      </c>
      <c r="T334">
        <f t="shared" ca="1" si="141"/>
        <v>1019.7665564573041</v>
      </c>
      <c r="U334">
        <f t="shared" ca="1" si="162"/>
        <v>-482.25887083179032</v>
      </c>
      <c r="V334">
        <f t="shared" ca="1" si="163"/>
        <v>0</v>
      </c>
      <c r="W334">
        <f t="shared" ca="1" si="142"/>
        <v>0.05</v>
      </c>
      <c r="X334">
        <f t="shared" ca="1" si="143"/>
        <v>0.26</v>
      </c>
      <c r="Y334">
        <f t="shared" ca="1" si="144"/>
        <v>4.9056603773584909E-2</v>
      </c>
      <c r="Z334">
        <f t="shared" ca="1" si="145"/>
        <v>196.15384615384616</v>
      </c>
      <c r="AA334">
        <f t="shared" ca="1" si="146"/>
        <v>632.52</v>
      </c>
      <c r="AB334">
        <f t="shared" ca="1" si="147"/>
        <v>2593.5970316486619</v>
      </c>
      <c r="AC334">
        <f t="shared" ca="1" si="148"/>
        <v>482.07306851378365</v>
      </c>
      <c r="AD334">
        <f t="shared" ca="1" si="149"/>
        <v>280.07692026646265</v>
      </c>
      <c r="AE334">
        <f t="shared" ca="1" si="150"/>
        <v>1019.7665564573041</v>
      </c>
      <c r="AF334">
        <f t="shared" ca="1" si="151"/>
        <v>482.25887083179077</v>
      </c>
      <c r="AG334">
        <f t="shared" ca="1" si="152"/>
        <v>0</v>
      </c>
      <c r="AH334">
        <f ca="1">IF(V32="Supercritical",L334,IF(V32="Subcritical",W334,IF(AND(V334=1,AG334=1),IF(T334&gt;=AE334,L334,W334),IF(V334=1,L334,IF(AG334=1,W334,MAX($D$16,POWER((ABS(K334)^2)/($I$5*MAX(F334,0.1)^2),1/3)))))))</f>
        <v>2.1403668656741068</v>
      </c>
      <c r="AI334">
        <f t="shared" ca="1" si="153"/>
        <v>634.61036686567411</v>
      </c>
      <c r="AJ334">
        <f t="shared" ca="1" si="154"/>
        <v>635.68055029851121</v>
      </c>
      <c r="AM334">
        <v>0</v>
      </c>
      <c r="AN334">
        <v>0</v>
      </c>
      <c r="AO334">
        <f t="shared" si="155"/>
        <v>0</v>
      </c>
      <c r="AP334">
        <f t="shared" si="164"/>
        <v>0</v>
      </c>
      <c r="AQ334">
        <f t="shared" ca="1" si="156"/>
        <v>0.99999999999999978</v>
      </c>
      <c r="AR334" t="str">
        <f t="shared" ca="1" si="157"/>
        <v>Supercritical</v>
      </c>
      <c r="AS334">
        <f t="shared" ca="1" si="158"/>
        <v>3.8148159832266538E-3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191</v>
      </c>
      <c r="I335">
        <v>5.7000000000000002E-2</v>
      </c>
      <c r="J335">
        <f t="shared" si="159"/>
        <v>1</v>
      </c>
      <c r="K335">
        <f t="shared" si="160"/>
        <v>51</v>
      </c>
      <c r="L335">
        <f t="shared" ca="1" si="161"/>
        <v>0.05</v>
      </c>
      <c r="M335">
        <f t="shared" ca="1" si="134"/>
        <v>0.26</v>
      </c>
      <c r="N335">
        <f t="shared" ca="1" si="135"/>
        <v>4.9056603773584909E-2</v>
      </c>
      <c r="O335">
        <f t="shared" ca="1" si="136"/>
        <v>196.15384615384616</v>
      </c>
      <c r="P335">
        <f t="shared" ca="1" si="137"/>
        <v>632.51949999999999</v>
      </c>
      <c r="Q335">
        <f t="shared" ca="1" si="138"/>
        <v>2593.5965316486622</v>
      </c>
      <c r="R335">
        <f t="shared" ca="1" si="139"/>
        <v>482.07306851378365</v>
      </c>
      <c r="S335">
        <f t="shared" ca="1" si="140"/>
        <v>280.07692026646265</v>
      </c>
      <c r="T335">
        <f t="shared" ca="1" si="141"/>
        <v>1019.7665564573041</v>
      </c>
      <c r="U335">
        <f t="shared" ca="1" si="162"/>
        <v>-482.25887083179077</v>
      </c>
      <c r="V335">
        <f t="shared" ca="1" si="163"/>
        <v>0</v>
      </c>
      <c r="W335">
        <f t="shared" ca="1" si="142"/>
        <v>0.05</v>
      </c>
      <c r="X335">
        <f t="shared" ca="1" si="143"/>
        <v>0.26</v>
      </c>
      <c r="Y335">
        <f t="shared" ca="1" si="144"/>
        <v>4.9056603773584909E-2</v>
      </c>
      <c r="Z335">
        <f t="shared" ca="1" si="145"/>
        <v>196.15384615384616</v>
      </c>
      <c r="AA335">
        <f t="shared" ca="1" si="146"/>
        <v>632.51949999999999</v>
      </c>
      <c r="AB335">
        <f t="shared" ca="1" si="147"/>
        <v>2593.5965316486622</v>
      </c>
      <c r="AC335">
        <f t="shared" ca="1" si="148"/>
        <v>482.07306851378365</v>
      </c>
      <c r="AD335">
        <f t="shared" ca="1" si="149"/>
        <v>280.07692026646265</v>
      </c>
      <c r="AE335">
        <f t="shared" ca="1" si="150"/>
        <v>1019.7665564573041</v>
      </c>
      <c r="AF335">
        <f t="shared" ca="1" si="151"/>
        <v>482.75074928546428</v>
      </c>
      <c r="AG335">
        <f t="shared" ca="1" si="152"/>
        <v>0</v>
      </c>
      <c r="AH335">
        <f ca="1">IF(V32="Supercritical",L335,IF(V32="Subcritical",W335,IF(AND(V335=1,AG335=1),IF(T335&gt;=AE335,L335,W335),IF(V335=1,L335,IF(AG335=1,W335,MAX($D$16,POWER((ABS(K335)^2)/($I$5*MAX(F335,0.1)^2),1/3)))))))</f>
        <v>2.1403668656741068</v>
      </c>
      <c r="AI335">
        <f t="shared" ca="1" si="153"/>
        <v>634.60986686567412</v>
      </c>
      <c r="AJ335">
        <f t="shared" ca="1" si="154"/>
        <v>635.68005029851122</v>
      </c>
      <c r="AM335">
        <v>0</v>
      </c>
      <c r="AN335">
        <v>0</v>
      </c>
      <c r="AO335">
        <f t="shared" si="155"/>
        <v>0</v>
      </c>
      <c r="AP335">
        <f t="shared" si="164"/>
        <v>0</v>
      </c>
      <c r="AQ335">
        <f t="shared" ca="1" si="156"/>
        <v>0.99999999999999978</v>
      </c>
      <c r="AR335" t="str">
        <f t="shared" ca="1" si="157"/>
        <v>Supercritical</v>
      </c>
      <c r="AS335">
        <f t="shared" ca="1" si="158"/>
        <v>3.8148159832266538E-3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191</v>
      </c>
      <c r="I336">
        <v>0.06</v>
      </c>
      <c r="J336">
        <f t="shared" si="159"/>
        <v>1.0010000000000048</v>
      </c>
      <c r="K336">
        <f t="shared" si="160"/>
        <v>51</v>
      </c>
      <c r="L336">
        <f t="shared" ca="1" si="161"/>
        <v>0.05</v>
      </c>
      <c r="M336">
        <f t="shared" ca="1" si="134"/>
        <v>0.26</v>
      </c>
      <c r="N336">
        <f t="shared" ca="1" si="135"/>
        <v>4.9056603773584909E-2</v>
      </c>
      <c r="O336">
        <f t="shared" ca="1" si="136"/>
        <v>196.15384615384616</v>
      </c>
      <c r="P336">
        <f t="shared" ca="1" si="137"/>
        <v>632.51900000000001</v>
      </c>
      <c r="Q336">
        <f t="shared" ca="1" si="138"/>
        <v>2593.5960316486621</v>
      </c>
      <c r="R336">
        <f t="shared" ca="1" si="139"/>
        <v>482.07306851378365</v>
      </c>
      <c r="S336">
        <f t="shared" ca="1" si="140"/>
        <v>280.07692026646265</v>
      </c>
      <c r="T336">
        <f t="shared" ca="1" si="141"/>
        <v>1019.7665564573041</v>
      </c>
      <c r="U336">
        <f t="shared" ca="1" si="162"/>
        <v>-482.75074928546428</v>
      </c>
      <c r="V336">
        <f t="shared" ca="1" si="163"/>
        <v>0</v>
      </c>
      <c r="W336">
        <f t="shared" ca="1" si="142"/>
        <v>0.05</v>
      </c>
      <c r="X336">
        <f t="shared" ca="1" si="143"/>
        <v>0.26</v>
      </c>
      <c r="Y336">
        <f t="shared" ca="1" si="144"/>
        <v>4.9056603773584909E-2</v>
      </c>
      <c r="Z336">
        <f t="shared" ca="1" si="145"/>
        <v>196.15384615384616</v>
      </c>
      <c r="AA336">
        <f t="shared" ca="1" si="146"/>
        <v>632.51900000000001</v>
      </c>
      <c r="AB336">
        <f t="shared" ca="1" si="147"/>
        <v>2593.5960316486621</v>
      </c>
      <c r="AC336">
        <f t="shared" ca="1" si="148"/>
        <v>482.07306851378365</v>
      </c>
      <c r="AD336">
        <f t="shared" ca="1" si="149"/>
        <v>280.07692026646265</v>
      </c>
      <c r="AE336">
        <f t="shared" ca="1" si="150"/>
        <v>1019.7665564573041</v>
      </c>
      <c r="AF336">
        <f t="shared" ca="1" si="151"/>
        <v>481.60030083042602</v>
      </c>
      <c r="AG336">
        <f t="shared" ca="1" si="152"/>
        <v>0</v>
      </c>
      <c r="AH336">
        <f ca="1">IF(V32="Supercritical",L336,IF(V32="Subcritical",W336,IF(AND(V336=1,AG336=1),IF(T336&gt;=AE336,L336,W336),IF(V336=1,L336,IF(AG336=1,W336,MAX($D$16,POWER((ABS(K336)^2)/($I$5*MAX(F336,0.1)^2),1/3)))))))</f>
        <v>2.1403668656741068</v>
      </c>
      <c r="AI336">
        <f t="shared" ca="1" si="153"/>
        <v>634.60936686567413</v>
      </c>
      <c r="AJ336">
        <f t="shared" ca="1" si="154"/>
        <v>635.67955029851123</v>
      </c>
      <c r="AM336">
        <v>0</v>
      </c>
      <c r="AN336">
        <v>0</v>
      </c>
      <c r="AO336">
        <f t="shared" si="155"/>
        <v>0</v>
      </c>
      <c r="AP336">
        <f t="shared" si="164"/>
        <v>0</v>
      </c>
      <c r="AQ336">
        <f t="shared" ca="1" si="156"/>
        <v>0.99999999999999978</v>
      </c>
      <c r="AR336" t="str">
        <f t="shared" ca="1" si="157"/>
        <v>Supercritical</v>
      </c>
      <c r="AS336">
        <f t="shared" ca="1" si="158"/>
        <v>3.8148159832266538E-3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191</v>
      </c>
      <c r="I337">
        <v>3.0000000000000001E-3</v>
      </c>
      <c r="J337">
        <f t="shared" si="159"/>
        <v>0.99899999999999523</v>
      </c>
      <c r="K337">
        <f t="shared" si="160"/>
        <v>51</v>
      </c>
      <c r="L337">
        <f t="shared" ca="1" si="161"/>
        <v>0.05</v>
      </c>
      <c r="M337">
        <f t="shared" ca="1" si="134"/>
        <v>0.26</v>
      </c>
      <c r="N337">
        <f t="shared" ca="1" si="135"/>
        <v>4.9056603773584909E-2</v>
      </c>
      <c r="O337">
        <f t="shared" ca="1" si="136"/>
        <v>196.15384615384616</v>
      </c>
      <c r="P337">
        <f t="shared" ca="1" si="137"/>
        <v>632.5184999999999</v>
      </c>
      <c r="Q337">
        <f t="shared" ca="1" si="138"/>
        <v>2593.595531648662</v>
      </c>
      <c r="R337">
        <f t="shared" ca="1" si="139"/>
        <v>482.07306851378365</v>
      </c>
      <c r="S337">
        <f t="shared" ca="1" si="140"/>
        <v>280.07692026646265</v>
      </c>
      <c r="T337">
        <f t="shared" ca="1" si="141"/>
        <v>1019.7665564573041</v>
      </c>
      <c r="U337">
        <f t="shared" ca="1" si="162"/>
        <v>-481.60030083042602</v>
      </c>
      <c r="V337">
        <f t="shared" ca="1" si="163"/>
        <v>0</v>
      </c>
      <c r="W337">
        <f t="shared" ca="1" si="142"/>
        <v>0.05</v>
      </c>
      <c r="X337">
        <f t="shared" ca="1" si="143"/>
        <v>0.26</v>
      </c>
      <c r="Y337">
        <f t="shared" ca="1" si="144"/>
        <v>4.9056603773584909E-2</v>
      </c>
      <c r="Z337">
        <f t="shared" ca="1" si="145"/>
        <v>196.15384615384616</v>
      </c>
      <c r="AA337">
        <f t="shared" ca="1" si="146"/>
        <v>632.5184999999999</v>
      </c>
      <c r="AB337">
        <f t="shared" ca="1" si="147"/>
        <v>2593.595531648662</v>
      </c>
      <c r="AC337">
        <f t="shared" ca="1" si="148"/>
        <v>482.07306851378365</v>
      </c>
      <c r="AD337">
        <f t="shared" ca="1" si="149"/>
        <v>280.07692026646265</v>
      </c>
      <c r="AE337">
        <f t="shared" ca="1" si="150"/>
        <v>1019.7665564573041</v>
      </c>
      <c r="AF337">
        <f t="shared" ca="1" si="151"/>
        <v>482.25887083179032</v>
      </c>
      <c r="AG337">
        <f t="shared" ca="1" si="152"/>
        <v>0</v>
      </c>
      <c r="AH337">
        <f ca="1">IF(V32="Supercritical",L337,IF(V32="Subcritical",W337,IF(AND(V337=1,AG337=1),IF(T337&gt;=AE337,L337,W337),IF(V337=1,L337,IF(AG337=1,W337,MAX($D$16,POWER((ABS(K337)^2)/($I$5*MAX(F337,0.1)^2),1/3)))))))</f>
        <v>2.1403668656741068</v>
      </c>
      <c r="AI337">
        <f t="shared" ca="1" si="153"/>
        <v>634.60886686567403</v>
      </c>
      <c r="AJ337">
        <f t="shared" ca="1" si="154"/>
        <v>635.67905029851113</v>
      </c>
      <c r="AM337">
        <v>0</v>
      </c>
      <c r="AN337">
        <v>0</v>
      </c>
      <c r="AO337">
        <f t="shared" si="155"/>
        <v>0</v>
      </c>
      <c r="AP337">
        <f t="shared" si="164"/>
        <v>0</v>
      </c>
      <c r="AQ337">
        <f t="shared" ca="1" si="156"/>
        <v>0.99999999999999978</v>
      </c>
      <c r="AR337" t="str">
        <f t="shared" ca="1" si="157"/>
        <v>Supercritical</v>
      </c>
      <c r="AS337">
        <f t="shared" ca="1" si="158"/>
        <v>3.8148159832266538E-3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191</v>
      </c>
      <c r="I338">
        <v>5.7000000000000002E-2</v>
      </c>
      <c r="J338">
        <f t="shared" si="159"/>
        <v>1</v>
      </c>
      <c r="K338">
        <f t="shared" si="160"/>
        <v>51</v>
      </c>
      <c r="L338">
        <f t="shared" ca="1" si="161"/>
        <v>0.05</v>
      </c>
      <c r="M338">
        <f t="shared" ca="1" si="134"/>
        <v>0.26</v>
      </c>
      <c r="N338">
        <f t="shared" ca="1" si="135"/>
        <v>4.9056603773584909E-2</v>
      </c>
      <c r="O338">
        <f t="shared" ca="1" si="136"/>
        <v>196.15384615384616</v>
      </c>
      <c r="P338">
        <f t="shared" ca="1" si="137"/>
        <v>632.51799999999992</v>
      </c>
      <c r="Q338">
        <f t="shared" ca="1" si="138"/>
        <v>2593.5950316486619</v>
      </c>
      <c r="R338">
        <f t="shared" ca="1" si="139"/>
        <v>482.07306851378365</v>
      </c>
      <c r="S338">
        <f t="shared" ca="1" si="140"/>
        <v>280.07692026646265</v>
      </c>
      <c r="T338">
        <f t="shared" ca="1" si="141"/>
        <v>1019.7665564573041</v>
      </c>
      <c r="U338">
        <f t="shared" ca="1" si="162"/>
        <v>-482.25887083179032</v>
      </c>
      <c r="V338">
        <f t="shared" ca="1" si="163"/>
        <v>0</v>
      </c>
      <c r="W338">
        <f t="shared" ca="1" si="142"/>
        <v>0.05</v>
      </c>
      <c r="X338">
        <f t="shared" ca="1" si="143"/>
        <v>0.26</v>
      </c>
      <c r="Y338">
        <f t="shared" ca="1" si="144"/>
        <v>4.9056603773584909E-2</v>
      </c>
      <c r="Z338">
        <f t="shared" ca="1" si="145"/>
        <v>196.15384615384616</v>
      </c>
      <c r="AA338">
        <f t="shared" ca="1" si="146"/>
        <v>632.51799999999992</v>
      </c>
      <c r="AB338">
        <f t="shared" ca="1" si="147"/>
        <v>2593.5950316486619</v>
      </c>
      <c r="AC338">
        <f t="shared" ca="1" si="148"/>
        <v>482.07306851378365</v>
      </c>
      <c r="AD338">
        <f t="shared" ca="1" si="149"/>
        <v>280.07692026646265</v>
      </c>
      <c r="AE338">
        <f t="shared" ca="1" si="150"/>
        <v>1019.7665564573041</v>
      </c>
      <c r="AF338">
        <f t="shared" ca="1" si="151"/>
        <v>482.25887083179077</v>
      </c>
      <c r="AG338">
        <f t="shared" ca="1" si="152"/>
        <v>0</v>
      </c>
      <c r="AH338">
        <f ca="1">IF(V32="Supercritical",L338,IF(V32="Subcritical",W338,IF(AND(V338=1,AG338=1),IF(T338&gt;=AE338,L338,W338),IF(V338=1,L338,IF(AG338=1,W338,MAX($D$16,POWER((ABS(K338)^2)/($I$5*MAX(F338,0.1)^2),1/3)))))))</f>
        <v>2.1403668656741068</v>
      </c>
      <c r="AI338">
        <f t="shared" ca="1" si="153"/>
        <v>634.60836686567404</v>
      </c>
      <c r="AJ338">
        <f t="shared" ca="1" si="154"/>
        <v>635.67855029851114</v>
      </c>
      <c r="AM338">
        <v>0</v>
      </c>
      <c r="AN338">
        <v>0</v>
      </c>
      <c r="AO338">
        <f t="shared" si="155"/>
        <v>0</v>
      </c>
      <c r="AP338">
        <f t="shared" si="164"/>
        <v>0</v>
      </c>
      <c r="AQ338">
        <f t="shared" ca="1" si="156"/>
        <v>0.99999999999999978</v>
      </c>
      <c r="AR338" t="str">
        <f t="shared" ca="1" si="157"/>
        <v>Supercritical</v>
      </c>
      <c r="AS338">
        <f t="shared" ca="1" si="158"/>
        <v>3.8148159832266538E-3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191</v>
      </c>
      <c r="I339">
        <v>5.7000000000000002E-2</v>
      </c>
      <c r="J339">
        <f t="shared" si="159"/>
        <v>1</v>
      </c>
      <c r="K339">
        <f t="shared" si="160"/>
        <v>51</v>
      </c>
      <c r="L339">
        <f t="shared" ca="1" si="161"/>
        <v>0.05</v>
      </c>
      <c r="M339">
        <f t="shared" ca="1" si="134"/>
        <v>0.26</v>
      </c>
      <c r="N339">
        <f t="shared" ca="1" si="135"/>
        <v>4.9056603773584909E-2</v>
      </c>
      <c r="O339">
        <f t="shared" ca="1" si="136"/>
        <v>196.15384615384616</v>
      </c>
      <c r="P339">
        <f t="shared" ca="1" si="137"/>
        <v>632.51749999999993</v>
      </c>
      <c r="Q339">
        <f t="shared" ca="1" si="138"/>
        <v>2593.5945316486623</v>
      </c>
      <c r="R339">
        <f t="shared" ca="1" si="139"/>
        <v>482.07306851378365</v>
      </c>
      <c r="S339">
        <f t="shared" ca="1" si="140"/>
        <v>280.07692026646265</v>
      </c>
      <c r="T339">
        <f t="shared" ca="1" si="141"/>
        <v>1019.7665564573041</v>
      </c>
      <c r="U339">
        <f t="shared" ca="1" si="162"/>
        <v>-482.25887083179077</v>
      </c>
      <c r="V339">
        <f t="shared" ca="1" si="163"/>
        <v>0</v>
      </c>
      <c r="W339">
        <f t="shared" ca="1" si="142"/>
        <v>0.05</v>
      </c>
      <c r="X339">
        <f t="shared" ca="1" si="143"/>
        <v>0.26</v>
      </c>
      <c r="Y339">
        <f t="shared" ca="1" si="144"/>
        <v>4.9056603773584909E-2</v>
      </c>
      <c r="Z339">
        <f t="shared" ca="1" si="145"/>
        <v>196.15384615384616</v>
      </c>
      <c r="AA339">
        <f t="shared" ca="1" si="146"/>
        <v>632.51749999999993</v>
      </c>
      <c r="AB339">
        <f t="shared" ca="1" si="147"/>
        <v>2593.5945316486623</v>
      </c>
      <c r="AC339">
        <f t="shared" ca="1" si="148"/>
        <v>482.07306851378365</v>
      </c>
      <c r="AD339">
        <f t="shared" ca="1" si="149"/>
        <v>280.07692026646265</v>
      </c>
      <c r="AE339">
        <f t="shared" ca="1" si="150"/>
        <v>1019.7665564573041</v>
      </c>
      <c r="AF339">
        <f t="shared" ca="1" si="151"/>
        <v>482.07256851378361</v>
      </c>
      <c r="AG339">
        <f t="shared" ca="1" si="152"/>
        <v>0</v>
      </c>
      <c r="AH339">
        <f ca="1">IF(V32="Supercritical",L339,IF(V32="Subcritical",W339,IF(AND(V339=1,AG339=1),IF(T339&gt;=AE339,L339,W339),IF(V339=1,L339,IF(AG339=1,W339,MAX($D$16,POWER((ABS(K339)^2)/($I$5*MAX(F339,0.1)^2),1/3)))))))</f>
        <v>2.1403668656741068</v>
      </c>
      <c r="AI339">
        <f t="shared" ca="1" si="153"/>
        <v>634.60786686567405</v>
      </c>
      <c r="AJ339">
        <f t="shared" ca="1" si="154"/>
        <v>635.67805029851115</v>
      </c>
      <c r="AM339">
        <v>0</v>
      </c>
      <c r="AN339">
        <v>0</v>
      </c>
      <c r="AO339">
        <f t="shared" si="155"/>
        <v>0</v>
      </c>
      <c r="AP339">
        <f t="shared" si="164"/>
        <v>0</v>
      </c>
      <c r="AQ339">
        <f t="shared" ca="1" si="156"/>
        <v>0.99999999999999978</v>
      </c>
      <c r="AR339" t="str">
        <f t="shared" ca="1" si="157"/>
        <v>Supercritical</v>
      </c>
      <c r="AS339">
        <f t="shared" ca="1" si="158"/>
        <v>3.8148159832266538E-3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191</v>
      </c>
      <c r="I340">
        <v>0</v>
      </c>
      <c r="J340">
        <f t="shared" si="159"/>
        <v>1</v>
      </c>
      <c r="K340">
        <f t="shared" si="160"/>
        <v>51</v>
      </c>
      <c r="L340">
        <f t="shared" ca="1" si="161"/>
        <v>0.05</v>
      </c>
      <c r="M340">
        <f t="shared" ca="1" si="134"/>
        <v>0.26</v>
      </c>
      <c r="N340">
        <f t="shared" ca="1" si="135"/>
        <v>4.9056603773584909E-2</v>
      </c>
      <c r="O340">
        <f t="shared" ca="1" si="136"/>
        <v>196.15384615384616</v>
      </c>
      <c r="P340">
        <f t="shared" ca="1" si="137"/>
        <v>632.51699999999994</v>
      </c>
      <c r="Q340">
        <f t="shared" ca="1" si="138"/>
        <v>2593.5940316486622</v>
      </c>
      <c r="R340">
        <f t="shared" ca="1" si="139"/>
        <v>482.07306851378365</v>
      </c>
      <c r="S340">
        <f t="shared" ca="1" si="140"/>
        <v>280.07692026646265</v>
      </c>
      <c r="T340">
        <f t="shared" ca="1" si="141"/>
        <v>1019.7665564573041</v>
      </c>
      <c r="U340">
        <f t="shared" ca="1" si="162"/>
        <v>-482.07256851378361</v>
      </c>
      <c r="V340">
        <f t="shared" ca="1" si="163"/>
        <v>0</v>
      </c>
      <c r="W340">
        <f t="shared" ca="1" si="142"/>
        <v>0.05</v>
      </c>
      <c r="X340">
        <f t="shared" ca="1" si="143"/>
        <v>0.26</v>
      </c>
      <c r="Y340">
        <f t="shared" ca="1" si="144"/>
        <v>4.9056603773584909E-2</v>
      </c>
      <c r="Z340">
        <f t="shared" ca="1" si="145"/>
        <v>196.15384615384616</v>
      </c>
      <c r="AA340">
        <f t="shared" ca="1" si="146"/>
        <v>632.51699999999994</v>
      </c>
      <c r="AB340">
        <f t="shared" ca="1" si="147"/>
        <v>2593.5940316486622</v>
      </c>
      <c r="AC340">
        <f t="shared" ca="1" si="148"/>
        <v>482.07306851378365</v>
      </c>
      <c r="AD340">
        <f t="shared" ca="1" si="149"/>
        <v>280.07692026646265</v>
      </c>
      <c r="AE340">
        <f t="shared" ca="1" si="150"/>
        <v>1019.7665564573041</v>
      </c>
      <c r="AF340">
        <f t="shared" ca="1" si="151"/>
        <v>482.25887083179032</v>
      </c>
      <c r="AG340">
        <f t="shared" ca="1" si="152"/>
        <v>0</v>
      </c>
      <c r="AH340">
        <f ca="1">IF(V32="Supercritical",L340,IF(V32="Subcritical",W340,IF(AND(V340=1,AG340=1),IF(T340&gt;=AE340,L340,W340),IF(V340=1,L340,IF(AG340=1,W340,MAX($D$16,POWER((ABS(K340)^2)/($I$5*MAX(F340,0.1)^2),1/3)))))))</f>
        <v>2.1403668656741068</v>
      </c>
      <c r="AI340">
        <f t="shared" ca="1" si="153"/>
        <v>634.60736686567407</v>
      </c>
      <c r="AJ340">
        <f t="shared" ca="1" si="154"/>
        <v>635.67755029851116</v>
      </c>
      <c r="AM340">
        <v>0</v>
      </c>
      <c r="AN340">
        <v>0</v>
      </c>
      <c r="AO340">
        <f t="shared" si="155"/>
        <v>0</v>
      </c>
      <c r="AP340">
        <f t="shared" si="164"/>
        <v>0</v>
      </c>
      <c r="AQ340">
        <f t="shared" ca="1" si="156"/>
        <v>0.99999999999999978</v>
      </c>
      <c r="AR340" t="str">
        <f t="shared" ca="1" si="157"/>
        <v>Supercritical</v>
      </c>
      <c r="AS340">
        <f t="shared" ca="1" si="158"/>
        <v>3.8148159832266538E-3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191</v>
      </c>
      <c r="I341">
        <v>5.7000000000000002E-2</v>
      </c>
      <c r="J341">
        <f t="shared" si="159"/>
        <v>1</v>
      </c>
      <c r="K341">
        <f t="shared" si="160"/>
        <v>51</v>
      </c>
      <c r="L341">
        <f t="shared" ca="1" si="161"/>
        <v>0.05</v>
      </c>
      <c r="M341">
        <f t="shared" ca="1" si="134"/>
        <v>0.26</v>
      </c>
      <c r="N341">
        <f t="shared" ca="1" si="135"/>
        <v>4.9056603773584909E-2</v>
      </c>
      <c r="O341">
        <f t="shared" ca="1" si="136"/>
        <v>196.15384615384616</v>
      </c>
      <c r="P341">
        <f t="shared" ca="1" si="137"/>
        <v>632.51649999999995</v>
      </c>
      <c r="Q341">
        <f t="shared" ca="1" si="138"/>
        <v>2593.5935316486621</v>
      </c>
      <c r="R341">
        <f t="shared" ca="1" si="139"/>
        <v>482.07306851378365</v>
      </c>
      <c r="S341">
        <f t="shared" ca="1" si="140"/>
        <v>280.07692026646265</v>
      </c>
      <c r="T341">
        <f t="shared" ca="1" si="141"/>
        <v>1019.7665564573041</v>
      </c>
      <c r="U341">
        <f t="shared" ca="1" si="162"/>
        <v>-482.25887083179032</v>
      </c>
      <c r="V341">
        <f t="shared" ca="1" si="163"/>
        <v>0</v>
      </c>
      <c r="W341">
        <f t="shared" ca="1" si="142"/>
        <v>0.05</v>
      </c>
      <c r="X341">
        <f t="shared" ca="1" si="143"/>
        <v>0.26</v>
      </c>
      <c r="Y341">
        <f t="shared" ca="1" si="144"/>
        <v>4.9056603773584909E-2</v>
      </c>
      <c r="Z341">
        <f t="shared" ca="1" si="145"/>
        <v>196.15384615384616</v>
      </c>
      <c r="AA341">
        <f t="shared" ca="1" si="146"/>
        <v>632.51649999999995</v>
      </c>
      <c r="AB341">
        <f t="shared" ca="1" si="147"/>
        <v>2593.5935316486621</v>
      </c>
      <c r="AC341">
        <f t="shared" ca="1" si="148"/>
        <v>482.07306851378365</v>
      </c>
      <c r="AD341">
        <f t="shared" ca="1" si="149"/>
        <v>280.07692026646265</v>
      </c>
      <c r="AE341">
        <f t="shared" ca="1" si="150"/>
        <v>1019.7665564573041</v>
      </c>
      <c r="AF341">
        <f t="shared" ca="1" si="151"/>
        <v>482.25887083179032</v>
      </c>
      <c r="AG341">
        <f t="shared" ca="1" si="152"/>
        <v>0</v>
      </c>
      <c r="AH341">
        <f ca="1">IF(V32="Supercritical",L341,IF(V32="Subcritical",W341,IF(AND(V341=1,AG341=1),IF(T341&gt;=AE341,L341,W341),IF(V341=1,L341,IF(AG341=1,W341,MAX($D$16,POWER((ABS(K341)^2)/($I$5*MAX(F341,0.1)^2),1/3)))))))</f>
        <v>2.1403668656741068</v>
      </c>
      <c r="AI341">
        <f t="shared" ca="1" si="153"/>
        <v>634.60686686567408</v>
      </c>
      <c r="AJ341">
        <f t="shared" ca="1" si="154"/>
        <v>635.67705029851118</v>
      </c>
      <c r="AM341">
        <v>0</v>
      </c>
      <c r="AN341">
        <v>0</v>
      </c>
      <c r="AO341">
        <f t="shared" si="155"/>
        <v>0</v>
      </c>
      <c r="AP341">
        <f t="shared" si="164"/>
        <v>0</v>
      </c>
      <c r="AQ341">
        <f t="shared" ca="1" si="156"/>
        <v>0.99999999999999978</v>
      </c>
      <c r="AR341" t="str">
        <f t="shared" ca="1" si="157"/>
        <v>Supercritical</v>
      </c>
      <c r="AS341">
        <f t="shared" ca="1" si="158"/>
        <v>3.8148159832266538E-3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191</v>
      </c>
      <c r="I342">
        <v>5.7000000000000002E-2</v>
      </c>
      <c r="J342">
        <f t="shared" si="159"/>
        <v>1</v>
      </c>
      <c r="K342">
        <f t="shared" si="160"/>
        <v>51</v>
      </c>
      <c r="L342">
        <f t="shared" ca="1" si="161"/>
        <v>0.05</v>
      </c>
      <c r="M342">
        <f t="shared" ref="M342:M405" ca="1" si="165">((F342)+(G342)*(L342))*(L342)</f>
        <v>0.26</v>
      </c>
      <c r="N342">
        <f t="shared" ref="N342:N405" ca="1" si="166">(((F342)+(G342)*(L342))*(L342))/MAX((F342)+2*(L342)*SQRT(1+(G342)^2),0.000001)</f>
        <v>4.9056603773584909E-2</v>
      </c>
      <c r="O342">
        <f t="shared" ref="O342:O405" ca="1" si="167">ABS(K342)/MAX(((F342)+(G342)*(L342))*(L342),0.000001)</f>
        <v>196.15384615384616</v>
      </c>
      <c r="P342">
        <f t="shared" ref="P342:P405" ca="1" si="168">E342+L342</f>
        <v>632.51599999999996</v>
      </c>
      <c r="Q342">
        <f t="shared" ref="Q342:Q405" ca="1" si="169">P342+((ABS(K342)/MAX(((F342)+(G342)*(L342))*(L342),0.000001))^2)/(2*$I$5)</f>
        <v>2593.593031648662</v>
      </c>
      <c r="R342">
        <f t="shared" ref="R342:R405" ca="1" si="170">((ABS(K342)*$D$6)/(MAX(((F342)+(G342)*(L342))*(L342),0.000001)*MAX(((((F342)+(G342)*(L342))*(L342))/MAX((F342)+2*(L342)*SQRT(1+(G342)^2),0.000001))^(2/3),0.000001)))^2</f>
        <v>482.07306851378365</v>
      </c>
      <c r="S342">
        <f t="shared" ref="S342:S405" ca="1" si="171">ABS(ABS(K342)/MAX(((F342)+(G342)*(L342))*(L342),0.000001))/SQRT($I$5*MAX((((F342)+(G342)*(L342))*(L342))/MAX((F342)+2*(G342)*(L342),0.000001),0.000001))</f>
        <v>280.07692026646265</v>
      </c>
      <c r="T342">
        <f t="shared" ref="T342:T405" ca="1" si="172">((F342)*(L342)^2)/2+(G342)*(L342)^3/3+(ABS(K342)^2)/($I$5*MAX(((F342)+(G342)*(L342))*(L342),0.000001))</f>
        <v>1019.7665564573041</v>
      </c>
      <c r="U342">
        <f t="shared" ca="1" si="162"/>
        <v>-482.25887083179032</v>
      </c>
      <c r="V342">
        <f t="shared" ca="1" si="163"/>
        <v>0</v>
      </c>
      <c r="W342">
        <f t="shared" ref="W342:W405" ca="1" si="173">IF(OR($D$20=0,AG343=0),W343,IF(OR(W342=0,AD343&gt;1),MAX($D$16,POWER((ABS(K342)^2)/($I$5*MAX(F342,0.1)^2),1/3)),IF(AF342&gt;0,MAX($D$16,W342+((AF342)*$D$18*IF((AD342)&lt;1,1,-1))),IF(AF342&lt;0,IF(ABS((MAX($D$16,POWER((ABS(K342)^2)/($I$5*MAX(F342,0.1)^2),1/3)))-W342)&gt;$D$19,MAX($D$16,W342+($D$18*((MAX($D$16,POWER((ABS(K342)^2)/($I$5*MAX(F342,0.1)^2),1/3)))-W342))),MAX($D$16,POWER((ABS(K342)^2)/($I$5*MAX(F342,0.1)^2),1/3))),W342))))</f>
        <v>0.05</v>
      </c>
      <c r="X342">
        <f t="shared" ref="X342:X405" ca="1" si="174">((F342)+(G342)*(W342))*(W342)</f>
        <v>0.26</v>
      </c>
      <c r="Y342">
        <f t="shared" ref="Y342:Y405" ca="1" si="175">(((F342)+(G342)*(W342))*(W342))/MAX((F342)+2*(W342)*SQRT(1+(G342)^2),0.000001)</f>
        <v>4.9056603773584909E-2</v>
      </c>
      <c r="Z342">
        <f t="shared" ref="Z342:Z405" ca="1" si="176">ABS(K342)/MAX(((F342)+(G342)*(W342))*(W342),0.000001)</f>
        <v>196.15384615384616</v>
      </c>
      <c r="AA342">
        <f t="shared" ref="AA342:AA405" ca="1" si="177">E342+W342</f>
        <v>632.51599999999996</v>
      </c>
      <c r="AB342">
        <f t="shared" ref="AB342:AB405" ca="1" si="178">AA342+((ABS(K342)/MAX(((F342)+(G342)*(W342))*(W342),0.000001))^2)/(2*$I$5)</f>
        <v>2593.593031648662</v>
      </c>
      <c r="AC342">
        <f t="shared" ref="AC342:AC405" ca="1" si="179">((ABS(K342)*$D$6)/(MAX(((F342)+(G342)*(W342))*(W342),0.000001)*MAX(((((F342)+(G342)*(W342))*(W342))/MAX((F342)+2*(W342)*SQRT(1+(G342)^2),0.000001))^(2/3),0.000001)))^2</f>
        <v>482.07306851378365</v>
      </c>
      <c r="AD342">
        <f t="shared" ref="AD342:AD405" ca="1" si="180">ABS(ABS(K342)/MAX(((F342)+(G342)*(W342))*(W342),0.000001))/SQRT($I$5*MAX((((F342)+(G342)*(W342))*(W342))/MAX((F342)+2*(G342)*(W342),0.000001),0.000001))</f>
        <v>280.07692026646265</v>
      </c>
      <c r="AE342">
        <f t="shared" ref="AE342:AE405" ca="1" si="181">((F342)*(W342)^2)/2+(G342)*(W342)^3/3+(ABS(K342)^2)/($I$5*MAX(((F342)+(G342)*(W342))*(W342),0.000001))</f>
        <v>1019.7665564573041</v>
      </c>
      <c r="AF342">
        <f t="shared" ref="AF342:AF405" ca="1" si="182">AB343+(((AC342+AC343)/2)*J343)+(IF(Z342&gt;Z343,$D$8*((Z342^2-Z343^2)/(2*$I$5)),$D$9*((Z343^2-Z342^2)/(2*$I$5)))+($D$10*(ABS(I343)/90)*(MAX(Z342^2,Z343^2)/(2*$I$5))))-AB342</f>
        <v>482.74094390030632</v>
      </c>
      <c r="AG342">
        <f t="shared" ref="AG342:AG405" ca="1" si="183">IF(ROUND(AD342,3)=1,1,IF(AND(ABS(AF342)&lt;$D$19,AD342&lt;1),1,0))</f>
        <v>0</v>
      </c>
      <c r="AH342">
        <f ca="1">IF(V32="Supercritical",L342,IF(V32="Subcritical",W342,IF(AND(V342=1,AG342=1),IF(T342&gt;=AE342,L342,W342),IF(V342=1,L342,IF(AG342=1,W342,MAX($D$16,POWER((ABS(K342)^2)/($I$5*MAX(F342,0.1)^2),1/3)))))))</f>
        <v>2.1403668656741068</v>
      </c>
      <c r="AI342">
        <f t="shared" ref="AI342:AI405" ca="1" si="184">E342+AH342</f>
        <v>634.60636686567409</v>
      </c>
      <c r="AJ342">
        <f t="shared" ref="AJ342:AJ405" ca="1" si="185">AI342+((ABS(K342)/MAX(((F342)+(G342)*(AH342))*(AH342),0.000001))^2)/(2*$I$5)</f>
        <v>635.67655029851119</v>
      </c>
      <c r="AM342">
        <v>0</v>
      </c>
      <c r="AN342">
        <v>0</v>
      </c>
      <c r="AO342">
        <f t="shared" ref="AO342:AO405" si="186">AM342+AN342</f>
        <v>0</v>
      </c>
      <c r="AP342">
        <f t="shared" si="164"/>
        <v>0</v>
      </c>
      <c r="AQ342">
        <f t="shared" ref="AQ342:AQ405" ca="1" si="187">ABS(ABS(K342)/MAX(((F342)+(G342)*(AH342))*(AH342),0.000001))/SQRT($I$5*MAX((((F342)+(G342)*(AH342))*(AH342))/MAX((F342)+2*(G342)*(AH342),0.000001),0.000001))</f>
        <v>0.99999999999999978</v>
      </c>
      <c r="AR342" t="str">
        <f t="shared" ref="AR342:AR405" ca="1" si="188">IF(AQ342&lt;1,"Subcritical","Supercritical")</f>
        <v>Supercritical</v>
      </c>
      <c r="AS342">
        <f t="shared" ref="AS342:AS405" ca="1" si="189">((ABS(K342)*$D$6)/(MAX(((F342)+(G342)*(AH342))*(AH342),0.000001)*MAX(((((F342)+(G342)*(AH342))*(AH342))/MAX((F342)+2*(AH342)*SQRT(1+(G342)^2),0.000001))^(2/3),0.000001)))^2</f>
        <v>3.8148159832266538E-3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191</v>
      </c>
      <c r="I343">
        <v>5.7000000000000002E-2</v>
      </c>
      <c r="J343">
        <f t="shared" ref="J343:J406" si="190">B343-B342</f>
        <v>1.0010000000000048</v>
      </c>
      <c r="K343">
        <f t="shared" ref="K343:K406" si="191">MAX(0,K342-AO342)</f>
        <v>51</v>
      </c>
      <c r="L343">
        <f t="shared" ref="L343:L406" ca="1" si="192">IF(OR($D$20=0,V342=0),L342,IF(OR(L343=0,S342&lt;1,S343&lt;1),MAX($D$16,POWER((ABS(K343)^2)/($I$5*MAX(F343,0.1)^2),1/3)),IF(U343&gt;0,MAX($D$16,L343+((U343)*$D$18*IF((S343)&lt;1,1,-1))),IF(U343&lt;0,IF(ABS((MAX($D$16,POWER((ABS(K343)^2)/($I$5*MAX(F343,0.1)^2),1/3)))-L343)&gt;$D$19,MAX($D$16,L343+($D$18*((MAX($D$16,POWER((ABS(K343)^2)/($I$5*MAX(F343,0.1)^2),1/3)))-L343))),MAX($D$16,POWER((ABS(K343)^2)/($I$5*MAX(F343,0.1)^2),1/3))),L343))))</f>
        <v>0.05</v>
      </c>
      <c r="M343">
        <f t="shared" ca="1" si="165"/>
        <v>0.26</v>
      </c>
      <c r="N343">
        <f t="shared" ca="1" si="166"/>
        <v>4.9056603773584909E-2</v>
      </c>
      <c r="O343">
        <f t="shared" ca="1" si="167"/>
        <v>196.15384615384616</v>
      </c>
      <c r="P343">
        <f t="shared" ca="1" si="168"/>
        <v>632.51549999999997</v>
      </c>
      <c r="Q343">
        <f t="shared" ca="1" si="169"/>
        <v>2593.5925316486619</v>
      </c>
      <c r="R343">
        <f t="shared" ca="1" si="170"/>
        <v>482.07306851378365</v>
      </c>
      <c r="S343">
        <f t="shared" ca="1" si="171"/>
        <v>280.07692026646265</v>
      </c>
      <c r="T343">
        <f t="shared" ca="1" si="172"/>
        <v>1019.7665564573041</v>
      </c>
      <c r="U343">
        <f t="shared" ref="U343:U406" ca="1" si="193">Q342-(((R342+R343)/2)*J343)-(IF(O342&gt;O343,$D$8*((O342^2-O343^2)/(2*$I$5)),$D$9*((O343^2-O342^2)/(2*$I$5)))+($D$10*(ABS(I343)/90)*(MAX(O342^2,O343^2)/(2*$I$5))))-Q343</f>
        <v>-482.74094390030632</v>
      </c>
      <c r="V343">
        <f t="shared" ref="V343:V406" ca="1" si="194">IF(ROUND(S343,3)=1,1,IF(AND(ABS(U343)&lt;$D$19,S343&gt;1),1,0))</f>
        <v>0</v>
      </c>
      <c r="W343">
        <f t="shared" ca="1" si="173"/>
        <v>0.05</v>
      </c>
      <c r="X343">
        <f t="shared" ca="1" si="174"/>
        <v>0.26</v>
      </c>
      <c r="Y343">
        <f t="shared" ca="1" si="175"/>
        <v>4.9056603773584909E-2</v>
      </c>
      <c r="Z343">
        <f t="shared" ca="1" si="176"/>
        <v>196.15384615384616</v>
      </c>
      <c r="AA343">
        <f t="shared" ca="1" si="177"/>
        <v>632.51549999999997</v>
      </c>
      <c r="AB343">
        <f t="shared" ca="1" si="178"/>
        <v>2593.5925316486619</v>
      </c>
      <c r="AC343">
        <f t="shared" ca="1" si="179"/>
        <v>482.07306851378365</v>
      </c>
      <c r="AD343">
        <f t="shared" ca="1" si="180"/>
        <v>280.07692026646265</v>
      </c>
      <c r="AE343">
        <f t="shared" ca="1" si="181"/>
        <v>1019.7665564573041</v>
      </c>
      <c r="AF343">
        <f t="shared" ca="1" si="182"/>
        <v>482.26867621694873</v>
      </c>
      <c r="AG343">
        <f t="shared" ca="1" si="183"/>
        <v>0</v>
      </c>
      <c r="AH343">
        <f ca="1">IF(V32="Supercritical",L343,IF(V32="Subcritical",W343,IF(AND(V343=1,AG343=1),IF(T343&gt;=AE343,L343,W343),IF(V343=1,L343,IF(AG343=1,W343,MAX($D$16,POWER((ABS(K343)^2)/($I$5*MAX(F343,0.1)^2),1/3)))))))</f>
        <v>2.1403668656741068</v>
      </c>
      <c r="AI343">
        <f t="shared" ca="1" si="184"/>
        <v>634.6058668656741</v>
      </c>
      <c r="AJ343">
        <f t="shared" ca="1" si="185"/>
        <v>635.6760502985112</v>
      </c>
      <c r="AM343">
        <v>0</v>
      </c>
      <c r="AN343">
        <v>0</v>
      </c>
      <c r="AO343">
        <f t="shared" si="186"/>
        <v>0</v>
      </c>
      <c r="AP343">
        <f t="shared" ref="AP343:AP406" si="195">AP342+AO343</f>
        <v>0</v>
      </c>
      <c r="AQ343">
        <f t="shared" ca="1" si="187"/>
        <v>0.99999999999999978</v>
      </c>
      <c r="AR343" t="str">
        <f t="shared" ca="1" si="188"/>
        <v>Supercritical</v>
      </c>
      <c r="AS343">
        <f t="shared" ca="1" si="189"/>
        <v>3.8148159832266538E-3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191</v>
      </c>
      <c r="I344">
        <v>0.06</v>
      </c>
      <c r="J344">
        <f t="shared" si="190"/>
        <v>1</v>
      </c>
      <c r="K344">
        <f t="shared" si="191"/>
        <v>51</v>
      </c>
      <c r="L344">
        <f t="shared" ca="1" si="192"/>
        <v>0.05</v>
      </c>
      <c r="M344">
        <f t="shared" ca="1" si="165"/>
        <v>0.26</v>
      </c>
      <c r="N344">
        <f t="shared" ca="1" si="166"/>
        <v>4.9056603773584909E-2</v>
      </c>
      <c r="O344">
        <f t="shared" ca="1" si="167"/>
        <v>196.15384615384616</v>
      </c>
      <c r="P344">
        <f t="shared" ca="1" si="168"/>
        <v>632.51499999999999</v>
      </c>
      <c r="Q344">
        <f t="shared" ca="1" si="169"/>
        <v>2593.5920316486622</v>
      </c>
      <c r="R344">
        <f t="shared" ca="1" si="170"/>
        <v>482.07306851378365</v>
      </c>
      <c r="S344">
        <f t="shared" ca="1" si="171"/>
        <v>280.07692026646265</v>
      </c>
      <c r="T344">
        <f t="shared" ca="1" si="172"/>
        <v>1019.7665564573041</v>
      </c>
      <c r="U344">
        <f t="shared" ca="1" si="193"/>
        <v>-482.26867621694873</v>
      </c>
      <c r="V344">
        <f t="shared" ca="1" si="194"/>
        <v>0</v>
      </c>
      <c r="W344">
        <f t="shared" ca="1" si="173"/>
        <v>0.05</v>
      </c>
      <c r="X344">
        <f t="shared" ca="1" si="174"/>
        <v>0.26</v>
      </c>
      <c r="Y344">
        <f t="shared" ca="1" si="175"/>
        <v>4.9056603773584909E-2</v>
      </c>
      <c r="Z344">
        <f t="shared" ca="1" si="176"/>
        <v>196.15384615384616</v>
      </c>
      <c r="AA344">
        <f t="shared" ca="1" si="177"/>
        <v>632.51499999999999</v>
      </c>
      <c r="AB344">
        <f t="shared" ca="1" si="178"/>
        <v>2593.5920316486622</v>
      </c>
      <c r="AC344">
        <f t="shared" ca="1" si="179"/>
        <v>482.07306851378365</v>
      </c>
      <c r="AD344">
        <f t="shared" ca="1" si="180"/>
        <v>280.07692026646265</v>
      </c>
      <c r="AE344">
        <f t="shared" ca="1" si="181"/>
        <v>1019.7665564573041</v>
      </c>
      <c r="AF344">
        <f t="shared" ca="1" si="182"/>
        <v>481.60030083042602</v>
      </c>
      <c r="AG344">
        <f t="shared" ca="1" si="183"/>
        <v>0</v>
      </c>
      <c r="AH344">
        <f ca="1">IF(V32="Supercritical",L344,IF(V32="Subcritical",W344,IF(AND(V344=1,AG344=1),IF(T344&gt;=AE344,L344,W344),IF(V344=1,L344,IF(AG344=1,W344,MAX($D$16,POWER((ABS(K344)^2)/($I$5*MAX(F344,0.1)^2),1/3)))))))</f>
        <v>2.1403668656741068</v>
      </c>
      <c r="AI344">
        <f t="shared" ca="1" si="184"/>
        <v>634.60536686567411</v>
      </c>
      <c r="AJ344">
        <f t="shared" ca="1" si="185"/>
        <v>635.67555029851121</v>
      </c>
      <c r="AM344">
        <v>0</v>
      </c>
      <c r="AN344">
        <v>0</v>
      </c>
      <c r="AO344">
        <f t="shared" si="186"/>
        <v>0</v>
      </c>
      <c r="AP344">
        <f t="shared" si="195"/>
        <v>0</v>
      </c>
      <c r="AQ344">
        <f t="shared" ca="1" si="187"/>
        <v>0.99999999999999978</v>
      </c>
      <c r="AR344" t="str">
        <f t="shared" ca="1" si="188"/>
        <v>Supercritical</v>
      </c>
      <c r="AS344">
        <f t="shared" ca="1" si="189"/>
        <v>3.8148159832266538E-3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191</v>
      </c>
      <c r="I345">
        <v>3.0000000000000001E-3</v>
      </c>
      <c r="J345">
        <f t="shared" si="190"/>
        <v>0.99899999999999523</v>
      </c>
      <c r="K345">
        <f t="shared" si="191"/>
        <v>51</v>
      </c>
      <c r="L345">
        <f t="shared" ca="1" si="192"/>
        <v>0.05</v>
      </c>
      <c r="M345">
        <f t="shared" ca="1" si="165"/>
        <v>0.26</v>
      </c>
      <c r="N345">
        <f t="shared" ca="1" si="166"/>
        <v>4.9056603773584909E-2</v>
      </c>
      <c r="O345">
        <f t="shared" ca="1" si="167"/>
        <v>196.15384615384616</v>
      </c>
      <c r="P345">
        <f t="shared" ca="1" si="168"/>
        <v>632.5145</v>
      </c>
      <c r="Q345">
        <f t="shared" ca="1" si="169"/>
        <v>2593.5915316486621</v>
      </c>
      <c r="R345">
        <f t="shared" ca="1" si="170"/>
        <v>482.07306851378365</v>
      </c>
      <c r="S345">
        <f t="shared" ca="1" si="171"/>
        <v>280.07692026646265</v>
      </c>
      <c r="T345">
        <f t="shared" ca="1" si="172"/>
        <v>1019.7665564573041</v>
      </c>
      <c r="U345">
        <f t="shared" ca="1" si="193"/>
        <v>-481.60030083042602</v>
      </c>
      <c r="V345">
        <f t="shared" ca="1" si="194"/>
        <v>0</v>
      </c>
      <c r="W345">
        <f t="shared" ca="1" si="173"/>
        <v>0.05</v>
      </c>
      <c r="X345">
        <f t="shared" ca="1" si="174"/>
        <v>0.26</v>
      </c>
      <c r="Y345">
        <f t="shared" ca="1" si="175"/>
        <v>4.9056603773584909E-2</v>
      </c>
      <c r="Z345">
        <f t="shared" ca="1" si="176"/>
        <v>196.15384615384616</v>
      </c>
      <c r="AA345">
        <f t="shared" ca="1" si="177"/>
        <v>632.5145</v>
      </c>
      <c r="AB345">
        <f t="shared" ca="1" si="178"/>
        <v>2593.5915316486621</v>
      </c>
      <c r="AC345">
        <f t="shared" ca="1" si="179"/>
        <v>482.07306851378365</v>
      </c>
      <c r="AD345">
        <f t="shared" ca="1" si="180"/>
        <v>280.07692026646265</v>
      </c>
      <c r="AE345">
        <f t="shared" ca="1" si="181"/>
        <v>1019.7665564573041</v>
      </c>
      <c r="AF345">
        <f t="shared" ca="1" si="182"/>
        <v>482.25887083179032</v>
      </c>
      <c r="AG345">
        <f t="shared" ca="1" si="183"/>
        <v>0</v>
      </c>
      <c r="AH345">
        <f ca="1">IF(V32="Supercritical",L345,IF(V32="Subcritical",W345,IF(AND(V345=1,AG345=1),IF(T345&gt;=AE345,L345,W345),IF(V345=1,L345,IF(AG345=1,W345,MAX($D$16,POWER((ABS(K345)^2)/($I$5*MAX(F345,0.1)^2),1/3)))))))</f>
        <v>2.1403668656741068</v>
      </c>
      <c r="AI345">
        <f t="shared" ca="1" si="184"/>
        <v>634.60486686567413</v>
      </c>
      <c r="AJ345">
        <f t="shared" ca="1" si="185"/>
        <v>635.67505029851122</v>
      </c>
      <c r="AM345">
        <v>0</v>
      </c>
      <c r="AN345">
        <v>0</v>
      </c>
      <c r="AO345">
        <f t="shared" si="186"/>
        <v>0</v>
      </c>
      <c r="AP345">
        <f t="shared" si="195"/>
        <v>0</v>
      </c>
      <c r="AQ345">
        <f t="shared" ca="1" si="187"/>
        <v>0.99999999999999978</v>
      </c>
      <c r="AR345" t="str">
        <f t="shared" ca="1" si="188"/>
        <v>Supercritical</v>
      </c>
      <c r="AS345">
        <f t="shared" ca="1" si="189"/>
        <v>3.8148159832266538E-3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191</v>
      </c>
      <c r="I346">
        <v>5.7000000000000002E-2</v>
      </c>
      <c r="J346">
        <f t="shared" si="190"/>
        <v>1</v>
      </c>
      <c r="K346">
        <f t="shared" si="191"/>
        <v>51</v>
      </c>
      <c r="L346">
        <f t="shared" ca="1" si="192"/>
        <v>0.05</v>
      </c>
      <c r="M346">
        <f t="shared" ca="1" si="165"/>
        <v>0.26</v>
      </c>
      <c r="N346">
        <f t="shared" ca="1" si="166"/>
        <v>4.9056603773584909E-2</v>
      </c>
      <c r="O346">
        <f t="shared" ca="1" si="167"/>
        <v>196.15384615384616</v>
      </c>
      <c r="P346">
        <f t="shared" ca="1" si="168"/>
        <v>632.51400000000001</v>
      </c>
      <c r="Q346">
        <f t="shared" ca="1" si="169"/>
        <v>2593.591031648662</v>
      </c>
      <c r="R346">
        <f t="shared" ca="1" si="170"/>
        <v>482.07306851378365</v>
      </c>
      <c r="S346">
        <f t="shared" ca="1" si="171"/>
        <v>280.07692026646265</v>
      </c>
      <c r="T346">
        <f t="shared" ca="1" si="172"/>
        <v>1019.7665564573041</v>
      </c>
      <c r="U346">
        <f t="shared" ca="1" si="193"/>
        <v>-482.25887083179032</v>
      </c>
      <c r="V346">
        <f t="shared" ca="1" si="194"/>
        <v>0</v>
      </c>
      <c r="W346">
        <f t="shared" ca="1" si="173"/>
        <v>0.05</v>
      </c>
      <c r="X346">
        <f t="shared" ca="1" si="174"/>
        <v>0.26</v>
      </c>
      <c r="Y346">
        <f t="shared" ca="1" si="175"/>
        <v>4.9056603773584909E-2</v>
      </c>
      <c r="Z346">
        <f t="shared" ca="1" si="176"/>
        <v>196.15384615384616</v>
      </c>
      <c r="AA346">
        <f t="shared" ca="1" si="177"/>
        <v>632.51400000000001</v>
      </c>
      <c r="AB346">
        <f t="shared" ca="1" si="178"/>
        <v>2593.591031648662</v>
      </c>
      <c r="AC346">
        <f t="shared" ca="1" si="179"/>
        <v>482.07306851378365</v>
      </c>
      <c r="AD346">
        <f t="shared" ca="1" si="180"/>
        <v>280.07692026646265</v>
      </c>
      <c r="AE346">
        <f t="shared" ca="1" si="181"/>
        <v>1019.7665564573041</v>
      </c>
      <c r="AF346">
        <f t="shared" ca="1" si="182"/>
        <v>482.25887083179032</v>
      </c>
      <c r="AG346">
        <f t="shared" ca="1" si="183"/>
        <v>0</v>
      </c>
      <c r="AH346">
        <f ca="1">IF(V32="Supercritical",L346,IF(V32="Subcritical",W346,IF(AND(V346=1,AG346=1),IF(T346&gt;=AE346,L346,W346),IF(V346=1,L346,IF(AG346=1,W346,MAX($D$16,POWER((ABS(K346)^2)/($I$5*MAX(F346,0.1)^2),1/3)))))))</f>
        <v>2.1403668656741068</v>
      </c>
      <c r="AI346">
        <f t="shared" ca="1" si="184"/>
        <v>634.60436686567414</v>
      </c>
      <c r="AJ346">
        <f t="shared" ca="1" si="185"/>
        <v>635.67455029851124</v>
      </c>
      <c r="AM346">
        <v>0</v>
      </c>
      <c r="AN346">
        <v>0</v>
      </c>
      <c r="AO346">
        <f t="shared" si="186"/>
        <v>0</v>
      </c>
      <c r="AP346">
        <f t="shared" si="195"/>
        <v>0</v>
      </c>
      <c r="AQ346">
        <f t="shared" ca="1" si="187"/>
        <v>0.99999999999999978</v>
      </c>
      <c r="AR346" t="str">
        <f t="shared" ca="1" si="188"/>
        <v>Supercritical</v>
      </c>
      <c r="AS346">
        <f t="shared" ca="1" si="189"/>
        <v>3.8148159832266538E-3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191</v>
      </c>
      <c r="I347">
        <v>5.7000000000000002E-2</v>
      </c>
      <c r="J347">
        <f t="shared" si="190"/>
        <v>1</v>
      </c>
      <c r="K347">
        <f t="shared" si="191"/>
        <v>51</v>
      </c>
      <c r="L347">
        <f t="shared" ca="1" si="192"/>
        <v>0.05</v>
      </c>
      <c r="M347">
        <f t="shared" ca="1" si="165"/>
        <v>0.26</v>
      </c>
      <c r="N347">
        <f t="shared" ca="1" si="166"/>
        <v>4.9056603773584909E-2</v>
      </c>
      <c r="O347">
        <f t="shared" ca="1" si="167"/>
        <v>196.15384615384616</v>
      </c>
      <c r="P347">
        <f t="shared" ca="1" si="168"/>
        <v>632.51349999999991</v>
      </c>
      <c r="Q347">
        <f t="shared" ca="1" si="169"/>
        <v>2593.5905316486619</v>
      </c>
      <c r="R347">
        <f t="shared" ca="1" si="170"/>
        <v>482.07306851378365</v>
      </c>
      <c r="S347">
        <f t="shared" ca="1" si="171"/>
        <v>280.07692026646265</v>
      </c>
      <c r="T347">
        <f t="shared" ca="1" si="172"/>
        <v>1019.7665564573041</v>
      </c>
      <c r="U347">
        <f t="shared" ca="1" si="193"/>
        <v>-482.25887083179032</v>
      </c>
      <c r="V347">
        <f t="shared" ca="1" si="194"/>
        <v>0</v>
      </c>
      <c r="W347">
        <f t="shared" ca="1" si="173"/>
        <v>0.05</v>
      </c>
      <c r="X347">
        <f t="shared" ca="1" si="174"/>
        <v>0.26</v>
      </c>
      <c r="Y347">
        <f t="shared" ca="1" si="175"/>
        <v>4.9056603773584909E-2</v>
      </c>
      <c r="Z347">
        <f t="shared" ca="1" si="176"/>
        <v>196.15384615384616</v>
      </c>
      <c r="AA347">
        <f t="shared" ca="1" si="177"/>
        <v>632.51349999999991</v>
      </c>
      <c r="AB347">
        <f t="shared" ca="1" si="178"/>
        <v>2593.5905316486619</v>
      </c>
      <c r="AC347">
        <f t="shared" ca="1" si="179"/>
        <v>482.07306851378365</v>
      </c>
      <c r="AD347">
        <f t="shared" ca="1" si="180"/>
        <v>280.07692026646265</v>
      </c>
      <c r="AE347">
        <f t="shared" ca="1" si="181"/>
        <v>1019.7665564573041</v>
      </c>
      <c r="AF347">
        <f t="shared" ca="1" si="182"/>
        <v>482.25887083179077</v>
      </c>
      <c r="AG347">
        <f t="shared" ca="1" si="183"/>
        <v>0</v>
      </c>
      <c r="AH347">
        <f ca="1">IF(V32="Supercritical",L347,IF(V32="Subcritical",W347,IF(AND(V347=1,AG347=1),IF(T347&gt;=AE347,L347,W347),IF(V347=1,L347,IF(AG347=1,W347,MAX($D$16,POWER((ABS(K347)^2)/($I$5*MAX(F347,0.1)^2),1/3)))))))</f>
        <v>2.1403668656741068</v>
      </c>
      <c r="AI347">
        <f t="shared" ca="1" si="184"/>
        <v>634.60386686567404</v>
      </c>
      <c r="AJ347">
        <f t="shared" ca="1" si="185"/>
        <v>635.67405029851113</v>
      </c>
      <c r="AM347">
        <v>0</v>
      </c>
      <c r="AN347">
        <v>0</v>
      </c>
      <c r="AO347">
        <f t="shared" si="186"/>
        <v>0</v>
      </c>
      <c r="AP347">
        <f t="shared" si="195"/>
        <v>0</v>
      </c>
      <c r="AQ347">
        <f t="shared" ca="1" si="187"/>
        <v>0.99999999999999978</v>
      </c>
      <c r="AR347" t="str">
        <f t="shared" ca="1" si="188"/>
        <v>Supercritical</v>
      </c>
      <c r="AS347">
        <f t="shared" ca="1" si="189"/>
        <v>3.8148159832266538E-3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191</v>
      </c>
      <c r="I348">
        <v>5.7000000000000002E-2</v>
      </c>
      <c r="J348">
        <f t="shared" si="190"/>
        <v>1</v>
      </c>
      <c r="K348">
        <f t="shared" si="191"/>
        <v>51</v>
      </c>
      <c r="L348">
        <f t="shared" ca="1" si="192"/>
        <v>0.05</v>
      </c>
      <c r="M348">
        <f t="shared" ca="1" si="165"/>
        <v>0.26</v>
      </c>
      <c r="N348">
        <f t="shared" ca="1" si="166"/>
        <v>4.9056603773584909E-2</v>
      </c>
      <c r="O348">
        <f t="shared" ca="1" si="167"/>
        <v>196.15384615384616</v>
      </c>
      <c r="P348">
        <f t="shared" ca="1" si="168"/>
        <v>632.51299999999992</v>
      </c>
      <c r="Q348">
        <f t="shared" ca="1" si="169"/>
        <v>2593.5900316486623</v>
      </c>
      <c r="R348">
        <f t="shared" ca="1" si="170"/>
        <v>482.07306851378365</v>
      </c>
      <c r="S348">
        <f t="shared" ca="1" si="171"/>
        <v>280.07692026646265</v>
      </c>
      <c r="T348">
        <f t="shared" ca="1" si="172"/>
        <v>1019.7665564573041</v>
      </c>
      <c r="U348">
        <f t="shared" ca="1" si="193"/>
        <v>-482.25887083179077</v>
      </c>
      <c r="V348">
        <f t="shared" ca="1" si="194"/>
        <v>0</v>
      </c>
      <c r="W348">
        <f t="shared" ca="1" si="173"/>
        <v>0.05</v>
      </c>
      <c r="X348">
        <f t="shared" ca="1" si="174"/>
        <v>0.26</v>
      </c>
      <c r="Y348">
        <f t="shared" ca="1" si="175"/>
        <v>4.9056603773584909E-2</v>
      </c>
      <c r="Z348">
        <f t="shared" ca="1" si="176"/>
        <v>196.15384615384616</v>
      </c>
      <c r="AA348">
        <f t="shared" ca="1" si="177"/>
        <v>632.51299999999992</v>
      </c>
      <c r="AB348">
        <f t="shared" ca="1" si="178"/>
        <v>2593.5900316486623</v>
      </c>
      <c r="AC348">
        <f t="shared" ca="1" si="179"/>
        <v>482.07306851378365</v>
      </c>
      <c r="AD348">
        <f t="shared" ca="1" si="180"/>
        <v>280.07692026646265</v>
      </c>
      <c r="AE348">
        <f t="shared" ca="1" si="181"/>
        <v>1019.7665564573041</v>
      </c>
      <c r="AF348">
        <f t="shared" ca="1" si="182"/>
        <v>482.25887083179032</v>
      </c>
      <c r="AG348">
        <f t="shared" ca="1" si="183"/>
        <v>0</v>
      </c>
      <c r="AH348">
        <f ca="1">IF(V32="Supercritical",L348,IF(V32="Subcritical",W348,IF(AND(V348=1,AG348=1),IF(T348&gt;=AE348,L348,W348),IF(V348=1,L348,IF(AG348=1,W348,MAX($D$16,POWER((ABS(K348)^2)/($I$5*MAX(F348,0.1)^2),1/3)))))))</f>
        <v>2.1403668656741068</v>
      </c>
      <c r="AI348">
        <f t="shared" ca="1" si="184"/>
        <v>634.60336686567405</v>
      </c>
      <c r="AJ348">
        <f t="shared" ca="1" si="185"/>
        <v>635.67355029851115</v>
      </c>
      <c r="AM348">
        <v>0</v>
      </c>
      <c r="AN348">
        <v>0</v>
      </c>
      <c r="AO348">
        <f t="shared" si="186"/>
        <v>0</v>
      </c>
      <c r="AP348">
        <f t="shared" si="195"/>
        <v>0</v>
      </c>
      <c r="AQ348">
        <f t="shared" ca="1" si="187"/>
        <v>0.99999999999999978</v>
      </c>
      <c r="AR348" t="str">
        <f t="shared" ca="1" si="188"/>
        <v>Supercritical</v>
      </c>
      <c r="AS348">
        <f t="shared" ca="1" si="189"/>
        <v>3.8148159832266538E-3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191</v>
      </c>
      <c r="I349">
        <v>5.7000000000000002E-2</v>
      </c>
      <c r="J349">
        <f t="shared" si="190"/>
        <v>1</v>
      </c>
      <c r="K349">
        <f t="shared" si="191"/>
        <v>51</v>
      </c>
      <c r="L349">
        <f t="shared" ca="1" si="192"/>
        <v>0.05</v>
      </c>
      <c r="M349">
        <f t="shared" ca="1" si="165"/>
        <v>0.26</v>
      </c>
      <c r="N349">
        <f t="shared" ca="1" si="166"/>
        <v>4.9056603773584909E-2</v>
      </c>
      <c r="O349">
        <f t="shared" ca="1" si="167"/>
        <v>196.15384615384616</v>
      </c>
      <c r="P349">
        <f t="shared" ca="1" si="168"/>
        <v>632.51249999999993</v>
      </c>
      <c r="Q349">
        <f t="shared" ca="1" si="169"/>
        <v>2593.5895316486622</v>
      </c>
      <c r="R349">
        <f t="shared" ca="1" si="170"/>
        <v>482.07306851378365</v>
      </c>
      <c r="S349">
        <f t="shared" ca="1" si="171"/>
        <v>280.07692026646265</v>
      </c>
      <c r="T349">
        <f t="shared" ca="1" si="172"/>
        <v>1019.7665564573041</v>
      </c>
      <c r="U349">
        <f t="shared" ca="1" si="193"/>
        <v>-482.25887083179032</v>
      </c>
      <c r="V349">
        <f t="shared" ca="1" si="194"/>
        <v>0</v>
      </c>
      <c r="W349">
        <f t="shared" ca="1" si="173"/>
        <v>0.05</v>
      </c>
      <c r="X349">
        <f t="shared" ca="1" si="174"/>
        <v>0.26</v>
      </c>
      <c r="Y349">
        <f t="shared" ca="1" si="175"/>
        <v>4.9056603773584909E-2</v>
      </c>
      <c r="Z349">
        <f t="shared" ca="1" si="176"/>
        <v>196.15384615384616</v>
      </c>
      <c r="AA349">
        <f t="shared" ca="1" si="177"/>
        <v>632.51249999999993</v>
      </c>
      <c r="AB349">
        <f t="shared" ca="1" si="178"/>
        <v>2593.5895316486622</v>
      </c>
      <c r="AC349">
        <f t="shared" ca="1" si="179"/>
        <v>482.07306851378365</v>
      </c>
      <c r="AD349">
        <f t="shared" ca="1" si="180"/>
        <v>280.07692026646265</v>
      </c>
      <c r="AE349">
        <f t="shared" ca="1" si="181"/>
        <v>1019.7665564573041</v>
      </c>
      <c r="AF349">
        <f t="shared" ca="1" si="182"/>
        <v>482.07256851378361</v>
      </c>
      <c r="AG349">
        <f t="shared" ca="1" si="183"/>
        <v>0</v>
      </c>
      <c r="AH349">
        <f ca="1">IF(V32="Supercritical",L349,IF(V32="Subcritical",W349,IF(AND(V349=1,AG349=1),IF(T349&gt;=AE349,L349,W349),IF(V349=1,L349,IF(AG349=1,W349,MAX($D$16,POWER((ABS(K349)^2)/($I$5*MAX(F349,0.1)^2),1/3)))))))</f>
        <v>2.1403668656741068</v>
      </c>
      <c r="AI349">
        <f t="shared" ca="1" si="184"/>
        <v>634.60286686567406</v>
      </c>
      <c r="AJ349">
        <f t="shared" ca="1" si="185"/>
        <v>635.67305029851116</v>
      </c>
      <c r="AM349">
        <v>0</v>
      </c>
      <c r="AN349">
        <v>0</v>
      </c>
      <c r="AO349">
        <f t="shared" si="186"/>
        <v>0</v>
      </c>
      <c r="AP349">
        <f t="shared" si="195"/>
        <v>0</v>
      </c>
      <c r="AQ349">
        <f t="shared" ca="1" si="187"/>
        <v>0.99999999999999978</v>
      </c>
      <c r="AR349" t="str">
        <f t="shared" ca="1" si="188"/>
        <v>Supercritical</v>
      </c>
      <c r="AS349">
        <f t="shared" ca="1" si="189"/>
        <v>3.8148159832266538E-3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191</v>
      </c>
      <c r="I350">
        <v>0</v>
      </c>
      <c r="J350">
        <f t="shared" si="190"/>
        <v>1</v>
      </c>
      <c r="K350">
        <f t="shared" si="191"/>
        <v>51</v>
      </c>
      <c r="L350">
        <f t="shared" ca="1" si="192"/>
        <v>0.05</v>
      </c>
      <c r="M350">
        <f t="shared" ca="1" si="165"/>
        <v>0.26</v>
      </c>
      <c r="N350">
        <f t="shared" ca="1" si="166"/>
        <v>4.9056603773584909E-2</v>
      </c>
      <c r="O350">
        <f t="shared" ca="1" si="167"/>
        <v>196.15384615384616</v>
      </c>
      <c r="P350">
        <f t="shared" ca="1" si="168"/>
        <v>632.51199999999994</v>
      </c>
      <c r="Q350">
        <f t="shared" ca="1" si="169"/>
        <v>2593.5890316486621</v>
      </c>
      <c r="R350">
        <f t="shared" ca="1" si="170"/>
        <v>482.07306851378365</v>
      </c>
      <c r="S350">
        <f t="shared" ca="1" si="171"/>
        <v>280.07692026646265</v>
      </c>
      <c r="T350">
        <f t="shared" ca="1" si="172"/>
        <v>1019.7665564573041</v>
      </c>
      <c r="U350">
        <f t="shared" ca="1" si="193"/>
        <v>-482.07256851378361</v>
      </c>
      <c r="V350">
        <f t="shared" ca="1" si="194"/>
        <v>0</v>
      </c>
      <c r="W350">
        <f t="shared" ca="1" si="173"/>
        <v>0.05</v>
      </c>
      <c r="X350">
        <f t="shared" ca="1" si="174"/>
        <v>0.26</v>
      </c>
      <c r="Y350">
        <f t="shared" ca="1" si="175"/>
        <v>4.9056603773584909E-2</v>
      </c>
      <c r="Z350">
        <f t="shared" ca="1" si="176"/>
        <v>196.15384615384616</v>
      </c>
      <c r="AA350">
        <f t="shared" ca="1" si="177"/>
        <v>632.51199999999994</v>
      </c>
      <c r="AB350">
        <f t="shared" ca="1" si="178"/>
        <v>2593.5890316486621</v>
      </c>
      <c r="AC350">
        <f t="shared" ca="1" si="179"/>
        <v>482.07306851378365</v>
      </c>
      <c r="AD350">
        <f t="shared" ca="1" si="180"/>
        <v>280.07692026646265</v>
      </c>
      <c r="AE350">
        <f t="shared" ca="1" si="181"/>
        <v>1019.7665564573041</v>
      </c>
      <c r="AF350">
        <f t="shared" ca="1" si="182"/>
        <v>482.73440697686738</v>
      </c>
      <c r="AG350">
        <f t="shared" ca="1" si="183"/>
        <v>0</v>
      </c>
      <c r="AH350">
        <f ca="1">IF(V32="Supercritical",L350,IF(V32="Subcritical",W350,IF(AND(V350=1,AG350=1),IF(T350&gt;=AE350,L350,W350),IF(V350=1,L350,IF(AG350=1,W350,MAX($D$16,POWER((ABS(K350)^2)/($I$5*MAX(F350,0.1)^2),1/3)))))))</f>
        <v>2.1403668656741068</v>
      </c>
      <c r="AI350">
        <f t="shared" ca="1" si="184"/>
        <v>634.60236686567407</v>
      </c>
      <c r="AJ350">
        <f t="shared" ca="1" si="185"/>
        <v>635.67255029851117</v>
      </c>
      <c r="AM350">
        <v>0</v>
      </c>
      <c r="AN350">
        <v>0</v>
      </c>
      <c r="AO350">
        <f t="shared" si="186"/>
        <v>0</v>
      </c>
      <c r="AP350">
        <f t="shared" si="195"/>
        <v>0</v>
      </c>
      <c r="AQ350">
        <f t="shared" ca="1" si="187"/>
        <v>0.99999999999999978</v>
      </c>
      <c r="AR350" t="str">
        <f t="shared" ca="1" si="188"/>
        <v>Supercritical</v>
      </c>
      <c r="AS350">
        <f t="shared" ca="1" si="189"/>
        <v>3.8148159832266538E-3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191</v>
      </c>
      <c r="I351">
        <v>5.5E-2</v>
      </c>
      <c r="J351">
        <f t="shared" si="190"/>
        <v>1.0010000000000048</v>
      </c>
      <c r="K351">
        <f t="shared" si="191"/>
        <v>51</v>
      </c>
      <c r="L351">
        <f t="shared" ca="1" si="192"/>
        <v>0.05</v>
      </c>
      <c r="M351">
        <f t="shared" ca="1" si="165"/>
        <v>0.26</v>
      </c>
      <c r="N351">
        <f t="shared" ca="1" si="166"/>
        <v>4.9056603773584909E-2</v>
      </c>
      <c r="O351">
        <f t="shared" ca="1" si="167"/>
        <v>196.15384615384616</v>
      </c>
      <c r="P351">
        <f t="shared" ca="1" si="168"/>
        <v>632.51149999999996</v>
      </c>
      <c r="Q351">
        <f t="shared" ca="1" si="169"/>
        <v>2593.588531648662</v>
      </c>
      <c r="R351">
        <f t="shared" ca="1" si="170"/>
        <v>482.07306851378365</v>
      </c>
      <c r="S351">
        <f t="shared" ca="1" si="171"/>
        <v>280.07692026646265</v>
      </c>
      <c r="T351">
        <f t="shared" ca="1" si="172"/>
        <v>1019.7665564573041</v>
      </c>
      <c r="U351">
        <f t="shared" ca="1" si="193"/>
        <v>-482.73440697686738</v>
      </c>
      <c r="V351">
        <f t="shared" ca="1" si="194"/>
        <v>0</v>
      </c>
      <c r="W351">
        <f t="shared" ca="1" si="173"/>
        <v>0.05</v>
      </c>
      <c r="X351">
        <f t="shared" ca="1" si="174"/>
        <v>0.26</v>
      </c>
      <c r="Y351">
        <f t="shared" ca="1" si="175"/>
        <v>4.9056603773584909E-2</v>
      </c>
      <c r="Z351">
        <f t="shared" ca="1" si="176"/>
        <v>196.15384615384616</v>
      </c>
      <c r="AA351">
        <f t="shared" ca="1" si="177"/>
        <v>632.51149999999996</v>
      </c>
      <c r="AB351">
        <f t="shared" ca="1" si="178"/>
        <v>2593.588531648662</v>
      </c>
      <c r="AC351">
        <f t="shared" ca="1" si="179"/>
        <v>482.07306851378365</v>
      </c>
      <c r="AD351">
        <f t="shared" ca="1" si="180"/>
        <v>280.07692026646265</v>
      </c>
      <c r="AE351">
        <f t="shared" ca="1" si="181"/>
        <v>1019.7665564573041</v>
      </c>
      <c r="AF351">
        <f t="shared" ca="1" si="182"/>
        <v>481.77026083983537</v>
      </c>
      <c r="AG351">
        <f t="shared" ca="1" si="183"/>
        <v>0</v>
      </c>
      <c r="AH351">
        <f ca="1">IF(V32="Supercritical",L351,IF(V32="Subcritical",W351,IF(AND(V351=1,AG351=1),IF(T351&gt;=AE351,L351,W351),IF(V351=1,L351,IF(AG351=1,W351,MAX($D$16,POWER((ABS(K351)^2)/($I$5*MAX(F351,0.1)^2),1/3)))))))</f>
        <v>2.1403668656741068</v>
      </c>
      <c r="AI351">
        <f t="shared" ca="1" si="184"/>
        <v>634.60186686567408</v>
      </c>
      <c r="AJ351">
        <f t="shared" ca="1" si="185"/>
        <v>635.67205029851118</v>
      </c>
      <c r="AM351">
        <v>0</v>
      </c>
      <c r="AN351">
        <v>0</v>
      </c>
      <c r="AO351">
        <f t="shared" si="186"/>
        <v>0</v>
      </c>
      <c r="AP351">
        <f t="shared" si="195"/>
        <v>0</v>
      </c>
      <c r="AQ351">
        <f t="shared" ca="1" si="187"/>
        <v>0.99999999999999978</v>
      </c>
      <c r="AR351" t="str">
        <f t="shared" ca="1" si="188"/>
        <v>Supercritical</v>
      </c>
      <c r="AS351">
        <f t="shared" ca="1" si="189"/>
        <v>3.8148159832266538E-3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191</v>
      </c>
      <c r="I352">
        <v>5.5E-2</v>
      </c>
      <c r="J352">
        <f t="shared" si="190"/>
        <v>0.99899999999999523</v>
      </c>
      <c r="K352">
        <f t="shared" si="191"/>
        <v>51</v>
      </c>
      <c r="L352">
        <f t="shared" ca="1" si="192"/>
        <v>0.05</v>
      </c>
      <c r="M352">
        <f t="shared" ca="1" si="165"/>
        <v>0.26</v>
      </c>
      <c r="N352">
        <f t="shared" ca="1" si="166"/>
        <v>4.9056603773584909E-2</v>
      </c>
      <c r="O352">
        <f t="shared" ca="1" si="167"/>
        <v>196.15384615384616</v>
      </c>
      <c r="P352">
        <f t="shared" ca="1" si="168"/>
        <v>632.51099999999997</v>
      </c>
      <c r="Q352">
        <f t="shared" ca="1" si="169"/>
        <v>2593.5880316486619</v>
      </c>
      <c r="R352">
        <f t="shared" ca="1" si="170"/>
        <v>482.07306851378365</v>
      </c>
      <c r="S352">
        <f t="shared" ca="1" si="171"/>
        <v>280.07692026646265</v>
      </c>
      <c r="T352">
        <f t="shared" ca="1" si="172"/>
        <v>1019.7665564573041</v>
      </c>
      <c r="U352">
        <f t="shared" ca="1" si="193"/>
        <v>-481.77026083983537</v>
      </c>
      <c r="V352">
        <f t="shared" ca="1" si="194"/>
        <v>0</v>
      </c>
      <c r="W352">
        <f t="shared" ca="1" si="173"/>
        <v>0.05</v>
      </c>
      <c r="X352">
        <f t="shared" ca="1" si="174"/>
        <v>0.26</v>
      </c>
      <c r="Y352">
        <f t="shared" ca="1" si="175"/>
        <v>4.9056603773584909E-2</v>
      </c>
      <c r="Z352">
        <f t="shared" ca="1" si="176"/>
        <v>196.15384615384616</v>
      </c>
      <c r="AA352">
        <f t="shared" ca="1" si="177"/>
        <v>632.51099999999997</v>
      </c>
      <c r="AB352">
        <f t="shared" ca="1" si="178"/>
        <v>2593.5880316486619</v>
      </c>
      <c r="AC352">
        <f t="shared" ca="1" si="179"/>
        <v>482.07306851378365</v>
      </c>
      <c r="AD352">
        <f t="shared" ca="1" si="180"/>
        <v>280.07692026646265</v>
      </c>
      <c r="AE352">
        <f t="shared" ca="1" si="181"/>
        <v>1019.7665564573041</v>
      </c>
      <c r="AF352">
        <f t="shared" ca="1" si="182"/>
        <v>482.07256851378406</v>
      </c>
      <c r="AG352">
        <f t="shared" ca="1" si="183"/>
        <v>0</v>
      </c>
      <c r="AH352">
        <f ca="1">IF(V32="Supercritical",L352,IF(V32="Subcritical",W352,IF(AND(V352=1,AG352=1),IF(T352&gt;=AE352,L352,W352),IF(V352=1,L352,IF(AG352=1,W352,MAX($D$16,POWER((ABS(K352)^2)/($I$5*MAX(F352,0.1)^2),1/3)))))))</f>
        <v>2.1403668656741068</v>
      </c>
      <c r="AI352">
        <f t="shared" ca="1" si="184"/>
        <v>634.60136686567409</v>
      </c>
      <c r="AJ352">
        <f t="shared" ca="1" si="185"/>
        <v>635.67155029851119</v>
      </c>
      <c r="AM352">
        <v>0</v>
      </c>
      <c r="AN352">
        <v>0</v>
      </c>
      <c r="AO352">
        <f t="shared" si="186"/>
        <v>0</v>
      </c>
      <c r="AP352">
        <f t="shared" si="195"/>
        <v>0</v>
      </c>
      <c r="AQ352">
        <f t="shared" ca="1" si="187"/>
        <v>0.99999999999999978</v>
      </c>
      <c r="AR352" t="str">
        <f t="shared" ca="1" si="188"/>
        <v>Supercritical</v>
      </c>
      <c r="AS352">
        <f t="shared" ca="1" si="189"/>
        <v>3.8148159832266538E-3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191</v>
      </c>
      <c r="I353">
        <v>0</v>
      </c>
      <c r="J353">
        <f t="shared" si="190"/>
        <v>1</v>
      </c>
      <c r="K353">
        <f t="shared" si="191"/>
        <v>51</v>
      </c>
      <c r="L353">
        <f t="shared" ca="1" si="192"/>
        <v>0.05</v>
      </c>
      <c r="M353">
        <f t="shared" ca="1" si="165"/>
        <v>0.26</v>
      </c>
      <c r="N353">
        <f t="shared" ca="1" si="166"/>
        <v>4.9056603773584909E-2</v>
      </c>
      <c r="O353">
        <f t="shared" ca="1" si="167"/>
        <v>196.15384615384616</v>
      </c>
      <c r="P353">
        <f t="shared" ca="1" si="168"/>
        <v>632.51049999999998</v>
      </c>
      <c r="Q353">
        <f t="shared" ca="1" si="169"/>
        <v>2593.5875316486622</v>
      </c>
      <c r="R353">
        <f t="shared" ca="1" si="170"/>
        <v>482.07306851378365</v>
      </c>
      <c r="S353">
        <f t="shared" ca="1" si="171"/>
        <v>280.07692026646265</v>
      </c>
      <c r="T353">
        <f t="shared" ca="1" si="172"/>
        <v>1019.7665564573041</v>
      </c>
      <c r="U353">
        <f t="shared" ca="1" si="193"/>
        <v>-482.07256851378406</v>
      </c>
      <c r="V353">
        <f t="shared" ca="1" si="194"/>
        <v>0</v>
      </c>
      <c r="W353">
        <f t="shared" ca="1" si="173"/>
        <v>0.05</v>
      </c>
      <c r="X353">
        <f t="shared" ca="1" si="174"/>
        <v>0.26</v>
      </c>
      <c r="Y353">
        <f t="shared" ca="1" si="175"/>
        <v>4.9056603773584909E-2</v>
      </c>
      <c r="Z353">
        <f t="shared" ca="1" si="176"/>
        <v>196.15384615384616</v>
      </c>
      <c r="AA353">
        <f t="shared" ca="1" si="177"/>
        <v>632.51049999999998</v>
      </c>
      <c r="AB353">
        <f t="shared" ca="1" si="178"/>
        <v>2593.5875316486622</v>
      </c>
      <c r="AC353">
        <f t="shared" ca="1" si="179"/>
        <v>482.07306851378365</v>
      </c>
      <c r="AD353">
        <f t="shared" ca="1" si="180"/>
        <v>280.07692026646265</v>
      </c>
      <c r="AE353">
        <f t="shared" ca="1" si="181"/>
        <v>1019.7665564573041</v>
      </c>
      <c r="AF353">
        <f t="shared" ca="1" si="182"/>
        <v>482.25887083179032</v>
      </c>
      <c r="AG353">
        <f t="shared" ca="1" si="183"/>
        <v>0</v>
      </c>
      <c r="AH353">
        <f ca="1">IF(V32="Supercritical",L353,IF(V32="Subcritical",W353,IF(AND(V353=1,AG353=1),IF(T353&gt;=AE353,L353,W353),IF(V353=1,L353,IF(AG353=1,W353,MAX($D$16,POWER((ABS(K353)^2)/($I$5*MAX(F353,0.1)^2),1/3)))))))</f>
        <v>2.1403668656741068</v>
      </c>
      <c r="AI353">
        <f t="shared" ca="1" si="184"/>
        <v>634.60086686567411</v>
      </c>
      <c r="AJ353">
        <f t="shared" ca="1" si="185"/>
        <v>635.6710502985112</v>
      </c>
      <c r="AM353">
        <v>0</v>
      </c>
      <c r="AN353">
        <v>0</v>
      </c>
      <c r="AO353">
        <f t="shared" si="186"/>
        <v>0</v>
      </c>
      <c r="AP353">
        <f t="shared" si="195"/>
        <v>0</v>
      </c>
      <c r="AQ353">
        <f t="shared" ca="1" si="187"/>
        <v>0.99999999999999978</v>
      </c>
      <c r="AR353" t="str">
        <f t="shared" ca="1" si="188"/>
        <v>Supercritical</v>
      </c>
      <c r="AS353">
        <f t="shared" ca="1" si="189"/>
        <v>3.8148159832266538E-3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191</v>
      </c>
      <c r="I354">
        <v>5.7000000000000002E-2</v>
      </c>
      <c r="J354">
        <f t="shared" si="190"/>
        <v>1</v>
      </c>
      <c r="K354">
        <f t="shared" si="191"/>
        <v>51</v>
      </c>
      <c r="L354">
        <f t="shared" ca="1" si="192"/>
        <v>0.05</v>
      </c>
      <c r="M354">
        <f t="shared" ca="1" si="165"/>
        <v>0.26</v>
      </c>
      <c r="N354">
        <f t="shared" ca="1" si="166"/>
        <v>4.9056603773584909E-2</v>
      </c>
      <c r="O354">
        <f t="shared" ca="1" si="167"/>
        <v>196.15384615384616</v>
      </c>
      <c r="P354">
        <f t="shared" ca="1" si="168"/>
        <v>632.51</v>
      </c>
      <c r="Q354">
        <f t="shared" ca="1" si="169"/>
        <v>2593.5870316486621</v>
      </c>
      <c r="R354">
        <f t="shared" ca="1" si="170"/>
        <v>482.07306851378365</v>
      </c>
      <c r="S354">
        <f t="shared" ca="1" si="171"/>
        <v>280.07692026646265</v>
      </c>
      <c r="T354">
        <f t="shared" ca="1" si="172"/>
        <v>1019.7665564573041</v>
      </c>
      <c r="U354">
        <f t="shared" ca="1" si="193"/>
        <v>-482.25887083179032</v>
      </c>
      <c r="V354">
        <f t="shared" ca="1" si="194"/>
        <v>0</v>
      </c>
      <c r="W354">
        <f t="shared" ca="1" si="173"/>
        <v>0.05</v>
      </c>
      <c r="X354">
        <f t="shared" ca="1" si="174"/>
        <v>0.26</v>
      </c>
      <c r="Y354">
        <f t="shared" ca="1" si="175"/>
        <v>4.9056603773584909E-2</v>
      </c>
      <c r="Z354">
        <f t="shared" ca="1" si="176"/>
        <v>196.15384615384616</v>
      </c>
      <c r="AA354">
        <f t="shared" ca="1" si="177"/>
        <v>632.51</v>
      </c>
      <c r="AB354">
        <f t="shared" ca="1" si="178"/>
        <v>2593.5870316486621</v>
      </c>
      <c r="AC354">
        <f t="shared" ca="1" si="179"/>
        <v>482.07306851378365</v>
      </c>
      <c r="AD354">
        <f t="shared" ca="1" si="180"/>
        <v>280.07692026646265</v>
      </c>
      <c r="AE354">
        <f t="shared" ca="1" si="181"/>
        <v>1019.7665564573041</v>
      </c>
      <c r="AF354">
        <f t="shared" ca="1" si="182"/>
        <v>482.25887083179032</v>
      </c>
      <c r="AG354">
        <f t="shared" ca="1" si="183"/>
        <v>0</v>
      </c>
      <c r="AH354">
        <f ca="1">IF(V32="Supercritical",L354,IF(V32="Subcritical",W354,IF(AND(V354=1,AG354=1),IF(T354&gt;=AE354,L354,W354),IF(V354=1,L354,IF(AG354=1,W354,MAX($D$16,POWER((ABS(K354)^2)/($I$5*MAX(F354,0.1)^2),1/3)))))))</f>
        <v>2.1403668656741068</v>
      </c>
      <c r="AI354">
        <f t="shared" ca="1" si="184"/>
        <v>634.60036686567412</v>
      </c>
      <c r="AJ354">
        <f t="shared" ca="1" si="185"/>
        <v>635.67055029851122</v>
      </c>
      <c r="AM354">
        <v>0</v>
      </c>
      <c r="AN354">
        <v>0</v>
      </c>
      <c r="AO354">
        <f t="shared" si="186"/>
        <v>0</v>
      </c>
      <c r="AP354">
        <f t="shared" si="195"/>
        <v>0</v>
      </c>
      <c r="AQ354">
        <f t="shared" ca="1" si="187"/>
        <v>0.99999999999999978</v>
      </c>
      <c r="AR354" t="str">
        <f t="shared" ca="1" si="188"/>
        <v>Supercritical</v>
      </c>
      <c r="AS354">
        <f t="shared" ca="1" si="189"/>
        <v>3.8148159832266538E-3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191</v>
      </c>
      <c r="I355">
        <v>5.7000000000000002E-2</v>
      </c>
      <c r="J355">
        <f t="shared" si="190"/>
        <v>1</v>
      </c>
      <c r="K355">
        <f t="shared" si="191"/>
        <v>51</v>
      </c>
      <c r="L355">
        <f t="shared" ca="1" si="192"/>
        <v>0.05</v>
      </c>
      <c r="M355">
        <f t="shared" ca="1" si="165"/>
        <v>0.26</v>
      </c>
      <c r="N355">
        <f t="shared" ca="1" si="166"/>
        <v>4.9056603773584909E-2</v>
      </c>
      <c r="O355">
        <f t="shared" ca="1" si="167"/>
        <v>196.15384615384616</v>
      </c>
      <c r="P355">
        <f t="shared" ca="1" si="168"/>
        <v>632.5095</v>
      </c>
      <c r="Q355">
        <f t="shared" ca="1" si="169"/>
        <v>2593.586531648662</v>
      </c>
      <c r="R355">
        <f t="shared" ca="1" si="170"/>
        <v>482.07306851378365</v>
      </c>
      <c r="S355">
        <f t="shared" ca="1" si="171"/>
        <v>280.07692026646265</v>
      </c>
      <c r="T355">
        <f t="shared" ca="1" si="172"/>
        <v>1019.7665564573041</v>
      </c>
      <c r="U355">
        <f t="shared" ca="1" si="193"/>
        <v>-482.25887083179032</v>
      </c>
      <c r="V355">
        <f t="shared" ca="1" si="194"/>
        <v>0</v>
      </c>
      <c r="W355">
        <f t="shared" ca="1" si="173"/>
        <v>0.05</v>
      </c>
      <c r="X355">
        <f t="shared" ca="1" si="174"/>
        <v>0.26</v>
      </c>
      <c r="Y355">
        <f t="shared" ca="1" si="175"/>
        <v>4.9056603773584909E-2</v>
      </c>
      <c r="Z355">
        <f t="shared" ca="1" si="176"/>
        <v>196.15384615384616</v>
      </c>
      <c r="AA355">
        <f t="shared" ca="1" si="177"/>
        <v>632.5095</v>
      </c>
      <c r="AB355">
        <f t="shared" ca="1" si="178"/>
        <v>2593.586531648662</v>
      </c>
      <c r="AC355">
        <f t="shared" ca="1" si="179"/>
        <v>482.07306851378365</v>
      </c>
      <c r="AD355">
        <f t="shared" ca="1" si="180"/>
        <v>280.07692026646265</v>
      </c>
      <c r="AE355">
        <f t="shared" ca="1" si="181"/>
        <v>1019.7665564573041</v>
      </c>
      <c r="AF355">
        <f t="shared" ca="1" si="182"/>
        <v>482.25887083179032</v>
      </c>
      <c r="AG355">
        <f t="shared" ca="1" si="183"/>
        <v>0</v>
      </c>
      <c r="AH355">
        <f ca="1">IF(V32="Supercritical",L355,IF(V32="Subcritical",W355,IF(AND(V355=1,AG355=1),IF(T355&gt;=AE355,L355,W355),IF(V355=1,L355,IF(AG355=1,W355,MAX($D$16,POWER((ABS(K355)^2)/($I$5*MAX(F355,0.1)^2),1/3)))))))</f>
        <v>2.1403668656741068</v>
      </c>
      <c r="AI355">
        <f t="shared" ca="1" si="184"/>
        <v>634.59986686567413</v>
      </c>
      <c r="AJ355">
        <f t="shared" ca="1" si="185"/>
        <v>635.67005029851123</v>
      </c>
      <c r="AM355">
        <v>0</v>
      </c>
      <c r="AN355">
        <v>0</v>
      </c>
      <c r="AO355">
        <f t="shared" si="186"/>
        <v>0</v>
      </c>
      <c r="AP355">
        <f t="shared" si="195"/>
        <v>0</v>
      </c>
      <c r="AQ355">
        <f t="shared" ca="1" si="187"/>
        <v>0.99999999999999978</v>
      </c>
      <c r="AR355" t="str">
        <f t="shared" ca="1" si="188"/>
        <v>Supercritical</v>
      </c>
      <c r="AS355">
        <f t="shared" ca="1" si="189"/>
        <v>3.8148159832266538E-3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191</v>
      </c>
      <c r="I356">
        <v>5.7000000000000002E-2</v>
      </c>
      <c r="J356">
        <f t="shared" si="190"/>
        <v>1</v>
      </c>
      <c r="K356">
        <f t="shared" si="191"/>
        <v>51</v>
      </c>
      <c r="L356">
        <f t="shared" ca="1" si="192"/>
        <v>0.05</v>
      </c>
      <c r="M356">
        <f t="shared" ca="1" si="165"/>
        <v>0.26</v>
      </c>
      <c r="N356">
        <f t="shared" ca="1" si="166"/>
        <v>4.9056603773584909E-2</v>
      </c>
      <c r="O356">
        <f t="shared" ca="1" si="167"/>
        <v>196.15384615384616</v>
      </c>
      <c r="P356">
        <f t="shared" ca="1" si="168"/>
        <v>632.5089999999999</v>
      </c>
      <c r="Q356">
        <f t="shared" ca="1" si="169"/>
        <v>2593.5860316486619</v>
      </c>
      <c r="R356">
        <f t="shared" ca="1" si="170"/>
        <v>482.07306851378365</v>
      </c>
      <c r="S356">
        <f t="shared" ca="1" si="171"/>
        <v>280.07692026646265</v>
      </c>
      <c r="T356">
        <f t="shared" ca="1" si="172"/>
        <v>1019.7665564573041</v>
      </c>
      <c r="U356">
        <f t="shared" ca="1" si="193"/>
        <v>-482.25887083179032</v>
      </c>
      <c r="V356">
        <f t="shared" ca="1" si="194"/>
        <v>0</v>
      </c>
      <c r="W356">
        <f t="shared" ca="1" si="173"/>
        <v>0.05</v>
      </c>
      <c r="X356">
        <f t="shared" ca="1" si="174"/>
        <v>0.26</v>
      </c>
      <c r="Y356">
        <f t="shared" ca="1" si="175"/>
        <v>4.9056603773584909E-2</v>
      </c>
      <c r="Z356">
        <f t="shared" ca="1" si="176"/>
        <v>196.15384615384616</v>
      </c>
      <c r="AA356">
        <f t="shared" ca="1" si="177"/>
        <v>632.5089999999999</v>
      </c>
      <c r="AB356">
        <f t="shared" ca="1" si="178"/>
        <v>2593.5860316486619</v>
      </c>
      <c r="AC356">
        <f t="shared" ca="1" si="179"/>
        <v>482.07306851378365</v>
      </c>
      <c r="AD356">
        <f t="shared" ca="1" si="180"/>
        <v>280.07692026646265</v>
      </c>
      <c r="AE356">
        <f t="shared" ca="1" si="181"/>
        <v>1019.7665564573041</v>
      </c>
      <c r="AF356">
        <f t="shared" ca="1" si="182"/>
        <v>482.25887083179077</v>
      </c>
      <c r="AG356">
        <f t="shared" ca="1" si="183"/>
        <v>0</v>
      </c>
      <c r="AH356">
        <f ca="1">IF(V32="Supercritical",L356,IF(V32="Subcritical",W356,IF(AND(V356=1,AG356=1),IF(T356&gt;=AE356,L356,W356),IF(V356=1,L356,IF(AG356=1,W356,MAX($D$16,POWER((ABS(K356)^2)/($I$5*MAX(F356,0.1)^2),1/3)))))))</f>
        <v>2.1403668656741068</v>
      </c>
      <c r="AI356">
        <f t="shared" ca="1" si="184"/>
        <v>634.59936686567403</v>
      </c>
      <c r="AJ356">
        <f t="shared" ca="1" si="185"/>
        <v>635.66955029851113</v>
      </c>
      <c r="AM356">
        <v>0</v>
      </c>
      <c r="AN356">
        <v>0</v>
      </c>
      <c r="AO356">
        <f t="shared" si="186"/>
        <v>0</v>
      </c>
      <c r="AP356">
        <f t="shared" si="195"/>
        <v>0</v>
      </c>
      <c r="AQ356">
        <f t="shared" ca="1" si="187"/>
        <v>0.99999999999999978</v>
      </c>
      <c r="AR356" t="str">
        <f t="shared" ca="1" si="188"/>
        <v>Supercritical</v>
      </c>
      <c r="AS356">
        <f t="shared" ca="1" si="189"/>
        <v>3.8148159832266538E-3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191</v>
      </c>
      <c r="I357">
        <v>5.7000000000000002E-2</v>
      </c>
      <c r="J357">
        <f t="shared" si="190"/>
        <v>1</v>
      </c>
      <c r="K357">
        <f t="shared" si="191"/>
        <v>51</v>
      </c>
      <c r="L357">
        <f t="shared" ca="1" si="192"/>
        <v>0.05</v>
      </c>
      <c r="M357">
        <f t="shared" ca="1" si="165"/>
        <v>0.26</v>
      </c>
      <c r="N357">
        <f t="shared" ca="1" si="166"/>
        <v>4.9056603773584909E-2</v>
      </c>
      <c r="O357">
        <f t="shared" ca="1" si="167"/>
        <v>196.15384615384616</v>
      </c>
      <c r="P357">
        <f t="shared" ca="1" si="168"/>
        <v>632.50849999999991</v>
      </c>
      <c r="Q357">
        <f t="shared" ca="1" si="169"/>
        <v>2593.5855316486623</v>
      </c>
      <c r="R357">
        <f t="shared" ca="1" si="170"/>
        <v>482.07306851378365</v>
      </c>
      <c r="S357">
        <f t="shared" ca="1" si="171"/>
        <v>280.07692026646265</v>
      </c>
      <c r="T357">
        <f t="shared" ca="1" si="172"/>
        <v>1019.7665564573041</v>
      </c>
      <c r="U357">
        <f t="shared" ca="1" si="193"/>
        <v>-482.25887083179077</v>
      </c>
      <c r="V357">
        <f t="shared" ca="1" si="194"/>
        <v>0</v>
      </c>
      <c r="W357">
        <f t="shared" ca="1" si="173"/>
        <v>0.05</v>
      </c>
      <c r="X357">
        <f t="shared" ca="1" si="174"/>
        <v>0.26</v>
      </c>
      <c r="Y357">
        <f t="shared" ca="1" si="175"/>
        <v>4.9056603773584909E-2</v>
      </c>
      <c r="Z357">
        <f t="shared" ca="1" si="176"/>
        <v>196.15384615384616</v>
      </c>
      <c r="AA357">
        <f t="shared" ca="1" si="177"/>
        <v>632.50849999999991</v>
      </c>
      <c r="AB357">
        <f t="shared" ca="1" si="178"/>
        <v>2593.5855316486623</v>
      </c>
      <c r="AC357">
        <f t="shared" ca="1" si="179"/>
        <v>482.07306851378365</v>
      </c>
      <c r="AD357">
        <f t="shared" ca="1" si="180"/>
        <v>280.07692026646265</v>
      </c>
      <c r="AE357">
        <f t="shared" ca="1" si="181"/>
        <v>1019.7665564573041</v>
      </c>
      <c r="AF357">
        <f t="shared" ca="1" si="182"/>
        <v>482.56444696745803</v>
      </c>
      <c r="AG357">
        <f t="shared" ca="1" si="183"/>
        <v>0</v>
      </c>
      <c r="AH357">
        <f ca="1">IF(V32="Supercritical",L357,IF(V32="Subcritical",W357,IF(AND(V357=1,AG357=1),IF(T357&gt;=AE357,L357,W357),IF(V357=1,L357,IF(AG357=1,W357,MAX($D$16,POWER((ABS(K357)^2)/($I$5*MAX(F357,0.1)^2),1/3)))))))</f>
        <v>2.1403668656741068</v>
      </c>
      <c r="AI357">
        <f t="shared" ca="1" si="184"/>
        <v>634.59886686567404</v>
      </c>
      <c r="AJ357">
        <f t="shared" ca="1" si="185"/>
        <v>635.66905029851114</v>
      </c>
      <c r="AM357">
        <v>0</v>
      </c>
      <c r="AN357">
        <v>0</v>
      </c>
      <c r="AO357">
        <f t="shared" si="186"/>
        <v>0</v>
      </c>
      <c r="AP357">
        <f t="shared" si="195"/>
        <v>0</v>
      </c>
      <c r="AQ357">
        <f t="shared" ca="1" si="187"/>
        <v>0.99999999999999978</v>
      </c>
      <c r="AR357" t="str">
        <f t="shared" ca="1" si="188"/>
        <v>Supercritical</v>
      </c>
      <c r="AS357">
        <f t="shared" ca="1" si="189"/>
        <v>3.8148159832266538E-3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191</v>
      </c>
      <c r="I358">
        <v>3.0000000000000001E-3</v>
      </c>
      <c r="J358">
        <f t="shared" si="190"/>
        <v>1.0010000000000048</v>
      </c>
      <c r="K358">
        <f t="shared" si="191"/>
        <v>51</v>
      </c>
      <c r="L358">
        <f t="shared" ca="1" si="192"/>
        <v>0.05</v>
      </c>
      <c r="M358">
        <f t="shared" ca="1" si="165"/>
        <v>0.26</v>
      </c>
      <c r="N358">
        <f t="shared" ca="1" si="166"/>
        <v>4.9056603773584909E-2</v>
      </c>
      <c r="O358">
        <f t="shared" ca="1" si="167"/>
        <v>196.15384615384616</v>
      </c>
      <c r="P358">
        <f t="shared" ca="1" si="168"/>
        <v>632.50799999999992</v>
      </c>
      <c r="Q358">
        <f t="shared" ca="1" si="169"/>
        <v>2593.5850316486622</v>
      </c>
      <c r="R358">
        <f t="shared" ca="1" si="170"/>
        <v>482.07306851378365</v>
      </c>
      <c r="S358">
        <f t="shared" ca="1" si="171"/>
        <v>280.07692026646265</v>
      </c>
      <c r="T358">
        <f t="shared" ca="1" si="172"/>
        <v>1019.7665564573041</v>
      </c>
      <c r="U358">
        <f t="shared" ca="1" si="193"/>
        <v>-482.56444696745803</v>
      </c>
      <c r="V358">
        <f t="shared" ca="1" si="194"/>
        <v>0</v>
      </c>
      <c r="W358">
        <f t="shared" ca="1" si="173"/>
        <v>0.05</v>
      </c>
      <c r="X358">
        <f t="shared" ca="1" si="174"/>
        <v>0.26</v>
      </c>
      <c r="Y358">
        <f t="shared" ca="1" si="175"/>
        <v>4.9056603773584909E-2</v>
      </c>
      <c r="Z358">
        <f t="shared" ca="1" si="176"/>
        <v>196.15384615384616</v>
      </c>
      <c r="AA358">
        <f t="shared" ca="1" si="177"/>
        <v>632.50799999999992</v>
      </c>
      <c r="AB358">
        <f t="shared" ca="1" si="178"/>
        <v>2593.5850316486622</v>
      </c>
      <c r="AC358">
        <f t="shared" ca="1" si="179"/>
        <v>482.07306851378365</v>
      </c>
      <c r="AD358">
        <f t="shared" ca="1" si="180"/>
        <v>280.07692026646265</v>
      </c>
      <c r="AE358">
        <f t="shared" ca="1" si="181"/>
        <v>1019.7665564573041</v>
      </c>
      <c r="AF358">
        <f t="shared" ca="1" si="182"/>
        <v>481.78660314843228</v>
      </c>
      <c r="AG358">
        <f t="shared" ca="1" si="183"/>
        <v>0</v>
      </c>
      <c r="AH358">
        <f ca="1">IF(V32="Supercritical",L358,IF(V32="Subcritical",W358,IF(AND(V358=1,AG358=1),IF(T358&gt;=AE358,L358,W358),IF(V358=1,L358,IF(AG358=1,W358,MAX($D$16,POWER((ABS(K358)^2)/($I$5*MAX(F358,0.1)^2),1/3)))))))</f>
        <v>2.1403668656741068</v>
      </c>
      <c r="AI358">
        <f t="shared" ca="1" si="184"/>
        <v>634.59836686567405</v>
      </c>
      <c r="AJ358">
        <f t="shared" ca="1" si="185"/>
        <v>635.66855029851115</v>
      </c>
      <c r="AM358">
        <v>0</v>
      </c>
      <c r="AN358">
        <v>0</v>
      </c>
      <c r="AO358">
        <f t="shared" si="186"/>
        <v>0</v>
      </c>
      <c r="AP358">
        <f t="shared" si="195"/>
        <v>0</v>
      </c>
      <c r="AQ358">
        <f t="shared" ca="1" si="187"/>
        <v>0.99999999999999978</v>
      </c>
      <c r="AR358" t="str">
        <f t="shared" ca="1" si="188"/>
        <v>Supercritical</v>
      </c>
      <c r="AS358">
        <f t="shared" ca="1" si="189"/>
        <v>3.8148159832266538E-3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191</v>
      </c>
      <c r="I359">
        <v>0.06</v>
      </c>
      <c r="J359">
        <f t="shared" si="190"/>
        <v>0.99899999999999523</v>
      </c>
      <c r="K359">
        <f t="shared" si="191"/>
        <v>51</v>
      </c>
      <c r="L359">
        <f t="shared" ca="1" si="192"/>
        <v>0.05</v>
      </c>
      <c r="M359">
        <f t="shared" ca="1" si="165"/>
        <v>0.26</v>
      </c>
      <c r="N359">
        <f t="shared" ca="1" si="166"/>
        <v>4.9056603773584909E-2</v>
      </c>
      <c r="O359">
        <f t="shared" ca="1" si="167"/>
        <v>196.15384615384616</v>
      </c>
      <c r="P359">
        <f t="shared" ca="1" si="168"/>
        <v>632.50749999999994</v>
      </c>
      <c r="Q359">
        <f t="shared" ca="1" si="169"/>
        <v>2593.5845316486621</v>
      </c>
      <c r="R359">
        <f t="shared" ca="1" si="170"/>
        <v>482.07306851378365</v>
      </c>
      <c r="S359">
        <f t="shared" ca="1" si="171"/>
        <v>280.07692026646265</v>
      </c>
      <c r="T359">
        <f t="shared" ca="1" si="172"/>
        <v>1019.7665564573041</v>
      </c>
      <c r="U359">
        <f t="shared" ca="1" si="193"/>
        <v>-481.78660314843228</v>
      </c>
      <c r="V359">
        <f t="shared" ca="1" si="194"/>
        <v>0</v>
      </c>
      <c r="W359">
        <f t="shared" ca="1" si="173"/>
        <v>0.05</v>
      </c>
      <c r="X359">
        <f t="shared" ca="1" si="174"/>
        <v>0.26</v>
      </c>
      <c r="Y359">
        <f t="shared" ca="1" si="175"/>
        <v>4.9056603773584909E-2</v>
      </c>
      <c r="Z359">
        <f t="shared" ca="1" si="176"/>
        <v>196.15384615384616</v>
      </c>
      <c r="AA359">
        <f t="shared" ca="1" si="177"/>
        <v>632.50749999999994</v>
      </c>
      <c r="AB359">
        <f t="shared" ca="1" si="178"/>
        <v>2593.5845316486621</v>
      </c>
      <c r="AC359">
        <f t="shared" ca="1" si="179"/>
        <v>482.07306851378365</v>
      </c>
      <c r="AD359">
        <f t="shared" ca="1" si="180"/>
        <v>280.07692026646265</v>
      </c>
      <c r="AE359">
        <f t="shared" ca="1" si="181"/>
        <v>1019.7665564573041</v>
      </c>
      <c r="AF359">
        <f t="shared" ca="1" si="182"/>
        <v>482.25887083179032</v>
      </c>
      <c r="AG359">
        <f t="shared" ca="1" si="183"/>
        <v>0</v>
      </c>
      <c r="AH359">
        <f ca="1">IF(V32="Supercritical",L359,IF(V32="Subcritical",W359,IF(AND(V359=1,AG359=1),IF(T359&gt;=AE359,L359,W359),IF(V359=1,L359,IF(AG359=1,W359,MAX($D$16,POWER((ABS(K359)^2)/($I$5*MAX(F359,0.1)^2),1/3)))))))</f>
        <v>2.1403668656741068</v>
      </c>
      <c r="AI359">
        <f t="shared" ca="1" si="184"/>
        <v>634.59786686567406</v>
      </c>
      <c r="AJ359">
        <f t="shared" ca="1" si="185"/>
        <v>635.66805029851116</v>
      </c>
      <c r="AM359">
        <v>0</v>
      </c>
      <c r="AN359">
        <v>0</v>
      </c>
      <c r="AO359">
        <f t="shared" si="186"/>
        <v>0</v>
      </c>
      <c r="AP359">
        <f t="shared" si="195"/>
        <v>0</v>
      </c>
      <c r="AQ359">
        <f t="shared" ca="1" si="187"/>
        <v>0.99999999999999978</v>
      </c>
      <c r="AR359" t="str">
        <f t="shared" ca="1" si="188"/>
        <v>Supercritical</v>
      </c>
      <c r="AS359">
        <f t="shared" ca="1" si="189"/>
        <v>3.8148159832266538E-3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191</v>
      </c>
      <c r="I360">
        <v>5.7000000000000002E-2</v>
      </c>
      <c r="J360">
        <f t="shared" si="190"/>
        <v>1</v>
      </c>
      <c r="K360">
        <f t="shared" si="191"/>
        <v>51</v>
      </c>
      <c r="L360">
        <f t="shared" ca="1" si="192"/>
        <v>0.05</v>
      </c>
      <c r="M360">
        <f t="shared" ca="1" si="165"/>
        <v>0.26</v>
      </c>
      <c r="N360">
        <f t="shared" ca="1" si="166"/>
        <v>4.9056603773584909E-2</v>
      </c>
      <c r="O360">
        <f t="shared" ca="1" si="167"/>
        <v>196.15384615384616</v>
      </c>
      <c r="P360">
        <f t="shared" ca="1" si="168"/>
        <v>632.50699999999995</v>
      </c>
      <c r="Q360">
        <f t="shared" ca="1" si="169"/>
        <v>2593.5840316486619</v>
      </c>
      <c r="R360">
        <f t="shared" ca="1" si="170"/>
        <v>482.07306851378365</v>
      </c>
      <c r="S360">
        <f t="shared" ca="1" si="171"/>
        <v>280.07692026646265</v>
      </c>
      <c r="T360">
        <f t="shared" ca="1" si="172"/>
        <v>1019.7665564573041</v>
      </c>
      <c r="U360">
        <f t="shared" ca="1" si="193"/>
        <v>-482.25887083179032</v>
      </c>
      <c r="V360">
        <f t="shared" ca="1" si="194"/>
        <v>0</v>
      </c>
      <c r="W360">
        <f t="shared" ca="1" si="173"/>
        <v>0.05</v>
      </c>
      <c r="X360">
        <f t="shared" ca="1" si="174"/>
        <v>0.26</v>
      </c>
      <c r="Y360">
        <f t="shared" ca="1" si="175"/>
        <v>4.9056603773584909E-2</v>
      </c>
      <c r="Z360">
        <f t="shared" ca="1" si="176"/>
        <v>196.15384615384616</v>
      </c>
      <c r="AA360">
        <f t="shared" ca="1" si="177"/>
        <v>632.50699999999995</v>
      </c>
      <c r="AB360">
        <f t="shared" ca="1" si="178"/>
        <v>2593.5840316486619</v>
      </c>
      <c r="AC360">
        <f t="shared" ca="1" si="179"/>
        <v>482.07306851378365</v>
      </c>
      <c r="AD360">
        <f t="shared" ca="1" si="180"/>
        <v>280.07692026646265</v>
      </c>
      <c r="AE360">
        <f t="shared" ca="1" si="181"/>
        <v>1019.7665564573041</v>
      </c>
      <c r="AF360">
        <f t="shared" ca="1" si="182"/>
        <v>482.07256851378361</v>
      </c>
      <c r="AG360">
        <f t="shared" ca="1" si="183"/>
        <v>0</v>
      </c>
      <c r="AH360">
        <f ca="1">IF(V32="Supercritical",L360,IF(V32="Subcritical",W360,IF(AND(V360=1,AG360=1),IF(T360&gt;=AE360,L360,W360),IF(V360=1,L360,IF(AG360=1,W360,MAX($D$16,POWER((ABS(K360)^2)/($I$5*MAX(F360,0.1)^2),1/3)))))))</f>
        <v>2.1403668656741068</v>
      </c>
      <c r="AI360">
        <f t="shared" ca="1" si="184"/>
        <v>634.59736686567408</v>
      </c>
      <c r="AJ360">
        <f t="shared" ca="1" si="185"/>
        <v>635.66755029851117</v>
      </c>
      <c r="AM360">
        <v>0</v>
      </c>
      <c r="AN360">
        <v>0</v>
      </c>
      <c r="AO360">
        <f t="shared" si="186"/>
        <v>0</v>
      </c>
      <c r="AP360">
        <f t="shared" si="195"/>
        <v>0</v>
      </c>
      <c r="AQ360">
        <f t="shared" ca="1" si="187"/>
        <v>0.99999999999999978</v>
      </c>
      <c r="AR360" t="str">
        <f t="shared" ca="1" si="188"/>
        <v>Supercritical</v>
      </c>
      <c r="AS360">
        <f t="shared" ca="1" si="189"/>
        <v>3.8148159832266538E-3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191</v>
      </c>
      <c r="I361">
        <v>0</v>
      </c>
      <c r="J361">
        <f t="shared" si="190"/>
        <v>1</v>
      </c>
      <c r="K361">
        <f t="shared" si="191"/>
        <v>51</v>
      </c>
      <c r="L361">
        <f t="shared" ca="1" si="192"/>
        <v>0.05</v>
      </c>
      <c r="M361">
        <f t="shared" ca="1" si="165"/>
        <v>0.26</v>
      </c>
      <c r="N361">
        <f t="shared" ca="1" si="166"/>
        <v>4.9056603773584909E-2</v>
      </c>
      <c r="O361">
        <f t="shared" ca="1" si="167"/>
        <v>196.15384615384616</v>
      </c>
      <c r="P361">
        <f t="shared" ca="1" si="168"/>
        <v>632.50649999999996</v>
      </c>
      <c r="Q361">
        <f t="shared" ca="1" si="169"/>
        <v>2593.5835316486618</v>
      </c>
      <c r="R361">
        <f t="shared" ca="1" si="170"/>
        <v>482.07306851378365</v>
      </c>
      <c r="S361">
        <f t="shared" ca="1" si="171"/>
        <v>280.07692026646265</v>
      </c>
      <c r="T361">
        <f t="shared" ca="1" si="172"/>
        <v>1019.7665564573041</v>
      </c>
      <c r="U361">
        <f t="shared" ca="1" si="193"/>
        <v>-482.07256851378361</v>
      </c>
      <c r="V361">
        <f t="shared" ca="1" si="194"/>
        <v>0</v>
      </c>
      <c r="W361">
        <f t="shared" ca="1" si="173"/>
        <v>0.05</v>
      </c>
      <c r="X361">
        <f t="shared" ca="1" si="174"/>
        <v>0.26</v>
      </c>
      <c r="Y361">
        <f t="shared" ca="1" si="175"/>
        <v>4.9056603773584909E-2</v>
      </c>
      <c r="Z361">
        <f t="shared" ca="1" si="176"/>
        <v>196.15384615384616</v>
      </c>
      <c r="AA361">
        <f t="shared" ca="1" si="177"/>
        <v>632.50649999999996</v>
      </c>
      <c r="AB361">
        <f t="shared" ca="1" si="178"/>
        <v>2593.5835316486618</v>
      </c>
      <c r="AC361">
        <f t="shared" ca="1" si="179"/>
        <v>482.07306851378365</v>
      </c>
      <c r="AD361">
        <f t="shared" ca="1" si="180"/>
        <v>280.07692026646265</v>
      </c>
      <c r="AE361">
        <f t="shared" ca="1" si="181"/>
        <v>1019.7665564573041</v>
      </c>
      <c r="AF361">
        <f t="shared" ca="1" si="182"/>
        <v>482.25887083179077</v>
      </c>
      <c r="AG361">
        <f t="shared" ca="1" si="183"/>
        <v>0</v>
      </c>
      <c r="AH361">
        <f ca="1">IF(V32="Supercritical",L361,IF(V32="Subcritical",W361,IF(AND(V361=1,AG361=1),IF(T361&gt;=AE361,L361,W361),IF(V361=1,L361,IF(AG361=1,W361,MAX($D$16,POWER((ABS(K361)^2)/($I$5*MAX(F361,0.1)^2),1/3)))))))</f>
        <v>2.1403668656741068</v>
      </c>
      <c r="AI361">
        <f t="shared" ca="1" si="184"/>
        <v>634.59686686567409</v>
      </c>
      <c r="AJ361">
        <f t="shared" ca="1" si="185"/>
        <v>635.66705029851119</v>
      </c>
      <c r="AM361">
        <v>0</v>
      </c>
      <c r="AN361">
        <v>0</v>
      </c>
      <c r="AO361">
        <f t="shared" si="186"/>
        <v>0</v>
      </c>
      <c r="AP361">
        <f t="shared" si="195"/>
        <v>0</v>
      </c>
      <c r="AQ361">
        <f t="shared" ca="1" si="187"/>
        <v>0.99999999999999978</v>
      </c>
      <c r="AR361" t="str">
        <f t="shared" ca="1" si="188"/>
        <v>Supercritical</v>
      </c>
      <c r="AS361">
        <f t="shared" ca="1" si="189"/>
        <v>3.8148159832266538E-3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191</v>
      </c>
      <c r="I362">
        <v>5.7000000000000002E-2</v>
      </c>
      <c r="J362">
        <f t="shared" si="190"/>
        <v>1</v>
      </c>
      <c r="K362">
        <f t="shared" si="191"/>
        <v>51</v>
      </c>
      <c r="L362">
        <f t="shared" ca="1" si="192"/>
        <v>0.05</v>
      </c>
      <c r="M362">
        <f t="shared" ca="1" si="165"/>
        <v>0.26</v>
      </c>
      <c r="N362">
        <f t="shared" ca="1" si="166"/>
        <v>4.9056603773584909E-2</v>
      </c>
      <c r="O362">
        <f t="shared" ca="1" si="167"/>
        <v>196.15384615384616</v>
      </c>
      <c r="P362">
        <f t="shared" ca="1" si="168"/>
        <v>632.50599999999997</v>
      </c>
      <c r="Q362">
        <f t="shared" ca="1" si="169"/>
        <v>2593.5830316486622</v>
      </c>
      <c r="R362">
        <f t="shared" ca="1" si="170"/>
        <v>482.07306851378365</v>
      </c>
      <c r="S362">
        <f t="shared" ca="1" si="171"/>
        <v>280.07692026646265</v>
      </c>
      <c r="T362">
        <f t="shared" ca="1" si="172"/>
        <v>1019.7665564573041</v>
      </c>
      <c r="U362">
        <f t="shared" ca="1" si="193"/>
        <v>-482.25887083179077</v>
      </c>
      <c r="V362">
        <f t="shared" ca="1" si="194"/>
        <v>0</v>
      </c>
      <c r="W362">
        <f t="shared" ca="1" si="173"/>
        <v>0.05</v>
      </c>
      <c r="X362">
        <f t="shared" ca="1" si="174"/>
        <v>0.26</v>
      </c>
      <c r="Y362">
        <f t="shared" ca="1" si="175"/>
        <v>4.9056603773584909E-2</v>
      </c>
      <c r="Z362">
        <f t="shared" ca="1" si="176"/>
        <v>196.15384615384616</v>
      </c>
      <c r="AA362">
        <f t="shared" ca="1" si="177"/>
        <v>632.50599999999997</v>
      </c>
      <c r="AB362">
        <f t="shared" ca="1" si="178"/>
        <v>2593.5830316486622</v>
      </c>
      <c r="AC362">
        <f t="shared" ca="1" si="179"/>
        <v>482.07306851378365</v>
      </c>
      <c r="AD362">
        <f t="shared" ca="1" si="180"/>
        <v>280.07692026646265</v>
      </c>
      <c r="AE362">
        <f t="shared" ca="1" si="181"/>
        <v>1019.7665564573041</v>
      </c>
      <c r="AF362">
        <f t="shared" ca="1" si="182"/>
        <v>482.25887083179032</v>
      </c>
      <c r="AG362">
        <f t="shared" ca="1" si="183"/>
        <v>0</v>
      </c>
      <c r="AH362">
        <f ca="1">IF(V32="Supercritical",L362,IF(V32="Subcritical",W362,IF(AND(V362=1,AG362=1),IF(T362&gt;=AE362,L362,W362),IF(V362=1,L362,IF(AG362=1,W362,MAX($D$16,POWER((ABS(K362)^2)/($I$5*MAX(F362,0.1)^2),1/3)))))))</f>
        <v>2.1403668656741068</v>
      </c>
      <c r="AI362">
        <f t="shared" ca="1" si="184"/>
        <v>634.5963668656741</v>
      </c>
      <c r="AJ362">
        <f t="shared" ca="1" si="185"/>
        <v>635.6665502985112</v>
      </c>
      <c r="AM362">
        <v>0</v>
      </c>
      <c r="AN362">
        <v>0</v>
      </c>
      <c r="AO362">
        <f t="shared" si="186"/>
        <v>0</v>
      </c>
      <c r="AP362">
        <f t="shared" si="195"/>
        <v>0</v>
      </c>
      <c r="AQ362">
        <f t="shared" ca="1" si="187"/>
        <v>0.99999999999999978</v>
      </c>
      <c r="AR362" t="str">
        <f t="shared" ca="1" si="188"/>
        <v>Supercritical</v>
      </c>
      <c r="AS362">
        <f t="shared" ca="1" si="189"/>
        <v>3.8148159832266538E-3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191</v>
      </c>
      <c r="I363">
        <v>5.7000000000000002E-2</v>
      </c>
      <c r="J363">
        <f t="shared" si="190"/>
        <v>1</v>
      </c>
      <c r="K363">
        <f t="shared" si="191"/>
        <v>51</v>
      </c>
      <c r="L363">
        <f t="shared" ca="1" si="192"/>
        <v>0.05</v>
      </c>
      <c r="M363">
        <f t="shared" ca="1" si="165"/>
        <v>0.26</v>
      </c>
      <c r="N363">
        <f t="shared" ca="1" si="166"/>
        <v>4.9056603773584909E-2</v>
      </c>
      <c r="O363">
        <f t="shared" ca="1" si="167"/>
        <v>196.15384615384616</v>
      </c>
      <c r="P363">
        <f t="shared" ca="1" si="168"/>
        <v>632.50549999999998</v>
      </c>
      <c r="Q363">
        <f t="shared" ca="1" si="169"/>
        <v>2593.5825316486621</v>
      </c>
      <c r="R363">
        <f t="shared" ca="1" si="170"/>
        <v>482.07306851378365</v>
      </c>
      <c r="S363">
        <f t="shared" ca="1" si="171"/>
        <v>280.07692026646265</v>
      </c>
      <c r="T363">
        <f t="shared" ca="1" si="172"/>
        <v>1019.7665564573041</v>
      </c>
      <c r="U363">
        <f t="shared" ca="1" si="193"/>
        <v>-482.25887083179032</v>
      </c>
      <c r="V363">
        <f t="shared" ca="1" si="194"/>
        <v>0</v>
      </c>
      <c r="W363">
        <f t="shared" ca="1" si="173"/>
        <v>0.05</v>
      </c>
      <c r="X363">
        <f t="shared" ca="1" si="174"/>
        <v>0.26</v>
      </c>
      <c r="Y363">
        <f t="shared" ca="1" si="175"/>
        <v>4.9056603773584909E-2</v>
      </c>
      <c r="Z363">
        <f t="shared" ca="1" si="176"/>
        <v>196.15384615384616</v>
      </c>
      <c r="AA363">
        <f t="shared" ca="1" si="177"/>
        <v>632.50549999999998</v>
      </c>
      <c r="AB363">
        <f t="shared" ca="1" si="178"/>
        <v>2593.5825316486621</v>
      </c>
      <c r="AC363">
        <f t="shared" ca="1" si="179"/>
        <v>482.07306851378365</v>
      </c>
      <c r="AD363">
        <f t="shared" ca="1" si="180"/>
        <v>280.07692026646265</v>
      </c>
      <c r="AE363">
        <f t="shared" ca="1" si="181"/>
        <v>1019.7665564573041</v>
      </c>
      <c r="AF363">
        <f t="shared" ca="1" si="182"/>
        <v>482.25887083179032</v>
      </c>
      <c r="AG363">
        <f t="shared" ca="1" si="183"/>
        <v>0</v>
      </c>
      <c r="AH363">
        <f ca="1">IF(V32="Supercritical",L363,IF(V32="Subcritical",W363,IF(AND(V363=1,AG363=1),IF(T363&gt;=AE363,L363,W363),IF(V363=1,L363,IF(AG363=1,W363,MAX($D$16,POWER((ABS(K363)^2)/($I$5*MAX(F363,0.1)^2),1/3)))))))</f>
        <v>2.1403668656741068</v>
      </c>
      <c r="AI363">
        <f t="shared" ca="1" si="184"/>
        <v>634.59586686567411</v>
      </c>
      <c r="AJ363">
        <f t="shared" ca="1" si="185"/>
        <v>635.66605029851121</v>
      </c>
      <c r="AM363">
        <v>0</v>
      </c>
      <c r="AN363">
        <v>0</v>
      </c>
      <c r="AO363">
        <f t="shared" si="186"/>
        <v>0</v>
      </c>
      <c r="AP363">
        <f t="shared" si="195"/>
        <v>0</v>
      </c>
      <c r="AQ363">
        <f t="shared" ca="1" si="187"/>
        <v>0.99999999999999978</v>
      </c>
      <c r="AR363" t="str">
        <f t="shared" ca="1" si="188"/>
        <v>Supercritical</v>
      </c>
      <c r="AS363">
        <f t="shared" ca="1" si="189"/>
        <v>3.8148159832266538E-3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191</v>
      </c>
      <c r="I364">
        <v>5.7000000000000002E-2</v>
      </c>
      <c r="J364">
        <f t="shared" si="190"/>
        <v>1</v>
      </c>
      <c r="K364">
        <f t="shared" si="191"/>
        <v>51</v>
      </c>
      <c r="L364">
        <f t="shared" ca="1" si="192"/>
        <v>0.05</v>
      </c>
      <c r="M364">
        <f t="shared" ca="1" si="165"/>
        <v>0.26</v>
      </c>
      <c r="N364">
        <f t="shared" ca="1" si="166"/>
        <v>4.9056603773584909E-2</v>
      </c>
      <c r="O364">
        <f t="shared" ca="1" si="167"/>
        <v>196.15384615384616</v>
      </c>
      <c r="P364">
        <f t="shared" ca="1" si="168"/>
        <v>632.505</v>
      </c>
      <c r="Q364">
        <f t="shared" ca="1" si="169"/>
        <v>2593.582031648662</v>
      </c>
      <c r="R364">
        <f t="shared" ca="1" si="170"/>
        <v>482.07306851378365</v>
      </c>
      <c r="S364">
        <f t="shared" ca="1" si="171"/>
        <v>280.07692026646265</v>
      </c>
      <c r="T364">
        <f t="shared" ca="1" si="172"/>
        <v>1019.7665564573041</v>
      </c>
      <c r="U364">
        <f t="shared" ca="1" si="193"/>
        <v>-482.25887083179032</v>
      </c>
      <c r="V364">
        <f t="shared" ca="1" si="194"/>
        <v>0</v>
      </c>
      <c r="W364">
        <f t="shared" ca="1" si="173"/>
        <v>0.05</v>
      </c>
      <c r="X364">
        <f t="shared" ca="1" si="174"/>
        <v>0.26</v>
      </c>
      <c r="Y364">
        <f t="shared" ca="1" si="175"/>
        <v>4.9056603773584909E-2</v>
      </c>
      <c r="Z364">
        <f t="shared" ca="1" si="176"/>
        <v>196.15384615384616</v>
      </c>
      <c r="AA364">
        <f t="shared" ca="1" si="177"/>
        <v>632.505</v>
      </c>
      <c r="AB364">
        <f t="shared" ca="1" si="178"/>
        <v>2593.582031648662</v>
      </c>
      <c r="AC364">
        <f t="shared" ca="1" si="179"/>
        <v>482.07306851378365</v>
      </c>
      <c r="AD364">
        <f t="shared" ca="1" si="180"/>
        <v>280.07692026646265</v>
      </c>
      <c r="AE364">
        <f t="shared" ca="1" si="181"/>
        <v>1019.7665564573041</v>
      </c>
      <c r="AF364">
        <f t="shared" ca="1" si="182"/>
        <v>482.74094390030677</v>
      </c>
      <c r="AG364">
        <f t="shared" ca="1" si="183"/>
        <v>0</v>
      </c>
      <c r="AH364">
        <f ca="1">IF(V32="Supercritical",L364,IF(V32="Subcritical",W364,IF(AND(V364=1,AG364=1),IF(T364&gt;=AE364,L364,W364),IF(V364=1,L364,IF(AG364=1,W364,MAX($D$16,POWER((ABS(K364)^2)/($I$5*MAX(F364,0.1)^2),1/3)))))))</f>
        <v>2.1403668656741068</v>
      </c>
      <c r="AI364">
        <f t="shared" ca="1" si="184"/>
        <v>634.59536686567412</v>
      </c>
      <c r="AJ364">
        <f t="shared" ca="1" si="185"/>
        <v>635.66555029851122</v>
      </c>
      <c r="AM364">
        <v>0</v>
      </c>
      <c r="AN364">
        <v>0</v>
      </c>
      <c r="AO364">
        <f t="shared" si="186"/>
        <v>0</v>
      </c>
      <c r="AP364">
        <f t="shared" si="195"/>
        <v>0</v>
      </c>
      <c r="AQ364">
        <f t="shared" ca="1" si="187"/>
        <v>0.99999999999999978</v>
      </c>
      <c r="AR364" t="str">
        <f t="shared" ca="1" si="188"/>
        <v>Supercritical</v>
      </c>
      <c r="AS364">
        <f t="shared" ca="1" si="189"/>
        <v>3.8148159832266538E-3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191</v>
      </c>
      <c r="I365">
        <v>5.7000000000000002E-2</v>
      </c>
      <c r="J365">
        <f t="shared" si="190"/>
        <v>1.0010000000000048</v>
      </c>
      <c r="K365">
        <f t="shared" si="191"/>
        <v>51</v>
      </c>
      <c r="L365">
        <f t="shared" ca="1" si="192"/>
        <v>0.05</v>
      </c>
      <c r="M365">
        <f t="shared" ca="1" si="165"/>
        <v>0.26</v>
      </c>
      <c r="N365">
        <f t="shared" ca="1" si="166"/>
        <v>4.9056603773584909E-2</v>
      </c>
      <c r="O365">
        <f t="shared" ca="1" si="167"/>
        <v>196.15384615384616</v>
      </c>
      <c r="P365">
        <f t="shared" ca="1" si="168"/>
        <v>632.50450000000001</v>
      </c>
      <c r="Q365">
        <f t="shared" ca="1" si="169"/>
        <v>2593.5815316486623</v>
      </c>
      <c r="R365">
        <f t="shared" ca="1" si="170"/>
        <v>482.07306851378365</v>
      </c>
      <c r="S365">
        <f t="shared" ca="1" si="171"/>
        <v>280.07692026646265</v>
      </c>
      <c r="T365">
        <f t="shared" ca="1" si="172"/>
        <v>1019.7665564573041</v>
      </c>
      <c r="U365">
        <f t="shared" ca="1" si="193"/>
        <v>-482.74094390030677</v>
      </c>
      <c r="V365">
        <f t="shared" ca="1" si="194"/>
        <v>0</v>
      </c>
      <c r="W365">
        <f t="shared" ca="1" si="173"/>
        <v>0.05</v>
      </c>
      <c r="X365">
        <f t="shared" ca="1" si="174"/>
        <v>0.26</v>
      </c>
      <c r="Y365">
        <f t="shared" ca="1" si="175"/>
        <v>4.9056603773584909E-2</v>
      </c>
      <c r="Z365">
        <f t="shared" ca="1" si="176"/>
        <v>196.15384615384616</v>
      </c>
      <c r="AA365">
        <f t="shared" ca="1" si="177"/>
        <v>632.50450000000001</v>
      </c>
      <c r="AB365">
        <f t="shared" ca="1" si="178"/>
        <v>2593.5815316486623</v>
      </c>
      <c r="AC365">
        <f t="shared" ca="1" si="179"/>
        <v>482.07306851378365</v>
      </c>
      <c r="AD365">
        <f t="shared" ca="1" si="180"/>
        <v>280.07692026646265</v>
      </c>
      <c r="AE365">
        <f t="shared" ca="1" si="181"/>
        <v>1019.7665564573041</v>
      </c>
      <c r="AF365">
        <f t="shared" ca="1" si="182"/>
        <v>482.08237389894202</v>
      </c>
      <c r="AG365">
        <f t="shared" ca="1" si="183"/>
        <v>0</v>
      </c>
      <c r="AH365">
        <f ca="1">IF(V32="Supercritical",L365,IF(V32="Subcritical",W365,IF(AND(V365=1,AG365=1),IF(T365&gt;=AE365,L365,W365),IF(V365=1,L365,IF(AG365=1,W365,MAX($D$16,POWER((ABS(K365)^2)/($I$5*MAX(F365,0.1)^2),1/3)))))))</f>
        <v>2.1403668656741068</v>
      </c>
      <c r="AI365">
        <f t="shared" ca="1" si="184"/>
        <v>634.59486686567413</v>
      </c>
      <c r="AJ365">
        <f t="shared" ca="1" si="185"/>
        <v>635.66505029851123</v>
      </c>
      <c r="AM365">
        <v>0</v>
      </c>
      <c r="AN365">
        <v>0</v>
      </c>
      <c r="AO365">
        <f t="shared" si="186"/>
        <v>0</v>
      </c>
      <c r="AP365">
        <f t="shared" si="195"/>
        <v>0</v>
      </c>
      <c r="AQ365">
        <f t="shared" ca="1" si="187"/>
        <v>0.99999999999999978</v>
      </c>
      <c r="AR365" t="str">
        <f t="shared" ca="1" si="188"/>
        <v>Supercritical</v>
      </c>
      <c r="AS365">
        <f t="shared" ca="1" si="189"/>
        <v>3.8148159832266538E-3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191</v>
      </c>
      <c r="I366">
        <v>3.0000000000000001E-3</v>
      </c>
      <c r="J366">
        <f t="shared" si="190"/>
        <v>1</v>
      </c>
      <c r="K366">
        <f t="shared" si="191"/>
        <v>51</v>
      </c>
      <c r="L366">
        <f t="shared" ca="1" si="192"/>
        <v>0.05</v>
      </c>
      <c r="M366">
        <f t="shared" ca="1" si="165"/>
        <v>0.26</v>
      </c>
      <c r="N366">
        <f t="shared" ca="1" si="166"/>
        <v>4.9056603773584909E-2</v>
      </c>
      <c r="O366">
        <f t="shared" ca="1" si="167"/>
        <v>196.15384615384616</v>
      </c>
      <c r="P366">
        <f t="shared" ca="1" si="168"/>
        <v>632.50399999999991</v>
      </c>
      <c r="Q366">
        <f t="shared" ca="1" si="169"/>
        <v>2593.5810316486622</v>
      </c>
      <c r="R366">
        <f t="shared" ca="1" si="170"/>
        <v>482.07306851378365</v>
      </c>
      <c r="S366">
        <f t="shared" ca="1" si="171"/>
        <v>280.07692026646265</v>
      </c>
      <c r="T366">
        <f t="shared" ca="1" si="172"/>
        <v>1019.7665564573041</v>
      </c>
      <c r="U366">
        <f t="shared" ca="1" si="193"/>
        <v>-482.08237389894202</v>
      </c>
      <c r="V366">
        <f t="shared" ca="1" si="194"/>
        <v>0</v>
      </c>
      <c r="W366">
        <f t="shared" ca="1" si="173"/>
        <v>0.05</v>
      </c>
      <c r="X366">
        <f t="shared" ca="1" si="174"/>
        <v>0.26</v>
      </c>
      <c r="Y366">
        <f t="shared" ca="1" si="175"/>
        <v>4.9056603773584909E-2</v>
      </c>
      <c r="Z366">
        <f t="shared" ca="1" si="176"/>
        <v>196.15384615384616</v>
      </c>
      <c r="AA366">
        <f t="shared" ca="1" si="177"/>
        <v>632.50399999999991</v>
      </c>
      <c r="AB366">
        <f t="shared" ca="1" si="178"/>
        <v>2593.5810316486622</v>
      </c>
      <c r="AC366">
        <f t="shared" ca="1" si="179"/>
        <v>482.07306851378365</v>
      </c>
      <c r="AD366">
        <f t="shared" ca="1" si="180"/>
        <v>280.07692026646265</v>
      </c>
      <c r="AE366">
        <f t="shared" ca="1" si="181"/>
        <v>1019.7665564573041</v>
      </c>
      <c r="AF366">
        <f t="shared" ca="1" si="182"/>
        <v>481.78660314843228</v>
      </c>
      <c r="AG366">
        <f t="shared" ca="1" si="183"/>
        <v>0</v>
      </c>
      <c r="AH366">
        <f ca="1">IF(V32="Supercritical",L366,IF(V32="Subcritical",W366,IF(AND(V366=1,AG366=1),IF(T366&gt;=AE366,L366,W366),IF(V366=1,L366,IF(AG366=1,W366,MAX($D$16,POWER((ABS(K366)^2)/($I$5*MAX(F366,0.1)^2),1/3)))))))</f>
        <v>2.1403668656741068</v>
      </c>
      <c r="AI366">
        <f t="shared" ca="1" si="184"/>
        <v>634.59436686567403</v>
      </c>
      <c r="AJ366">
        <f t="shared" ca="1" si="185"/>
        <v>635.66455029851113</v>
      </c>
      <c r="AM366">
        <v>0</v>
      </c>
      <c r="AN366">
        <v>0</v>
      </c>
      <c r="AO366">
        <f t="shared" si="186"/>
        <v>0</v>
      </c>
      <c r="AP366">
        <f t="shared" si="195"/>
        <v>0</v>
      </c>
      <c r="AQ366">
        <f t="shared" ca="1" si="187"/>
        <v>0.99999999999999978</v>
      </c>
      <c r="AR366" t="str">
        <f t="shared" ca="1" si="188"/>
        <v>Supercritical</v>
      </c>
      <c r="AS366">
        <f t="shared" ca="1" si="189"/>
        <v>3.8148159832266538E-3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191</v>
      </c>
      <c r="I367">
        <v>0.06</v>
      </c>
      <c r="J367">
        <f t="shared" si="190"/>
        <v>0.99899999999999523</v>
      </c>
      <c r="K367">
        <f t="shared" si="191"/>
        <v>51</v>
      </c>
      <c r="L367">
        <f t="shared" ca="1" si="192"/>
        <v>0.05</v>
      </c>
      <c r="M367">
        <f t="shared" ca="1" si="165"/>
        <v>0.26</v>
      </c>
      <c r="N367">
        <f t="shared" ca="1" si="166"/>
        <v>4.9056603773584909E-2</v>
      </c>
      <c r="O367">
        <f t="shared" ca="1" si="167"/>
        <v>196.15384615384616</v>
      </c>
      <c r="P367">
        <f t="shared" ca="1" si="168"/>
        <v>632.50349999999992</v>
      </c>
      <c r="Q367">
        <f t="shared" ca="1" si="169"/>
        <v>2593.5805316486621</v>
      </c>
      <c r="R367">
        <f t="shared" ca="1" si="170"/>
        <v>482.07306851378365</v>
      </c>
      <c r="S367">
        <f t="shared" ca="1" si="171"/>
        <v>280.07692026646265</v>
      </c>
      <c r="T367">
        <f t="shared" ca="1" si="172"/>
        <v>1019.7665564573041</v>
      </c>
      <c r="U367">
        <f t="shared" ca="1" si="193"/>
        <v>-481.78660314843228</v>
      </c>
      <c r="V367">
        <f t="shared" ca="1" si="194"/>
        <v>0</v>
      </c>
      <c r="W367">
        <f t="shared" ca="1" si="173"/>
        <v>0.05</v>
      </c>
      <c r="X367">
        <f t="shared" ca="1" si="174"/>
        <v>0.26</v>
      </c>
      <c r="Y367">
        <f t="shared" ca="1" si="175"/>
        <v>4.9056603773584909E-2</v>
      </c>
      <c r="Z367">
        <f t="shared" ca="1" si="176"/>
        <v>196.15384615384616</v>
      </c>
      <c r="AA367">
        <f t="shared" ca="1" si="177"/>
        <v>632.50349999999992</v>
      </c>
      <c r="AB367">
        <f t="shared" ca="1" si="178"/>
        <v>2593.5805316486621</v>
      </c>
      <c r="AC367">
        <f t="shared" ca="1" si="179"/>
        <v>482.07306851378365</v>
      </c>
      <c r="AD367">
        <f t="shared" ca="1" si="180"/>
        <v>280.07692026646265</v>
      </c>
      <c r="AE367">
        <f t="shared" ca="1" si="181"/>
        <v>1019.7665564573041</v>
      </c>
      <c r="AF367">
        <f t="shared" ca="1" si="182"/>
        <v>482.25887083179032</v>
      </c>
      <c r="AG367">
        <f t="shared" ca="1" si="183"/>
        <v>0</v>
      </c>
      <c r="AH367">
        <f ca="1">IF(V32="Supercritical",L367,IF(V32="Subcritical",W367,IF(AND(V367=1,AG367=1),IF(T367&gt;=AE367,L367,W367),IF(V367=1,L367,IF(AG367=1,W367,MAX($D$16,POWER((ABS(K367)^2)/($I$5*MAX(F367,0.1)^2),1/3)))))))</f>
        <v>2.1403668656741068</v>
      </c>
      <c r="AI367">
        <f t="shared" ca="1" si="184"/>
        <v>634.59386686567404</v>
      </c>
      <c r="AJ367">
        <f t="shared" ca="1" si="185"/>
        <v>635.66405029851114</v>
      </c>
      <c r="AM367">
        <v>0</v>
      </c>
      <c r="AN367">
        <v>0</v>
      </c>
      <c r="AO367">
        <f t="shared" si="186"/>
        <v>0</v>
      </c>
      <c r="AP367">
        <f t="shared" si="195"/>
        <v>0</v>
      </c>
      <c r="AQ367">
        <f t="shared" ca="1" si="187"/>
        <v>0.99999999999999978</v>
      </c>
      <c r="AR367" t="str">
        <f t="shared" ca="1" si="188"/>
        <v>Supercritical</v>
      </c>
      <c r="AS367">
        <f t="shared" ca="1" si="189"/>
        <v>3.8148159832266538E-3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191</v>
      </c>
      <c r="I368">
        <v>5.7000000000000002E-2</v>
      </c>
      <c r="J368">
        <f t="shared" si="190"/>
        <v>1</v>
      </c>
      <c r="K368">
        <f t="shared" si="191"/>
        <v>51</v>
      </c>
      <c r="L368">
        <f t="shared" ca="1" si="192"/>
        <v>0.05</v>
      </c>
      <c r="M368">
        <f t="shared" ca="1" si="165"/>
        <v>0.26</v>
      </c>
      <c r="N368">
        <f t="shared" ca="1" si="166"/>
        <v>4.9056603773584909E-2</v>
      </c>
      <c r="O368">
        <f t="shared" ca="1" si="167"/>
        <v>196.15384615384616</v>
      </c>
      <c r="P368">
        <f t="shared" ca="1" si="168"/>
        <v>632.50299999999993</v>
      </c>
      <c r="Q368">
        <f t="shared" ca="1" si="169"/>
        <v>2593.580031648662</v>
      </c>
      <c r="R368">
        <f t="shared" ca="1" si="170"/>
        <v>482.07306851378365</v>
      </c>
      <c r="S368">
        <f t="shared" ca="1" si="171"/>
        <v>280.07692026646265</v>
      </c>
      <c r="T368">
        <f t="shared" ca="1" si="172"/>
        <v>1019.7665564573041</v>
      </c>
      <c r="U368">
        <f t="shared" ca="1" si="193"/>
        <v>-482.25887083179032</v>
      </c>
      <c r="V368">
        <f t="shared" ca="1" si="194"/>
        <v>0</v>
      </c>
      <c r="W368">
        <f t="shared" ca="1" si="173"/>
        <v>0.05</v>
      </c>
      <c r="X368">
        <f t="shared" ca="1" si="174"/>
        <v>0.26</v>
      </c>
      <c r="Y368">
        <f t="shared" ca="1" si="175"/>
        <v>4.9056603773584909E-2</v>
      </c>
      <c r="Z368">
        <f t="shared" ca="1" si="176"/>
        <v>196.15384615384616</v>
      </c>
      <c r="AA368">
        <f t="shared" ca="1" si="177"/>
        <v>632.50299999999993</v>
      </c>
      <c r="AB368">
        <f t="shared" ca="1" si="178"/>
        <v>2593.580031648662</v>
      </c>
      <c r="AC368">
        <f t="shared" ca="1" si="179"/>
        <v>482.07306851378365</v>
      </c>
      <c r="AD368">
        <f t="shared" ca="1" si="180"/>
        <v>280.07692026646265</v>
      </c>
      <c r="AE368">
        <f t="shared" ca="1" si="181"/>
        <v>1019.7665564573041</v>
      </c>
      <c r="AF368">
        <f t="shared" ca="1" si="182"/>
        <v>482.25887083179032</v>
      </c>
      <c r="AG368">
        <f t="shared" ca="1" si="183"/>
        <v>0</v>
      </c>
      <c r="AH368">
        <f ca="1">IF(V32="Supercritical",L368,IF(V32="Subcritical",W368,IF(AND(V368=1,AG368=1),IF(T368&gt;=AE368,L368,W368),IF(V368=1,L368,IF(AG368=1,W368,MAX($D$16,POWER((ABS(K368)^2)/($I$5*MAX(F368,0.1)^2),1/3)))))))</f>
        <v>2.1403668656741068</v>
      </c>
      <c r="AI368">
        <f t="shared" ca="1" si="184"/>
        <v>634.59336686567406</v>
      </c>
      <c r="AJ368">
        <f t="shared" ca="1" si="185"/>
        <v>635.66355029851115</v>
      </c>
      <c r="AM368">
        <v>0</v>
      </c>
      <c r="AN368">
        <v>0</v>
      </c>
      <c r="AO368">
        <f t="shared" si="186"/>
        <v>0</v>
      </c>
      <c r="AP368">
        <f t="shared" si="195"/>
        <v>0</v>
      </c>
      <c r="AQ368">
        <f t="shared" ca="1" si="187"/>
        <v>0.99999999999999978</v>
      </c>
      <c r="AR368" t="str">
        <f t="shared" ca="1" si="188"/>
        <v>Supercritical</v>
      </c>
      <c r="AS368">
        <f t="shared" ca="1" si="189"/>
        <v>3.8148159832266538E-3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191</v>
      </c>
      <c r="I369">
        <v>5.7000000000000002E-2</v>
      </c>
      <c r="J369">
        <f t="shared" si="190"/>
        <v>1</v>
      </c>
      <c r="K369">
        <f t="shared" si="191"/>
        <v>51</v>
      </c>
      <c r="L369">
        <f t="shared" ca="1" si="192"/>
        <v>0.05</v>
      </c>
      <c r="M369">
        <f t="shared" ca="1" si="165"/>
        <v>0.26</v>
      </c>
      <c r="N369">
        <f t="shared" ca="1" si="166"/>
        <v>4.9056603773584909E-2</v>
      </c>
      <c r="O369">
        <f t="shared" ca="1" si="167"/>
        <v>196.15384615384616</v>
      </c>
      <c r="P369">
        <f t="shared" ca="1" si="168"/>
        <v>632.50249999999994</v>
      </c>
      <c r="Q369">
        <f t="shared" ca="1" si="169"/>
        <v>2593.5795316486619</v>
      </c>
      <c r="R369">
        <f t="shared" ca="1" si="170"/>
        <v>482.07306851378365</v>
      </c>
      <c r="S369">
        <f t="shared" ca="1" si="171"/>
        <v>280.07692026646265</v>
      </c>
      <c r="T369">
        <f t="shared" ca="1" si="172"/>
        <v>1019.7665564573041</v>
      </c>
      <c r="U369">
        <f t="shared" ca="1" si="193"/>
        <v>-482.25887083179032</v>
      </c>
      <c r="V369">
        <f t="shared" ca="1" si="194"/>
        <v>0</v>
      </c>
      <c r="W369">
        <f t="shared" ca="1" si="173"/>
        <v>0.05</v>
      </c>
      <c r="X369">
        <f t="shared" ca="1" si="174"/>
        <v>0.26</v>
      </c>
      <c r="Y369">
        <f t="shared" ca="1" si="175"/>
        <v>4.9056603773584909E-2</v>
      </c>
      <c r="Z369">
        <f t="shared" ca="1" si="176"/>
        <v>196.15384615384616</v>
      </c>
      <c r="AA369">
        <f t="shared" ca="1" si="177"/>
        <v>632.50249999999994</v>
      </c>
      <c r="AB369">
        <f t="shared" ca="1" si="178"/>
        <v>2593.5795316486619</v>
      </c>
      <c r="AC369">
        <f t="shared" ca="1" si="179"/>
        <v>482.07306851378365</v>
      </c>
      <c r="AD369">
        <f t="shared" ca="1" si="180"/>
        <v>280.07692026646265</v>
      </c>
      <c r="AE369">
        <f t="shared" ca="1" si="181"/>
        <v>1019.7665564573041</v>
      </c>
      <c r="AF369">
        <f t="shared" ca="1" si="182"/>
        <v>482.25887083179032</v>
      </c>
      <c r="AG369">
        <f t="shared" ca="1" si="183"/>
        <v>0</v>
      </c>
      <c r="AH369">
        <f ca="1">IF(V32="Supercritical",L369,IF(V32="Subcritical",W369,IF(AND(V369=1,AG369=1),IF(T369&gt;=AE369,L369,W369),IF(V369=1,L369,IF(AG369=1,W369,MAX($D$16,POWER((ABS(K369)^2)/($I$5*MAX(F369,0.1)^2),1/3)))))))</f>
        <v>2.1403668656741068</v>
      </c>
      <c r="AI369">
        <f t="shared" ca="1" si="184"/>
        <v>634.59286686567407</v>
      </c>
      <c r="AJ369">
        <f t="shared" ca="1" si="185"/>
        <v>635.66305029851117</v>
      </c>
      <c r="AM369">
        <v>0</v>
      </c>
      <c r="AN369">
        <v>0</v>
      </c>
      <c r="AO369">
        <f t="shared" si="186"/>
        <v>0</v>
      </c>
      <c r="AP369">
        <f t="shared" si="195"/>
        <v>0</v>
      </c>
      <c r="AQ369">
        <f t="shared" ca="1" si="187"/>
        <v>0.99999999999999978</v>
      </c>
      <c r="AR369" t="str">
        <f t="shared" ca="1" si="188"/>
        <v>Supercritical</v>
      </c>
      <c r="AS369">
        <f t="shared" ca="1" si="189"/>
        <v>3.8148159832266538E-3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191</v>
      </c>
      <c r="I370">
        <v>5.7000000000000002E-2</v>
      </c>
      <c r="J370">
        <f t="shared" si="190"/>
        <v>1</v>
      </c>
      <c r="K370">
        <f t="shared" si="191"/>
        <v>51</v>
      </c>
      <c r="L370">
        <f t="shared" ca="1" si="192"/>
        <v>0.05</v>
      </c>
      <c r="M370">
        <f t="shared" ca="1" si="165"/>
        <v>0.26</v>
      </c>
      <c r="N370">
        <f t="shared" ca="1" si="166"/>
        <v>4.9056603773584909E-2</v>
      </c>
      <c r="O370">
        <f t="shared" ca="1" si="167"/>
        <v>196.15384615384616</v>
      </c>
      <c r="P370">
        <f t="shared" ca="1" si="168"/>
        <v>632.50199999999995</v>
      </c>
      <c r="Q370">
        <f t="shared" ca="1" si="169"/>
        <v>2593.5790316486618</v>
      </c>
      <c r="R370">
        <f t="shared" ca="1" si="170"/>
        <v>482.07306851378365</v>
      </c>
      <c r="S370">
        <f t="shared" ca="1" si="171"/>
        <v>280.07692026646265</v>
      </c>
      <c r="T370">
        <f t="shared" ca="1" si="172"/>
        <v>1019.7665564573041</v>
      </c>
      <c r="U370">
        <f t="shared" ca="1" si="193"/>
        <v>-482.25887083179032</v>
      </c>
      <c r="V370">
        <f t="shared" ca="1" si="194"/>
        <v>0</v>
      </c>
      <c r="W370">
        <f t="shared" ca="1" si="173"/>
        <v>0.05</v>
      </c>
      <c r="X370">
        <f t="shared" ca="1" si="174"/>
        <v>0.26</v>
      </c>
      <c r="Y370">
        <f t="shared" ca="1" si="175"/>
        <v>4.9056603773584909E-2</v>
      </c>
      <c r="Z370">
        <f t="shared" ca="1" si="176"/>
        <v>196.15384615384616</v>
      </c>
      <c r="AA370">
        <f t="shared" ca="1" si="177"/>
        <v>632.50199999999995</v>
      </c>
      <c r="AB370">
        <f t="shared" ca="1" si="178"/>
        <v>2593.5790316486618</v>
      </c>
      <c r="AC370">
        <f t="shared" ca="1" si="179"/>
        <v>482.07306851378365</v>
      </c>
      <c r="AD370">
        <f t="shared" ca="1" si="180"/>
        <v>280.07692026646265</v>
      </c>
      <c r="AE370">
        <f t="shared" ca="1" si="181"/>
        <v>1019.7665564573041</v>
      </c>
      <c r="AF370">
        <f t="shared" ca="1" si="182"/>
        <v>482.07256851378406</v>
      </c>
      <c r="AG370">
        <f t="shared" ca="1" si="183"/>
        <v>0</v>
      </c>
      <c r="AH370">
        <f ca="1">IF(V32="Supercritical",L370,IF(V32="Subcritical",W370,IF(AND(V370=1,AG370=1),IF(T370&gt;=AE370,L370,W370),IF(V370=1,L370,IF(AG370=1,W370,MAX($D$16,POWER((ABS(K370)^2)/($I$5*MAX(F370,0.1)^2),1/3)))))))</f>
        <v>2.1403668656741068</v>
      </c>
      <c r="AI370">
        <f t="shared" ca="1" si="184"/>
        <v>634.59236686567408</v>
      </c>
      <c r="AJ370">
        <f t="shared" ca="1" si="185"/>
        <v>635.66255029851118</v>
      </c>
      <c r="AM370">
        <v>0</v>
      </c>
      <c r="AN370">
        <v>0</v>
      </c>
      <c r="AO370">
        <f t="shared" si="186"/>
        <v>0</v>
      </c>
      <c r="AP370">
        <f t="shared" si="195"/>
        <v>0</v>
      </c>
      <c r="AQ370">
        <f t="shared" ca="1" si="187"/>
        <v>0.99999999999999978</v>
      </c>
      <c r="AR370" t="str">
        <f t="shared" ca="1" si="188"/>
        <v>Supercritical</v>
      </c>
      <c r="AS370">
        <f t="shared" ca="1" si="189"/>
        <v>3.8148159832266538E-3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191</v>
      </c>
      <c r="I371">
        <v>0</v>
      </c>
      <c r="J371">
        <f t="shared" si="190"/>
        <v>1</v>
      </c>
      <c r="K371">
        <f t="shared" si="191"/>
        <v>51</v>
      </c>
      <c r="L371">
        <f t="shared" ca="1" si="192"/>
        <v>0.05</v>
      </c>
      <c r="M371">
        <f t="shared" ca="1" si="165"/>
        <v>0.26</v>
      </c>
      <c r="N371">
        <f t="shared" ca="1" si="166"/>
        <v>4.9056603773584909E-2</v>
      </c>
      <c r="O371">
        <f t="shared" ca="1" si="167"/>
        <v>196.15384615384616</v>
      </c>
      <c r="P371">
        <f t="shared" ca="1" si="168"/>
        <v>632.50149999999996</v>
      </c>
      <c r="Q371">
        <f t="shared" ca="1" si="169"/>
        <v>2593.5785316486622</v>
      </c>
      <c r="R371">
        <f t="shared" ca="1" si="170"/>
        <v>482.07306851378365</v>
      </c>
      <c r="S371">
        <f t="shared" ca="1" si="171"/>
        <v>280.07692026646265</v>
      </c>
      <c r="T371">
        <f t="shared" ca="1" si="172"/>
        <v>1019.7665564573041</v>
      </c>
      <c r="U371">
        <f t="shared" ca="1" si="193"/>
        <v>-482.07256851378406</v>
      </c>
      <c r="V371">
        <f t="shared" ca="1" si="194"/>
        <v>0</v>
      </c>
      <c r="W371">
        <f t="shared" ca="1" si="173"/>
        <v>0.05</v>
      </c>
      <c r="X371">
        <f t="shared" ca="1" si="174"/>
        <v>0.26</v>
      </c>
      <c r="Y371">
        <f t="shared" ca="1" si="175"/>
        <v>4.9056603773584909E-2</v>
      </c>
      <c r="Z371">
        <f t="shared" ca="1" si="176"/>
        <v>196.15384615384616</v>
      </c>
      <c r="AA371">
        <f t="shared" ca="1" si="177"/>
        <v>632.50149999999996</v>
      </c>
      <c r="AB371">
        <f t="shared" ca="1" si="178"/>
        <v>2593.5785316486622</v>
      </c>
      <c r="AC371">
        <f t="shared" ca="1" si="179"/>
        <v>482.07306851378365</v>
      </c>
      <c r="AD371">
        <f t="shared" ca="1" si="180"/>
        <v>280.07692026646265</v>
      </c>
      <c r="AE371">
        <f t="shared" ca="1" si="181"/>
        <v>1019.7665564573041</v>
      </c>
      <c r="AF371">
        <f t="shared" ca="1" si="182"/>
        <v>482.25887083179032</v>
      </c>
      <c r="AG371">
        <f t="shared" ca="1" si="183"/>
        <v>0</v>
      </c>
      <c r="AH371">
        <f ca="1">IF(V32="Supercritical",L371,IF(V32="Subcritical",W371,IF(AND(V371=1,AG371=1),IF(T371&gt;=AE371,L371,W371),IF(V371=1,L371,IF(AG371=1,W371,MAX($D$16,POWER((ABS(K371)^2)/($I$5*MAX(F371,0.1)^2),1/3)))))))</f>
        <v>2.1403668656741068</v>
      </c>
      <c r="AI371">
        <f t="shared" ca="1" si="184"/>
        <v>634.59186686567409</v>
      </c>
      <c r="AJ371">
        <f t="shared" ca="1" si="185"/>
        <v>635.66205029851119</v>
      </c>
      <c r="AM371">
        <v>0</v>
      </c>
      <c r="AN371">
        <v>0</v>
      </c>
      <c r="AO371">
        <f t="shared" si="186"/>
        <v>0</v>
      </c>
      <c r="AP371">
        <f t="shared" si="195"/>
        <v>0</v>
      </c>
      <c r="AQ371">
        <f t="shared" ca="1" si="187"/>
        <v>0.99999999999999978</v>
      </c>
      <c r="AR371" t="str">
        <f t="shared" ca="1" si="188"/>
        <v>Supercritical</v>
      </c>
      <c r="AS371">
        <f t="shared" ca="1" si="189"/>
        <v>3.8148159832266538E-3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191</v>
      </c>
      <c r="I372">
        <v>5.7000000000000002E-2</v>
      </c>
      <c r="J372">
        <f t="shared" si="190"/>
        <v>1</v>
      </c>
      <c r="K372">
        <f t="shared" si="191"/>
        <v>51</v>
      </c>
      <c r="L372">
        <f t="shared" ca="1" si="192"/>
        <v>0.05</v>
      </c>
      <c r="M372">
        <f t="shared" ca="1" si="165"/>
        <v>0.26</v>
      </c>
      <c r="N372">
        <f t="shared" ca="1" si="166"/>
        <v>4.9056603773584909E-2</v>
      </c>
      <c r="O372">
        <f t="shared" ca="1" si="167"/>
        <v>196.15384615384616</v>
      </c>
      <c r="P372">
        <f t="shared" ca="1" si="168"/>
        <v>632.50099999999998</v>
      </c>
      <c r="Q372">
        <f t="shared" ca="1" si="169"/>
        <v>2593.5780316486621</v>
      </c>
      <c r="R372">
        <f t="shared" ca="1" si="170"/>
        <v>482.07306851378365</v>
      </c>
      <c r="S372">
        <f t="shared" ca="1" si="171"/>
        <v>280.07692026646265</v>
      </c>
      <c r="T372">
        <f t="shared" ca="1" si="172"/>
        <v>1019.7665564573041</v>
      </c>
      <c r="U372">
        <f t="shared" ca="1" si="193"/>
        <v>-482.25887083179032</v>
      </c>
      <c r="V372">
        <f t="shared" ca="1" si="194"/>
        <v>0</v>
      </c>
      <c r="W372">
        <f t="shared" ca="1" si="173"/>
        <v>0.05</v>
      </c>
      <c r="X372">
        <f t="shared" ca="1" si="174"/>
        <v>0.26</v>
      </c>
      <c r="Y372">
        <f t="shared" ca="1" si="175"/>
        <v>4.9056603773584909E-2</v>
      </c>
      <c r="Z372">
        <f t="shared" ca="1" si="176"/>
        <v>196.15384615384616</v>
      </c>
      <c r="AA372">
        <f t="shared" ca="1" si="177"/>
        <v>632.50099999999998</v>
      </c>
      <c r="AB372">
        <f t="shared" ca="1" si="178"/>
        <v>2593.5780316486621</v>
      </c>
      <c r="AC372">
        <f t="shared" ca="1" si="179"/>
        <v>482.07306851378365</v>
      </c>
      <c r="AD372">
        <f t="shared" ca="1" si="180"/>
        <v>280.07692026646265</v>
      </c>
      <c r="AE372">
        <f t="shared" ca="1" si="181"/>
        <v>1019.7665564573041</v>
      </c>
      <c r="AF372">
        <f t="shared" ca="1" si="182"/>
        <v>482.75074928546428</v>
      </c>
      <c r="AG372">
        <f t="shared" ca="1" si="183"/>
        <v>0</v>
      </c>
      <c r="AH372">
        <f ca="1">IF(V32="Supercritical",L372,IF(V32="Subcritical",W372,IF(AND(V372=1,AG372=1),IF(T372&gt;=AE372,L372,W372),IF(V372=1,L372,IF(AG372=1,W372,MAX($D$16,POWER((ABS(K372)^2)/($I$5*MAX(F372,0.1)^2),1/3)))))))</f>
        <v>2.1403668656741068</v>
      </c>
      <c r="AI372">
        <f t="shared" ca="1" si="184"/>
        <v>634.5913668656741</v>
      </c>
      <c r="AJ372">
        <f t="shared" ca="1" si="185"/>
        <v>635.6615502985112</v>
      </c>
      <c r="AM372">
        <v>0</v>
      </c>
      <c r="AN372">
        <v>0</v>
      </c>
      <c r="AO372">
        <f t="shared" si="186"/>
        <v>0</v>
      </c>
      <c r="AP372">
        <f t="shared" si="195"/>
        <v>0</v>
      </c>
      <c r="AQ372">
        <f t="shared" ca="1" si="187"/>
        <v>0.99999999999999978</v>
      </c>
      <c r="AR372" t="str">
        <f t="shared" ca="1" si="188"/>
        <v>Supercritical</v>
      </c>
      <c r="AS372">
        <f t="shared" ca="1" si="189"/>
        <v>3.8148159832266538E-3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191</v>
      </c>
      <c r="I373">
        <v>0.06</v>
      </c>
      <c r="J373">
        <f t="shared" si="190"/>
        <v>1.0010000000000048</v>
      </c>
      <c r="K373">
        <f t="shared" si="191"/>
        <v>51</v>
      </c>
      <c r="L373">
        <f t="shared" ca="1" si="192"/>
        <v>0.05</v>
      </c>
      <c r="M373">
        <f t="shared" ca="1" si="165"/>
        <v>0.26</v>
      </c>
      <c r="N373">
        <f t="shared" ca="1" si="166"/>
        <v>4.9056603773584909E-2</v>
      </c>
      <c r="O373">
        <f t="shared" ca="1" si="167"/>
        <v>196.15384615384616</v>
      </c>
      <c r="P373">
        <f t="shared" ca="1" si="168"/>
        <v>632.50049999999999</v>
      </c>
      <c r="Q373">
        <f t="shared" ca="1" si="169"/>
        <v>2593.577531648662</v>
      </c>
      <c r="R373">
        <f t="shared" ca="1" si="170"/>
        <v>482.07306851378365</v>
      </c>
      <c r="S373">
        <f t="shared" ca="1" si="171"/>
        <v>280.07692026646265</v>
      </c>
      <c r="T373">
        <f t="shared" ca="1" si="172"/>
        <v>1019.7665564573041</v>
      </c>
      <c r="U373">
        <f t="shared" ca="1" si="193"/>
        <v>-482.75074928546428</v>
      </c>
      <c r="V373">
        <f t="shared" ca="1" si="194"/>
        <v>0</v>
      </c>
      <c r="W373">
        <f t="shared" ca="1" si="173"/>
        <v>0.05</v>
      </c>
      <c r="X373">
        <f t="shared" ca="1" si="174"/>
        <v>0.26</v>
      </c>
      <c r="Y373">
        <f t="shared" ca="1" si="175"/>
        <v>4.9056603773584909E-2</v>
      </c>
      <c r="Z373">
        <f t="shared" ca="1" si="176"/>
        <v>196.15384615384616</v>
      </c>
      <c r="AA373">
        <f t="shared" ca="1" si="177"/>
        <v>632.50049999999999</v>
      </c>
      <c r="AB373">
        <f t="shared" ca="1" si="178"/>
        <v>2593.577531648662</v>
      </c>
      <c r="AC373">
        <f t="shared" ca="1" si="179"/>
        <v>482.07306851378365</v>
      </c>
      <c r="AD373">
        <f t="shared" ca="1" si="180"/>
        <v>280.07692026646265</v>
      </c>
      <c r="AE373">
        <f t="shared" ca="1" si="181"/>
        <v>1019.7665564573041</v>
      </c>
      <c r="AF373">
        <f t="shared" ca="1" si="182"/>
        <v>481.60030083042648</v>
      </c>
      <c r="AG373">
        <f t="shared" ca="1" si="183"/>
        <v>0</v>
      </c>
      <c r="AH373">
        <f ca="1">IF(V32="Supercritical",L373,IF(V32="Subcritical",W373,IF(AND(V373=1,AG373=1),IF(T373&gt;=AE373,L373,W373),IF(V373=1,L373,IF(AG373=1,W373,MAX($D$16,POWER((ABS(K373)^2)/($I$5*MAX(F373,0.1)^2),1/3)))))))</f>
        <v>2.1403668656741068</v>
      </c>
      <c r="AI373">
        <f t="shared" ca="1" si="184"/>
        <v>634.59086686567412</v>
      </c>
      <c r="AJ373">
        <f t="shared" ca="1" si="185"/>
        <v>635.66105029851121</v>
      </c>
      <c r="AM373">
        <v>0</v>
      </c>
      <c r="AN373">
        <v>0</v>
      </c>
      <c r="AO373">
        <f t="shared" si="186"/>
        <v>0</v>
      </c>
      <c r="AP373">
        <f t="shared" si="195"/>
        <v>0</v>
      </c>
      <c r="AQ373">
        <f t="shared" ca="1" si="187"/>
        <v>0.99999999999999978</v>
      </c>
      <c r="AR373" t="str">
        <f t="shared" ca="1" si="188"/>
        <v>Supercritical</v>
      </c>
      <c r="AS373">
        <f t="shared" ca="1" si="189"/>
        <v>3.8148159832266538E-3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191</v>
      </c>
      <c r="I374">
        <v>3.0000000000000001E-3</v>
      </c>
      <c r="J374">
        <f t="shared" si="190"/>
        <v>0.99899999999999523</v>
      </c>
      <c r="K374">
        <f t="shared" si="191"/>
        <v>51</v>
      </c>
      <c r="L374">
        <f t="shared" ca="1" si="192"/>
        <v>0.05</v>
      </c>
      <c r="M374">
        <f t="shared" ca="1" si="165"/>
        <v>0.26</v>
      </c>
      <c r="N374">
        <f t="shared" ca="1" si="166"/>
        <v>4.9056603773584909E-2</v>
      </c>
      <c r="O374">
        <f t="shared" ca="1" si="167"/>
        <v>196.15384615384616</v>
      </c>
      <c r="P374">
        <f t="shared" ca="1" si="168"/>
        <v>632.5</v>
      </c>
      <c r="Q374">
        <f t="shared" ca="1" si="169"/>
        <v>2593.5770316486623</v>
      </c>
      <c r="R374">
        <f t="shared" ca="1" si="170"/>
        <v>482.07306851378365</v>
      </c>
      <c r="S374">
        <f t="shared" ca="1" si="171"/>
        <v>280.07692026646265</v>
      </c>
      <c r="T374">
        <f t="shared" ca="1" si="172"/>
        <v>1019.7665564573041</v>
      </c>
      <c r="U374">
        <f t="shared" ca="1" si="193"/>
        <v>-481.60030083042648</v>
      </c>
      <c r="V374">
        <f t="shared" ca="1" si="194"/>
        <v>0</v>
      </c>
      <c r="W374">
        <f t="shared" ca="1" si="173"/>
        <v>0.05</v>
      </c>
      <c r="X374">
        <f t="shared" ca="1" si="174"/>
        <v>0.26</v>
      </c>
      <c r="Y374">
        <f t="shared" ca="1" si="175"/>
        <v>4.9056603773584909E-2</v>
      </c>
      <c r="Z374">
        <f t="shared" ca="1" si="176"/>
        <v>196.15384615384616</v>
      </c>
      <c r="AA374">
        <f t="shared" ca="1" si="177"/>
        <v>632.5</v>
      </c>
      <c r="AB374">
        <f t="shared" ca="1" si="178"/>
        <v>2593.5770316486623</v>
      </c>
      <c r="AC374">
        <f t="shared" ca="1" si="179"/>
        <v>482.07306851378365</v>
      </c>
      <c r="AD374">
        <f t="shared" ca="1" si="180"/>
        <v>280.07692026646265</v>
      </c>
      <c r="AE374">
        <f t="shared" ca="1" si="181"/>
        <v>1019.7665564573041</v>
      </c>
      <c r="AF374">
        <f t="shared" ca="1" si="182"/>
        <v>482.25887083179032</v>
      </c>
      <c r="AG374">
        <f t="shared" ca="1" si="183"/>
        <v>0</v>
      </c>
      <c r="AH374">
        <f ca="1">IF(V32="Supercritical",L374,IF(V32="Subcritical",W374,IF(AND(V374=1,AG374=1),IF(T374&gt;=AE374,L374,W374),IF(V374=1,L374,IF(AG374=1,W374,MAX($D$16,POWER((ABS(K374)^2)/($I$5*MAX(F374,0.1)^2),1/3)))))))</f>
        <v>2.1403668656741068</v>
      </c>
      <c r="AI374">
        <f t="shared" ca="1" si="184"/>
        <v>634.59036686567413</v>
      </c>
      <c r="AJ374">
        <f t="shared" ca="1" si="185"/>
        <v>635.66055029851123</v>
      </c>
      <c r="AM374">
        <v>0</v>
      </c>
      <c r="AN374">
        <v>0</v>
      </c>
      <c r="AO374">
        <f t="shared" si="186"/>
        <v>0</v>
      </c>
      <c r="AP374">
        <f t="shared" si="195"/>
        <v>0</v>
      </c>
      <c r="AQ374">
        <f t="shared" ca="1" si="187"/>
        <v>0.99999999999999978</v>
      </c>
      <c r="AR374" t="str">
        <f t="shared" ca="1" si="188"/>
        <v>Supercritical</v>
      </c>
      <c r="AS374">
        <f t="shared" ca="1" si="189"/>
        <v>3.8148159832266538E-3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191</v>
      </c>
      <c r="I375">
        <v>5.7000000000000002E-2</v>
      </c>
      <c r="J375">
        <f t="shared" si="190"/>
        <v>1</v>
      </c>
      <c r="K375">
        <f t="shared" si="191"/>
        <v>51</v>
      </c>
      <c r="L375">
        <f t="shared" ca="1" si="192"/>
        <v>0.05</v>
      </c>
      <c r="M375">
        <f t="shared" ca="1" si="165"/>
        <v>0.26</v>
      </c>
      <c r="N375">
        <f t="shared" ca="1" si="166"/>
        <v>4.9056603773584909E-2</v>
      </c>
      <c r="O375">
        <f t="shared" ca="1" si="167"/>
        <v>196.15384615384616</v>
      </c>
      <c r="P375">
        <f t="shared" ca="1" si="168"/>
        <v>632.4994999999999</v>
      </c>
      <c r="Q375">
        <f t="shared" ca="1" si="169"/>
        <v>2593.5765316486622</v>
      </c>
      <c r="R375">
        <f t="shared" ca="1" si="170"/>
        <v>482.07306851378365</v>
      </c>
      <c r="S375">
        <f t="shared" ca="1" si="171"/>
        <v>280.07692026646265</v>
      </c>
      <c r="T375">
        <f t="shared" ca="1" si="172"/>
        <v>1019.7665564573041</v>
      </c>
      <c r="U375">
        <f t="shared" ca="1" si="193"/>
        <v>-482.25887083179032</v>
      </c>
      <c r="V375">
        <f t="shared" ca="1" si="194"/>
        <v>0</v>
      </c>
      <c r="W375">
        <f t="shared" ca="1" si="173"/>
        <v>0.05</v>
      </c>
      <c r="X375">
        <f t="shared" ca="1" si="174"/>
        <v>0.26</v>
      </c>
      <c r="Y375">
        <f t="shared" ca="1" si="175"/>
        <v>4.9056603773584909E-2</v>
      </c>
      <c r="Z375">
        <f t="shared" ca="1" si="176"/>
        <v>196.15384615384616</v>
      </c>
      <c r="AA375">
        <f t="shared" ca="1" si="177"/>
        <v>632.4994999999999</v>
      </c>
      <c r="AB375">
        <f t="shared" ca="1" si="178"/>
        <v>2593.5765316486622</v>
      </c>
      <c r="AC375">
        <f t="shared" ca="1" si="179"/>
        <v>482.07306851378365</v>
      </c>
      <c r="AD375">
        <f t="shared" ca="1" si="180"/>
        <v>280.07692026646265</v>
      </c>
      <c r="AE375">
        <f t="shared" ca="1" si="181"/>
        <v>1019.7665564573041</v>
      </c>
      <c r="AF375">
        <f t="shared" ca="1" si="182"/>
        <v>482.25887083179032</v>
      </c>
      <c r="AG375">
        <f t="shared" ca="1" si="183"/>
        <v>0</v>
      </c>
      <c r="AH375">
        <f ca="1">IF(V32="Supercritical",L375,IF(V32="Subcritical",W375,IF(AND(V375=1,AG375=1),IF(T375&gt;=AE375,L375,W375),IF(V375=1,L375,IF(AG375=1,W375,MAX($D$16,POWER((ABS(K375)^2)/($I$5*MAX(F375,0.1)^2),1/3)))))))</f>
        <v>2.1403668656741068</v>
      </c>
      <c r="AI375">
        <f t="shared" ca="1" si="184"/>
        <v>634.58986686567403</v>
      </c>
      <c r="AJ375">
        <f t="shared" ca="1" si="185"/>
        <v>635.66005029851112</v>
      </c>
      <c r="AM375">
        <v>0</v>
      </c>
      <c r="AN375">
        <v>0</v>
      </c>
      <c r="AO375">
        <f t="shared" si="186"/>
        <v>0</v>
      </c>
      <c r="AP375">
        <f t="shared" si="195"/>
        <v>0</v>
      </c>
      <c r="AQ375">
        <f t="shared" ca="1" si="187"/>
        <v>0.99999999999999978</v>
      </c>
      <c r="AR375" t="str">
        <f t="shared" ca="1" si="188"/>
        <v>Supercritical</v>
      </c>
      <c r="AS375">
        <f t="shared" ca="1" si="189"/>
        <v>3.8148159832266538E-3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191</v>
      </c>
      <c r="I376">
        <v>5.7000000000000002E-2</v>
      </c>
      <c r="J376">
        <f t="shared" si="190"/>
        <v>1</v>
      </c>
      <c r="K376">
        <f t="shared" si="191"/>
        <v>51</v>
      </c>
      <c r="L376">
        <f t="shared" ca="1" si="192"/>
        <v>0.05</v>
      </c>
      <c r="M376">
        <f t="shared" ca="1" si="165"/>
        <v>0.26</v>
      </c>
      <c r="N376">
        <f t="shared" ca="1" si="166"/>
        <v>4.9056603773584909E-2</v>
      </c>
      <c r="O376">
        <f t="shared" ca="1" si="167"/>
        <v>196.15384615384616</v>
      </c>
      <c r="P376">
        <f t="shared" ca="1" si="168"/>
        <v>632.49899999999991</v>
      </c>
      <c r="Q376">
        <f t="shared" ca="1" si="169"/>
        <v>2593.5760316486621</v>
      </c>
      <c r="R376">
        <f t="shared" ca="1" si="170"/>
        <v>482.07306851378365</v>
      </c>
      <c r="S376">
        <f t="shared" ca="1" si="171"/>
        <v>280.07692026646265</v>
      </c>
      <c r="T376">
        <f t="shared" ca="1" si="172"/>
        <v>1019.7665564573041</v>
      </c>
      <c r="U376">
        <f t="shared" ca="1" si="193"/>
        <v>-482.25887083179032</v>
      </c>
      <c r="V376">
        <f t="shared" ca="1" si="194"/>
        <v>0</v>
      </c>
      <c r="W376">
        <f t="shared" ca="1" si="173"/>
        <v>0.05</v>
      </c>
      <c r="X376">
        <f t="shared" ca="1" si="174"/>
        <v>0.26</v>
      </c>
      <c r="Y376">
        <f t="shared" ca="1" si="175"/>
        <v>4.9056603773584909E-2</v>
      </c>
      <c r="Z376">
        <f t="shared" ca="1" si="176"/>
        <v>196.15384615384616</v>
      </c>
      <c r="AA376">
        <f t="shared" ca="1" si="177"/>
        <v>632.49899999999991</v>
      </c>
      <c r="AB376">
        <f t="shared" ca="1" si="178"/>
        <v>2593.5760316486621</v>
      </c>
      <c r="AC376">
        <f t="shared" ca="1" si="179"/>
        <v>482.07306851378365</v>
      </c>
      <c r="AD376">
        <f t="shared" ca="1" si="180"/>
        <v>280.07692026646265</v>
      </c>
      <c r="AE376">
        <f t="shared" ca="1" si="181"/>
        <v>1019.7665564573041</v>
      </c>
      <c r="AF376">
        <f t="shared" ca="1" si="182"/>
        <v>482.25887083179032</v>
      </c>
      <c r="AG376">
        <f t="shared" ca="1" si="183"/>
        <v>0</v>
      </c>
      <c r="AH376">
        <f ca="1">IF(V32="Supercritical",L376,IF(V32="Subcritical",W376,IF(AND(V376=1,AG376=1),IF(T376&gt;=AE376,L376,W376),IF(V376=1,L376,IF(AG376=1,W376,MAX($D$16,POWER((ABS(K376)^2)/($I$5*MAX(F376,0.1)^2),1/3)))))))</f>
        <v>2.1403668656741068</v>
      </c>
      <c r="AI376">
        <f t="shared" ca="1" si="184"/>
        <v>634.58936686567404</v>
      </c>
      <c r="AJ376">
        <f t="shared" ca="1" si="185"/>
        <v>635.65955029851114</v>
      </c>
      <c r="AM376">
        <v>0</v>
      </c>
      <c r="AN376">
        <v>0</v>
      </c>
      <c r="AO376">
        <f t="shared" si="186"/>
        <v>0</v>
      </c>
      <c r="AP376">
        <f t="shared" si="195"/>
        <v>0</v>
      </c>
      <c r="AQ376">
        <f t="shared" ca="1" si="187"/>
        <v>0.99999999999999978</v>
      </c>
      <c r="AR376" t="str">
        <f t="shared" ca="1" si="188"/>
        <v>Supercritical</v>
      </c>
      <c r="AS376">
        <f t="shared" ca="1" si="189"/>
        <v>3.8148159832266538E-3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191</v>
      </c>
      <c r="I377">
        <v>5.7000000000000002E-2</v>
      </c>
      <c r="J377">
        <f t="shared" si="190"/>
        <v>1</v>
      </c>
      <c r="K377">
        <f t="shared" si="191"/>
        <v>51</v>
      </c>
      <c r="L377">
        <f t="shared" ca="1" si="192"/>
        <v>0.05</v>
      </c>
      <c r="M377">
        <f t="shared" ca="1" si="165"/>
        <v>0.26</v>
      </c>
      <c r="N377">
        <f t="shared" ca="1" si="166"/>
        <v>4.9056603773584909E-2</v>
      </c>
      <c r="O377">
        <f t="shared" ca="1" si="167"/>
        <v>196.15384615384616</v>
      </c>
      <c r="P377">
        <f t="shared" ca="1" si="168"/>
        <v>632.49849999999992</v>
      </c>
      <c r="Q377">
        <f t="shared" ca="1" si="169"/>
        <v>2593.575531648662</v>
      </c>
      <c r="R377">
        <f t="shared" ca="1" si="170"/>
        <v>482.07306851378365</v>
      </c>
      <c r="S377">
        <f t="shared" ca="1" si="171"/>
        <v>280.07692026646265</v>
      </c>
      <c r="T377">
        <f t="shared" ca="1" si="172"/>
        <v>1019.7665564573041</v>
      </c>
      <c r="U377">
        <f t="shared" ca="1" si="193"/>
        <v>-482.25887083179032</v>
      </c>
      <c r="V377">
        <f t="shared" ca="1" si="194"/>
        <v>0</v>
      </c>
      <c r="W377">
        <f t="shared" ca="1" si="173"/>
        <v>0.05</v>
      </c>
      <c r="X377">
        <f t="shared" ca="1" si="174"/>
        <v>0.26</v>
      </c>
      <c r="Y377">
        <f t="shared" ca="1" si="175"/>
        <v>4.9056603773584909E-2</v>
      </c>
      <c r="Z377">
        <f t="shared" ca="1" si="176"/>
        <v>196.15384615384616</v>
      </c>
      <c r="AA377">
        <f t="shared" ca="1" si="177"/>
        <v>632.49849999999992</v>
      </c>
      <c r="AB377">
        <f t="shared" ca="1" si="178"/>
        <v>2593.575531648662</v>
      </c>
      <c r="AC377">
        <f t="shared" ca="1" si="179"/>
        <v>482.07306851378365</v>
      </c>
      <c r="AD377">
        <f t="shared" ca="1" si="180"/>
        <v>280.07692026646265</v>
      </c>
      <c r="AE377">
        <f t="shared" ca="1" si="181"/>
        <v>1019.7665564573041</v>
      </c>
      <c r="AF377">
        <f t="shared" ca="1" si="182"/>
        <v>482.25887083179032</v>
      </c>
      <c r="AG377">
        <f t="shared" ca="1" si="183"/>
        <v>0</v>
      </c>
      <c r="AH377">
        <f ca="1">IF(V32="Supercritical",L377,IF(V32="Subcritical",W377,IF(AND(V377=1,AG377=1),IF(T377&gt;=AE377,L377,W377),IF(V377=1,L377,IF(AG377=1,W377,MAX($D$16,POWER((ABS(K377)^2)/($I$5*MAX(F377,0.1)^2),1/3)))))))</f>
        <v>2.1403668656741068</v>
      </c>
      <c r="AI377">
        <f t="shared" ca="1" si="184"/>
        <v>634.58886686567405</v>
      </c>
      <c r="AJ377">
        <f t="shared" ca="1" si="185"/>
        <v>635.65905029851115</v>
      </c>
      <c r="AM377">
        <v>0</v>
      </c>
      <c r="AN377">
        <v>0</v>
      </c>
      <c r="AO377">
        <f t="shared" si="186"/>
        <v>0</v>
      </c>
      <c r="AP377">
        <f t="shared" si="195"/>
        <v>0</v>
      </c>
      <c r="AQ377">
        <f t="shared" ca="1" si="187"/>
        <v>0.99999999999999978</v>
      </c>
      <c r="AR377" t="str">
        <f t="shared" ca="1" si="188"/>
        <v>Supercritical</v>
      </c>
      <c r="AS377">
        <f t="shared" ca="1" si="189"/>
        <v>3.8148159832266538E-3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191</v>
      </c>
      <c r="I378">
        <v>5.7000000000000002E-2</v>
      </c>
      <c r="J378">
        <f t="shared" si="190"/>
        <v>1</v>
      </c>
      <c r="K378">
        <f t="shared" si="191"/>
        <v>51</v>
      </c>
      <c r="L378">
        <f t="shared" ca="1" si="192"/>
        <v>0.05</v>
      </c>
      <c r="M378">
        <f t="shared" ca="1" si="165"/>
        <v>0.26</v>
      </c>
      <c r="N378">
        <f t="shared" ca="1" si="166"/>
        <v>4.9056603773584909E-2</v>
      </c>
      <c r="O378">
        <f t="shared" ca="1" si="167"/>
        <v>196.15384615384616</v>
      </c>
      <c r="P378">
        <f t="shared" ca="1" si="168"/>
        <v>632.49799999999993</v>
      </c>
      <c r="Q378">
        <f t="shared" ca="1" si="169"/>
        <v>2593.5750316486619</v>
      </c>
      <c r="R378">
        <f t="shared" ca="1" si="170"/>
        <v>482.07306851378365</v>
      </c>
      <c r="S378">
        <f t="shared" ca="1" si="171"/>
        <v>280.07692026646265</v>
      </c>
      <c r="T378">
        <f t="shared" ca="1" si="172"/>
        <v>1019.7665564573041</v>
      </c>
      <c r="U378">
        <f t="shared" ca="1" si="193"/>
        <v>-482.25887083179032</v>
      </c>
      <c r="V378">
        <f t="shared" ca="1" si="194"/>
        <v>0</v>
      </c>
      <c r="W378">
        <f t="shared" ca="1" si="173"/>
        <v>0.05</v>
      </c>
      <c r="X378">
        <f t="shared" ca="1" si="174"/>
        <v>0.26</v>
      </c>
      <c r="Y378">
        <f t="shared" ca="1" si="175"/>
        <v>4.9056603773584909E-2</v>
      </c>
      <c r="Z378">
        <f t="shared" ca="1" si="176"/>
        <v>196.15384615384616</v>
      </c>
      <c r="AA378">
        <f t="shared" ca="1" si="177"/>
        <v>632.49799999999993</v>
      </c>
      <c r="AB378">
        <f t="shared" ca="1" si="178"/>
        <v>2593.5750316486619</v>
      </c>
      <c r="AC378">
        <f t="shared" ca="1" si="179"/>
        <v>482.07306851378365</v>
      </c>
      <c r="AD378">
        <f t="shared" ca="1" si="180"/>
        <v>280.07692026646265</v>
      </c>
      <c r="AE378">
        <f t="shared" ca="1" si="181"/>
        <v>1019.7665564573041</v>
      </c>
      <c r="AF378">
        <f t="shared" ca="1" si="182"/>
        <v>482.07256851378361</v>
      </c>
      <c r="AG378">
        <f t="shared" ca="1" si="183"/>
        <v>0</v>
      </c>
      <c r="AH378">
        <f ca="1">IF(V32="Supercritical",L378,IF(V32="Subcritical",W378,IF(AND(V378=1,AG378=1),IF(T378&gt;=AE378,L378,W378),IF(V378=1,L378,IF(AG378=1,W378,MAX($D$16,POWER((ABS(K378)^2)/($I$5*MAX(F378,0.1)^2),1/3)))))))</f>
        <v>2.1403668656741068</v>
      </c>
      <c r="AI378">
        <f t="shared" ca="1" si="184"/>
        <v>634.58836686567406</v>
      </c>
      <c r="AJ378">
        <f t="shared" ca="1" si="185"/>
        <v>635.65855029851116</v>
      </c>
      <c r="AM378">
        <v>0</v>
      </c>
      <c r="AN378">
        <v>0</v>
      </c>
      <c r="AO378">
        <f t="shared" si="186"/>
        <v>0</v>
      </c>
      <c r="AP378">
        <f t="shared" si="195"/>
        <v>0</v>
      </c>
      <c r="AQ378">
        <f t="shared" ca="1" si="187"/>
        <v>0.99999999999999978</v>
      </c>
      <c r="AR378" t="str">
        <f t="shared" ca="1" si="188"/>
        <v>Supercritical</v>
      </c>
      <c r="AS378">
        <f t="shared" ca="1" si="189"/>
        <v>3.8148159832266538E-3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191</v>
      </c>
      <c r="I379">
        <v>0</v>
      </c>
      <c r="J379">
        <f t="shared" si="190"/>
        <v>1</v>
      </c>
      <c r="K379">
        <f t="shared" si="191"/>
        <v>51</v>
      </c>
      <c r="L379">
        <f t="shared" ca="1" si="192"/>
        <v>0.05</v>
      </c>
      <c r="M379">
        <f t="shared" ca="1" si="165"/>
        <v>0.26</v>
      </c>
      <c r="N379">
        <f t="shared" ca="1" si="166"/>
        <v>4.9056603773584909E-2</v>
      </c>
      <c r="O379">
        <f t="shared" ca="1" si="167"/>
        <v>196.15384615384616</v>
      </c>
      <c r="P379">
        <f t="shared" ca="1" si="168"/>
        <v>632.49749999999995</v>
      </c>
      <c r="Q379">
        <f t="shared" ca="1" si="169"/>
        <v>2593.5745316486618</v>
      </c>
      <c r="R379">
        <f t="shared" ca="1" si="170"/>
        <v>482.07306851378365</v>
      </c>
      <c r="S379">
        <f t="shared" ca="1" si="171"/>
        <v>280.07692026646265</v>
      </c>
      <c r="T379">
        <f t="shared" ca="1" si="172"/>
        <v>1019.7665564573041</v>
      </c>
      <c r="U379">
        <f t="shared" ca="1" si="193"/>
        <v>-482.07256851378361</v>
      </c>
      <c r="V379">
        <f t="shared" ca="1" si="194"/>
        <v>0</v>
      </c>
      <c r="W379">
        <f t="shared" ca="1" si="173"/>
        <v>0.05</v>
      </c>
      <c r="X379">
        <f t="shared" ca="1" si="174"/>
        <v>0.26</v>
      </c>
      <c r="Y379">
        <f t="shared" ca="1" si="175"/>
        <v>4.9056603773584909E-2</v>
      </c>
      <c r="Z379">
        <f t="shared" ca="1" si="176"/>
        <v>196.15384615384616</v>
      </c>
      <c r="AA379">
        <f t="shared" ca="1" si="177"/>
        <v>632.49749999999995</v>
      </c>
      <c r="AB379">
        <f t="shared" ca="1" si="178"/>
        <v>2593.5745316486618</v>
      </c>
      <c r="AC379">
        <f t="shared" ca="1" si="179"/>
        <v>482.07306851378365</v>
      </c>
      <c r="AD379">
        <f t="shared" ca="1" si="180"/>
        <v>280.07692026646265</v>
      </c>
      <c r="AE379">
        <f t="shared" ca="1" si="181"/>
        <v>1019.7665564573041</v>
      </c>
      <c r="AF379">
        <f t="shared" ca="1" si="182"/>
        <v>482.74094390030677</v>
      </c>
      <c r="AG379">
        <f t="shared" ca="1" si="183"/>
        <v>0</v>
      </c>
      <c r="AH379">
        <f ca="1">IF(V32="Supercritical",L379,IF(V32="Subcritical",W379,IF(AND(V379=1,AG379=1),IF(T379&gt;=AE379,L379,W379),IF(V379=1,L379,IF(AG379=1,W379,MAX($D$16,POWER((ABS(K379)^2)/($I$5*MAX(F379,0.1)^2),1/3)))))))</f>
        <v>2.1403668656741068</v>
      </c>
      <c r="AI379">
        <f t="shared" ca="1" si="184"/>
        <v>634.58786686567407</v>
      </c>
      <c r="AJ379">
        <f t="shared" ca="1" si="185"/>
        <v>635.65805029851117</v>
      </c>
      <c r="AM379">
        <v>0</v>
      </c>
      <c r="AN379">
        <v>0</v>
      </c>
      <c r="AO379">
        <f t="shared" si="186"/>
        <v>0</v>
      </c>
      <c r="AP379">
        <f t="shared" si="195"/>
        <v>0</v>
      </c>
      <c r="AQ379">
        <f t="shared" ca="1" si="187"/>
        <v>0.99999999999999978</v>
      </c>
      <c r="AR379" t="str">
        <f t="shared" ca="1" si="188"/>
        <v>Supercritical</v>
      </c>
      <c r="AS379">
        <f t="shared" ca="1" si="189"/>
        <v>3.8148159832266538E-3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191</v>
      </c>
      <c r="I380">
        <v>5.7000000000000002E-2</v>
      </c>
      <c r="J380">
        <f t="shared" si="190"/>
        <v>1.0010000000000048</v>
      </c>
      <c r="K380">
        <f t="shared" si="191"/>
        <v>51</v>
      </c>
      <c r="L380">
        <f t="shared" ca="1" si="192"/>
        <v>0.05</v>
      </c>
      <c r="M380">
        <f t="shared" ca="1" si="165"/>
        <v>0.26</v>
      </c>
      <c r="N380">
        <f t="shared" ca="1" si="166"/>
        <v>4.9056603773584909E-2</v>
      </c>
      <c r="O380">
        <f t="shared" ca="1" si="167"/>
        <v>196.15384615384616</v>
      </c>
      <c r="P380">
        <f t="shared" ca="1" si="168"/>
        <v>632.49699999999996</v>
      </c>
      <c r="Q380">
        <f t="shared" ca="1" si="169"/>
        <v>2593.5740316486622</v>
      </c>
      <c r="R380">
        <f t="shared" ca="1" si="170"/>
        <v>482.07306851378365</v>
      </c>
      <c r="S380">
        <f t="shared" ca="1" si="171"/>
        <v>280.07692026646265</v>
      </c>
      <c r="T380">
        <f t="shared" ca="1" si="172"/>
        <v>1019.7665564573041</v>
      </c>
      <c r="U380">
        <f t="shared" ca="1" si="193"/>
        <v>-482.74094390030677</v>
      </c>
      <c r="V380">
        <f t="shared" ca="1" si="194"/>
        <v>0</v>
      </c>
      <c r="W380">
        <f t="shared" ca="1" si="173"/>
        <v>0.05</v>
      </c>
      <c r="X380">
        <f t="shared" ca="1" si="174"/>
        <v>0.26</v>
      </c>
      <c r="Y380">
        <f t="shared" ca="1" si="175"/>
        <v>4.9056603773584909E-2</v>
      </c>
      <c r="Z380">
        <f t="shared" ca="1" si="176"/>
        <v>196.15384615384616</v>
      </c>
      <c r="AA380">
        <f t="shared" ca="1" si="177"/>
        <v>632.49699999999996</v>
      </c>
      <c r="AB380">
        <f t="shared" ca="1" si="178"/>
        <v>2593.5740316486622</v>
      </c>
      <c r="AC380">
        <f t="shared" ca="1" si="179"/>
        <v>482.07306851378365</v>
      </c>
      <c r="AD380">
        <f t="shared" ca="1" si="180"/>
        <v>280.07692026646265</v>
      </c>
      <c r="AE380">
        <f t="shared" ca="1" si="181"/>
        <v>1019.7665564573041</v>
      </c>
      <c r="AF380">
        <f t="shared" ca="1" si="182"/>
        <v>482.26867621694828</v>
      </c>
      <c r="AG380">
        <f t="shared" ca="1" si="183"/>
        <v>0</v>
      </c>
      <c r="AH380">
        <f ca="1">IF(V32="Supercritical",L380,IF(V32="Subcritical",W380,IF(AND(V380=1,AG380=1),IF(T380&gt;=AE380,L380,W380),IF(V380=1,L380,IF(AG380=1,W380,MAX($D$16,POWER((ABS(K380)^2)/($I$5*MAX(F380,0.1)^2),1/3)))))))</f>
        <v>2.1403668656741068</v>
      </c>
      <c r="AI380">
        <f t="shared" ca="1" si="184"/>
        <v>634.58736686567408</v>
      </c>
      <c r="AJ380">
        <f t="shared" ca="1" si="185"/>
        <v>635.65755029851118</v>
      </c>
      <c r="AM380">
        <v>0</v>
      </c>
      <c r="AN380">
        <v>0</v>
      </c>
      <c r="AO380">
        <f t="shared" si="186"/>
        <v>0</v>
      </c>
      <c r="AP380">
        <f t="shared" si="195"/>
        <v>0</v>
      </c>
      <c r="AQ380">
        <f t="shared" ca="1" si="187"/>
        <v>0.99999999999999978</v>
      </c>
      <c r="AR380" t="str">
        <f t="shared" ca="1" si="188"/>
        <v>Supercritical</v>
      </c>
      <c r="AS380">
        <f t="shared" ca="1" si="189"/>
        <v>3.8148159832266538E-3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191</v>
      </c>
      <c r="I381">
        <v>0.06</v>
      </c>
      <c r="J381">
        <f t="shared" si="190"/>
        <v>1</v>
      </c>
      <c r="K381">
        <f t="shared" si="191"/>
        <v>51</v>
      </c>
      <c r="L381">
        <f t="shared" ca="1" si="192"/>
        <v>0.05</v>
      </c>
      <c r="M381">
        <f t="shared" ca="1" si="165"/>
        <v>0.26</v>
      </c>
      <c r="N381">
        <f t="shared" ca="1" si="166"/>
        <v>4.9056603773584909E-2</v>
      </c>
      <c r="O381">
        <f t="shared" ca="1" si="167"/>
        <v>196.15384615384616</v>
      </c>
      <c r="P381">
        <f t="shared" ca="1" si="168"/>
        <v>632.49649999999997</v>
      </c>
      <c r="Q381">
        <f t="shared" ca="1" si="169"/>
        <v>2593.5735316486621</v>
      </c>
      <c r="R381">
        <f t="shared" ca="1" si="170"/>
        <v>482.07306851378365</v>
      </c>
      <c r="S381">
        <f t="shared" ca="1" si="171"/>
        <v>280.07692026646265</v>
      </c>
      <c r="T381">
        <f t="shared" ca="1" si="172"/>
        <v>1019.7665564573041</v>
      </c>
      <c r="U381">
        <f t="shared" ca="1" si="193"/>
        <v>-482.26867621694828</v>
      </c>
      <c r="V381">
        <f t="shared" ca="1" si="194"/>
        <v>0</v>
      </c>
      <c r="W381">
        <f t="shared" ca="1" si="173"/>
        <v>0.05</v>
      </c>
      <c r="X381">
        <f t="shared" ca="1" si="174"/>
        <v>0.26</v>
      </c>
      <c r="Y381">
        <f t="shared" ca="1" si="175"/>
        <v>4.9056603773584909E-2</v>
      </c>
      <c r="Z381">
        <f t="shared" ca="1" si="176"/>
        <v>196.15384615384616</v>
      </c>
      <c r="AA381">
        <f t="shared" ca="1" si="177"/>
        <v>632.49649999999997</v>
      </c>
      <c r="AB381">
        <f t="shared" ca="1" si="178"/>
        <v>2593.5735316486621</v>
      </c>
      <c r="AC381">
        <f t="shared" ca="1" si="179"/>
        <v>482.07306851378365</v>
      </c>
      <c r="AD381">
        <f t="shared" ca="1" si="180"/>
        <v>280.07692026646265</v>
      </c>
      <c r="AE381">
        <f t="shared" ca="1" si="181"/>
        <v>1019.7665564573041</v>
      </c>
      <c r="AF381">
        <f t="shared" ca="1" si="182"/>
        <v>481.60030083042602</v>
      </c>
      <c r="AG381">
        <f t="shared" ca="1" si="183"/>
        <v>0</v>
      </c>
      <c r="AH381">
        <f ca="1">IF(V32="Supercritical",L381,IF(V32="Subcritical",W381,IF(AND(V381=1,AG381=1),IF(T381&gt;=AE381,L381,W381),IF(V381=1,L381,IF(AG381=1,W381,MAX($D$16,POWER((ABS(K381)^2)/($I$5*MAX(F381,0.1)^2),1/3)))))))</f>
        <v>2.1403668656741068</v>
      </c>
      <c r="AI381">
        <f t="shared" ca="1" si="184"/>
        <v>634.5868668656741</v>
      </c>
      <c r="AJ381">
        <f t="shared" ca="1" si="185"/>
        <v>635.65705029851119</v>
      </c>
      <c r="AM381">
        <v>0</v>
      </c>
      <c r="AN381">
        <v>0</v>
      </c>
      <c r="AO381">
        <f t="shared" si="186"/>
        <v>0</v>
      </c>
      <c r="AP381">
        <f t="shared" si="195"/>
        <v>0</v>
      </c>
      <c r="AQ381">
        <f t="shared" ca="1" si="187"/>
        <v>0.99999999999999978</v>
      </c>
      <c r="AR381" t="str">
        <f t="shared" ca="1" si="188"/>
        <v>Supercritical</v>
      </c>
      <c r="AS381">
        <f t="shared" ca="1" si="189"/>
        <v>3.8148159832266538E-3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191</v>
      </c>
      <c r="I382">
        <v>3.0000000000000001E-3</v>
      </c>
      <c r="J382">
        <f t="shared" si="190"/>
        <v>0.99899999999999523</v>
      </c>
      <c r="K382">
        <f t="shared" si="191"/>
        <v>51</v>
      </c>
      <c r="L382">
        <f t="shared" ca="1" si="192"/>
        <v>0.05</v>
      </c>
      <c r="M382">
        <f t="shared" ca="1" si="165"/>
        <v>0.26</v>
      </c>
      <c r="N382">
        <f t="shared" ca="1" si="166"/>
        <v>4.9056603773584909E-2</v>
      </c>
      <c r="O382">
        <f t="shared" ca="1" si="167"/>
        <v>196.15384615384616</v>
      </c>
      <c r="P382">
        <f t="shared" ca="1" si="168"/>
        <v>632.49599999999998</v>
      </c>
      <c r="Q382">
        <f t="shared" ca="1" si="169"/>
        <v>2593.573031648662</v>
      </c>
      <c r="R382">
        <f t="shared" ca="1" si="170"/>
        <v>482.07306851378365</v>
      </c>
      <c r="S382">
        <f t="shared" ca="1" si="171"/>
        <v>280.07692026646265</v>
      </c>
      <c r="T382">
        <f t="shared" ca="1" si="172"/>
        <v>1019.7665564573041</v>
      </c>
      <c r="U382">
        <f t="shared" ca="1" si="193"/>
        <v>-481.60030083042602</v>
      </c>
      <c r="V382">
        <f t="shared" ca="1" si="194"/>
        <v>0</v>
      </c>
      <c r="W382">
        <f t="shared" ca="1" si="173"/>
        <v>0.05</v>
      </c>
      <c r="X382">
        <f t="shared" ca="1" si="174"/>
        <v>0.26</v>
      </c>
      <c r="Y382">
        <f t="shared" ca="1" si="175"/>
        <v>4.9056603773584909E-2</v>
      </c>
      <c r="Z382">
        <f t="shared" ca="1" si="176"/>
        <v>196.15384615384616</v>
      </c>
      <c r="AA382">
        <f t="shared" ca="1" si="177"/>
        <v>632.49599999999998</v>
      </c>
      <c r="AB382">
        <f t="shared" ca="1" si="178"/>
        <v>2593.573031648662</v>
      </c>
      <c r="AC382">
        <f t="shared" ca="1" si="179"/>
        <v>482.07306851378365</v>
      </c>
      <c r="AD382">
        <f t="shared" ca="1" si="180"/>
        <v>280.07692026646265</v>
      </c>
      <c r="AE382">
        <f t="shared" ca="1" si="181"/>
        <v>1019.7665564573041</v>
      </c>
      <c r="AF382">
        <f t="shared" ca="1" si="182"/>
        <v>482.25887083179077</v>
      </c>
      <c r="AG382">
        <f t="shared" ca="1" si="183"/>
        <v>0</v>
      </c>
      <c r="AH382">
        <f ca="1">IF(V32="Supercritical",L382,IF(V32="Subcritical",W382,IF(AND(V382=1,AG382=1),IF(T382&gt;=AE382,L382,W382),IF(V382=1,L382,IF(AG382=1,W382,MAX($D$16,POWER((ABS(K382)^2)/($I$5*MAX(F382,0.1)^2),1/3)))))))</f>
        <v>2.1403668656741068</v>
      </c>
      <c r="AI382">
        <f t="shared" ca="1" si="184"/>
        <v>634.58636686567411</v>
      </c>
      <c r="AJ382">
        <f t="shared" ca="1" si="185"/>
        <v>635.65655029851121</v>
      </c>
      <c r="AM382">
        <v>0</v>
      </c>
      <c r="AN382">
        <v>0</v>
      </c>
      <c r="AO382">
        <f t="shared" si="186"/>
        <v>0</v>
      </c>
      <c r="AP382">
        <f t="shared" si="195"/>
        <v>0</v>
      </c>
      <c r="AQ382">
        <f t="shared" ca="1" si="187"/>
        <v>0.99999999999999978</v>
      </c>
      <c r="AR382" t="str">
        <f t="shared" ca="1" si="188"/>
        <v>Supercritical</v>
      </c>
      <c r="AS382">
        <f t="shared" ca="1" si="189"/>
        <v>3.8148159832266538E-3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191</v>
      </c>
      <c r="I383">
        <v>5.7000000000000002E-2</v>
      </c>
      <c r="J383">
        <f t="shared" si="190"/>
        <v>1</v>
      </c>
      <c r="K383">
        <f t="shared" si="191"/>
        <v>51</v>
      </c>
      <c r="L383">
        <f t="shared" ca="1" si="192"/>
        <v>0.05</v>
      </c>
      <c r="M383">
        <f t="shared" ca="1" si="165"/>
        <v>0.26</v>
      </c>
      <c r="N383">
        <f t="shared" ca="1" si="166"/>
        <v>4.9056603773584909E-2</v>
      </c>
      <c r="O383">
        <f t="shared" ca="1" si="167"/>
        <v>196.15384615384616</v>
      </c>
      <c r="P383">
        <f t="shared" ca="1" si="168"/>
        <v>632.49549999999999</v>
      </c>
      <c r="Q383">
        <f t="shared" ca="1" si="169"/>
        <v>2593.5725316486623</v>
      </c>
      <c r="R383">
        <f t="shared" ca="1" si="170"/>
        <v>482.07306851378365</v>
      </c>
      <c r="S383">
        <f t="shared" ca="1" si="171"/>
        <v>280.07692026646265</v>
      </c>
      <c r="T383">
        <f t="shared" ca="1" si="172"/>
        <v>1019.7665564573041</v>
      </c>
      <c r="U383">
        <f t="shared" ca="1" si="193"/>
        <v>-482.25887083179077</v>
      </c>
      <c r="V383">
        <f t="shared" ca="1" si="194"/>
        <v>0</v>
      </c>
      <c r="W383">
        <f t="shared" ca="1" si="173"/>
        <v>0.05</v>
      </c>
      <c r="X383">
        <f t="shared" ca="1" si="174"/>
        <v>0.26</v>
      </c>
      <c r="Y383">
        <f t="shared" ca="1" si="175"/>
        <v>4.9056603773584909E-2</v>
      </c>
      <c r="Z383">
        <f t="shared" ca="1" si="176"/>
        <v>196.15384615384616</v>
      </c>
      <c r="AA383">
        <f t="shared" ca="1" si="177"/>
        <v>632.49549999999999</v>
      </c>
      <c r="AB383">
        <f t="shared" ca="1" si="178"/>
        <v>2593.5725316486623</v>
      </c>
      <c r="AC383">
        <f t="shared" ca="1" si="179"/>
        <v>482.07306851378365</v>
      </c>
      <c r="AD383">
        <f t="shared" ca="1" si="180"/>
        <v>280.07692026646265</v>
      </c>
      <c r="AE383">
        <f t="shared" ca="1" si="181"/>
        <v>1019.7665564573041</v>
      </c>
      <c r="AF383">
        <f t="shared" ca="1" si="182"/>
        <v>482.25887083179032</v>
      </c>
      <c r="AG383">
        <f t="shared" ca="1" si="183"/>
        <v>0</v>
      </c>
      <c r="AH383">
        <f ca="1">IF(V32="Supercritical",L383,IF(V32="Subcritical",W383,IF(AND(V383=1,AG383=1),IF(T383&gt;=AE383,L383,W383),IF(V383=1,L383,IF(AG383=1,W383,MAX($D$16,POWER((ABS(K383)^2)/($I$5*MAX(F383,0.1)^2),1/3)))))))</f>
        <v>2.1403668656741068</v>
      </c>
      <c r="AI383">
        <f t="shared" ca="1" si="184"/>
        <v>634.58586686567412</v>
      </c>
      <c r="AJ383">
        <f t="shared" ca="1" si="185"/>
        <v>635.65605029851122</v>
      </c>
      <c r="AM383">
        <v>0</v>
      </c>
      <c r="AN383">
        <v>0</v>
      </c>
      <c r="AO383">
        <f t="shared" si="186"/>
        <v>0</v>
      </c>
      <c r="AP383">
        <f t="shared" si="195"/>
        <v>0</v>
      </c>
      <c r="AQ383">
        <f t="shared" ca="1" si="187"/>
        <v>0.99999999999999978</v>
      </c>
      <c r="AR383" t="str">
        <f t="shared" ca="1" si="188"/>
        <v>Supercritical</v>
      </c>
      <c r="AS383">
        <f t="shared" ca="1" si="189"/>
        <v>3.8148159832266538E-3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191</v>
      </c>
      <c r="I384">
        <v>5.7000000000000002E-2</v>
      </c>
      <c r="J384">
        <f t="shared" si="190"/>
        <v>1</v>
      </c>
      <c r="K384">
        <f t="shared" si="191"/>
        <v>51</v>
      </c>
      <c r="L384">
        <f t="shared" ca="1" si="192"/>
        <v>0.05</v>
      </c>
      <c r="M384">
        <f t="shared" ca="1" si="165"/>
        <v>0.26</v>
      </c>
      <c r="N384">
        <f t="shared" ca="1" si="166"/>
        <v>4.9056603773584909E-2</v>
      </c>
      <c r="O384">
        <f t="shared" ca="1" si="167"/>
        <v>196.15384615384616</v>
      </c>
      <c r="P384">
        <f t="shared" ca="1" si="168"/>
        <v>632.495</v>
      </c>
      <c r="Q384">
        <f t="shared" ca="1" si="169"/>
        <v>2593.5720316486622</v>
      </c>
      <c r="R384">
        <f t="shared" ca="1" si="170"/>
        <v>482.07306851378365</v>
      </c>
      <c r="S384">
        <f t="shared" ca="1" si="171"/>
        <v>280.07692026646265</v>
      </c>
      <c r="T384">
        <f t="shared" ca="1" si="172"/>
        <v>1019.7665564573041</v>
      </c>
      <c r="U384">
        <f t="shared" ca="1" si="193"/>
        <v>-482.25887083179032</v>
      </c>
      <c r="V384">
        <f t="shared" ca="1" si="194"/>
        <v>0</v>
      </c>
      <c r="W384">
        <f t="shared" ca="1" si="173"/>
        <v>0.05</v>
      </c>
      <c r="X384">
        <f t="shared" ca="1" si="174"/>
        <v>0.26</v>
      </c>
      <c r="Y384">
        <f t="shared" ca="1" si="175"/>
        <v>4.9056603773584909E-2</v>
      </c>
      <c r="Z384">
        <f t="shared" ca="1" si="176"/>
        <v>196.15384615384616</v>
      </c>
      <c r="AA384">
        <f t="shared" ca="1" si="177"/>
        <v>632.495</v>
      </c>
      <c r="AB384">
        <f t="shared" ca="1" si="178"/>
        <v>2593.5720316486622</v>
      </c>
      <c r="AC384">
        <f t="shared" ca="1" si="179"/>
        <v>482.07306851378365</v>
      </c>
      <c r="AD384">
        <f t="shared" ca="1" si="180"/>
        <v>280.07692026646265</v>
      </c>
      <c r="AE384">
        <f t="shared" ca="1" si="181"/>
        <v>1019.7665564573041</v>
      </c>
      <c r="AF384">
        <f t="shared" ca="1" si="182"/>
        <v>482.25887083179032</v>
      </c>
      <c r="AG384">
        <f t="shared" ca="1" si="183"/>
        <v>0</v>
      </c>
      <c r="AH384">
        <f ca="1">IF(V32="Supercritical",L384,IF(V32="Subcritical",W384,IF(AND(V384=1,AG384=1),IF(T384&gt;=AE384,L384,W384),IF(V384=1,L384,IF(AG384=1,W384,MAX($D$16,POWER((ABS(K384)^2)/($I$5*MAX(F384,0.1)^2),1/3)))))))</f>
        <v>2.1403668656741068</v>
      </c>
      <c r="AI384">
        <f t="shared" ca="1" si="184"/>
        <v>634.58536686567413</v>
      </c>
      <c r="AJ384">
        <f t="shared" ca="1" si="185"/>
        <v>635.65555029851123</v>
      </c>
      <c r="AM384">
        <v>0</v>
      </c>
      <c r="AN384">
        <v>0</v>
      </c>
      <c r="AO384">
        <f t="shared" si="186"/>
        <v>0</v>
      </c>
      <c r="AP384">
        <f t="shared" si="195"/>
        <v>0</v>
      </c>
      <c r="AQ384">
        <f t="shared" ca="1" si="187"/>
        <v>0.99999999999999978</v>
      </c>
      <c r="AR384" t="str">
        <f t="shared" ca="1" si="188"/>
        <v>Supercritical</v>
      </c>
      <c r="AS384">
        <f t="shared" ca="1" si="189"/>
        <v>3.8148159832266538E-3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191</v>
      </c>
      <c r="I385">
        <v>5.7000000000000002E-2</v>
      </c>
      <c r="J385">
        <f t="shared" si="190"/>
        <v>1</v>
      </c>
      <c r="K385">
        <f t="shared" si="191"/>
        <v>51</v>
      </c>
      <c r="L385">
        <f t="shared" ca="1" si="192"/>
        <v>0.05</v>
      </c>
      <c r="M385">
        <f t="shared" ca="1" si="165"/>
        <v>0.26</v>
      </c>
      <c r="N385">
        <f t="shared" ca="1" si="166"/>
        <v>4.9056603773584909E-2</v>
      </c>
      <c r="O385">
        <f t="shared" ca="1" si="167"/>
        <v>196.15384615384616</v>
      </c>
      <c r="P385">
        <f t="shared" ca="1" si="168"/>
        <v>632.4944999999999</v>
      </c>
      <c r="Q385">
        <f t="shared" ca="1" si="169"/>
        <v>2593.5715316486621</v>
      </c>
      <c r="R385">
        <f t="shared" ca="1" si="170"/>
        <v>482.07306851378365</v>
      </c>
      <c r="S385">
        <f t="shared" ca="1" si="171"/>
        <v>280.07692026646265</v>
      </c>
      <c r="T385">
        <f t="shared" ca="1" si="172"/>
        <v>1019.7665564573041</v>
      </c>
      <c r="U385">
        <f t="shared" ca="1" si="193"/>
        <v>-482.25887083179032</v>
      </c>
      <c r="V385">
        <f t="shared" ca="1" si="194"/>
        <v>0</v>
      </c>
      <c r="W385">
        <f t="shared" ca="1" si="173"/>
        <v>0.05</v>
      </c>
      <c r="X385">
        <f t="shared" ca="1" si="174"/>
        <v>0.26</v>
      </c>
      <c r="Y385">
        <f t="shared" ca="1" si="175"/>
        <v>4.9056603773584909E-2</v>
      </c>
      <c r="Z385">
        <f t="shared" ca="1" si="176"/>
        <v>196.15384615384616</v>
      </c>
      <c r="AA385">
        <f t="shared" ca="1" si="177"/>
        <v>632.4944999999999</v>
      </c>
      <c r="AB385">
        <f t="shared" ca="1" si="178"/>
        <v>2593.5715316486621</v>
      </c>
      <c r="AC385">
        <f t="shared" ca="1" si="179"/>
        <v>482.07306851378365</v>
      </c>
      <c r="AD385">
        <f t="shared" ca="1" si="180"/>
        <v>280.07692026646265</v>
      </c>
      <c r="AE385">
        <f t="shared" ca="1" si="181"/>
        <v>1019.7665564573041</v>
      </c>
      <c r="AF385">
        <f t="shared" ca="1" si="182"/>
        <v>482.25887083179032</v>
      </c>
      <c r="AG385">
        <f t="shared" ca="1" si="183"/>
        <v>0</v>
      </c>
      <c r="AH385">
        <f ca="1">IF(V32="Supercritical",L385,IF(V32="Subcritical",W385,IF(AND(V385=1,AG385=1),IF(T385&gt;=AE385,L385,W385),IF(V385=1,L385,IF(AG385=1,W385,MAX($D$16,POWER((ABS(K385)^2)/($I$5*MAX(F385,0.1)^2),1/3)))))))</f>
        <v>2.1403668656741068</v>
      </c>
      <c r="AI385">
        <f t="shared" ca="1" si="184"/>
        <v>634.58486686567403</v>
      </c>
      <c r="AJ385">
        <f t="shared" ca="1" si="185"/>
        <v>635.65505029851113</v>
      </c>
      <c r="AM385">
        <v>0</v>
      </c>
      <c r="AN385">
        <v>0</v>
      </c>
      <c r="AO385">
        <f t="shared" si="186"/>
        <v>0</v>
      </c>
      <c r="AP385">
        <f t="shared" si="195"/>
        <v>0</v>
      </c>
      <c r="AQ385">
        <f t="shared" ca="1" si="187"/>
        <v>0.99999999999999978</v>
      </c>
      <c r="AR385" t="str">
        <f t="shared" ca="1" si="188"/>
        <v>Supercritical</v>
      </c>
      <c r="AS385">
        <f t="shared" ca="1" si="189"/>
        <v>3.8148159832266538E-3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191</v>
      </c>
      <c r="I386">
        <v>5.7000000000000002E-2</v>
      </c>
      <c r="J386">
        <f t="shared" si="190"/>
        <v>1</v>
      </c>
      <c r="K386">
        <f t="shared" si="191"/>
        <v>51</v>
      </c>
      <c r="L386">
        <f t="shared" ca="1" si="192"/>
        <v>0.05</v>
      </c>
      <c r="M386">
        <f t="shared" ca="1" si="165"/>
        <v>0.26</v>
      </c>
      <c r="N386">
        <f t="shared" ca="1" si="166"/>
        <v>4.9056603773584909E-2</v>
      </c>
      <c r="O386">
        <f t="shared" ca="1" si="167"/>
        <v>196.15384615384616</v>
      </c>
      <c r="P386">
        <f t="shared" ca="1" si="168"/>
        <v>632.49399999999991</v>
      </c>
      <c r="Q386">
        <f t="shared" ca="1" si="169"/>
        <v>2593.571031648662</v>
      </c>
      <c r="R386">
        <f t="shared" ca="1" si="170"/>
        <v>482.07306851378365</v>
      </c>
      <c r="S386">
        <f t="shared" ca="1" si="171"/>
        <v>280.07692026646265</v>
      </c>
      <c r="T386">
        <f t="shared" ca="1" si="172"/>
        <v>1019.7665564573041</v>
      </c>
      <c r="U386">
        <f t="shared" ca="1" si="193"/>
        <v>-482.25887083179032</v>
      </c>
      <c r="V386">
        <f t="shared" ca="1" si="194"/>
        <v>0</v>
      </c>
      <c r="W386">
        <f t="shared" ca="1" si="173"/>
        <v>0.05</v>
      </c>
      <c r="X386">
        <f t="shared" ca="1" si="174"/>
        <v>0.26</v>
      </c>
      <c r="Y386">
        <f t="shared" ca="1" si="175"/>
        <v>4.9056603773584909E-2</v>
      </c>
      <c r="Z386">
        <f t="shared" ca="1" si="176"/>
        <v>196.15384615384616</v>
      </c>
      <c r="AA386">
        <f t="shared" ca="1" si="177"/>
        <v>632.49399999999991</v>
      </c>
      <c r="AB386">
        <f t="shared" ca="1" si="178"/>
        <v>2593.571031648662</v>
      </c>
      <c r="AC386">
        <f t="shared" ca="1" si="179"/>
        <v>482.07306851378365</v>
      </c>
      <c r="AD386">
        <f t="shared" ca="1" si="180"/>
        <v>280.07692026646265</v>
      </c>
      <c r="AE386">
        <f t="shared" ca="1" si="181"/>
        <v>1019.7665564573041</v>
      </c>
      <c r="AF386">
        <f t="shared" ca="1" si="182"/>
        <v>482.07256851378361</v>
      </c>
      <c r="AG386">
        <f t="shared" ca="1" si="183"/>
        <v>0</v>
      </c>
      <c r="AH386">
        <f ca="1">IF(V32="Supercritical",L386,IF(V32="Subcritical",W386,IF(AND(V386=1,AG386=1),IF(T386&gt;=AE386,L386,W386),IF(V386=1,L386,IF(AG386=1,W386,MAX($D$16,POWER((ABS(K386)^2)/($I$5*MAX(F386,0.1)^2),1/3)))))))</f>
        <v>2.1403668656741068</v>
      </c>
      <c r="AI386">
        <f t="shared" ca="1" si="184"/>
        <v>634.58436686567404</v>
      </c>
      <c r="AJ386">
        <f t="shared" ca="1" si="185"/>
        <v>635.65455029851114</v>
      </c>
      <c r="AM386">
        <v>0</v>
      </c>
      <c r="AN386">
        <v>0</v>
      </c>
      <c r="AO386">
        <f t="shared" si="186"/>
        <v>0</v>
      </c>
      <c r="AP386">
        <f t="shared" si="195"/>
        <v>0</v>
      </c>
      <c r="AQ386">
        <f t="shared" ca="1" si="187"/>
        <v>0.99999999999999978</v>
      </c>
      <c r="AR386" t="str">
        <f t="shared" ca="1" si="188"/>
        <v>Supercritical</v>
      </c>
      <c r="AS386">
        <f t="shared" ca="1" si="189"/>
        <v>3.8148159832266538E-3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191</v>
      </c>
      <c r="I387">
        <v>0</v>
      </c>
      <c r="J387">
        <f t="shared" si="190"/>
        <v>1</v>
      </c>
      <c r="K387">
        <f t="shared" si="191"/>
        <v>51</v>
      </c>
      <c r="L387">
        <f t="shared" ca="1" si="192"/>
        <v>0.05</v>
      </c>
      <c r="M387">
        <f t="shared" ca="1" si="165"/>
        <v>0.26</v>
      </c>
      <c r="N387">
        <f t="shared" ca="1" si="166"/>
        <v>4.9056603773584909E-2</v>
      </c>
      <c r="O387">
        <f t="shared" ca="1" si="167"/>
        <v>196.15384615384616</v>
      </c>
      <c r="P387">
        <f t="shared" ca="1" si="168"/>
        <v>632.49349999999993</v>
      </c>
      <c r="Q387">
        <f t="shared" ca="1" si="169"/>
        <v>2593.5705316486619</v>
      </c>
      <c r="R387">
        <f t="shared" ca="1" si="170"/>
        <v>482.07306851378365</v>
      </c>
      <c r="S387">
        <f t="shared" ca="1" si="171"/>
        <v>280.07692026646265</v>
      </c>
      <c r="T387">
        <f t="shared" ca="1" si="172"/>
        <v>1019.7665564573041</v>
      </c>
      <c r="U387">
        <f t="shared" ca="1" si="193"/>
        <v>-482.07256851378361</v>
      </c>
      <c r="V387">
        <f t="shared" ca="1" si="194"/>
        <v>0</v>
      </c>
      <c r="W387">
        <f t="shared" ca="1" si="173"/>
        <v>0.05</v>
      </c>
      <c r="X387">
        <f t="shared" ca="1" si="174"/>
        <v>0.26</v>
      </c>
      <c r="Y387">
        <f t="shared" ca="1" si="175"/>
        <v>4.9056603773584909E-2</v>
      </c>
      <c r="Z387">
        <f t="shared" ca="1" si="176"/>
        <v>196.15384615384616</v>
      </c>
      <c r="AA387">
        <f t="shared" ca="1" si="177"/>
        <v>632.49349999999993</v>
      </c>
      <c r="AB387">
        <f t="shared" ca="1" si="178"/>
        <v>2593.5705316486619</v>
      </c>
      <c r="AC387">
        <f t="shared" ca="1" si="179"/>
        <v>482.07306851378365</v>
      </c>
      <c r="AD387">
        <f t="shared" ca="1" si="180"/>
        <v>280.07692026646265</v>
      </c>
      <c r="AE387">
        <f t="shared" ca="1" si="181"/>
        <v>1019.7665564573041</v>
      </c>
      <c r="AF387">
        <f t="shared" ca="1" si="182"/>
        <v>482.73440697686738</v>
      </c>
      <c r="AG387">
        <f t="shared" ca="1" si="183"/>
        <v>0</v>
      </c>
      <c r="AH387">
        <f ca="1">IF(V32="Supercritical",L387,IF(V32="Subcritical",W387,IF(AND(V387=1,AG387=1),IF(T387&gt;=AE387,L387,W387),IF(V387=1,L387,IF(AG387=1,W387,MAX($D$16,POWER((ABS(K387)^2)/($I$5*MAX(F387,0.1)^2),1/3)))))))</f>
        <v>2.1403668656741068</v>
      </c>
      <c r="AI387">
        <f t="shared" ca="1" si="184"/>
        <v>634.58386686567405</v>
      </c>
      <c r="AJ387">
        <f t="shared" ca="1" si="185"/>
        <v>635.65405029851115</v>
      </c>
      <c r="AM387">
        <v>0</v>
      </c>
      <c r="AN387">
        <v>0</v>
      </c>
      <c r="AO387">
        <f t="shared" si="186"/>
        <v>0</v>
      </c>
      <c r="AP387">
        <f t="shared" si="195"/>
        <v>0</v>
      </c>
      <c r="AQ387">
        <f t="shared" ca="1" si="187"/>
        <v>0.99999999999999978</v>
      </c>
      <c r="AR387" t="str">
        <f t="shared" ca="1" si="188"/>
        <v>Supercritical</v>
      </c>
      <c r="AS387">
        <f t="shared" ca="1" si="189"/>
        <v>3.8148159832266538E-3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191</v>
      </c>
      <c r="I388">
        <v>5.5E-2</v>
      </c>
      <c r="J388">
        <f t="shared" si="190"/>
        <v>1.0010000000000048</v>
      </c>
      <c r="K388">
        <f t="shared" si="191"/>
        <v>51</v>
      </c>
      <c r="L388">
        <f t="shared" ca="1" si="192"/>
        <v>0.05</v>
      </c>
      <c r="M388">
        <f t="shared" ca="1" si="165"/>
        <v>0.26</v>
      </c>
      <c r="N388">
        <f t="shared" ca="1" si="166"/>
        <v>4.9056603773584909E-2</v>
      </c>
      <c r="O388">
        <f t="shared" ca="1" si="167"/>
        <v>196.15384615384616</v>
      </c>
      <c r="P388">
        <f t="shared" ca="1" si="168"/>
        <v>632.49299999999994</v>
      </c>
      <c r="Q388">
        <f t="shared" ca="1" si="169"/>
        <v>2593.5700316486618</v>
      </c>
      <c r="R388">
        <f t="shared" ca="1" si="170"/>
        <v>482.07306851378365</v>
      </c>
      <c r="S388">
        <f t="shared" ca="1" si="171"/>
        <v>280.07692026646265</v>
      </c>
      <c r="T388">
        <f t="shared" ca="1" si="172"/>
        <v>1019.7665564573041</v>
      </c>
      <c r="U388">
        <f t="shared" ca="1" si="193"/>
        <v>-482.73440697686738</v>
      </c>
      <c r="V388">
        <f t="shared" ca="1" si="194"/>
        <v>0</v>
      </c>
      <c r="W388">
        <f t="shared" ca="1" si="173"/>
        <v>0.05</v>
      </c>
      <c r="X388">
        <f t="shared" ca="1" si="174"/>
        <v>0.26</v>
      </c>
      <c r="Y388">
        <f t="shared" ca="1" si="175"/>
        <v>4.9056603773584909E-2</v>
      </c>
      <c r="Z388">
        <f t="shared" ca="1" si="176"/>
        <v>196.15384615384616</v>
      </c>
      <c r="AA388">
        <f t="shared" ca="1" si="177"/>
        <v>632.49299999999994</v>
      </c>
      <c r="AB388">
        <f t="shared" ca="1" si="178"/>
        <v>2593.5700316486618</v>
      </c>
      <c r="AC388">
        <f t="shared" ca="1" si="179"/>
        <v>482.07306851378365</v>
      </c>
      <c r="AD388">
        <f t="shared" ca="1" si="180"/>
        <v>280.07692026646265</v>
      </c>
      <c r="AE388">
        <f t="shared" ca="1" si="181"/>
        <v>1019.7665564573041</v>
      </c>
      <c r="AF388">
        <f t="shared" ca="1" si="182"/>
        <v>481.77026083983583</v>
      </c>
      <c r="AG388">
        <f t="shared" ca="1" si="183"/>
        <v>0</v>
      </c>
      <c r="AH388">
        <f ca="1">IF(V32="Supercritical",L388,IF(V32="Subcritical",W388,IF(AND(V388=1,AG388=1),IF(T388&gt;=AE388,L388,W388),IF(V388=1,L388,IF(AG388=1,W388,MAX($D$16,POWER((ABS(K388)^2)/($I$5*MAX(F388,0.1)^2),1/3)))))))</f>
        <v>2.1403668656741068</v>
      </c>
      <c r="AI388">
        <f t="shared" ca="1" si="184"/>
        <v>634.58336686567407</v>
      </c>
      <c r="AJ388">
        <f t="shared" ca="1" si="185"/>
        <v>635.65355029851116</v>
      </c>
      <c r="AM388">
        <v>0</v>
      </c>
      <c r="AN388">
        <v>0</v>
      </c>
      <c r="AO388">
        <f t="shared" si="186"/>
        <v>0</v>
      </c>
      <c r="AP388">
        <f t="shared" si="195"/>
        <v>0</v>
      </c>
      <c r="AQ388">
        <f t="shared" ca="1" si="187"/>
        <v>0.99999999999999978</v>
      </c>
      <c r="AR388" t="str">
        <f t="shared" ca="1" si="188"/>
        <v>Supercritical</v>
      </c>
      <c r="AS388">
        <f t="shared" ca="1" si="189"/>
        <v>3.8148159832266538E-3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191</v>
      </c>
      <c r="I389">
        <v>5.5E-2</v>
      </c>
      <c r="J389">
        <f t="shared" si="190"/>
        <v>0.99899999999999523</v>
      </c>
      <c r="K389">
        <f t="shared" si="191"/>
        <v>51</v>
      </c>
      <c r="L389">
        <f t="shared" ca="1" si="192"/>
        <v>0.05</v>
      </c>
      <c r="M389">
        <f t="shared" ca="1" si="165"/>
        <v>0.26</v>
      </c>
      <c r="N389">
        <f t="shared" ca="1" si="166"/>
        <v>4.9056603773584909E-2</v>
      </c>
      <c r="O389">
        <f t="shared" ca="1" si="167"/>
        <v>196.15384615384616</v>
      </c>
      <c r="P389">
        <f t="shared" ca="1" si="168"/>
        <v>632.49249999999995</v>
      </c>
      <c r="Q389">
        <f t="shared" ca="1" si="169"/>
        <v>2593.5695316486622</v>
      </c>
      <c r="R389">
        <f t="shared" ca="1" si="170"/>
        <v>482.07306851378365</v>
      </c>
      <c r="S389">
        <f t="shared" ca="1" si="171"/>
        <v>280.07692026646265</v>
      </c>
      <c r="T389">
        <f t="shared" ca="1" si="172"/>
        <v>1019.7665564573041</v>
      </c>
      <c r="U389">
        <f t="shared" ca="1" si="193"/>
        <v>-481.77026083983583</v>
      </c>
      <c r="V389">
        <f t="shared" ca="1" si="194"/>
        <v>0</v>
      </c>
      <c r="W389">
        <f t="shared" ca="1" si="173"/>
        <v>0.05</v>
      </c>
      <c r="X389">
        <f t="shared" ca="1" si="174"/>
        <v>0.26</v>
      </c>
      <c r="Y389">
        <f t="shared" ca="1" si="175"/>
        <v>4.9056603773584909E-2</v>
      </c>
      <c r="Z389">
        <f t="shared" ca="1" si="176"/>
        <v>196.15384615384616</v>
      </c>
      <c r="AA389">
        <f t="shared" ca="1" si="177"/>
        <v>632.49249999999995</v>
      </c>
      <c r="AB389">
        <f t="shared" ca="1" si="178"/>
        <v>2593.5695316486622</v>
      </c>
      <c r="AC389">
        <f t="shared" ca="1" si="179"/>
        <v>482.07306851378365</v>
      </c>
      <c r="AD389">
        <f t="shared" ca="1" si="180"/>
        <v>280.07692026646265</v>
      </c>
      <c r="AE389">
        <f t="shared" ca="1" si="181"/>
        <v>1019.7665564573041</v>
      </c>
      <c r="AF389">
        <f t="shared" ca="1" si="182"/>
        <v>482.25887083179032</v>
      </c>
      <c r="AG389">
        <f t="shared" ca="1" si="183"/>
        <v>0</v>
      </c>
      <c r="AH389">
        <f ca="1">IF(V32="Supercritical",L389,IF(V32="Subcritical",W389,IF(AND(V389=1,AG389=1),IF(T389&gt;=AE389,L389,W389),IF(V389=1,L389,IF(AG389=1,W389,MAX($D$16,POWER((ABS(K389)^2)/($I$5*MAX(F389,0.1)^2),1/3)))))))</f>
        <v>2.1403668656741068</v>
      </c>
      <c r="AI389">
        <f t="shared" ca="1" si="184"/>
        <v>634.58286686567408</v>
      </c>
      <c r="AJ389">
        <f t="shared" ca="1" si="185"/>
        <v>635.65305029851118</v>
      </c>
      <c r="AM389">
        <v>0</v>
      </c>
      <c r="AN389">
        <v>0</v>
      </c>
      <c r="AO389">
        <f t="shared" si="186"/>
        <v>0</v>
      </c>
      <c r="AP389">
        <f t="shared" si="195"/>
        <v>0</v>
      </c>
      <c r="AQ389">
        <f t="shared" ca="1" si="187"/>
        <v>0.99999999999999978</v>
      </c>
      <c r="AR389" t="str">
        <f t="shared" ca="1" si="188"/>
        <v>Supercritical</v>
      </c>
      <c r="AS389">
        <f t="shared" ca="1" si="189"/>
        <v>3.8148159832266538E-3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191</v>
      </c>
      <c r="I390">
        <v>5.7000000000000002E-2</v>
      </c>
      <c r="J390">
        <f t="shared" si="190"/>
        <v>1</v>
      </c>
      <c r="K390">
        <f t="shared" si="191"/>
        <v>51</v>
      </c>
      <c r="L390">
        <f t="shared" ca="1" si="192"/>
        <v>0.05</v>
      </c>
      <c r="M390">
        <f t="shared" ca="1" si="165"/>
        <v>0.26</v>
      </c>
      <c r="N390">
        <f t="shared" ca="1" si="166"/>
        <v>4.9056603773584909E-2</v>
      </c>
      <c r="O390">
        <f t="shared" ca="1" si="167"/>
        <v>196.15384615384616</v>
      </c>
      <c r="P390">
        <f t="shared" ca="1" si="168"/>
        <v>632.49199999999996</v>
      </c>
      <c r="Q390">
        <f t="shared" ca="1" si="169"/>
        <v>2593.5690316486621</v>
      </c>
      <c r="R390">
        <f t="shared" ca="1" si="170"/>
        <v>482.07306851378365</v>
      </c>
      <c r="S390">
        <f t="shared" ca="1" si="171"/>
        <v>280.07692026646265</v>
      </c>
      <c r="T390">
        <f t="shared" ca="1" si="172"/>
        <v>1019.7665564573041</v>
      </c>
      <c r="U390">
        <f t="shared" ca="1" si="193"/>
        <v>-482.25887083179032</v>
      </c>
      <c r="V390">
        <f t="shared" ca="1" si="194"/>
        <v>0</v>
      </c>
      <c r="W390">
        <f t="shared" ca="1" si="173"/>
        <v>0.05</v>
      </c>
      <c r="X390">
        <f t="shared" ca="1" si="174"/>
        <v>0.26</v>
      </c>
      <c r="Y390">
        <f t="shared" ca="1" si="175"/>
        <v>4.9056603773584909E-2</v>
      </c>
      <c r="Z390">
        <f t="shared" ca="1" si="176"/>
        <v>196.15384615384616</v>
      </c>
      <c r="AA390">
        <f t="shared" ca="1" si="177"/>
        <v>632.49199999999996</v>
      </c>
      <c r="AB390">
        <f t="shared" ca="1" si="178"/>
        <v>2593.5690316486621</v>
      </c>
      <c r="AC390">
        <f t="shared" ca="1" si="179"/>
        <v>482.07306851378365</v>
      </c>
      <c r="AD390">
        <f t="shared" ca="1" si="180"/>
        <v>280.07692026646265</v>
      </c>
      <c r="AE390">
        <f t="shared" ca="1" si="181"/>
        <v>1019.7665564573041</v>
      </c>
      <c r="AF390">
        <f t="shared" ca="1" si="182"/>
        <v>482.25887083179032</v>
      </c>
      <c r="AG390">
        <f t="shared" ca="1" si="183"/>
        <v>0</v>
      </c>
      <c r="AH390">
        <f ca="1">IF(V32="Supercritical",L390,IF(V32="Subcritical",W390,IF(AND(V390=1,AG390=1),IF(T390&gt;=AE390,L390,W390),IF(V390=1,L390,IF(AG390=1,W390,MAX($D$16,POWER((ABS(K390)^2)/($I$5*MAX(F390,0.1)^2),1/3)))))))</f>
        <v>2.1403668656741068</v>
      </c>
      <c r="AI390">
        <f t="shared" ca="1" si="184"/>
        <v>634.58236686567409</v>
      </c>
      <c r="AJ390">
        <f t="shared" ca="1" si="185"/>
        <v>635.65255029851119</v>
      </c>
      <c r="AM390">
        <v>0</v>
      </c>
      <c r="AN390">
        <v>0</v>
      </c>
      <c r="AO390">
        <f t="shared" si="186"/>
        <v>0</v>
      </c>
      <c r="AP390">
        <f t="shared" si="195"/>
        <v>0</v>
      </c>
      <c r="AQ390">
        <f t="shared" ca="1" si="187"/>
        <v>0.99999999999999978</v>
      </c>
      <c r="AR390" t="str">
        <f t="shared" ca="1" si="188"/>
        <v>Supercritical</v>
      </c>
      <c r="AS390">
        <f t="shared" ca="1" si="189"/>
        <v>3.8148159832266538E-3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191</v>
      </c>
      <c r="I391">
        <v>5.7000000000000002E-2</v>
      </c>
      <c r="J391">
        <f t="shared" si="190"/>
        <v>1</v>
      </c>
      <c r="K391">
        <f t="shared" si="191"/>
        <v>51</v>
      </c>
      <c r="L391">
        <f t="shared" ca="1" si="192"/>
        <v>0.05</v>
      </c>
      <c r="M391">
        <f t="shared" ca="1" si="165"/>
        <v>0.26</v>
      </c>
      <c r="N391">
        <f t="shared" ca="1" si="166"/>
        <v>4.9056603773584909E-2</v>
      </c>
      <c r="O391">
        <f t="shared" ca="1" si="167"/>
        <v>196.15384615384616</v>
      </c>
      <c r="P391">
        <f t="shared" ca="1" si="168"/>
        <v>632.49149999999997</v>
      </c>
      <c r="Q391">
        <f t="shared" ca="1" si="169"/>
        <v>2593.568531648662</v>
      </c>
      <c r="R391">
        <f t="shared" ca="1" si="170"/>
        <v>482.07306851378365</v>
      </c>
      <c r="S391">
        <f t="shared" ca="1" si="171"/>
        <v>280.07692026646265</v>
      </c>
      <c r="T391">
        <f t="shared" ca="1" si="172"/>
        <v>1019.7665564573041</v>
      </c>
      <c r="U391">
        <f t="shared" ca="1" si="193"/>
        <v>-482.25887083179032</v>
      </c>
      <c r="V391">
        <f t="shared" ca="1" si="194"/>
        <v>0</v>
      </c>
      <c r="W391">
        <f t="shared" ca="1" si="173"/>
        <v>0.05</v>
      </c>
      <c r="X391">
        <f t="shared" ca="1" si="174"/>
        <v>0.26</v>
      </c>
      <c r="Y391">
        <f t="shared" ca="1" si="175"/>
        <v>4.9056603773584909E-2</v>
      </c>
      <c r="Z391">
        <f t="shared" ca="1" si="176"/>
        <v>196.15384615384616</v>
      </c>
      <c r="AA391">
        <f t="shared" ca="1" si="177"/>
        <v>632.49149999999997</v>
      </c>
      <c r="AB391">
        <f t="shared" ca="1" si="178"/>
        <v>2593.568531648662</v>
      </c>
      <c r="AC391">
        <f t="shared" ca="1" si="179"/>
        <v>482.07306851378365</v>
      </c>
      <c r="AD391">
        <f t="shared" ca="1" si="180"/>
        <v>280.07692026646265</v>
      </c>
      <c r="AE391">
        <f t="shared" ca="1" si="181"/>
        <v>1019.7665564573041</v>
      </c>
      <c r="AF391">
        <f t="shared" ca="1" si="182"/>
        <v>482.07256851378406</v>
      </c>
      <c r="AG391">
        <f t="shared" ca="1" si="183"/>
        <v>0</v>
      </c>
      <c r="AH391">
        <f ca="1">IF(V32="Supercritical",L391,IF(V32="Subcritical",W391,IF(AND(V391=1,AG391=1),IF(T391&gt;=AE391,L391,W391),IF(V391=1,L391,IF(AG391=1,W391,MAX($D$16,POWER((ABS(K391)^2)/($I$5*MAX(F391,0.1)^2),1/3)))))))</f>
        <v>2.1403668656741068</v>
      </c>
      <c r="AI391">
        <f t="shared" ca="1" si="184"/>
        <v>634.5818668656741</v>
      </c>
      <c r="AJ391">
        <f t="shared" ca="1" si="185"/>
        <v>635.6520502985112</v>
      </c>
      <c r="AM391">
        <v>0</v>
      </c>
      <c r="AN391">
        <v>0</v>
      </c>
      <c r="AO391">
        <f t="shared" si="186"/>
        <v>0</v>
      </c>
      <c r="AP391">
        <f t="shared" si="195"/>
        <v>0</v>
      </c>
      <c r="AQ391">
        <f t="shared" ca="1" si="187"/>
        <v>0.99999999999999978</v>
      </c>
      <c r="AR391" t="str">
        <f t="shared" ca="1" si="188"/>
        <v>Supercritical</v>
      </c>
      <c r="AS391">
        <f t="shared" ca="1" si="189"/>
        <v>3.8148159832266538E-3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191</v>
      </c>
      <c r="I392">
        <v>0</v>
      </c>
      <c r="J392">
        <f t="shared" si="190"/>
        <v>1</v>
      </c>
      <c r="K392">
        <f t="shared" si="191"/>
        <v>51</v>
      </c>
      <c r="L392">
        <f t="shared" ca="1" si="192"/>
        <v>0.05</v>
      </c>
      <c r="M392">
        <f t="shared" ca="1" si="165"/>
        <v>0.26</v>
      </c>
      <c r="N392">
        <f t="shared" ca="1" si="166"/>
        <v>4.9056603773584909E-2</v>
      </c>
      <c r="O392">
        <f t="shared" ca="1" si="167"/>
        <v>196.15384615384616</v>
      </c>
      <c r="P392">
        <f t="shared" ca="1" si="168"/>
        <v>632.49099999999999</v>
      </c>
      <c r="Q392">
        <f t="shared" ca="1" si="169"/>
        <v>2593.5680316486623</v>
      </c>
      <c r="R392">
        <f t="shared" ca="1" si="170"/>
        <v>482.07306851378365</v>
      </c>
      <c r="S392">
        <f t="shared" ca="1" si="171"/>
        <v>280.07692026646265</v>
      </c>
      <c r="T392">
        <f t="shared" ca="1" si="172"/>
        <v>1019.7665564573041</v>
      </c>
      <c r="U392">
        <f t="shared" ca="1" si="193"/>
        <v>-482.07256851378406</v>
      </c>
      <c r="V392">
        <f t="shared" ca="1" si="194"/>
        <v>0</v>
      </c>
      <c r="W392">
        <f t="shared" ca="1" si="173"/>
        <v>0.05</v>
      </c>
      <c r="X392">
        <f t="shared" ca="1" si="174"/>
        <v>0.26</v>
      </c>
      <c r="Y392">
        <f t="shared" ca="1" si="175"/>
        <v>4.9056603773584909E-2</v>
      </c>
      <c r="Z392">
        <f t="shared" ca="1" si="176"/>
        <v>196.15384615384616</v>
      </c>
      <c r="AA392">
        <f t="shared" ca="1" si="177"/>
        <v>632.49099999999999</v>
      </c>
      <c r="AB392">
        <f t="shared" ca="1" si="178"/>
        <v>2593.5680316486623</v>
      </c>
      <c r="AC392">
        <f t="shared" ca="1" si="179"/>
        <v>482.07306851378365</v>
      </c>
      <c r="AD392">
        <f t="shared" ca="1" si="180"/>
        <v>280.07692026646265</v>
      </c>
      <c r="AE392">
        <f t="shared" ca="1" si="181"/>
        <v>1019.7665564573041</v>
      </c>
      <c r="AF392">
        <f t="shared" ca="1" si="182"/>
        <v>559.73775589050956</v>
      </c>
      <c r="AG392">
        <f t="shared" ca="1" si="183"/>
        <v>0</v>
      </c>
      <c r="AH392">
        <f ca="1">IF(V32="Supercritical",L392,IF(V32="Subcritical",W392,IF(AND(V392=1,AG392=1),IF(T392&gt;=AE392,L392,W392),IF(V392=1,L392,IF(AG392=1,W392,MAX($D$16,POWER((ABS(K392)^2)/($I$5*MAX(F392,0.1)^2),1/3)))))))</f>
        <v>2.1403668656741068</v>
      </c>
      <c r="AI392">
        <f t="shared" ca="1" si="184"/>
        <v>634.58136686567411</v>
      </c>
      <c r="AJ392">
        <f t="shared" ca="1" si="185"/>
        <v>635.65155029851121</v>
      </c>
      <c r="AM392">
        <v>0</v>
      </c>
      <c r="AN392">
        <v>0</v>
      </c>
      <c r="AO392">
        <f t="shared" si="186"/>
        <v>0</v>
      </c>
      <c r="AP392">
        <f t="shared" si="195"/>
        <v>0</v>
      </c>
      <c r="AQ392">
        <f t="shared" ca="1" si="187"/>
        <v>0.99999999999999978</v>
      </c>
      <c r="AR392" t="str">
        <f t="shared" ca="1" si="188"/>
        <v>Supercritical</v>
      </c>
      <c r="AS392">
        <f t="shared" ca="1" si="189"/>
        <v>3.8148159832266538E-3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191</v>
      </c>
      <c r="I393">
        <v>23.762</v>
      </c>
      <c r="J393">
        <f t="shared" si="190"/>
        <v>1</v>
      </c>
      <c r="K393">
        <f t="shared" si="191"/>
        <v>51</v>
      </c>
      <c r="L393">
        <f t="shared" ca="1" si="192"/>
        <v>0.05</v>
      </c>
      <c r="M393">
        <f t="shared" ca="1" si="165"/>
        <v>0.26</v>
      </c>
      <c r="N393">
        <f t="shared" ca="1" si="166"/>
        <v>4.9056603773584909E-2</v>
      </c>
      <c r="O393">
        <f t="shared" ca="1" si="167"/>
        <v>196.15384615384616</v>
      </c>
      <c r="P393">
        <f t="shared" ca="1" si="168"/>
        <v>632.4905</v>
      </c>
      <c r="Q393">
        <f t="shared" ca="1" si="169"/>
        <v>2593.5675316486622</v>
      </c>
      <c r="R393">
        <f t="shared" ca="1" si="170"/>
        <v>482.07306851378365</v>
      </c>
      <c r="S393">
        <f t="shared" ca="1" si="171"/>
        <v>280.07692026646265</v>
      </c>
      <c r="T393">
        <f t="shared" ca="1" si="172"/>
        <v>1019.7665564573041</v>
      </c>
      <c r="U393">
        <f t="shared" ca="1" si="193"/>
        <v>-559.73775589050956</v>
      </c>
      <c r="V393">
        <f t="shared" ca="1" si="194"/>
        <v>0</v>
      </c>
      <c r="W393">
        <f t="shared" ca="1" si="173"/>
        <v>0.05</v>
      </c>
      <c r="X393">
        <f t="shared" ca="1" si="174"/>
        <v>0.26</v>
      </c>
      <c r="Y393">
        <f t="shared" ca="1" si="175"/>
        <v>4.9056603773584909E-2</v>
      </c>
      <c r="Z393">
        <f t="shared" ca="1" si="176"/>
        <v>196.15384615384616</v>
      </c>
      <c r="AA393">
        <f t="shared" ca="1" si="177"/>
        <v>632.4905</v>
      </c>
      <c r="AB393">
        <f t="shared" ca="1" si="178"/>
        <v>2593.5675316486622</v>
      </c>
      <c r="AC393">
        <f t="shared" ca="1" si="179"/>
        <v>482.07306851378365</v>
      </c>
      <c r="AD393">
        <f t="shared" ca="1" si="180"/>
        <v>280.07692026646265</v>
      </c>
      <c r="AE393">
        <f t="shared" ca="1" si="181"/>
        <v>1019.7665564573041</v>
      </c>
      <c r="AF393">
        <f t="shared" ca="1" si="182"/>
        <v>914.60035032621045</v>
      </c>
      <c r="AG393">
        <f t="shared" ca="1" si="183"/>
        <v>0</v>
      </c>
      <c r="AH393">
        <f ca="1">IF(V32="Supercritical",L393,IF(V32="Subcritical",W393,IF(AND(V393=1,AG393=1),IF(T393&gt;=AE393,L393,W393),IF(V393=1,L393,IF(AG393=1,W393,MAX($D$16,POWER((ABS(K393)^2)/($I$5*MAX(F393,0.1)^2),1/3)))))))</f>
        <v>2.1403668656741068</v>
      </c>
      <c r="AI393">
        <f t="shared" ca="1" si="184"/>
        <v>634.58086686567412</v>
      </c>
      <c r="AJ393">
        <f t="shared" ca="1" si="185"/>
        <v>635.65105029851122</v>
      </c>
      <c r="AM393">
        <v>0</v>
      </c>
      <c r="AN393">
        <v>0</v>
      </c>
      <c r="AO393">
        <f t="shared" si="186"/>
        <v>0</v>
      </c>
      <c r="AP393">
        <f t="shared" si="195"/>
        <v>0</v>
      </c>
      <c r="AQ393">
        <f t="shared" ca="1" si="187"/>
        <v>0.99999999999999978</v>
      </c>
      <c r="AR393" t="str">
        <f t="shared" ca="1" si="188"/>
        <v>Supercritical</v>
      </c>
      <c r="AS393">
        <f t="shared" ca="1" si="189"/>
        <v>3.8148159832266538E-3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191</v>
      </c>
      <c r="I394">
        <v>5.6989999999999998</v>
      </c>
      <c r="J394">
        <f t="shared" si="190"/>
        <v>0.97899999999998499</v>
      </c>
      <c r="K394">
        <f t="shared" si="191"/>
        <v>51</v>
      </c>
      <c r="L394">
        <f t="shared" ca="1" si="192"/>
        <v>0.05</v>
      </c>
      <c r="M394">
        <f t="shared" ca="1" si="165"/>
        <v>0.23980000000000001</v>
      </c>
      <c r="N394">
        <f t="shared" ca="1" si="166"/>
        <v>4.8978758169934647E-2</v>
      </c>
      <c r="O394">
        <f t="shared" ca="1" si="167"/>
        <v>212.67723102585487</v>
      </c>
      <c r="P394">
        <f t="shared" ca="1" si="168"/>
        <v>632.49</v>
      </c>
      <c r="Q394">
        <f t="shared" ca="1" si="169"/>
        <v>2937.8724972897471</v>
      </c>
      <c r="R394">
        <f t="shared" ca="1" si="170"/>
        <v>567.91170513470365</v>
      </c>
      <c r="S394">
        <f t="shared" ca="1" si="171"/>
        <v>303.66972172343736</v>
      </c>
      <c r="T394">
        <f t="shared" ca="1" si="172"/>
        <v>1105.6674407001628</v>
      </c>
      <c r="U394">
        <f t="shared" ca="1" si="193"/>
        <v>-914.60035032621045</v>
      </c>
      <c r="V394">
        <f t="shared" ca="1" si="194"/>
        <v>0</v>
      </c>
      <c r="W394">
        <f t="shared" ca="1" si="173"/>
        <v>0.05</v>
      </c>
      <c r="X394">
        <f t="shared" ca="1" si="174"/>
        <v>0.23980000000000001</v>
      </c>
      <c r="Y394">
        <f t="shared" ca="1" si="175"/>
        <v>4.8978758169934647E-2</v>
      </c>
      <c r="Z394">
        <f t="shared" ca="1" si="176"/>
        <v>212.67723102585487</v>
      </c>
      <c r="AA394">
        <f t="shared" ca="1" si="177"/>
        <v>632.49</v>
      </c>
      <c r="AB394">
        <f t="shared" ca="1" si="178"/>
        <v>2937.8724972897471</v>
      </c>
      <c r="AC394">
        <f t="shared" ca="1" si="179"/>
        <v>567.91170513470365</v>
      </c>
      <c r="AD394">
        <f t="shared" ca="1" si="180"/>
        <v>303.66972172343736</v>
      </c>
      <c r="AE394">
        <f t="shared" ca="1" si="181"/>
        <v>1105.6674407001628</v>
      </c>
      <c r="AF394">
        <f t="shared" ca="1" si="182"/>
        <v>913.50489153686294</v>
      </c>
      <c r="AG394">
        <f t="shared" ca="1" si="183"/>
        <v>0</v>
      </c>
      <c r="AH394">
        <f ca="1">IF(V32="Supercritical",L394,IF(V32="Subcritical",W394,IF(AND(V394=1,AG394=1),IF(T394&gt;=AE394,L394,W394),IF(V394=1,L394,IF(AG394=1,W394,MAX($D$16,POWER((ABS(K394)^2)/($I$5*MAX(F394,0.1)^2),1/3)))))))</f>
        <v>2.2589381080755544</v>
      </c>
      <c r="AI394">
        <f t="shared" ca="1" si="184"/>
        <v>634.69893810807559</v>
      </c>
      <c r="AJ394">
        <f t="shared" ca="1" si="185"/>
        <v>635.82840716211342</v>
      </c>
      <c r="AM394">
        <v>0</v>
      </c>
      <c r="AN394">
        <v>0</v>
      </c>
      <c r="AO394">
        <f t="shared" si="186"/>
        <v>0</v>
      </c>
      <c r="AP394">
        <f t="shared" si="195"/>
        <v>0</v>
      </c>
      <c r="AQ394">
        <f t="shared" ca="1" si="187"/>
        <v>1.0000000000000002</v>
      </c>
      <c r="AR394" t="str">
        <f t="shared" ca="1" si="188"/>
        <v>Supercritical</v>
      </c>
      <c r="AS394">
        <f t="shared" ca="1" si="189"/>
        <v>4.0758525520417149E-3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191</v>
      </c>
      <c r="I395">
        <v>0</v>
      </c>
      <c r="J395">
        <f t="shared" si="190"/>
        <v>1</v>
      </c>
      <c r="K395">
        <f t="shared" si="191"/>
        <v>51</v>
      </c>
      <c r="L395">
        <f t="shared" ca="1" si="192"/>
        <v>0.05</v>
      </c>
      <c r="M395">
        <f t="shared" ca="1" si="165"/>
        <v>0.22635000000000002</v>
      </c>
      <c r="N395">
        <f t="shared" ca="1" si="166"/>
        <v>4.8919386211368064E-2</v>
      </c>
      <c r="O395">
        <f t="shared" ca="1" si="167"/>
        <v>225.3147779986746</v>
      </c>
      <c r="P395">
        <f t="shared" ca="1" si="168"/>
        <v>632.48949999999991</v>
      </c>
      <c r="Q395">
        <f t="shared" ca="1" si="169"/>
        <v>3219.9894584399599</v>
      </c>
      <c r="R395">
        <f t="shared" ca="1" si="170"/>
        <v>638.44066340855431</v>
      </c>
      <c r="S395">
        <f t="shared" ca="1" si="171"/>
        <v>321.71415625924578</v>
      </c>
      <c r="T395">
        <f t="shared" ca="1" si="172"/>
        <v>1171.3668899357701</v>
      </c>
      <c r="U395">
        <f t="shared" ca="1" si="193"/>
        <v>-913.50489153686294</v>
      </c>
      <c r="V395">
        <f t="shared" ca="1" si="194"/>
        <v>0</v>
      </c>
      <c r="W395">
        <f t="shared" ca="1" si="173"/>
        <v>0.05</v>
      </c>
      <c r="X395">
        <f t="shared" ca="1" si="174"/>
        <v>0.22635000000000002</v>
      </c>
      <c r="Y395">
        <f t="shared" ca="1" si="175"/>
        <v>4.8919386211368064E-2</v>
      </c>
      <c r="Z395">
        <f t="shared" ca="1" si="176"/>
        <v>225.3147779986746</v>
      </c>
      <c r="AA395">
        <f t="shared" ca="1" si="177"/>
        <v>632.48949999999991</v>
      </c>
      <c r="AB395">
        <f t="shared" ca="1" si="178"/>
        <v>3219.9894584399599</v>
      </c>
      <c r="AC395">
        <f t="shared" ca="1" si="179"/>
        <v>638.44066340855431</v>
      </c>
      <c r="AD395">
        <f t="shared" ca="1" si="180"/>
        <v>321.71415625924578</v>
      </c>
      <c r="AE395">
        <f t="shared" ca="1" si="181"/>
        <v>1171.3668899357701</v>
      </c>
      <c r="AF395">
        <f t="shared" ca="1" si="182"/>
        <v>638.64716340523</v>
      </c>
      <c r="AG395">
        <f t="shared" ca="1" si="183"/>
        <v>0</v>
      </c>
      <c r="AH395">
        <f ca="1">IF(V32="Supercritical",L395,IF(V32="Subcritical",W395,IF(AND(V395=1,AG395=1),IF(T395&gt;=AE395,L395,W395),IF(V395=1,L395,IF(AG395=1,W395,MAX($D$16,POWER((ABS(K395)^2)/($I$5*MAX(F395,0.1)^2),1/3)))))))</f>
        <v>2.3475604556821654</v>
      </c>
      <c r="AI395">
        <f t="shared" ca="1" si="184"/>
        <v>634.78706045568208</v>
      </c>
      <c r="AJ395">
        <f t="shared" ca="1" si="185"/>
        <v>635.9608406835232</v>
      </c>
      <c r="AM395">
        <v>0</v>
      </c>
      <c r="AN395">
        <v>0</v>
      </c>
      <c r="AO395">
        <f t="shared" si="186"/>
        <v>0</v>
      </c>
      <c r="AP395">
        <f t="shared" si="195"/>
        <v>0</v>
      </c>
      <c r="AQ395">
        <f t="shared" ca="1" si="187"/>
        <v>1</v>
      </c>
      <c r="AR395" t="str">
        <f t="shared" ca="1" si="188"/>
        <v>Supercritical</v>
      </c>
      <c r="AS395">
        <f t="shared" ca="1" si="189"/>
        <v>4.2888384428928488E-3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191</v>
      </c>
      <c r="I396">
        <v>4.8000000000000001E-2</v>
      </c>
      <c r="J396">
        <f t="shared" si="190"/>
        <v>1</v>
      </c>
      <c r="K396">
        <f t="shared" si="191"/>
        <v>51</v>
      </c>
      <c r="L396">
        <f t="shared" ca="1" si="192"/>
        <v>0.05</v>
      </c>
      <c r="M396">
        <f t="shared" ca="1" si="165"/>
        <v>0.22635000000000002</v>
      </c>
      <c r="N396">
        <f t="shared" ca="1" si="166"/>
        <v>4.8919386211368064E-2</v>
      </c>
      <c r="O396">
        <f t="shared" ca="1" si="167"/>
        <v>225.3147779986746</v>
      </c>
      <c r="P396">
        <f t="shared" ca="1" si="168"/>
        <v>632.48899999999992</v>
      </c>
      <c r="Q396">
        <f t="shared" ca="1" si="169"/>
        <v>3219.9889584399602</v>
      </c>
      <c r="R396">
        <f t="shared" ca="1" si="170"/>
        <v>638.44066340855431</v>
      </c>
      <c r="S396">
        <f t="shared" ca="1" si="171"/>
        <v>321.71415625924578</v>
      </c>
      <c r="T396">
        <f t="shared" ca="1" si="172"/>
        <v>1171.3668899357701</v>
      </c>
      <c r="U396">
        <f t="shared" ca="1" si="193"/>
        <v>-638.64716340523</v>
      </c>
      <c r="V396">
        <f t="shared" ca="1" si="194"/>
        <v>0</v>
      </c>
      <c r="W396">
        <f t="shared" ca="1" si="173"/>
        <v>0.05</v>
      </c>
      <c r="X396">
        <f t="shared" ca="1" si="174"/>
        <v>0.22635000000000002</v>
      </c>
      <c r="Y396">
        <f t="shared" ca="1" si="175"/>
        <v>4.8919386211368064E-2</v>
      </c>
      <c r="Z396">
        <f t="shared" ca="1" si="176"/>
        <v>225.3147779986746</v>
      </c>
      <c r="AA396">
        <f t="shared" ca="1" si="177"/>
        <v>632.48899999999992</v>
      </c>
      <c r="AB396">
        <f t="shared" ca="1" si="178"/>
        <v>3219.9889584399602</v>
      </c>
      <c r="AC396">
        <f t="shared" ca="1" si="179"/>
        <v>638.44066340855431</v>
      </c>
      <c r="AD396">
        <f t="shared" ca="1" si="180"/>
        <v>321.71415625924578</v>
      </c>
      <c r="AE396">
        <f t="shared" ca="1" si="181"/>
        <v>1171.3668899357701</v>
      </c>
      <c r="AF396">
        <f t="shared" ca="1" si="182"/>
        <v>638.64716340522955</v>
      </c>
      <c r="AG396">
        <f t="shared" ca="1" si="183"/>
        <v>0</v>
      </c>
      <c r="AH396">
        <f ca="1">IF(V32="Supercritical",L396,IF(V32="Subcritical",W396,IF(AND(V396=1,AG396=1),IF(T396&gt;=AE396,L396,W396),IF(V396=1,L396,IF(AG396=1,W396,MAX($D$16,POWER((ABS(K396)^2)/($I$5*MAX(F396,0.1)^2),1/3)))))))</f>
        <v>2.3475604556821654</v>
      </c>
      <c r="AI396">
        <f t="shared" ca="1" si="184"/>
        <v>634.78656045568209</v>
      </c>
      <c r="AJ396">
        <f t="shared" ca="1" si="185"/>
        <v>635.96034068352321</v>
      </c>
      <c r="AM396">
        <v>0</v>
      </c>
      <c r="AN396">
        <v>0</v>
      </c>
      <c r="AO396">
        <f t="shared" si="186"/>
        <v>0</v>
      </c>
      <c r="AP396">
        <f t="shared" si="195"/>
        <v>0</v>
      </c>
      <c r="AQ396">
        <f t="shared" ca="1" si="187"/>
        <v>1</v>
      </c>
      <c r="AR396" t="str">
        <f t="shared" ca="1" si="188"/>
        <v>Supercritical</v>
      </c>
      <c r="AS396">
        <f t="shared" ca="1" si="189"/>
        <v>4.2888384428928488E-3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191</v>
      </c>
      <c r="I397">
        <v>4.8000000000000001E-2</v>
      </c>
      <c r="J397">
        <f t="shared" si="190"/>
        <v>1</v>
      </c>
      <c r="K397">
        <f t="shared" si="191"/>
        <v>51</v>
      </c>
      <c r="L397">
        <f t="shared" ca="1" si="192"/>
        <v>0.05</v>
      </c>
      <c r="M397">
        <f t="shared" ca="1" si="165"/>
        <v>0.22635000000000002</v>
      </c>
      <c r="N397">
        <f t="shared" ca="1" si="166"/>
        <v>4.8919386211368064E-2</v>
      </c>
      <c r="O397">
        <f t="shared" ca="1" si="167"/>
        <v>225.3147779986746</v>
      </c>
      <c r="P397">
        <f t="shared" ca="1" si="168"/>
        <v>632.48849999999993</v>
      </c>
      <c r="Q397">
        <f t="shared" ca="1" si="169"/>
        <v>3219.9884584399601</v>
      </c>
      <c r="R397">
        <f t="shared" ca="1" si="170"/>
        <v>638.44066340855431</v>
      </c>
      <c r="S397">
        <f t="shared" ca="1" si="171"/>
        <v>321.71415625924578</v>
      </c>
      <c r="T397">
        <f t="shared" ca="1" si="172"/>
        <v>1171.3668899357701</v>
      </c>
      <c r="U397">
        <f t="shared" ca="1" si="193"/>
        <v>-638.64716340522955</v>
      </c>
      <c r="V397">
        <f t="shared" ca="1" si="194"/>
        <v>0</v>
      </c>
      <c r="W397">
        <f t="shared" ca="1" si="173"/>
        <v>0.05</v>
      </c>
      <c r="X397">
        <f t="shared" ca="1" si="174"/>
        <v>0.22635000000000002</v>
      </c>
      <c r="Y397">
        <f t="shared" ca="1" si="175"/>
        <v>4.8919386211368064E-2</v>
      </c>
      <c r="Z397">
        <f t="shared" ca="1" si="176"/>
        <v>225.3147779986746</v>
      </c>
      <c r="AA397">
        <f t="shared" ca="1" si="177"/>
        <v>632.48849999999993</v>
      </c>
      <c r="AB397">
        <f t="shared" ca="1" si="178"/>
        <v>3219.9884584399601</v>
      </c>
      <c r="AC397">
        <f t="shared" ca="1" si="179"/>
        <v>638.44066340855431</v>
      </c>
      <c r="AD397">
        <f t="shared" ca="1" si="180"/>
        <v>321.71415625924578</v>
      </c>
      <c r="AE397">
        <f t="shared" ca="1" si="181"/>
        <v>1171.3668899357701</v>
      </c>
      <c r="AF397">
        <f t="shared" ca="1" si="182"/>
        <v>638.57385090640719</v>
      </c>
      <c r="AG397">
        <f t="shared" ca="1" si="183"/>
        <v>0</v>
      </c>
      <c r="AH397">
        <f ca="1">IF(V32="Supercritical",L397,IF(V32="Subcritical",W397,IF(AND(V397=1,AG397=1),IF(T397&gt;=AE397,L397,W397),IF(V397=1,L397,IF(AG397=1,W397,MAX($D$16,POWER((ABS(K397)^2)/($I$5*MAX(F397,0.1)^2),1/3)))))))</f>
        <v>2.3475604556821654</v>
      </c>
      <c r="AI397">
        <f t="shared" ca="1" si="184"/>
        <v>634.7860604556821</v>
      </c>
      <c r="AJ397">
        <f t="shared" ca="1" si="185"/>
        <v>635.95984068352323</v>
      </c>
      <c r="AM397">
        <v>0</v>
      </c>
      <c r="AN397">
        <v>0</v>
      </c>
      <c r="AO397">
        <f t="shared" si="186"/>
        <v>0</v>
      </c>
      <c r="AP397">
        <f t="shared" si="195"/>
        <v>0</v>
      </c>
      <c r="AQ397">
        <f t="shared" ca="1" si="187"/>
        <v>1</v>
      </c>
      <c r="AR397" t="str">
        <f t="shared" ca="1" si="188"/>
        <v>Supercritical</v>
      </c>
      <c r="AS397">
        <f t="shared" ca="1" si="189"/>
        <v>4.2888384428928488E-3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191</v>
      </c>
      <c r="I398">
        <v>3.1E-2</v>
      </c>
      <c r="J398">
        <f t="shared" si="190"/>
        <v>1</v>
      </c>
      <c r="K398">
        <f t="shared" si="191"/>
        <v>51</v>
      </c>
      <c r="L398">
        <f t="shared" ca="1" si="192"/>
        <v>0.05</v>
      </c>
      <c r="M398">
        <f t="shared" ca="1" si="165"/>
        <v>0.22635000000000002</v>
      </c>
      <c r="N398">
        <f t="shared" ca="1" si="166"/>
        <v>4.8919386211368064E-2</v>
      </c>
      <c r="O398">
        <f t="shared" ca="1" si="167"/>
        <v>225.3147779986746</v>
      </c>
      <c r="P398">
        <f t="shared" ca="1" si="168"/>
        <v>632.48799999999994</v>
      </c>
      <c r="Q398">
        <f t="shared" ca="1" si="169"/>
        <v>3219.98795843996</v>
      </c>
      <c r="R398">
        <f t="shared" ca="1" si="170"/>
        <v>638.44066340855431</v>
      </c>
      <c r="S398">
        <f t="shared" ca="1" si="171"/>
        <v>321.71415625924578</v>
      </c>
      <c r="T398">
        <f t="shared" ca="1" si="172"/>
        <v>1171.3668899357701</v>
      </c>
      <c r="U398">
        <f t="shared" ca="1" si="193"/>
        <v>-638.57385090640719</v>
      </c>
      <c r="V398">
        <f t="shared" ca="1" si="194"/>
        <v>0</v>
      </c>
      <c r="W398">
        <f t="shared" ca="1" si="173"/>
        <v>0.05</v>
      </c>
      <c r="X398">
        <f t="shared" ca="1" si="174"/>
        <v>0.22635000000000002</v>
      </c>
      <c r="Y398">
        <f t="shared" ca="1" si="175"/>
        <v>4.8919386211368064E-2</v>
      </c>
      <c r="Z398">
        <f t="shared" ca="1" si="176"/>
        <v>225.3147779986746</v>
      </c>
      <c r="AA398">
        <f t="shared" ca="1" si="177"/>
        <v>632.48799999999994</v>
      </c>
      <c r="AB398">
        <f t="shared" ca="1" si="178"/>
        <v>3219.98795843996</v>
      </c>
      <c r="AC398">
        <f t="shared" ca="1" si="179"/>
        <v>638.44066340855431</v>
      </c>
      <c r="AD398">
        <f t="shared" ca="1" si="180"/>
        <v>321.71415625924578</v>
      </c>
      <c r="AE398">
        <f t="shared" ca="1" si="181"/>
        <v>1171.3668899357701</v>
      </c>
      <c r="AF398">
        <f t="shared" ca="1" si="182"/>
        <v>639.21229156981917</v>
      </c>
      <c r="AG398">
        <f t="shared" ca="1" si="183"/>
        <v>0</v>
      </c>
      <c r="AH398">
        <f ca="1">IF(V32="Supercritical",L398,IF(V32="Subcritical",W398,IF(AND(V398=1,AG398=1),IF(T398&gt;=AE398,L398,W398),IF(V398=1,L398,IF(AG398=1,W398,MAX($D$16,POWER((ABS(K398)^2)/($I$5*MAX(F398,0.1)^2),1/3)))))))</f>
        <v>2.3475604556821654</v>
      </c>
      <c r="AI398">
        <f t="shared" ca="1" si="184"/>
        <v>634.78556045568212</v>
      </c>
      <c r="AJ398">
        <f t="shared" ca="1" si="185"/>
        <v>635.95934068352324</v>
      </c>
      <c r="AM398">
        <v>0</v>
      </c>
      <c r="AN398">
        <v>0</v>
      </c>
      <c r="AO398">
        <f t="shared" si="186"/>
        <v>0</v>
      </c>
      <c r="AP398">
        <f t="shared" si="195"/>
        <v>0</v>
      </c>
      <c r="AQ398">
        <f t="shared" ca="1" si="187"/>
        <v>1</v>
      </c>
      <c r="AR398" t="str">
        <f t="shared" ca="1" si="188"/>
        <v>Supercritical</v>
      </c>
      <c r="AS398">
        <f t="shared" ca="1" si="189"/>
        <v>4.2888384428928488E-3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191</v>
      </c>
      <c r="I399">
        <v>3.1E-2</v>
      </c>
      <c r="J399">
        <f t="shared" si="190"/>
        <v>1.0010000000000048</v>
      </c>
      <c r="K399">
        <f t="shared" si="191"/>
        <v>51</v>
      </c>
      <c r="L399">
        <f t="shared" ca="1" si="192"/>
        <v>0.05</v>
      </c>
      <c r="M399">
        <f t="shared" ca="1" si="165"/>
        <v>0.22635000000000002</v>
      </c>
      <c r="N399">
        <f t="shared" ca="1" si="166"/>
        <v>4.8919386211368064E-2</v>
      </c>
      <c r="O399">
        <f t="shared" ca="1" si="167"/>
        <v>225.3147779986746</v>
      </c>
      <c r="P399">
        <f t="shared" ca="1" si="168"/>
        <v>632.48749999999995</v>
      </c>
      <c r="Q399">
        <f t="shared" ca="1" si="169"/>
        <v>3219.9874584399604</v>
      </c>
      <c r="R399">
        <f t="shared" ca="1" si="170"/>
        <v>638.44066340855431</v>
      </c>
      <c r="S399">
        <f t="shared" ca="1" si="171"/>
        <v>321.71415625924578</v>
      </c>
      <c r="T399">
        <f t="shared" ca="1" si="172"/>
        <v>1171.3668899357701</v>
      </c>
      <c r="U399">
        <f t="shared" ca="1" si="193"/>
        <v>-639.21229156981917</v>
      </c>
      <c r="V399">
        <f t="shared" ca="1" si="194"/>
        <v>0</v>
      </c>
      <c r="W399">
        <f t="shared" ca="1" si="173"/>
        <v>0.05</v>
      </c>
      <c r="X399">
        <f t="shared" ca="1" si="174"/>
        <v>0.22635000000000002</v>
      </c>
      <c r="Y399">
        <f t="shared" ca="1" si="175"/>
        <v>4.8919386211368064E-2</v>
      </c>
      <c r="Z399">
        <f t="shared" ca="1" si="176"/>
        <v>225.3147779986746</v>
      </c>
      <c r="AA399">
        <f t="shared" ca="1" si="177"/>
        <v>632.48749999999995</v>
      </c>
      <c r="AB399">
        <f t="shared" ca="1" si="178"/>
        <v>3219.9874584399604</v>
      </c>
      <c r="AC399">
        <f t="shared" ca="1" si="179"/>
        <v>638.44066340855431</v>
      </c>
      <c r="AD399">
        <f t="shared" ca="1" si="180"/>
        <v>321.71415625924578</v>
      </c>
      <c r="AE399">
        <f t="shared" ca="1" si="181"/>
        <v>1171.3668899357701</v>
      </c>
      <c r="AF399">
        <f t="shared" ca="1" si="182"/>
        <v>638.44016340855433</v>
      </c>
      <c r="AG399">
        <f t="shared" ca="1" si="183"/>
        <v>0</v>
      </c>
      <c r="AH399">
        <f ca="1">IF(V32="Supercritical",L399,IF(V32="Subcritical",W399,IF(AND(V399=1,AG399=1),IF(T399&gt;=AE399,L399,W399),IF(V399=1,L399,IF(AG399=1,W399,MAX($D$16,POWER((ABS(K399)^2)/($I$5*MAX(F399,0.1)^2),1/3)))))))</f>
        <v>2.3475604556821654</v>
      </c>
      <c r="AI399">
        <f t="shared" ca="1" si="184"/>
        <v>634.78506045568213</v>
      </c>
      <c r="AJ399">
        <f t="shared" ca="1" si="185"/>
        <v>635.95884068352325</v>
      </c>
      <c r="AM399">
        <v>0</v>
      </c>
      <c r="AN399">
        <v>0</v>
      </c>
      <c r="AO399">
        <f t="shared" si="186"/>
        <v>0</v>
      </c>
      <c r="AP399">
        <f t="shared" si="195"/>
        <v>0</v>
      </c>
      <c r="AQ399">
        <f t="shared" ca="1" si="187"/>
        <v>1</v>
      </c>
      <c r="AR399" t="str">
        <f t="shared" ca="1" si="188"/>
        <v>Supercritical</v>
      </c>
      <c r="AS399">
        <f t="shared" ca="1" si="189"/>
        <v>4.2888384428928488E-3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191</v>
      </c>
      <c r="I400">
        <v>0</v>
      </c>
      <c r="J400">
        <f t="shared" si="190"/>
        <v>1</v>
      </c>
      <c r="K400">
        <f t="shared" si="191"/>
        <v>51</v>
      </c>
      <c r="L400">
        <f t="shared" ca="1" si="192"/>
        <v>0.05</v>
      </c>
      <c r="M400">
        <f t="shared" ca="1" si="165"/>
        <v>0.22635000000000002</v>
      </c>
      <c r="N400">
        <f t="shared" ca="1" si="166"/>
        <v>4.8919386211368064E-2</v>
      </c>
      <c r="O400">
        <f t="shared" ca="1" si="167"/>
        <v>225.3147779986746</v>
      </c>
      <c r="P400">
        <f t="shared" ca="1" si="168"/>
        <v>632.48699999999997</v>
      </c>
      <c r="Q400">
        <f t="shared" ca="1" si="169"/>
        <v>3219.9869584399603</v>
      </c>
      <c r="R400">
        <f t="shared" ca="1" si="170"/>
        <v>638.44066340855431</v>
      </c>
      <c r="S400">
        <f t="shared" ca="1" si="171"/>
        <v>321.71415625924578</v>
      </c>
      <c r="T400">
        <f t="shared" ca="1" si="172"/>
        <v>1171.3668899357701</v>
      </c>
      <c r="U400">
        <f t="shared" ca="1" si="193"/>
        <v>-638.44016340855433</v>
      </c>
      <c r="V400">
        <f t="shared" ca="1" si="194"/>
        <v>0</v>
      </c>
      <c r="W400">
        <f t="shared" ca="1" si="173"/>
        <v>0.05</v>
      </c>
      <c r="X400">
        <f t="shared" ca="1" si="174"/>
        <v>0.22635000000000002</v>
      </c>
      <c r="Y400">
        <f t="shared" ca="1" si="175"/>
        <v>4.8919386211368064E-2</v>
      </c>
      <c r="Z400">
        <f t="shared" ca="1" si="176"/>
        <v>225.3147779986746</v>
      </c>
      <c r="AA400">
        <f t="shared" ca="1" si="177"/>
        <v>632.48699999999997</v>
      </c>
      <c r="AB400">
        <f t="shared" ca="1" si="178"/>
        <v>3219.9869584399603</v>
      </c>
      <c r="AC400">
        <f t="shared" ca="1" si="179"/>
        <v>638.44066340855431</v>
      </c>
      <c r="AD400">
        <f t="shared" ca="1" si="180"/>
        <v>321.71415625924578</v>
      </c>
      <c r="AE400">
        <f t="shared" ca="1" si="181"/>
        <v>1171.3668899357701</v>
      </c>
      <c r="AF400">
        <f t="shared" ca="1" si="182"/>
        <v>638.44016340855433</v>
      </c>
      <c r="AG400">
        <f t="shared" ca="1" si="183"/>
        <v>0</v>
      </c>
      <c r="AH400">
        <f ca="1">IF(V32="Supercritical",L400,IF(V32="Subcritical",W400,IF(AND(V400=1,AG400=1),IF(T400&gt;=AE400,L400,W400),IF(V400=1,L400,IF(AG400=1,W400,MAX($D$16,POWER((ABS(K400)^2)/($I$5*MAX(F400,0.1)^2),1/3)))))))</f>
        <v>2.3475604556821654</v>
      </c>
      <c r="AI400">
        <f t="shared" ca="1" si="184"/>
        <v>634.78456045568214</v>
      </c>
      <c r="AJ400">
        <f t="shared" ca="1" si="185"/>
        <v>635.95834068352326</v>
      </c>
      <c r="AM400">
        <v>0</v>
      </c>
      <c r="AN400">
        <v>0</v>
      </c>
      <c r="AO400">
        <f t="shared" si="186"/>
        <v>0</v>
      </c>
      <c r="AP400">
        <f t="shared" si="195"/>
        <v>0</v>
      </c>
      <c r="AQ400">
        <f t="shared" ca="1" si="187"/>
        <v>1</v>
      </c>
      <c r="AR400" t="str">
        <f t="shared" ca="1" si="188"/>
        <v>Supercritical</v>
      </c>
      <c r="AS400">
        <f t="shared" ca="1" si="189"/>
        <v>4.2888384428928488E-3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191</v>
      </c>
      <c r="I401">
        <v>0</v>
      </c>
      <c r="J401">
        <f t="shared" si="190"/>
        <v>1</v>
      </c>
      <c r="K401">
        <f t="shared" si="191"/>
        <v>51</v>
      </c>
      <c r="L401">
        <f t="shared" ca="1" si="192"/>
        <v>0.05</v>
      </c>
      <c r="M401">
        <f t="shared" ca="1" si="165"/>
        <v>0.22635000000000002</v>
      </c>
      <c r="N401">
        <f t="shared" ca="1" si="166"/>
        <v>4.8919386211368064E-2</v>
      </c>
      <c r="O401">
        <f t="shared" ca="1" si="167"/>
        <v>225.3147779986746</v>
      </c>
      <c r="P401">
        <f t="shared" ca="1" si="168"/>
        <v>632.48649999999998</v>
      </c>
      <c r="Q401">
        <f t="shared" ca="1" si="169"/>
        <v>3219.9864584399602</v>
      </c>
      <c r="R401">
        <f t="shared" ca="1" si="170"/>
        <v>638.44066340855431</v>
      </c>
      <c r="S401">
        <f t="shared" ca="1" si="171"/>
        <v>321.71415625924578</v>
      </c>
      <c r="T401">
        <f t="shared" ca="1" si="172"/>
        <v>1171.3668899357701</v>
      </c>
      <c r="U401">
        <f t="shared" ca="1" si="193"/>
        <v>-638.44016340855433</v>
      </c>
      <c r="V401">
        <f t="shared" ca="1" si="194"/>
        <v>0</v>
      </c>
      <c r="W401">
        <f t="shared" ca="1" si="173"/>
        <v>0.05</v>
      </c>
      <c r="X401">
        <f t="shared" ca="1" si="174"/>
        <v>0.22635000000000002</v>
      </c>
      <c r="Y401">
        <f t="shared" ca="1" si="175"/>
        <v>4.8919386211368064E-2</v>
      </c>
      <c r="Z401">
        <f t="shared" ca="1" si="176"/>
        <v>225.3147779986746</v>
      </c>
      <c r="AA401">
        <f t="shared" ca="1" si="177"/>
        <v>632.48649999999998</v>
      </c>
      <c r="AB401">
        <f t="shared" ca="1" si="178"/>
        <v>3219.9864584399602</v>
      </c>
      <c r="AC401">
        <f t="shared" ca="1" si="179"/>
        <v>638.44066340855431</v>
      </c>
      <c r="AD401">
        <f t="shared" ca="1" si="180"/>
        <v>321.71415625924578</v>
      </c>
      <c r="AE401">
        <f t="shared" ca="1" si="181"/>
        <v>1171.3668899357701</v>
      </c>
      <c r="AF401">
        <f t="shared" ca="1" si="182"/>
        <v>638.44016340855433</v>
      </c>
      <c r="AG401">
        <f t="shared" ca="1" si="183"/>
        <v>0</v>
      </c>
      <c r="AH401">
        <f ca="1">IF(V32="Supercritical",L401,IF(V32="Subcritical",W401,IF(AND(V401=1,AG401=1),IF(T401&gt;=AE401,L401,W401),IF(V401=1,L401,IF(AG401=1,W401,MAX($D$16,POWER((ABS(K401)^2)/($I$5*MAX(F401,0.1)^2),1/3)))))))</f>
        <v>2.3475604556821654</v>
      </c>
      <c r="AI401">
        <f t="shared" ca="1" si="184"/>
        <v>634.78406045568215</v>
      </c>
      <c r="AJ401">
        <f t="shared" ca="1" si="185"/>
        <v>635.95784068352327</v>
      </c>
      <c r="AM401">
        <v>0</v>
      </c>
      <c r="AN401">
        <v>0</v>
      </c>
      <c r="AO401">
        <f t="shared" si="186"/>
        <v>0</v>
      </c>
      <c r="AP401">
        <f t="shared" si="195"/>
        <v>0</v>
      </c>
      <c r="AQ401">
        <f t="shared" ca="1" si="187"/>
        <v>1</v>
      </c>
      <c r="AR401" t="str">
        <f t="shared" ca="1" si="188"/>
        <v>Supercritical</v>
      </c>
      <c r="AS401">
        <f t="shared" ca="1" si="189"/>
        <v>4.2888384428928488E-3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191</v>
      </c>
      <c r="I402">
        <v>0</v>
      </c>
      <c r="J402">
        <f t="shared" si="190"/>
        <v>1</v>
      </c>
      <c r="K402">
        <f t="shared" si="191"/>
        <v>51</v>
      </c>
      <c r="L402">
        <f t="shared" ca="1" si="192"/>
        <v>0.05</v>
      </c>
      <c r="M402">
        <f t="shared" ca="1" si="165"/>
        <v>0.22635000000000002</v>
      </c>
      <c r="N402">
        <f t="shared" ca="1" si="166"/>
        <v>4.8919386211368064E-2</v>
      </c>
      <c r="O402">
        <f t="shared" ca="1" si="167"/>
        <v>225.3147779986746</v>
      </c>
      <c r="P402">
        <f t="shared" ca="1" si="168"/>
        <v>632.48599999999999</v>
      </c>
      <c r="Q402">
        <f t="shared" ca="1" si="169"/>
        <v>3219.9859584399601</v>
      </c>
      <c r="R402">
        <f t="shared" ca="1" si="170"/>
        <v>638.44066340855431</v>
      </c>
      <c r="S402">
        <f t="shared" ca="1" si="171"/>
        <v>321.71415625924578</v>
      </c>
      <c r="T402">
        <f t="shared" ca="1" si="172"/>
        <v>1171.3668899357701</v>
      </c>
      <c r="U402">
        <f t="shared" ca="1" si="193"/>
        <v>-638.44016340855433</v>
      </c>
      <c r="V402">
        <f t="shared" ca="1" si="194"/>
        <v>0</v>
      </c>
      <c r="W402">
        <f t="shared" ca="1" si="173"/>
        <v>0.05</v>
      </c>
      <c r="X402">
        <f t="shared" ca="1" si="174"/>
        <v>0.22635000000000002</v>
      </c>
      <c r="Y402">
        <f t="shared" ca="1" si="175"/>
        <v>4.8919386211368064E-2</v>
      </c>
      <c r="Z402">
        <f t="shared" ca="1" si="176"/>
        <v>225.3147779986746</v>
      </c>
      <c r="AA402">
        <f t="shared" ca="1" si="177"/>
        <v>632.48599999999999</v>
      </c>
      <c r="AB402">
        <f t="shared" ca="1" si="178"/>
        <v>3219.9859584399601</v>
      </c>
      <c r="AC402">
        <f t="shared" ca="1" si="179"/>
        <v>638.44066340855431</v>
      </c>
      <c r="AD402">
        <f t="shared" ca="1" si="180"/>
        <v>321.71415625924578</v>
      </c>
      <c r="AE402">
        <f t="shared" ca="1" si="181"/>
        <v>1171.3668899357701</v>
      </c>
      <c r="AF402">
        <f t="shared" ca="1" si="182"/>
        <v>638.44016340855433</v>
      </c>
      <c r="AG402">
        <f t="shared" ca="1" si="183"/>
        <v>0</v>
      </c>
      <c r="AH402">
        <f ca="1">IF(V32="Supercritical",L402,IF(V32="Subcritical",W402,IF(AND(V402=1,AG402=1),IF(T402&gt;=AE402,L402,W402),IF(V402=1,L402,IF(AG402=1,W402,MAX($D$16,POWER((ABS(K402)^2)/($I$5*MAX(F402,0.1)^2),1/3)))))))</f>
        <v>2.3475604556821654</v>
      </c>
      <c r="AI402">
        <f t="shared" ca="1" si="184"/>
        <v>634.78356045568216</v>
      </c>
      <c r="AJ402">
        <f t="shared" ca="1" si="185"/>
        <v>635.95734068352328</v>
      </c>
      <c r="AM402">
        <v>0</v>
      </c>
      <c r="AN402">
        <v>0</v>
      </c>
      <c r="AO402">
        <f t="shared" si="186"/>
        <v>0</v>
      </c>
      <c r="AP402">
        <f t="shared" si="195"/>
        <v>0</v>
      </c>
      <c r="AQ402">
        <f t="shared" ca="1" si="187"/>
        <v>1</v>
      </c>
      <c r="AR402" t="str">
        <f t="shared" ca="1" si="188"/>
        <v>Supercritical</v>
      </c>
      <c r="AS402">
        <f t="shared" ca="1" si="189"/>
        <v>4.2888384428928488E-3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191</v>
      </c>
      <c r="I403">
        <v>0</v>
      </c>
      <c r="J403">
        <f t="shared" si="190"/>
        <v>1</v>
      </c>
      <c r="K403">
        <f t="shared" si="191"/>
        <v>51</v>
      </c>
      <c r="L403">
        <f t="shared" ca="1" si="192"/>
        <v>0.05</v>
      </c>
      <c r="M403">
        <f t="shared" ca="1" si="165"/>
        <v>0.22635000000000002</v>
      </c>
      <c r="N403">
        <f t="shared" ca="1" si="166"/>
        <v>4.8919386211368064E-2</v>
      </c>
      <c r="O403">
        <f t="shared" ca="1" si="167"/>
        <v>225.3147779986746</v>
      </c>
      <c r="P403">
        <f t="shared" ca="1" si="168"/>
        <v>632.4855</v>
      </c>
      <c r="Q403">
        <f t="shared" ca="1" si="169"/>
        <v>3219.98545843996</v>
      </c>
      <c r="R403">
        <f t="shared" ca="1" si="170"/>
        <v>638.44066340855431</v>
      </c>
      <c r="S403">
        <f t="shared" ca="1" si="171"/>
        <v>321.71415625924578</v>
      </c>
      <c r="T403">
        <f t="shared" ca="1" si="172"/>
        <v>1171.3668899357701</v>
      </c>
      <c r="U403">
        <f t="shared" ca="1" si="193"/>
        <v>-638.44016340855433</v>
      </c>
      <c r="V403">
        <f t="shared" ca="1" si="194"/>
        <v>0</v>
      </c>
      <c r="W403">
        <f t="shared" ca="1" si="173"/>
        <v>0.05</v>
      </c>
      <c r="X403">
        <f t="shared" ca="1" si="174"/>
        <v>0.22635000000000002</v>
      </c>
      <c r="Y403">
        <f t="shared" ca="1" si="175"/>
        <v>4.8919386211368064E-2</v>
      </c>
      <c r="Z403">
        <f t="shared" ca="1" si="176"/>
        <v>225.3147779986746</v>
      </c>
      <c r="AA403">
        <f t="shared" ca="1" si="177"/>
        <v>632.4855</v>
      </c>
      <c r="AB403">
        <f t="shared" ca="1" si="178"/>
        <v>3219.98545843996</v>
      </c>
      <c r="AC403">
        <f t="shared" ca="1" si="179"/>
        <v>638.44066340855431</v>
      </c>
      <c r="AD403">
        <f t="shared" ca="1" si="180"/>
        <v>321.71415625924578</v>
      </c>
      <c r="AE403">
        <f t="shared" ca="1" si="181"/>
        <v>1171.3668899357701</v>
      </c>
      <c r="AF403">
        <f t="shared" ca="1" si="182"/>
        <v>638.44016340855433</v>
      </c>
      <c r="AG403">
        <f t="shared" ca="1" si="183"/>
        <v>0</v>
      </c>
      <c r="AH403">
        <f ca="1">IF(V32="Supercritical",L403,IF(V32="Subcritical",W403,IF(AND(V403=1,AG403=1),IF(T403&gt;=AE403,L403,W403),IF(V403=1,L403,IF(AG403=1,W403,MAX($D$16,POWER((ABS(K403)^2)/($I$5*MAX(F403,0.1)^2),1/3)))))))</f>
        <v>2.3475604556821654</v>
      </c>
      <c r="AI403">
        <f t="shared" ca="1" si="184"/>
        <v>634.78306045568218</v>
      </c>
      <c r="AJ403">
        <f t="shared" ca="1" si="185"/>
        <v>635.9568406835233</v>
      </c>
      <c r="AM403">
        <v>0</v>
      </c>
      <c r="AN403">
        <v>0</v>
      </c>
      <c r="AO403">
        <f t="shared" si="186"/>
        <v>0</v>
      </c>
      <c r="AP403">
        <f t="shared" si="195"/>
        <v>0</v>
      </c>
      <c r="AQ403">
        <f t="shared" ca="1" si="187"/>
        <v>1</v>
      </c>
      <c r="AR403" t="str">
        <f t="shared" ca="1" si="188"/>
        <v>Supercritical</v>
      </c>
      <c r="AS403">
        <f t="shared" ca="1" si="189"/>
        <v>4.2888384428928488E-3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191</v>
      </c>
      <c r="I404">
        <v>0</v>
      </c>
      <c r="J404">
        <f t="shared" si="190"/>
        <v>1</v>
      </c>
      <c r="K404">
        <f t="shared" si="191"/>
        <v>51</v>
      </c>
      <c r="L404">
        <f t="shared" ca="1" si="192"/>
        <v>0.05</v>
      </c>
      <c r="M404">
        <f t="shared" ca="1" si="165"/>
        <v>0.22635000000000002</v>
      </c>
      <c r="N404">
        <f t="shared" ca="1" si="166"/>
        <v>4.8919386211368064E-2</v>
      </c>
      <c r="O404">
        <f t="shared" ca="1" si="167"/>
        <v>225.3147779986746</v>
      </c>
      <c r="P404">
        <f t="shared" ca="1" si="168"/>
        <v>632.4849999999999</v>
      </c>
      <c r="Q404">
        <f t="shared" ca="1" si="169"/>
        <v>3219.9849584399599</v>
      </c>
      <c r="R404">
        <f t="shared" ca="1" si="170"/>
        <v>638.44066340855431</v>
      </c>
      <c r="S404">
        <f t="shared" ca="1" si="171"/>
        <v>321.71415625924578</v>
      </c>
      <c r="T404">
        <f t="shared" ca="1" si="172"/>
        <v>1171.3668899357701</v>
      </c>
      <c r="U404">
        <f t="shared" ca="1" si="193"/>
        <v>-638.44016340855433</v>
      </c>
      <c r="V404">
        <f t="shared" ca="1" si="194"/>
        <v>0</v>
      </c>
      <c r="W404">
        <f t="shared" ca="1" si="173"/>
        <v>0.05</v>
      </c>
      <c r="X404">
        <f t="shared" ca="1" si="174"/>
        <v>0.22635000000000002</v>
      </c>
      <c r="Y404">
        <f t="shared" ca="1" si="175"/>
        <v>4.8919386211368064E-2</v>
      </c>
      <c r="Z404">
        <f t="shared" ca="1" si="176"/>
        <v>225.3147779986746</v>
      </c>
      <c r="AA404">
        <f t="shared" ca="1" si="177"/>
        <v>632.4849999999999</v>
      </c>
      <c r="AB404">
        <f t="shared" ca="1" si="178"/>
        <v>3219.9849584399599</v>
      </c>
      <c r="AC404">
        <f t="shared" ca="1" si="179"/>
        <v>638.44066340855431</v>
      </c>
      <c r="AD404">
        <f t="shared" ca="1" si="180"/>
        <v>321.71415625924578</v>
      </c>
      <c r="AE404">
        <f t="shared" ca="1" si="181"/>
        <v>1171.3668899357701</v>
      </c>
      <c r="AF404">
        <f t="shared" ca="1" si="182"/>
        <v>638.44016340855478</v>
      </c>
      <c r="AG404">
        <f t="shared" ca="1" si="183"/>
        <v>0</v>
      </c>
      <c r="AH404">
        <f ca="1">IF(V32="Supercritical",L404,IF(V32="Subcritical",W404,IF(AND(V404=1,AG404=1),IF(T404&gt;=AE404,L404,W404),IF(V404=1,L404,IF(AG404=1,W404,MAX($D$16,POWER((ABS(K404)^2)/($I$5*MAX(F404,0.1)^2),1/3)))))))</f>
        <v>2.3475604556821654</v>
      </c>
      <c r="AI404">
        <f t="shared" ca="1" si="184"/>
        <v>634.78256045568207</v>
      </c>
      <c r="AJ404">
        <f t="shared" ca="1" si="185"/>
        <v>635.95634068352319</v>
      </c>
      <c r="AM404">
        <v>0</v>
      </c>
      <c r="AN404">
        <v>0</v>
      </c>
      <c r="AO404">
        <f t="shared" si="186"/>
        <v>0</v>
      </c>
      <c r="AP404">
        <f t="shared" si="195"/>
        <v>0</v>
      </c>
      <c r="AQ404">
        <f t="shared" ca="1" si="187"/>
        <v>1</v>
      </c>
      <c r="AR404" t="str">
        <f t="shared" ca="1" si="188"/>
        <v>Supercritical</v>
      </c>
      <c r="AS404">
        <f t="shared" ca="1" si="189"/>
        <v>4.2888384428928488E-3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191</v>
      </c>
      <c r="I405">
        <v>0</v>
      </c>
      <c r="J405">
        <f t="shared" si="190"/>
        <v>1</v>
      </c>
      <c r="K405">
        <f t="shared" si="191"/>
        <v>51</v>
      </c>
      <c r="L405">
        <f t="shared" ca="1" si="192"/>
        <v>0.05</v>
      </c>
      <c r="M405">
        <f t="shared" ca="1" si="165"/>
        <v>0.22635000000000002</v>
      </c>
      <c r="N405">
        <f t="shared" ca="1" si="166"/>
        <v>4.8919386211368064E-2</v>
      </c>
      <c r="O405">
        <f t="shared" ca="1" si="167"/>
        <v>225.3147779986746</v>
      </c>
      <c r="P405">
        <f t="shared" ca="1" si="168"/>
        <v>632.48449999999991</v>
      </c>
      <c r="Q405">
        <f t="shared" ca="1" si="169"/>
        <v>3219.9844584399602</v>
      </c>
      <c r="R405">
        <f t="shared" ca="1" si="170"/>
        <v>638.44066340855431</v>
      </c>
      <c r="S405">
        <f t="shared" ca="1" si="171"/>
        <v>321.71415625924578</v>
      </c>
      <c r="T405">
        <f t="shared" ca="1" si="172"/>
        <v>1171.3668899357701</v>
      </c>
      <c r="U405">
        <f t="shared" ca="1" si="193"/>
        <v>-638.44016340855478</v>
      </c>
      <c r="V405">
        <f t="shared" ca="1" si="194"/>
        <v>0</v>
      </c>
      <c r="W405">
        <f t="shared" ca="1" si="173"/>
        <v>0.05</v>
      </c>
      <c r="X405">
        <f t="shared" ca="1" si="174"/>
        <v>0.22635000000000002</v>
      </c>
      <c r="Y405">
        <f t="shared" ca="1" si="175"/>
        <v>4.8919386211368064E-2</v>
      </c>
      <c r="Z405">
        <f t="shared" ca="1" si="176"/>
        <v>225.3147779986746</v>
      </c>
      <c r="AA405">
        <f t="shared" ca="1" si="177"/>
        <v>632.48449999999991</v>
      </c>
      <c r="AB405">
        <f t="shared" ca="1" si="178"/>
        <v>3219.9844584399602</v>
      </c>
      <c r="AC405">
        <f t="shared" ca="1" si="179"/>
        <v>638.44066340855431</v>
      </c>
      <c r="AD405">
        <f t="shared" ca="1" si="180"/>
        <v>321.71415625924578</v>
      </c>
      <c r="AE405">
        <f t="shared" ca="1" si="181"/>
        <v>1171.3668899357701</v>
      </c>
      <c r="AF405">
        <f t="shared" ca="1" si="182"/>
        <v>637.80172274514234</v>
      </c>
      <c r="AG405">
        <f t="shared" ca="1" si="183"/>
        <v>0</v>
      </c>
      <c r="AH405">
        <f ca="1">IF(V32="Supercritical",L405,IF(V32="Subcritical",W405,IF(AND(V405=1,AG405=1),IF(T405&gt;=AE405,L405,W405),IF(V405=1,L405,IF(AG405=1,W405,MAX($D$16,POWER((ABS(K405)^2)/($I$5*MAX(F405,0.1)^2),1/3)))))))</f>
        <v>2.3475604556821654</v>
      </c>
      <c r="AI405">
        <f t="shared" ca="1" si="184"/>
        <v>634.78206045568209</v>
      </c>
      <c r="AJ405">
        <f t="shared" ca="1" si="185"/>
        <v>635.95584068352321</v>
      </c>
      <c r="AM405">
        <v>0</v>
      </c>
      <c r="AN405">
        <v>0</v>
      </c>
      <c r="AO405">
        <f t="shared" si="186"/>
        <v>0</v>
      </c>
      <c r="AP405">
        <f t="shared" si="195"/>
        <v>0</v>
      </c>
      <c r="AQ405">
        <f t="shared" ca="1" si="187"/>
        <v>1</v>
      </c>
      <c r="AR405" t="str">
        <f t="shared" ca="1" si="188"/>
        <v>Supercritical</v>
      </c>
      <c r="AS405">
        <f t="shared" ca="1" si="189"/>
        <v>4.2888384428928488E-3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191</v>
      </c>
      <c r="I406">
        <v>0</v>
      </c>
      <c r="J406">
        <f t="shared" si="190"/>
        <v>0.99899999999999523</v>
      </c>
      <c r="K406">
        <f t="shared" si="191"/>
        <v>51</v>
      </c>
      <c r="L406">
        <f t="shared" ca="1" si="192"/>
        <v>0.05</v>
      </c>
      <c r="M406">
        <f t="shared" ref="M406:M469" ca="1" si="196">((F406)+(G406)*(L406))*(L406)</f>
        <v>0.22635000000000002</v>
      </c>
      <c r="N406">
        <f t="shared" ref="N406:N469" ca="1" si="197">(((F406)+(G406)*(L406))*(L406))/MAX((F406)+2*(L406)*SQRT(1+(G406)^2),0.000001)</f>
        <v>4.8919386211368064E-2</v>
      </c>
      <c r="O406">
        <f t="shared" ref="O406:O469" ca="1" si="198">ABS(K406)/MAX(((F406)+(G406)*(L406))*(L406),0.000001)</f>
        <v>225.3147779986746</v>
      </c>
      <c r="P406">
        <f t="shared" ref="P406:P469" ca="1" si="199">E406+L406</f>
        <v>632.48399999999992</v>
      </c>
      <c r="Q406">
        <f t="shared" ref="Q406:Q469" ca="1" si="200">P406+((ABS(K406)/MAX(((F406)+(G406)*(L406))*(L406),0.000001))^2)/(2*$I$5)</f>
        <v>3219.9839584399601</v>
      </c>
      <c r="R406">
        <f t="shared" ref="R406:R469" ca="1" si="201">((ABS(K406)*$D$6)/(MAX(((F406)+(G406)*(L406))*(L406),0.000001)*MAX(((((F406)+(G406)*(L406))*(L406))/MAX((F406)+2*(L406)*SQRT(1+(G406)^2),0.000001))^(2/3),0.000001)))^2</f>
        <v>638.44066340855431</v>
      </c>
      <c r="S406">
        <f t="shared" ref="S406:S469" ca="1" si="202">ABS(ABS(K406)/MAX(((F406)+(G406)*(L406))*(L406),0.000001))/SQRT($I$5*MAX((((F406)+(G406)*(L406))*(L406))/MAX((F406)+2*(G406)*(L406),0.000001),0.000001))</f>
        <v>321.71415625924578</v>
      </c>
      <c r="T406">
        <f t="shared" ref="T406:T469" ca="1" si="203">((F406)*(L406)^2)/2+(G406)*(L406)^3/3+(ABS(K406)^2)/($I$5*MAX(((F406)+(G406)*(L406))*(L406),0.000001))</f>
        <v>1171.3668899357701</v>
      </c>
      <c r="U406">
        <f t="shared" ca="1" si="193"/>
        <v>-637.80172274514234</v>
      </c>
      <c r="V406">
        <f t="shared" ca="1" si="194"/>
        <v>0</v>
      </c>
      <c r="W406">
        <f t="shared" ref="W406:W469" ca="1" si="204">IF(OR($D$20=0,AG407=0),W407,IF(OR(W406=0,AD407&gt;1),MAX($D$16,POWER((ABS(K406)^2)/($I$5*MAX(F406,0.1)^2),1/3)),IF(AF406&gt;0,MAX($D$16,W406+((AF406)*$D$18*IF((AD406)&lt;1,1,-1))),IF(AF406&lt;0,IF(ABS((MAX($D$16,POWER((ABS(K406)^2)/($I$5*MAX(F406,0.1)^2),1/3)))-W406)&gt;$D$19,MAX($D$16,W406+($D$18*((MAX($D$16,POWER((ABS(K406)^2)/($I$5*MAX(F406,0.1)^2),1/3)))-W406))),MAX($D$16,POWER((ABS(K406)^2)/($I$5*MAX(F406,0.1)^2),1/3))),W406))))</f>
        <v>0.05</v>
      </c>
      <c r="X406">
        <f t="shared" ref="X406:X469" ca="1" si="205">((F406)+(G406)*(W406))*(W406)</f>
        <v>0.22635000000000002</v>
      </c>
      <c r="Y406">
        <f t="shared" ref="Y406:Y469" ca="1" si="206">(((F406)+(G406)*(W406))*(W406))/MAX((F406)+2*(W406)*SQRT(1+(G406)^2),0.000001)</f>
        <v>4.8919386211368064E-2</v>
      </c>
      <c r="Z406">
        <f t="shared" ref="Z406:Z469" ca="1" si="207">ABS(K406)/MAX(((F406)+(G406)*(W406))*(W406),0.000001)</f>
        <v>225.3147779986746</v>
      </c>
      <c r="AA406">
        <f t="shared" ref="AA406:AA469" ca="1" si="208">E406+W406</f>
        <v>632.48399999999992</v>
      </c>
      <c r="AB406">
        <f t="shared" ref="AB406:AB469" ca="1" si="209">AA406+((ABS(K406)/MAX(((F406)+(G406)*(W406))*(W406),0.000001))^2)/(2*$I$5)</f>
        <v>3219.9839584399601</v>
      </c>
      <c r="AC406">
        <f t="shared" ref="AC406:AC469" ca="1" si="210">((ABS(K406)*$D$6)/(MAX(((F406)+(G406)*(W406))*(W406),0.000001)*MAX(((((F406)+(G406)*(W406))*(W406))/MAX((F406)+2*(W406)*SQRT(1+(G406)^2),0.000001))^(2/3),0.000001)))^2</f>
        <v>638.44066340855431</v>
      </c>
      <c r="AD406">
        <f t="shared" ref="AD406:AD469" ca="1" si="211">ABS(ABS(K406)/MAX(((F406)+(G406)*(W406))*(W406),0.000001))/SQRT($I$5*MAX((((F406)+(G406)*(W406))*(W406))/MAX((F406)+2*(G406)*(W406),0.000001),0.000001))</f>
        <v>321.71415625924578</v>
      </c>
      <c r="AE406">
        <f t="shared" ref="AE406:AE469" ca="1" si="212">((F406)*(W406)^2)/2+(G406)*(W406)^3/3+(ABS(K406)^2)/($I$5*MAX(((F406)+(G406)*(W406))*(W406),0.000001))</f>
        <v>1171.3668899357701</v>
      </c>
      <c r="AF406">
        <f t="shared" ref="AF406:AF469" ca="1" si="213">AB407+(((AC406+AC407)/2)*J407)+(IF(Z406&gt;Z407,$D$8*((Z406^2-Z407^2)/(2*$I$5)),$D$9*((Z407^2-Z406^2)/(2*$I$5)))+($D$10*(ABS(I407)/90)*(MAX(Z406^2,Z407^2)/(2*$I$5))))-AB406</f>
        <v>638.44016340857252</v>
      </c>
      <c r="AG406">
        <f t="shared" ref="AG406:AG469" ca="1" si="214">IF(ROUND(AD406,3)=1,1,IF(AND(ABS(AF406)&lt;$D$19,AD406&lt;1),1,0))</f>
        <v>0</v>
      </c>
      <c r="AH406">
        <f ca="1">IF(V32="Supercritical",L406,IF(V32="Subcritical",W406,IF(AND(V406=1,AG406=1),IF(T406&gt;=AE406,L406,W406),IF(V406=1,L406,IF(AG406=1,W406,MAX($D$16,POWER((ABS(K406)^2)/($I$5*MAX(F406,0.1)^2),1/3)))))))</f>
        <v>2.3475604556821654</v>
      </c>
      <c r="AI406">
        <f t="shared" ref="AI406:AI469" ca="1" si="215">E406+AH406</f>
        <v>634.7815604556821</v>
      </c>
      <c r="AJ406">
        <f t="shared" ref="AJ406:AJ469" ca="1" si="216">AI406+((ABS(K406)/MAX(((F406)+(G406)*(AH406))*(AH406),0.000001))^2)/(2*$I$5)</f>
        <v>635.95534068352322</v>
      </c>
      <c r="AM406">
        <v>0</v>
      </c>
      <c r="AN406">
        <v>0</v>
      </c>
      <c r="AO406">
        <f t="shared" ref="AO406:AO469" si="217">AM406+AN406</f>
        <v>0</v>
      </c>
      <c r="AP406">
        <f t="shared" si="195"/>
        <v>0</v>
      </c>
      <c r="AQ406">
        <f t="shared" ref="AQ406:AQ469" ca="1" si="218">ABS(ABS(K406)/MAX(((F406)+(G406)*(AH406))*(AH406),0.000001))/SQRT($I$5*MAX((((F406)+(G406)*(AH406))*(AH406))/MAX((F406)+2*(G406)*(AH406),0.000001),0.000001))</f>
        <v>1</v>
      </c>
      <c r="AR406" t="str">
        <f t="shared" ref="AR406:AR469" ca="1" si="219">IF(AQ406&lt;1,"Subcritical","Supercritical")</f>
        <v>Supercritical</v>
      </c>
      <c r="AS406">
        <f t="shared" ref="AS406:AS469" ca="1" si="220">((ABS(K406)*$D$6)/(MAX(((F406)+(G406)*(AH406))*(AH406),0.000001)*MAX(((((F406)+(G406)*(AH406))*(AH406))/MAX((F406)+2*(AH406)*SQRT(1+(G406)^2),0.000001))^(2/3),0.000001)))^2</f>
        <v>4.2888384428928488E-3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191</v>
      </c>
      <c r="I407">
        <v>0</v>
      </c>
      <c r="J407">
        <f t="shared" ref="J407:J470" si="221">B407-B406</f>
        <v>1.0000000000000284</v>
      </c>
      <c r="K407">
        <f t="shared" ref="K407:K470" si="222">MAX(0,K406-AO406)</f>
        <v>51</v>
      </c>
      <c r="L407">
        <f t="shared" ref="L407:L470" ca="1" si="223">IF(OR($D$20=0,V406=0),L406,IF(OR(L407=0,S406&lt;1,S407&lt;1),MAX($D$16,POWER((ABS(K407)^2)/($I$5*MAX(F407,0.1)^2),1/3)),IF(U407&gt;0,MAX($D$16,L407+((U407)*$D$18*IF((S407)&lt;1,1,-1))),IF(U407&lt;0,IF(ABS((MAX($D$16,POWER((ABS(K407)^2)/($I$5*MAX(F407,0.1)^2),1/3)))-L407)&gt;$D$19,MAX($D$16,L407+($D$18*((MAX($D$16,POWER((ABS(K407)^2)/($I$5*MAX(F407,0.1)^2),1/3)))-L407))),MAX($D$16,POWER((ABS(K407)^2)/($I$5*MAX(F407,0.1)^2),1/3))),L407))))</f>
        <v>0.05</v>
      </c>
      <c r="M407">
        <f t="shared" ca="1" si="196"/>
        <v>0.22635000000000002</v>
      </c>
      <c r="N407">
        <f t="shared" ca="1" si="197"/>
        <v>4.8919386211368064E-2</v>
      </c>
      <c r="O407">
        <f t="shared" ca="1" si="198"/>
        <v>225.3147779986746</v>
      </c>
      <c r="P407">
        <f t="shared" ca="1" si="199"/>
        <v>632.48349999999994</v>
      </c>
      <c r="Q407">
        <f t="shared" ca="1" si="200"/>
        <v>3219.98345843996</v>
      </c>
      <c r="R407">
        <f t="shared" ca="1" si="201"/>
        <v>638.44066340855431</v>
      </c>
      <c r="S407">
        <f t="shared" ca="1" si="202"/>
        <v>321.71415625924578</v>
      </c>
      <c r="T407">
        <f t="shared" ca="1" si="203"/>
        <v>1171.3668899357701</v>
      </c>
      <c r="U407">
        <f t="shared" ref="U407:U470" ca="1" si="224">Q406-(((R406+R407)/2)*J407)-(IF(O406&gt;O407,$D$8*((O406^2-O407^2)/(2*$I$5)),$D$9*((O407^2-O406^2)/(2*$I$5)))+($D$10*(ABS(I407)/90)*(MAX(O406^2,O407^2)/(2*$I$5))))-Q407</f>
        <v>-638.44016340857252</v>
      </c>
      <c r="V407">
        <f t="shared" ref="V407:V470" ca="1" si="225">IF(ROUND(S407,3)=1,1,IF(AND(ABS(U407)&lt;$D$19,S407&gt;1),1,0))</f>
        <v>0</v>
      </c>
      <c r="W407">
        <f t="shared" ca="1" si="204"/>
        <v>0.05</v>
      </c>
      <c r="X407">
        <f t="shared" ca="1" si="205"/>
        <v>0.22635000000000002</v>
      </c>
      <c r="Y407">
        <f t="shared" ca="1" si="206"/>
        <v>4.8919386211368064E-2</v>
      </c>
      <c r="Z407">
        <f t="shared" ca="1" si="207"/>
        <v>225.3147779986746</v>
      </c>
      <c r="AA407">
        <f t="shared" ca="1" si="208"/>
        <v>632.48349999999994</v>
      </c>
      <c r="AB407">
        <f t="shared" ca="1" si="209"/>
        <v>3219.98345843996</v>
      </c>
      <c r="AC407">
        <f t="shared" ca="1" si="210"/>
        <v>638.44066340855431</v>
      </c>
      <c r="AD407">
        <f t="shared" ca="1" si="211"/>
        <v>321.71415625924578</v>
      </c>
      <c r="AE407">
        <f t="shared" ca="1" si="212"/>
        <v>1171.3668899357701</v>
      </c>
      <c r="AF407">
        <f t="shared" ca="1" si="213"/>
        <v>638.57385090640764</v>
      </c>
      <c r="AG407">
        <f t="shared" ca="1" si="214"/>
        <v>0</v>
      </c>
      <c r="AH407">
        <f ca="1">IF(V32="Supercritical",L407,IF(V32="Subcritical",W407,IF(AND(V407=1,AG407=1),IF(T407&gt;=AE407,L407,W407),IF(V407=1,L407,IF(AG407=1,W407,MAX($D$16,POWER((ABS(K407)^2)/($I$5*MAX(F407,0.1)^2),1/3)))))))</f>
        <v>2.3475604556821654</v>
      </c>
      <c r="AI407">
        <f t="shared" ca="1" si="215"/>
        <v>634.78106045568211</v>
      </c>
      <c r="AJ407">
        <f t="shared" ca="1" si="216"/>
        <v>635.95484068352323</v>
      </c>
      <c r="AM407">
        <v>0</v>
      </c>
      <c r="AN407">
        <v>0</v>
      </c>
      <c r="AO407">
        <f t="shared" si="217"/>
        <v>0</v>
      </c>
      <c r="AP407">
        <f t="shared" ref="AP407:AP470" si="226">AP406+AO407</f>
        <v>0</v>
      </c>
      <c r="AQ407">
        <f t="shared" ca="1" si="218"/>
        <v>1</v>
      </c>
      <c r="AR407" t="str">
        <f t="shared" ca="1" si="219"/>
        <v>Supercritical</v>
      </c>
      <c r="AS407">
        <f t="shared" ca="1" si="220"/>
        <v>4.2888384428928488E-3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191</v>
      </c>
      <c r="I408">
        <v>3.1E-2</v>
      </c>
      <c r="J408">
        <f t="shared" si="221"/>
        <v>1</v>
      </c>
      <c r="K408">
        <f t="shared" si="222"/>
        <v>51</v>
      </c>
      <c r="L408">
        <f t="shared" ca="1" si="223"/>
        <v>0.05</v>
      </c>
      <c r="M408">
        <f t="shared" ca="1" si="196"/>
        <v>0.22635000000000002</v>
      </c>
      <c r="N408">
        <f t="shared" ca="1" si="197"/>
        <v>4.8919386211368064E-2</v>
      </c>
      <c r="O408">
        <f t="shared" ca="1" si="198"/>
        <v>225.3147779986746</v>
      </c>
      <c r="P408">
        <f t="shared" ca="1" si="199"/>
        <v>632.48299999999995</v>
      </c>
      <c r="Q408">
        <f t="shared" ca="1" si="200"/>
        <v>3219.9829584399604</v>
      </c>
      <c r="R408">
        <f t="shared" ca="1" si="201"/>
        <v>638.44066340855431</v>
      </c>
      <c r="S408">
        <f t="shared" ca="1" si="202"/>
        <v>321.71415625924578</v>
      </c>
      <c r="T408">
        <f t="shared" ca="1" si="203"/>
        <v>1171.3668899357701</v>
      </c>
      <c r="U408">
        <f t="shared" ca="1" si="224"/>
        <v>-638.57385090640764</v>
      </c>
      <c r="V408">
        <f t="shared" ca="1" si="225"/>
        <v>0</v>
      </c>
      <c r="W408">
        <f t="shared" ca="1" si="204"/>
        <v>0.05</v>
      </c>
      <c r="X408">
        <f t="shared" ca="1" si="205"/>
        <v>0.22635000000000002</v>
      </c>
      <c r="Y408">
        <f t="shared" ca="1" si="206"/>
        <v>4.8919386211368064E-2</v>
      </c>
      <c r="Z408">
        <f t="shared" ca="1" si="207"/>
        <v>225.3147779986746</v>
      </c>
      <c r="AA408">
        <f t="shared" ca="1" si="208"/>
        <v>632.48299999999995</v>
      </c>
      <c r="AB408">
        <f t="shared" ca="1" si="209"/>
        <v>3219.9829584399604</v>
      </c>
      <c r="AC408">
        <f t="shared" ca="1" si="210"/>
        <v>638.44066340855431</v>
      </c>
      <c r="AD408">
        <f t="shared" ca="1" si="211"/>
        <v>321.71415625924578</v>
      </c>
      <c r="AE408">
        <f t="shared" ca="1" si="212"/>
        <v>1171.3668899357701</v>
      </c>
      <c r="AF408">
        <f t="shared" ca="1" si="213"/>
        <v>639.21229156980053</v>
      </c>
      <c r="AG408">
        <f t="shared" ca="1" si="214"/>
        <v>0</v>
      </c>
      <c r="AH408">
        <f ca="1">IF(V32="Supercritical",L408,IF(V32="Subcritical",W408,IF(AND(V408=1,AG408=1),IF(T408&gt;=AE408,L408,W408),IF(V408=1,L408,IF(AG408=1,W408,MAX($D$16,POWER((ABS(K408)^2)/($I$5*MAX(F408,0.1)^2),1/3)))))))</f>
        <v>2.3475604556821654</v>
      </c>
      <c r="AI408">
        <f t="shared" ca="1" si="215"/>
        <v>634.78056045568212</v>
      </c>
      <c r="AJ408">
        <f t="shared" ca="1" si="216"/>
        <v>635.95434068352324</v>
      </c>
      <c r="AM408">
        <v>0</v>
      </c>
      <c r="AN408">
        <v>0</v>
      </c>
      <c r="AO408">
        <f t="shared" si="217"/>
        <v>0</v>
      </c>
      <c r="AP408">
        <f t="shared" si="226"/>
        <v>0</v>
      </c>
      <c r="AQ408">
        <f t="shared" ca="1" si="218"/>
        <v>1</v>
      </c>
      <c r="AR408" t="str">
        <f t="shared" ca="1" si="219"/>
        <v>Supercritical</v>
      </c>
      <c r="AS408">
        <f t="shared" ca="1" si="220"/>
        <v>4.2888384428928488E-3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191</v>
      </c>
      <c r="I409">
        <v>3.1E-2</v>
      </c>
      <c r="J409">
        <f t="shared" si="221"/>
        <v>1.0009999999999764</v>
      </c>
      <c r="K409">
        <f t="shared" si="222"/>
        <v>51</v>
      </c>
      <c r="L409">
        <f t="shared" ca="1" si="223"/>
        <v>0.05</v>
      </c>
      <c r="M409">
        <f t="shared" ca="1" si="196"/>
        <v>0.22635000000000002</v>
      </c>
      <c r="N409">
        <f t="shared" ca="1" si="197"/>
        <v>4.8919386211368064E-2</v>
      </c>
      <c r="O409">
        <f t="shared" ca="1" si="198"/>
        <v>225.3147779986746</v>
      </c>
      <c r="P409">
        <f t="shared" ca="1" si="199"/>
        <v>632.48249999999996</v>
      </c>
      <c r="Q409">
        <f t="shared" ca="1" si="200"/>
        <v>3219.9824584399603</v>
      </c>
      <c r="R409">
        <f t="shared" ca="1" si="201"/>
        <v>638.44066340855431</v>
      </c>
      <c r="S409">
        <f t="shared" ca="1" si="202"/>
        <v>321.71415625924578</v>
      </c>
      <c r="T409">
        <f t="shared" ca="1" si="203"/>
        <v>1171.3668899357701</v>
      </c>
      <c r="U409">
        <f t="shared" ca="1" si="224"/>
        <v>-639.21229156980053</v>
      </c>
      <c r="V409">
        <f t="shared" ca="1" si="225"/>
        <v>0</v>
      </c>
      <c r="W409">
        <f t="shared" ca="1" si="204"/>
        <v>0.05</v>
      </c>
      <c r="X409">
        <f t="shared" ca="1" si="205"/>
        <v>0.22635000000000002</v>
      </c>
      <c r="Y409">
        <f t="shared" ca="1" si="206"/>
        <v>4.8919386211368064E-2</v>
      </c>
      <c r="Z409">
        <f t="shared" ca="1" si="207"/>
        <v>225.3147779986746</v>
      </c>
      <c r="AA409">
        <f t="shared" ca="1" si="208"/>
        <v>632.48249999999996</v>
      </c>
      <c r="AB409">
        <f t="shared" ca="1" si="209"/>
        <v>3219.9824584399603</v>
      </c>
      <c r="AC409">
        <f t="shared" ca="1" si="210"/>
        <v>638.44066340855431</v>
      </c>
      <c r="AD409">
        <f t="shared" ca="1" si="211"/>
        <v>321.71415625924578</v>
      </c>
      <c r="AE409">
        <f t="shared" ca="1" si="212"/>
        <v>1171.3668899357701</v>
      </c>
      <c r="AF409">
        <f t="shared" ca="1" si="213"/>
        <v>638.44016340855433</v>
      </c>
      <c r="AG409">
        <f t="shared" ca="1" si="214"/>
        <v>0</v>
      </c>
      <c r="AH409">
        <f ca="1">IF(V32="Supercritical",L409,IF(V32="Subcritical",W409,IF(AND(V409=1,AG409=1),IF(T409&gt;=AE409,L409,W409),IF(V409=1,L409,IF(AG409=1,W409,MAX($D$16,POWER((ABS(K409)^2)/($I$5*MAX(F409,0.1)^2),1/3)))))))</f>
        <v>2.3475604556821654</v>
      </c>
      <c r="AI409">
        <f t="shared" ca="1" si="215"/>
        <v>634.78006045568213</v>
      </c>
      <c r="AJ409">
        <f t="shared" ca="1" si="216"/>
        <v>635.95384068352325</v>
      </c>
      <c r="AM409">
        <v>0</v>
      </c>
      <c r="AN409">
        <v>0</v>
      </c>
      <c r="AO409">
        <f t="shared" si="217"/>
        <v>0</v>
      </c>
      <c r="AP409">
        <f t="shared" si="226"/>
        <v>0</v>
      </c>
      <c r="AQ409">
        <f t="shared" ca="1" si="218"/>
        <v>1</v>
      </c>
      <c r="AR409" t="str">
        <f t="shared" ca="1" si="219"/>
        <v>Supercritical</v>
      </c>
      <c r="AS409">
        <f t="shared" ca="1" si="220"/>
        <v>4.2888384428928488E-3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191</v>
      </c>
      <c r="I410">
        <v>0</v>
      </c>
      <c r="J410">
        <f t="shared" si="221"/>
        <v>1</v>
      </c>
      <c r="K410">
        <f t="shared" si="222"/>
        <v>51</v>
      </c>
      <c r="L410">
        <f t="shared" ca="1" si="223"/>
        <v>0.05</v>
      </c>
      <c r="M410">
        <f t="shared" ca="1" si="196"/>
        <v>0.22635000000000002</v>
      </c>
      <c r="N410">
        <f t="shared" ca="1" si="197"/>
        <v>4.8919386211368064E-2</v>
      </c>
      <c r="O410">
        <f t="shared" ca="1" si="198"/>
        <v>225.3147779986746</v>
      </c>
      <c r="P410">
        <f t="shared" ca="1" si="199"/>
        <v>632.48199999999997</v>
      </c>
      <c r="Q410">
        <f t="shared" ca="1" si="200"/>
        <v>3219.9819584399602</v>
      </c>
      <c r="R410">
        <f t="shared" ca="1" si="201"/>
        <v>638.44066340855431</v>
      </c>
      <c r="S410">
        <f t="shared" ca="1" si="202"/>
        <v>321.71415625924578</v>
      </c>
      <c r="T410">
        <f t="shared" ca="1" si="203"/>
        <v>1171.3668899357701</v>
      </c>
      <c r="U410">
        <f t="shared" ca="1" si="224"/>
        <v>-638.44016340855433</v>
      </c>
      <c r="V410">
        <f t="shared" ca="1" si="225"/>
        <v>0</v>
      </c>
      <c r="W410">
        <f t="shared" ca="1" si="204"/>
        <v>0.05</v>
      </c>
      <c r="X410">
        <f t="shared" ca="1" si="205"/>
        <v>0.22635000000000002</v>
      </c>
      <c r="Y410">
        <f t="shared" ca="1" si="206"/>
        <v>4.8919386211368064E-2</v>
      </c>
      <c r="Z410">
        <f t="shared" ca="1" si="207"/>
        <v>225.3147779986746</v>
      </c>
      <c r="AA410">
        <f t="shared" ca="1" si="208"/>
        <v>632.48199999999997</v>
      </c>
      <c r="AB410">
        <f t="shared" ca="1" si="209"/>
        <v>3219.9819584399602</v>
      </c>
      <c r="AC410">
        <f t="shared" ca="1" si="210"/>
        <v>638.44066340855431</v>
      </c>
      <c r="AD410">
        <f t="shared" ca="1" si="211"/>
        <v>321.71415625924578</v>
      </c>
      <c r="AE410">
        <f t="shared" ca="1" si="212"/>
        <v>1171.3668899357701</v>
      </c>
      <c r="AF410">
        <f t="shared" ca="1" si="213"/>
        <v>638.44016340855433</v>
      </c>
      <c r="AG410">
        <f t="shared" ca="1" si="214"/>
        <v>0</v>
      </c>
      <c r="AH410">
        <f ca="1">IF(V32="Supercritical",L410,IF(V32="Subcritical",W410,IF(AND(V410=1,AG410=1),IF(T410&gt;=AE410,L410,W410),IF(V410=1,L410,IF(AG410=1,W410,MAX($D$16,POWER((ABS(K410)^2)/($I$5*MAX(F410,0.1)^2),1/3)))))))</f>
        <v>2.3475604556821654</v>
      </c>
      <c r="AI410">
        <f t="shared" ca="1" si="215"/>
        <v>634.77956045568214</v>
      </c>
      <c r="AJ410">
        <f t="shared" ca="1" si="216"/>
        <v>635.95334068352327</v>
      </c>
      <c r="AM410">
        <v>0</v>
      </c>
      <c r="AN410">
        <v>0</v>
      </c>
      <c r="AO410">
        <f t="shared" si="217"/>
        <v>0</v>
      </c>
      <c r="AP410">
        <f t="shared" si="226"/>
        <v>0</v>
      </c>
      <c r="AQ410">
        <f t="shared" ca="1" si="218"/>
        <v>1</v>
      </c>
      <c r="AR410" t="str">
        <f t="shared" ca="1" si="219"/>
        <v>Supercritical</v>
      </c>
      <c r="AS410">
        <f t="shared" ca="1" si="220"/>
        <v>4.2888384428928488E-3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191</v>
      </c>
      <c r="I411">
        <v>0</v>
      </c>
      <c r="J411">
        <f t="shared" si="221"/>
        <v>1</v>
      </c>
      <c r="K411">
        <f t="shared" si="222"/>
        <v>51</v>
      </c>
      <c r="L411">
        <f t="shared" ca="1" si="223"/>
        <v>0.05</v>
      </c>
      <c r="M411">
        <f t="shared" ca="1" si="196"/>
        <v>0.22635000000000002</v>
      </c>
      <c r="N411">
        <f t="shared" ca="1" si="197"/>
        <v>4.8919386211368064E-2</v>
      </c>
      <c r="O411">
        <f t="shared" ca="1" si="198"/>
        <v>225.3147779986746</v>
      </c>
      <c r="P411">
        <f t="shared" ca="1" si="199"/>
        <v>632.48149999999998</v>
      </c>
      <c r="Q411">
        <f t="shared" ca="1" si="200"/>
        <v>3219.9814584399601</v>
      </c>
      <c r="R411">
        <f t="shared" ca="1" si="201"/>
        <v>638.44066340855431</v>
      </c>
      <c r="S411">
        <f t="shared" ca="1" si="202"/>
        <v>321.71415625924578</v>
      </c>
      <c r="T411">
        <f t="shared" ca="1" si="203"/>
        <v>1171.3668899357701</v>
      </c>
      <c r="U411">
        <f t="shared" ca="1" si="224"/>
        <v>-638.44016340855433</v>
      </c>
      <c r="V411">
        <f t="shared" ca="1" si="225"/>
        <v>0</v>
      </c>
      <c r="W411">
        <f t="shared" ca="1" si="204"/>
        <v>0.05</v>
      </c>
      <c r="X411">
        <f t="shared" ca="1" si="205"/>
        <v>0.22635000000000002</v>
      </c>
      <c r="Y411">
        <f t="shared" ca="1" si="206"/>
        <v>4.8919386211368064E-2</v>
      </c>
      <c r="Z411">
        <f t="shared" ca="1" si="207"/>
        <v>225.3147779986746</v>
      </c>
      <c r="AA411">
        <f t="shared" ca="1" si="208"/>
        <v>632.48149999999998</v>
      </c>
      <c r="AB411">
        <f t="shared" ca="1" si="209"/>
        <v>3219.9814584399601</v>
      </c>
      <c r="AC411">
        <f t="shared" ca="1" si="210"/>
        <v>638.44066340855431</v>
      </c>
      <c r="AD411">
        <f t="shared" ca="1" si="211"/>
        <v>321.71415625924578</v>
      </c>
      <c r="AE411">
        <f t="shared" ca="1" si="212"/>
        <v>1171.3668899357701</v>
      </c>
      <c r="AF411">
        <f t="shared" ca="1" si="213"/>
        <v>638.44016340855433</v>
      </c>
      <c r="AG411">
        <f t="shared" ca="1" si="214"/>
        <v>0</v>
      </c>
      <c r="AH411">
        <f ca="1">IF(V32="Supercritical",L411,IF(V32="Subcritical",W411,IF(AND(V411=1,AG411=1),IF(T411&gt;=AE411,L411,W411),IF(V411=1,L411,IF(AG411=1,W411,MAX($D$16,POWER((ABS(K411)^2)/($I$5*MAX(F411,0.1)^2),1/3)))))))</f>
        <v>2.3475604556821654</v>
      </c>
      <c r="AI411">
        <f t="shared" ca="1" si="215"/>
        <v>634.77906045568216</v>
      </c>
      <c r="AJ411">
        <f t="shared" ca="1" si="216"/>
        <v>635.95284068352328</v>
      </c>
      <c r="AM411">
        <v>0</v>
      </c>
      <c r="AN411">
        <v>0</v>
      </c>
      <c r="AO411">
        <f t="shared" si="217"/>
        <v>0</v>
      </c>
      <c r="AP411">
        <f t="shared" si="226"/>
        <v>0</v>
      </c>
      <c r="AQ411">
        <f t="shared" ca="1" si="218"/>
        <v>1</v>
      </c>
      <c r="AR411" t="str">
        <f t="shared" ca="1" si="219"/>
        <v>Supercritical</v>
      </c>
      <c r="AS411">
        <f t="shared" ca="1" si="220"/>
        <v>4.2888384428928488E-3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191</v>
      </c>
      <c r="I412">
        <v>0</v>
      </c>
      <c r="J412">
        <f t="shared" si="221"/>
        <v>1</v>
      </c>
      <c r="K412">
        <f t="shared" si="222"/>
        <v>51</v>
      </c>
      <c r="L412">
        <f t="shared" ca="1" si="223"/>
        <v>0.05</v>
      </c>
      <c r="M412">
        <f t="shared" ca="1" si="196"/>
        <v>0.22635000000000002</v>
      </c>
      <c r="N412">
        <f t="shared" ca="1" si="197"/>
        <v>4.8919386211368064E-2</v>
      </c>
      <c r="O412">
        <f t="shared" ca="1" si="198"/>
        <v>225.3147779986746</v>
      </c>
      <c r="P412">
        <f t="shared" ca="1" si="199"/>
        <v>632.48099999999999</v>
      </c>
      <c r="Q412">
        <f t="shared" ca="1" si="200"/>
        <v>3219.98095843996</v>
      </c>
      <c r="R412">
        <f t="shared" ca="1" si="201"/>
        <v>638.44066340855431</v>
      </c>
      <c r="S412">
        <f t="shared" ca="1" si="202"/>
        <v>321.71415625924578</v>
      </c>
      <c r="T412">
        <f t="shared" ca="1" si="203"/>
        <v>1171.3668899357701</v>
      </c>
      <c r="U412">
        <f t="shared" ca="1" si="224"/>
        <v>-638.44016340855433</v>
      </c>
      <c r="V412">
        <f t="shared" ca="1" si="225"/>
        <v>0</v>
      </c>
      <c r="W412">
        <f t="shared" ca="1" si="204"/>
        <v>0.05</v>
      </c>
      <c r="X412">
        <f t="shared" ca="1" si="205"/>
        <v>0.22635000000000002</v>
      </c>
      <c r="Y412">
        <f t="shared" ca="1" si="206"/>
        <v>4.8919386211368064E-2</v>
      </c>
      <c r="Z412">
        <f t="shared" ca="1" si="207"/>
        <v>225.3147779986746</v>
      </c>
      <c r="AA412">
        <f t="shared" ca="1" si="208"/>
        <v>632.48099999999999</v>
      </c>
      <c r="AB412">
        <f t="shared" ca="1" si="209"/>
        <v>3219.98095843996</v>
      </c>
      <c r="AC412">
        <f t="shared" ca="1" si="210"/>
        <v>638.44066340855431</v>
      </c>
      <c r="AD412">
        <f t="shared" ca="1" si="211"/>
        <v>321.71415625924578</v>
      </c>
      <c r="AE412">
        <f t="shared" ca="1" si="212"/>
        <v>1171.3668899357701</v>
      </c>
      <c r="AF412">
        <f t="shared" ca="1" si="213"/>
        <v>638.44016340855478</v>
      </c>
      <c r="AG412">
        <f t="shared" ca="1" si="214"/>
        <v>0</v>
      </c>
      <c r="AH412">
        <f ca="1">IF(V32="Supercritical",L412,IF(V32="Subcritical",W412,IF(AND(V412=1,AG412=1),IF(T412&gt;=AE412,L412,W412),IF(V412=1,L412,IF(AG412=1,W412,MAX($D$16,POWER((ABS(K412)^2)/($I$5*MAX(F412,0.1)^2),1/3)))))))</f>
        <v>2.3475604556821654</v>
      </c>
      <c r="AI412">
        <f t="shared" ca="1" si="215"/>
        <v>634.77856045568217</v>
      </c>
      <c r="AJ412">
        <f t="shared" ca="1" si="216"/>
        <v>635.95234068352329</v>
      </c>
      <c r="AM412">
        <v>0</v>
      </c>
      <c r="AN412">
        <v>0</v>
      </c>
      <c r="AO412">
        <f t="shared" si="217"/>
        <v>0</v>
      </c>
      <c r="AP412">
        <f t="shared" si="226"/>
        <v>0</v>
      </c>
      <c r="AQ412">
        <f t="shared" ca="1" si="218"/>
        <v>1</v>
      </c>
      <c r="AR412" t="str">
        <f t="shared" ca="1" si="219"/>
        <v>Supercritical</v>
      </c>
      <c r="AS412">
        <f t="shared" ca="1" si="220"/>
        <v>4.2888384428928488E-3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191</v>
      </c>
      <c r="I413">
        <v>0</v>
      </c>
      <c r="J413">
        <f t="shared" si="221"/>
        <v>1</v>
      </c>
      <c r="K413">
        <f t="shared" si="222"/>
        <v>51</v>
      </c>
      <c r="L413">
        <f t="shared" ca="1" si="223"/>
        <v>0.05</v>
      </c>
      <c r="M413">
        <f t="shared" ca="1" si="196"/>
        <v>0.22635000000000002</v>
      </c>
      <c r="N413">
        <f t="shared" ca="1" si="197"/>
        <v>4.8919386211368064E-2</v>
      </c>
      <c r="O413">
        <f t="shared" ca="1" si="198"/>
        <v>225.3147779986746</v>
      </c>
      <c r="P413">
        <f t="shared" ca="1" si="199"/>
        <v>632.48050000000001</v>
      </c>
      <c r="Q413">
        <f t="shared" ca="1" si="200"/>
        <v>3219.9804584399603</v>
      </c>
      <c r="R413">
        <f t="shared" ca="1" si="201"/>
        <v>638.44066340855431</v>
      </c>
      <c r="S413">
        <f t="shared" ca="1" si="202"/>
        <v>321.71415625924578</v>
      </c>
      <c r="T413">
        <f t="shared" ca="1" si="203"/>
        <v>1171.3668899357701</v>
      </c>
      <c r="U413">
        <f t="shared" ca="1" si="224"/>
        <v>-638.44016340855478</v>
      </c>
      <c r="V413">
        <f t="shared" ca="1" si="225"/>
        <v>0</v>
      </c>
      <c r="W413">
        <f t="shared" ca="1" si="204"/>
        <v>0.05</v>
      </c>
      <c r="X413">
        <f t="shared" ca="1" si="205"/>
        <v>0.22635000000000002</v>
      </c>
      <c r="Y413">
        <f t="shared" ca="1" si="206"/>
        <v>4.8919386211368064E-2</v>
      </c>
      <c r="Z413">
        <f t="shared" ca="1" si="207"/>
        <v>225.3147779986746</v>
      </c>
      <c r="AA413">
        <f t="shared" ca="1" si="208"/>
        <v>632.48050000000001</v>
      </c>
      <c r="AB413">
        <f t="shared" ca="1" si="209"/>
        <v>3219.9804584399603</v>
      </c>
      <c r="AC413">
        <f t="shared" ca="1" si="210"/>
        <v>638.44066340855431</v>
      </c>
      <c r="AD413">
        <f t="shared" ca="1" si="211"/>
        <v>321.71415625924578</v>
      </c>
      <c r="AE413">
        <f t="shared" ca="1" si="212"/>
        <v>1171.3668899357701</v>
      </c>
      <c r="AF413">
        <f t="shared" ca="1" si="213"/>
        <v>638.44016340855433</v>
      </c>
      <c r="AG413">
        <f t="shared" ca="1" si="214"/>
        <v>0</v>
      </c>
      <c r="AH413">
        <f ca="1">IF(V32="Supercritical",L413,IF(V32="Subcritical",W413,IF(AND(V413=1,AG413=1),IF(T413&gt;=AE413,L413,W413),IF(V413=1,L413,IF(AG413=1,W413,MAX($D$16,POWER((ABS(K413)^2)/($I$5*MAX(F413,0.1)^2),1/3)))))))</f>
        <v>2.3475604556821654</v>
      </c>
      <c r="AI413">
        <f t="shared" ca="1" si="215"/>
        <v>634.77806045568218</v>
      </c>
      <c r="AJ413">
        <f t="shared" ca="1" si="216"/>
        <v>635.9518406835233</v>
      </c>
      <c r="AM413">
        <v>0</v>
      </c>
      <c r="AN413">
        <v>0</v>
      </c>
      <c r="AO413">
        <f t="shared" si="217"/>
        <v>0</v>
      </c>
      <c r="AP413">
        <f t="shared" si="226"/>
        <v>0</v>
      </c>
      <c r="AQ413">
        <f t="shared" ca="1" si="218"/>
        <v>1</v>
      </c>
      <c r="AR413" t="str">
        <f t="shared" ca="1" si="219"/>
        <v>Supercritical</v>
      </c>
      <c r="AS413">
        <f t="shared" ca="1" si="220"/>
        <v>4.2888384428928488E-3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191</v>
      </c>
      <c r="I414">
        <v>0</v>
      </c>
      <c r="J414">
        <f t="shared" si="221"/>
        <v>1</v>
      </c>
      <c r="K414">
        <f t="shared" si="222"/>
        <v>51</v>
      </c>
      <c r="L414">
        <f t="shared" ca="1" si="223"/>
        <v>0.05</v>
      </c>
      <c r="M414">
        <f t="shared" ca="1" si="196"/>
        <v>0.22635000000000002</v>
      </c>
      <c r="N414">
        <f t="shared" ca="1" si="197"/>
        <v>4.8919386211368064E-2</v>
      </c>
      <c r="O414">
        <f t="shared" ca="1" si="198"/>
        <v>225.3147779986746</v>
      </c>
      <c r="P414">
        <f t="shared" ca="1" si="199"/>
        <v>632.4799999999999</v>
      </c>
      <c r="Q414">
        <f t="shared" ca="1" si="200"/>
        <v>3219.9799584399602</v>
      </c>
      <c r="R414">
        <f t="shared" ca="1" si="201"/>
        <v>638.44066340855431</v>
      </c>
      <c r="S414">
        <f t="shared" ca="1" si="202"/>
        <v>321.71415625924578</v>
      </c>
      <c r="T414">
        <f t="shared" ca="1" si="203"/>
        <v>1171.3668899357701</v>
      </c>
      <c r="U414">
        <f t="shared" ca="1" si="224"/>
        <v>-638.44016340855433</v>
      </c>
      <c r="V414">
        <f t="shared" ca="1" si="225"/>
        <v>0</v>
      </c>
      <c r="W414">
        <f t="shared" ca="1" si="204"/>
        <v>0.05</v>
      </c>
      <c r="X414">
        <f t="shared" ca="1" si="205"/>
        <v>0.22635000000000002</v>
      </c>
      <c r="Y414">
        <f t="shared" ca="1" si="206"/>
        <v>4.8919386211368064E-2</v>
      </c>
      <c r="Z414">
        <f t="shared" ca="1" si="207"/>
        <v>225.3147779986746</v>
      </c>
      <c r="AA414">
        <f t="shared" ca="1" si="208"/>
        <v>632.4799999999999</v>
      </c>
      <c r="AB414">
        <f t="shared" ca="1" si="209"/>
        <v>3219.9799584399602</v>
      </c>
      <c r="AC414">
        <f t="shared" ca="1" si="210"/>
        <v>638.44066340855431</v>
      </c>
      <c r="AD414">
        <f t="shared" ca="1" si="211"/>
        <v>321.71415625924578</v>
      </c>
      <c r="AE414">
        <f t="shared" ca="1" si="212"/>
        <v>1171.3668899357701</v>
      </c>
      <c r="AF414">
        <f t="shared" ca="1" si="213"/>
        <v>637.80172274516053</v>
      </c>
      <c r="AG414">
        <f t="shared" ca="1" si="214"/>
        <v>0</v>
      </c>
      <c r="AH414">
        <f ca="1">IF(V32="Supercritical",L414,IF(V32="Subcritical",W414,IF(AND(V414=1,AG414=1),IF(T414&gt;=AE414,L414,W414),IF(V414=1,L414,IF(AG414=1,W414,MAX($D$16,POWER((ABS(K414)^2)/($I$5*MAX(F414,0.1)^2),1/3)))))))</f>
        <v>2.3475604556821654</v>
      </c>
      <c r="AI414">
        <f t="shared" ca="1" si="215"/>
        <v>634.77756045568208</v>
      </c>
      <c r="AJ414">
        <f t="shared" ca="1" si="216"/>
        <v>635.9513406835232</v>
      </c>
      <c r="AM414">
        <v>0</v>
      </c>
      <c r="AN414">
        <v>0</v>
      </c>
      <c r="AO414">
        <f t="shared" si="217"/>
        <v>0</v>
      </c>
      <c r="AP414">
        <f t="shared" si="226"/>
        <v>0</v>
      </c>
      <c r="AQ414">
        <f t="shared" ca="1" si="218"/>
        <v>1</v>
      </c>
      <c r="AR414" t="str">
        <f t="shared" ca="1" si="219"/>
        <v>Supercritical</v>
      </c>
      <c r="AS414">
        <f t="shared" ca="1" si="220"/>
        <v>4.2888384428928488E-3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191</v>
      </c>
      <c r="I415">
        <v>0</v>
      </c>
      <c r="J415">
        <f t="shared" si="221"/>
        <v>0.99900000000002365</v>
      </c>
      <c r="K415">
        <f t="shared" si="222"/>
        <v>51</v>
      </c>
      <c r="L415">
        <f t="shared" ca="1" si="223"/>
        <v>0.05</v>
      </c>
      <c r="M415">
        <f t="shared" ca="1" si="196"/>
        <v>0.22635000000000002</v>
      </c>
      <c r="N415">
        <f t="shared" ca="1" si="197"/>
        <v>4.8919386211368064E-2</v>
      </c>
      <c r="O415">
        <f t="shared" ca="1" si="198"/>
        <v>225.3147779986746</v>
      </c>
      <c r="P415">
        <f t="shared" ca="1" si="199"/>
        <v>632.47949999999992</v>
      </c>
      <c r="Q415">
        <f t="shared" ca="1" si="200"/>
        <v>3219.9794584399601</v>
      </c>
      <c r="R415">
        <f t="shared" ca="1" si="201"/>
        <v>638.44066340855431</v>
      </c>
      <c r="S415">
        <f t="shared" ca="1" si="202"/>
        <v>321.71415625924578</v>
      </c>
      <c r="T415">
        <f t="shared" ca="1" si="203"/>
        <v>1171.3668899357701</v>
      </c>
      <c r="U415">
        <f t="shared" ca="1" si="224"/>
        <v>-637.80172274516053</v>
      </c>
      <c r="V415">
        <f t="shared" ca="1" si="225"/>
        <v>0</v>
      </c>
      <c r="W415">
        <f t="shared" ca="1" si="204"/>
        <v>0.05</v>
      </c>
      <c r="X415">
        <f t="shared" ca="1" si="205"/>
        <v>0.22635000000000002</v>
      </c>
      <c r="Y415">
        <f t="shared" ca="1" si="206"/>
        <v>4.8919386211368064E-2</v>
      </c>
      <c r="Z415">
        <f t="shared" ca="1" si="207"/>
        <v>225.3147779986746</v>
      </c>
      <c r="AA415">
        <f t="shared" ca="1" si="208"/>
        <v>632.47949999999992</v>
      </c>
      <c r="AB415">
        <f t="shared" ca="1" si="209"/>
        <v>3219.9794584399601</v>
      </c>
      <c r="AC415">
        <f t="shared" ca="1" si="210"/>
        <v>638.44066340855431</v>
      </c>
      <c r="AD415">
        <f t="shared" ca="1" si="211"/>
        <v>321.71415625924578</v>
      </c>
      <c r="AE415">
        <f t="shared" ca="1" si="212"/>
        <v>1171.3668899357701</v>
      </c>
      <c r="AF415">
        <f t="shared" ca="1" si="213"/>
        <v>638.44016340855433</v>
      </c>
      <c r="AG415">
        <f t="shared" ca="1" si="214"/>
        <v>0</v>
      </c>
      <c r="AH415">
        <f ca="1">IF(V32="Supercritical",L415,IF(V32="Subcritical",W415,IF(AND(V415=1,AG415=1),IF(T415&gt;=AE415,L415,W415),IF(V415=1,L415,IF(AG415=1,W415,MAX($D$16,POWER((ABS(K415)^2)/($I$5*MAX(F415,0.1)^2),1/3)))))))</f>
        <v>2.3475604556821654</v>
      </c>
      <c r="AI415">
        <f t="shared" ca="1" si="215"/>
        <v>634.77706045568209</v>
      </c>
      <c r="AJ415">
        <f t="shared" ca="1" si="216"/>
        <v>635.95084068352321</v>
      </c>
      <c r="AM415">
        <v>0</v>
      </c>
      <c r="AN415">
        <v>0</v>
      </c>
      <c r="AO415">
        <f t="shared" si="217"/>
        <v>0</v>
      </c>
      <c r="AP415">
        <f t="shared" si="226"/>
        <v>0</v>
      </c>
      <c r="AQ415">
        <f t="shared" ca="1" si="218"/>
        <v>1</v>
      </c>
      <c r="AR415" t="str">
        <f t="shared" ca="1" si="219"/>
        <v>Supercritical</v>
      </c>
      <c r="AS415">
        <f t="shared" ca="1" si="220"/>
        <v>4.2888384428928488E-3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191</v>
      </c>
      <c r="I416">
        <v>0</v>
      </c>
      <c r="J416">
        <f t="shared" si="221"/>
        <v>1</v>
      </c>
      <c r="K416">
        <f t="shared" si="222"/>
        <v>51</v>
      </c>
      <c r="L416">
        <f t="shared" ca="1" si="223"/>
        <v>0.05</v>
      </c>
      <c r="M416">
        <f t="shared" ca="1" si="196"/>
        <v>0.22635000000000002</v>
      </c>
      <c r="N416">
        <f t="shared" ca="1" si="197"/>
        <v>4.8919386211368064E-2</v>
      </c>
      <c r="O416">
        <f t="shared" ca="1" si="198"/>
        <v>225.3147779986746</v>
      </c>
      <c r="P416">
        <f t="shared" ca="1" si="199"/>
        <v>632.47899999999993</v>
      </c>
      <c r="Q416">
        <f t="shared" ca="1" si="200"/>
        <v>3219.97895843996</v>
      </c>
      <c r="R416">
        <f t="shared" ca="1" si="201"/>
        <v>638.44066340855431</v>
      </c>
      <c r="S416">
        <f t="shared" ca="1" si="202"/>
        <v>321.71415625924578</v>
      </c>
      <c r="T416">
        <f t="shared" ca="1" si="203"/>
        <v>1171.3668899357701</v>
      </c>
      <c r="U416">
        <f t="shared" ca="1" si="224"/>
        <v>-638.44016340855433</v>
      </c>
      <c r="V416">
        <f t="shared" ca="1" si="225"/>
        <v>0</v>
      </c>
      <c r="W416">
        <f t="shared" ca="1" si="204"/>
        <v>0.05</v>
      </c>
      <c r="X416">
        <f t="shared" ca="1" si="205"/>
        <v>0.22635000000000002</v>
      </c>
      <c r="Y416">
        <f t="shared" ca="1" si="206"/>
        <v>4.8919386211368064E-2</v>
      </c>
      <c r="Z416">
        <f t="shared" ca="1" si="207"/>
        <v>225.3147779986746</v>
      </c>
      <c r="AA416">
        <f t="shared" ca="1" si="208"/>
        <v>632.47899999999993</v>
      </c>
      <c r="AB416">
        <f t="shared" ca="1" si="209"/>
        <v>3219.97895843996</v>
      </c>
      <c r="AC416">
        <f t="shared" ca="1" si="210"/>
        <v>638.44066340855431</v>
      </c>
      <c r="AD416">
        <f t="shared" ca="1" si="211"/>
        <v>321.71415625924578</v>
      </c>
      <c r="AE416">
        <f t="shared" ca="1" si="212"/>
        <v>1171.3668899357701</v>
      </c>
      <c r="AF416">
        <f t="shared" ca="1" si="213"/>
        <v>638.44016340855478</v>
      </c>
      <c r="AG416">
        <f t="shared" ca="1" si="214"/>
        <v>0</v>
      </c>
      <c r="AH416">
        <f ca="1">IF(V32="Supercritical",L416,IF(V32="Subcritical",W416,IF(AND(V416=1,AG416=1),IF(T416&gt;=AE416,L416,W416),IF(V416=1,L416,IF(AG416=1,W416,MAX($D$16,POWER((ABS(K416)^2)/($I$5*MAX(F416,0.1)^2),1/3)))))))</f>
        <v>2.3475604556821654</v>
      </c>
      <c r="AI416">
        <f t="shared" ca="1" si="215"/>
        <v>634.7765604556821</v>
      </c>
      <c r="AJ416">
        <f t="shared" ca="1" si="216"/>
        <v>635.95034068352322</v>
      </c>
      <c r="AM416">
        <v>0</v>
      </c>
      <c r="AN416">
        <v>0</v>
      </c>
      <c r="AO416">
        <f t="shared" si="217"/>
        <v>0</v>
      </c>
      <c r="AP416">
        <f t="shared" si="226"/>
        <v>0</v>
      </c>
      <c r="AQ416">
        <f t="shared" ca="1" si="218"/>
        <v>1</v>
      </c>
      <c r="AR416" t="str">
        <f t="shared" ca="1" si="219"/>
        <v>Supercritical</v>
      </c>
      <c r="AS416">
        <f t="shared" ca="1" si="220"/>
        <v>4.2888384428928488E-3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191</v>
      </c>
      <c r="I417">
        <v>0</v>
      </c>
      <c r="J417">
        <f t="shared" si="221"/>
        <v>1</v>
      </c>
      <c r="K417">
        <f t="shared" si="222"/>
        <v>51</v>
      </c>
      <c r="L417">
        <f t="shared" ca="1" si="223"/>
        <v>0.05</v>
      </c>
      <c r="M417">
        <f t="shared" ca="1" si="196"/>
        <v>0.22635000000000002</v>
      </c>
      <c r="N417">
        <f t="shared" ca="1" si="197"/>
        <v>4.8919386211368064E-2</v>
      </c>
      <c r="O417">
        <f t="shared" ca="1" si="198"/>
        <v>225.3147779986746</v>
      </c>
      <c r="P417">
        <f t="shared" ca="1" si="199"/>
        <v>632.47849999999994</v>
      </c>
      <c r="Q417">
        <f t="shared" ca="1" si="200"/>
        <v>3219.9784584399604</v>
      </c>
      <c r="R417">
        <f t="shared" ca="1" si="201"/>
        <v>638.44066340855431</v>
      </c>
      <c r="S417">
        <f t="shared" ca="1" si="202"/>
        <v>321.71415625924578</v>
      </c>
      <c r="T417">
        <f t="shared" ca="1" si="203"/>
        <v>1171.3668899357701</v>
      </c>
      <c r="U417">
        <f t="shared" ca="1" si="224"/>
        <v>-638.44016340855478</v>
      </c>
      <c r="V417">
        <f t="shared" ca="1" si="225"/>
        <v>0</v>
      </c>
      <c r="W417">
        <f t="shared" ca="1" si="204"/>
        <v>0.05</v>
      </c>
      <c r="X417">
        <f t="shared" ca="1" si="205"/>
        <v>0.22635000000000002</v>
      </c>
      <c r="Y417">
        <f t="shared" ca="1" si="206"/>
        <v>4.8919386211368064E-2</v>
      </c>
      <c r="Z417">
        <f t="shared" ca="1" si="207"/>
        <v>225.3147779986746</v>
      </c>
      <c r="AA417">
        <f t="shared" ca="1" si="208"/>
        <v>632.47849999999994</v>
      </c>
      <c r="AB417">
        <f t="shared" ca="1" si="209"/>
        <v>3219.9784584399604</v>
      </c>
      <c r="AC417">
        <f t="shared" ca="1" si="210"/>
        <v>638.44066340855431</v>
      </c>
      <c r="AD417">
        <f t="shared" ca="1" si="211"/>
        <v>321.71415625924578</v>
      </c>
      <c r="AE417">
        <f t="shared" ca="1" si="212"/>
        <v>1171.3668899357701</v>
      </c>
      <c r="AF417">
        <f t="shared" ca="1" si="213"/>
        <v>638.44016340855433</v>
      </c>
      <c r="AG417">
        <f t="shared" ca="1" si="214"/>
        <v>0</v>
      </c>
      <c r="AH417">
        <f ca="1">IF(V32="Supercritical",L417,IF(V32="Subcritical",W417,IF(AND(V417=1,AG417=1),IF(T417&gt;=AE417,L417,W417),IF(V417=1,L417,IF(AG417=1,W417,MAX($D$16,POWER((ABS(K417)^2)/($I$5*MAX(F417,0.1)^2),1/3)))))))</f>
        <v>2.3475604556821654</v>
      </c>
      <c r="AI417">
        <f t="shared" ca="1" si="215"/>
        <v>634.77606045568211</v>
      </c>
      <c r="AJ417">
        <f t="shared" ca="1" si="216"/>
        <v>635.94984068352323</v>
      </c>
      <c r="AM417">
        <v>0</v>
      </c>
      <c r="AN417">
        <v>0</v>
      </c>
      <c r="AO417">
        <f t="shared" si="217"/>
        <v>0</v>
      </c>
      <c r="AP417">
        <f t="shared" si="226"/>
        <v>0</v>
      </c>
      <c r="AQ417">
        <f t="shared" ca="1" si="218"/>
        <v>1</v>
      </c>
      <c r="AR417" t="str">
        <f t="shared" ca="1" si="219"/>
        <v>Supercritical</v>
      </c>
      <c r="AS417">
        <f t="shared" ca="1" si="220"/>
        <v>4.2888384428928488E-3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191</v>
      </c>
      <c r="I418">
        <v>0</v>
      </c>
      <c r="J418">
        <f t="shared" si="221"/>
        <v>1</v>
      </c>
      <c r="K418">
        <f t="shared" si="222"/>
        <v>51</v>
      </c>
      <c r="L418">
        <f t="shared" ca="1" si="223"/>
        <v>0.05</v>
      </c>
      <c r="M418">
        <f t="shared" ca="1" si="196"/>
        <v>0.22635000000000002</v>
      </c>
      <c r="N418">
        <f t="shared" ca="1" si="197"/>
        <v>4.8919386211368064E-2</v>
      </c>
      <c r="O418">
        <f t="shared" ca="1" si="198"/>
        <v>225.3147779986746</v>
      </c>
      <c r="P418">
        <f t="shared" ca="1" si="199"/>
        <v>632.47799999999995</v>
      </c>
      <c r="Q418">
        <f t="shared" ca="1" si="200"/>
        <v>3219.9779584399603</v>
      </c>
      <c r="R418">
        <f t="shared" ca="1" si="201"/>
        <v>638.44066340855431</v>
      </c>
      <c r="S418">
        <f t="shared" ca="1" si="202"/>
        <v>321.71415625924578</v>
      </c>
      <c r="T418">
        <f t="shared" ca="1" si="203"/>
        <v>1171.3668899357701</v>
      </c>
      <c r="U418">
        <f t="shared" ca="1" si="224"/>
        <v>-638.44016340855433</v>
      </c>
      <c r="V418">
        <f t="shared" ca="1" si="225"/>
        <v>0</v>
      </c>
      <c r="W418">
        <f t="shared" ca="1" si="204"/>
        <v>0.05</v>
      </c>
      <c r="X418">
        <f t="shared" ca="1" si="205"/>
        <v>0.22635000000000002</v>
      </c>
      <c r="Y418">
        <f t="shared" ca="1" si="206"/>
        <v>4.8919386211368064E-2</v>
      </c>
      <c r="Z418">
        <f t="shared" ca="1" si="207"/>
        <v>225.3147779986746</v>
      </c>
      <c r="AA418">
        <f t="shared" ca="1" si="208"/>
        <v>632.47799999999995</v>
      </c>
      <c r="AB418">
        <f t="shared" ca="1" si="209"/>
        <v>3219.9779584399603</v>
      </c>
      <c r="AC418">
        <f t="shared" ca="1" si="210"/>
        <v>638.44066340855431</v>
      </c>
      <c r="AD418">
        <f t="shared" ca="1" si="211"/>
        <v>321.71415625924578</v>
      </c>
      <c r="AE418">
        <f t="shared" ca="1" si="212"/>
        <v>1171.3668899357701</v>
      </c>
      <c r="AF418">
        <f t="shared" ca="1" si="213"/>
        <v>638.57385090640719</v>
      </c>
      <c r="AG418">
        <f t="shared" ca="1" si="214"/>
        <v>0</v>
      </c>
      <c r="AH418">
        <f ca="1">IF(V32="Supercritical",L418,IF(V32="Subcritical",W418,IF(AND(V418=1,AG418=1),IF(T418&gt;=AE418,L418,W418),IF(V418=1,L418,IF(AG418=1,W418,MAX($D$16,POWER((ABS(K418)^2)/($I$5*MAX(F418,0.1)^2),1/3)))))))</f>
        <v>2.3475604556821654</v>
      </c>
      <c r="AI418">
        <f t="shared" ca="1" si="215"/>
        <v>634.77556045568213</v>
      </c>
      <c r="AJ418">
        <f t="shared" ca="1" si="216"/>
        <v>635.94934068352325</v>
      </c>
      <c r="AM418">
        <v>0</v>
      </c>
      <c r="AN418">
        <v>0</v>
      </c>
      <c r="AO418">
        <f t="shared" si="217"/>
        <v>0</v>
      </c>
      <c r="AP418">
        <f t="shared" si="226"/>
        <v>0</v>
      </c>
      <c r="AQ418">
        <f t="shared" ca="1" si="218"/>
        <v>1</v>
      </c>
      <c r="AR418" t="str">
        <f t="shared" ca="1" si="219"/>
        <v>Supercritical</v>
      </c>
      <c r="AS418">
        <f t="shared" ca="1" si="220"/>
        <v>4.2888384428928488E-3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191</v>
      </c>
      <c r="I419">
        <v>3.1E-2</v>
      </c>
      <c r="J419">
        <f t="shared" si="221"/>
        <v>1</v>
      </c>
      <c r="K419">
        <f t="shared" si="222"/>
        <v>51</v>
      </c>
      <c r="L419">
        <f t="shared" ca="1" si="223"/>
        <v>0.05</v>
      </c>
      <c r="M419">
        <f t="shared" ca="1" si="196"/>
        <v>0.22635000000000002</v>
      </c>
      <c r="N419">
        <f t="shared" ca="1" si="197"/>
        <v>4.8919386211368064E-2</v>
      </c>
      <c r="O419">
        <f t="shared" ca="1" si="198"/>
        <v>225.3147779986746</v>
      </c>
      <c r="P419">
        <f t="shared" ca="1" si="199"/>
        <v>632.47749999999996</v>
      </c>
      <c r="Q419">
        <f t="shared" ca="1" si="200"/>
        <v>3219.9774584399602</v>
      </c>
      <c r="R419">
        <f t="shared" ca="1" si="201"/>
        <v>638.44066340855431</v>
      </c>
      <c r="S419">
        <f t="shared" ca="1" si="202"/>
        <v>321.71415625924578</v>
      </c>
      <c r="T419">
        <f t="shared" ca="1" si="203"/>
        <v>1171.3668899357701</v>
      </c>
      <c r="U419">
        <f t="shared" ca="1" si="224"/>
        <v>-638.57385090640719</v>
      </c>
      <c r="V419">
        <f t="shared" ca="1" si="225"/>
        <v>0</v>
      </c>
      <c r="W419">
        <f t="shared" ca="1" si="204"/>
        <v>0.05</v>
      </c>
      <c r="X419">
        <f t="shared" ca="1" si="205"/>
        <v>0.22635000000000002</v>
      </c>
      <c r="Y419">
        <f t="shared" ca="1" si="206"/>
        <v>4.8919386211368064E-2</v>
      </c>
      <c r="Z419">
        <f t="shared" ca="1" si="207"/>
        <v>225.3147779986746</v>
      </c>
      <c r="AA419">
        <f t="shared" ca="1" si="208"/>
        <v>632.47749999999996</v>
      </c>
      <c r="AB419">
        <f t="shared" ca="1" si="209"/>
        <v>3219.9774584399602</v>
      </c>
      <c r="AC419">
        <f t="shared" ca="1" si="210"/>
        <v>638.44066340855431</v>
      </c>
      <c r="AD419">
        <f t="shared" ca="1" si="211"/>
        <v>321.71415625924578</v>
      </c>
      <c r="AE419">
        <f t="shared" ca="1" si="212"/>
        <v>1171.3668899357701</v>
      </c>
      <c r="AF419">
        <f t="shared" ca="1" si="213"/>
        <v>639.21229156980053</v>
      </c>
      <c r="AG419">
        <f t="shared" ca="1" si="214"/>
        <v>0</v>
      </c>
      <c r="AH419">
        <f ca="1">IF(V32="Supercritical",L419,IF(V32="Subcritical",W419,IF(AND(V419=1,AG419=1),IF(T419&gt;=AE419,L419,W419),IF(V419=1,L419,IF(AG419=1,W419,MAX($D$16,POWER((ABS(K419)^2)/($I$5*MAX(F419,0.1)^2),1/3)))))))</f>
        <v>2.3475604556821654</v>
      </c>
      <c r="AI419">
        <f t="shared" ca="1" si="215"/>
        <v>634.77506045568214</v>
      </c>
      <c r="AJ419">
        <f t="shared" ca="1" si="216"/>
        <v>635.94884068352326</v>
      </c>
      <c r="AM419">
        <v>0</v>
      </c>
      <c r="AN419">
        <v>0</v>
      </c>
      <c r="AO419">
        <f t="shared" si="217"/>
        <v>0</v>
      </c>
      <c r="AP419">
        <f t="shared" si="226"/>
        <v>0</v>
      </c>
      <c r="AQ419">
        <f t="shared" ca="1" si="218"/>
        <v>1</v>
      </c>
      <c r="AR419" t="str">
        <f t="shared" ca="1" si="219"/>
        <v>Supercritical</v>
      </c>
      <c r="AS419">
        <f t="shared" ca="1" si="220"/>
        <v>4.2888384428928488E-3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191</v>
      </c>
      <c r="I420">
        <v>3.1E-2</v>
      </c>
      <c r="J420">
        <f t="shared" si="221"/>
        <v>1.0009999999999764</v>
      </c>
      <c r="K420">
        <f t="shared" si="222"/>
        <v>51</v>
      </c>
      <c r="L420">
        <f t="shared" ca="1" si="223"/>
        <v>0.05</v>
      </c>
      <c r="M420">
        <f t="shared" ca="1" si="196"/>
        <v>0.22635000000000002</v>
      </c>
      <c r="N420">
        <f t="shared" ca="1" si="197"/>
        <v>4.8919386211368064E-2</v>
      </c>
      <c r="O420">
        <f t="shared" ca="1" si="198"/>
        <v>225.3147779986746</v>
      </c>
      <c r="P420">
        <f t="shared" ca="1" si="199"/>
        <v>632.47699999999998</v>
      </c>
      <c r="Q420">
        <f t="shared" ca="1" si="200"/>
        <v>3219.9769584399601</v>
      </c>
      <c r="R420">
        <f t="shared" ca="1" si="201"/>
        <v>638.44066340855431</v>
      </c>
      <c r="S420">
        <f t="shared" ca="1" si="202"/>
        <v>321.71415625924578</v>
      </c>
      <c r="T420">
        <f t="shared" ca="1" si="203"/>
        <v>1171.3668899357701</v>
      </c>
      <c r="U420">
        <f t="shared" ca="1" si="224"/>
        <v>-639.21229156980053</v>
      </c>
      <c r="V420">
        <f t="shared" ca="1" si="225"/>
        <v>0</v>
      </c>
      <c r="W420">
        <f t="shared" ca="1" si="204"/>
        <v>0.05</v>
      </c>
      <c r="X420">
        <f t="shared" ca="1" si="205"/>
        <v>0.22635000000000002</v>
      </c>
      <c r="Y420">
        <f t="shared" ca="1" si="206"/>
        <v>4.8919386211368064E-2</v>
      </c>
      <c r="Z420">
        <f t="shared" ca="1" si="207"/>
        <v>225.3147779986746</v>
      </c>
      <c r="AA420">
        <f t="shared" ca="1" si="208"/>
        <v>632.47699999999998</v>
      </c>
      <c r="AB420">
        <f t="shared" ca="1" si="209"/>
        <v>3219.9769584399601</v>
      </c>
      <c r="AC420">
        <f t="shared" ca="1" si="210"/>
        <v>638.44066340855431</v>
      </c>
      <c r="AD420">
        <f t="shared" ca="1" si="211"/>
        <v>321.71415625924578</v>
      </c>
      <c r="AE420">
        <f t="shared" ca="1" si="212"/>
        <v>1171.3668899357701</v>
      </c>
      <c r="AF420">
        <f t="shared" ca="1" si="213"/>
        <v>638.44016340855433</v>
      </c>
      <c r="AG420">
        <f t="shared" ca="1" si="214"/>
        <v>0</v>
      </c>
      <c r="AH420">
        <f ca="1">IF(V32="Supercritical",L420,IF(V32="Subcritical",W420,IF(AND(V420=1,AG420=1),IF(T420&gt;=AE420,L420,W420),IF(V420=1,L420,IF(AG420=1,W420,MAX($D$16,POWER((ABS(K420)^2)/($I$5*MAX(F420,0.1)^2),1/3)))))))</f>
        <v>2.3475604556821654</v>
      </c>
      <c r="AI420">
        <f t="shared" ca="1" si="215"/>
        <v>634.77456045568215</v>
      </c>
      <c r="AJ420">
        <f t="shared" ca="1" si="216"/>
        <v>635.94834068352327</v>
      </c>
      <c r="AM420">
        <v>0</v>
      </c>
      <c r="AN420">
        <v>0</v>
      </c>
      <c r="AO420">
        <f t="shared" si="217"/>
        <v>0</v>
      </c>
      <c r="AP420">
        <f t="shared" si="226"/>
        <v>0</v>
      </c>
      <c r="AQ420">
        <f t="shared" ca="1" si="218"/>
        <v>1</v>
      </c>
      <c r="AR420" t="str">
        <f t="shared" ca="1" si="219"/>
        <v>Supercritical</v>
      </c>
      <c r="AS420">
        <f t="shared" ca="1" si="220"/>
        <v>4.2888384428928488E-3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191</v>
      </c>
      <c r="I421">
        <v>0</v>
      </c>
      <c r="J421">
        <f t="shared" si="221"/>
        <v>1</v>
      </c>
      <c r="K421">
        <f t="shared" si="222"/>
        <v>51</v>
      </c>
      <c r="L421">
        <f t="shared" ca="1" si="223"/>
        <v>0.05</v>
      </c>
      <c r="M421">
        <f t="shared" ca="1" si="196"/>
        <v>0.22635000000000002</v>
      </c>
      <c r="N421">
        <f t="shared" ca="1" si="197"/>
        <v>4.8919386211368064E-2</v>
      </c>
      <c r="O421">
        <f t="shared" ca="1" si="198"/>
        <v>225.3147779986746</v>
      </c>
      <c r="P421">
        <f t="shared" ca="1" si="199"/>
        <v>632.47649999999999</v>
      </c>
      <c r="Q421">
        <f t="shared" ca="1" si="200"/>
        <v>3219.97645843996</v>
      </c>
      <c r="R421">
        <f t="shared" ca="1" si="201"/>
        <v>638.44066340855431</v>
      </c>
      <c r="S421">
        <f t="shared" ca="1" si="202"/>
        <v>321.71415625924578</v>
      </c>
      <c r="T421">
        <f t="shared" ca="1" si="203"/>
        <v>1171.3668899357701</v>
      </c>
      <c r="U421">
        <f t="shared" ca="1" si="224"/>
        <v>-638.44016340855433</v>
      </c>
      <c r="V421">
        <f t="shared" ca="1" si="225"/>
        <v>0</v>
      </c>
      <c r="W421">
        <f t="shared" ca="1" si="204"/>
        <v>0.05</v>
      </c>
      <c r="X421">
        <f t="shared" ca="1" si="205"/>
        <v>0.22635000000000002</v>
      </c>
      <c r="Y421">
        <f t="shared" ca="1" si="206"/>
        <v>4.8919386211368064E-2</v>
      </c>
      <c r="Z421">
        <f t="shared" ca="1" si="207"/>
        <v>225.3147779986746</v>
      </c>
      <c r="AA421">
        <f t="shared" ca="1" si="208"/>
        <v>632.47649999999999</v>
      </c>
      <c r="AB421">
        <f t="shared" ca="1" si="209"/>
        <v>3219.97645843996</v>
      </c>
      <c r="AC421">
        <f t="shared" ca="1" si="210"/>
        <v>638.44066340855431</v>
      </c>
      <c r="AD421">
        <f t="shared" ca="1" si="211"/>
        <v>321.71415625924578</v>
      </c>
      <c r="AE421">
        <f t="shared" ca="1" si="212"/>
        <v>1171.3668899357701</v>
      </c>
      <c r="AF421">
        <f t="shared" ca="1" si="213"/>
        <v>638.44016340855478</v>
      </c>
      <c r="AG421">
        <f t="shared" ca="1" si="214"/>
        <v>0</v>
      </c>
      <c r="AH421">
        <f ca="1">IF(V32="Supercritical",L421,IF(V32="Subcritical",W421,IF(AND(V421=1,AG421=1),IF(T421&gt;=AE421,L421,W421),IF(V421=1,L421,IF(AG421=1,W421,MAX($D$16,POWER((ABS(K421)^2)/($I$5*MAX(F421,0.1)^2),1/3)))))))</f>
        <v>2.3475604556821654</v>
      </c>
      <c r="AI421">
        <f t="shared" ca="1" si="215"/>
        <v>634.77406045568216</v>
      </c>
      <c r="AJ421">
        <f t="shared" ca="1" si="216"/>
        <v>635.94784068352328</v>
      </c>
      <c r="AM421">
        <v>0</v>
      </c>
      <c r="AN421">
        <v>0</v>
      </c>
      <c r="AO421">
        <f t="shared" si="217"/>
        <v>0</v>
      </c>
      <c r="AP421">
        <f t="shared" si="226"/>
        <v>0</v>
      </c>
      <c r="AQ421">
        <f t="shared" ca="1" si="218"/>
        <v>1</v>
      </c>
      <c r="AR421" t="str">
        <f t="shared" ca="1" si="219"/>
        <v>Supercritical</v>
      </c>
      <c r="AS421">
        <f t="shared" ca="1" si="220"/>
        <v>4.2888384428928488E-3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191</v>
      </c>
      <c r="I422">
        <v>0</v>
      </c>
      <c r="J422">
        <f t="shared" si="221"/>
        <v>1</v>
      </c>
      <c r="K422">
        <f t="shared" si="222"/>
        <v>51</v>
      </c>
      <c r="L422">
        <f t="shared" ca="1" si="223"/>
        <v>0.05</v>
      </c>
      <c r="M422">
        <f t="shared" ca="1" si="196"/>
        <v>0.22635000000000002</v>
      </c>
      <c r="N422">
        <f t="shared" ca="1" si="197"/>
        <v>4.8919386211368064E-2</v>
      </c>
      <c r="O422">
        <f t="shared" ca="1" si="198"/>
        <v>225.3147779986746</v>
      </c>
      <c r="P422">
        <f t="shared" ca="1" si="199"/>
        <v>632.476</v>
      </c>
      <c r="Q422">
        <f t="shared" ca="1" si="200"/>
        <v>3219.9759584399603</v>
      </c>
      <c r="R422">
        <f t="shared" ca="1" si="201"/>
        <v>638.44066340855431</v>
      </c>
      <c r="S422">
        <f t="shared" ca="1" si="202"/>
        <v>321.71415625924578</v>
      </c>
      <c r="T422">
        <f t="shared" ca="1" si="203"/>
        <v>1171.3668899357701</v>
      </c>
      <c r="U422">
        <f t="shared" ca="1" si="224"/>
        <v>-638.44016340855478</v>
      </c>
      <c r="V422">
        <f t="shared" ca="1" si="225"/>
        <v>0</v>
      </c>
      <c r="W422">
        <f t="shared" ca="1" si="204"/>
        <v>0.05</v>
      </c>
      <c r="X422">
        <f t="shared" ca="1" si="205"/>
        <v>0.22635000000000002</v>
      </c>
      <c r="Y422">
        <f t="shared" ca="1" si="206"/>
        <v>4.8919386211368064E-2</v>
      </c>
      <c r="Z422">
        <f t="shared" ca="1" si="207"/>
        <v>225.3147779986746</v>
      </c>
      <c r="AA422">
        <f t="shared" ca="1" si="208"/>
        <v>632.476</v>
      </c>
      <c r="AB422">
        <f t="shared" ca="1" si="209"/>
        <v>3219.9759584399603</v>
      </c>
      <c r="AC422">
        <f t="shared" ca="1" si="210"/>
        <v>638.44066340855431</v>
      </c>
      <c r="AD422">
        <f t="shared" ca="1" si="211"/>
        <v>321.71415625924578</v>
      </c>
      <c r="AE422">
        <f t="shared" ca="1" si="212"/>
        <v>1171.3668899357701</v>
      </c>
      <c r="AF422">
        <f t="shared" ca="1" si="213"/>
        <v>637.80172274516053</v>
      </c>
      <c r="AG422">
        <f t="shared" ca="1" si="214"/>
        <v>0</v>
      </c>
      <c r="AH422">
        <f ca="1">IF(V32="Supercritical",L422,IF(V32="Subcritical",W422,IF(AND(V422=1,AG422=1),IF(T422&gt;=AE422,L422,W422),IF(V422=1,L422,IF(AG422=1,W422,MAX($D$16,POWER((ABS(K422)^2)/($I$5*MAX(F422,0.1)^2),1/3)))))))</f>
        <v>2.3475604556821654</v>
      </c>
      <c r="AI422">
        <f t="shared" ca="1" si="215"/>
        <v>634.77356045568217</v>
      </c>
      <c r="AJ422">
        <f t="shared" ca="1" si="216"/>
        <v>635.94734068352329</v>
      </c>
      <c r="AM422">
        <v>0</v>
      </c>
      <c r="AN422">
        <v>0</v>
      </c>
      <c r="AO422">
        <f t="shared" si="217"/>
        <v>0</v>
      </c>
      <c r="AP422">
        <f t="shared" si="226"/>
        <v>0</v>
      </c>
      <c r="AQ422">
        <f t="shared" ca="1" si="218"/>
        <v>1</v>
      </c>
      <c r="AR422" t="str">
        <f t="shared" ca="1" si="219"/>
        <v>Supercritical</v>
      </c>
      <c r="AS422">
        <f t="shared" ca="1" si="220"/>
        <v>4.2888384428928488E-3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191</v>
      </c>
      <c r="I423">
        <v>0</v>
      </c>
      <c r="J423">
        <f t="shared" si="221"/>
        <v>0.99900000000002365</v>
      </c>
      <c r="K423">
        <f t="shared" si="222"/>
        <v>51</v>
      </c>
      <c r="L423">
        <f t="shared" ca="1" si="223"/>
        <v>0.05</v>
      </c>
      <c r="M423">
        <f t="shared" ca="1" si="196"/>
        <v>0.22635000000000002</v>
      </c>
      <c r="N423">
        <f t="shared" ca="1" si="197"/>
        <v>4.8919386211368064E-2</v>
      </c>
      <c r="O423">
        <f t="shared" ca="1" si="198"/>
        <v>225.3147779986746</v>
      </c>
      <c r="P423">
        <f t="shared" ca="1" si="199"/>
        <v>632.47550000000001</v>
      </c>
      <c r="Q423">
        <f t="shared" ca="1" si="200"/>
        <v>3219.9754584399602</v>
      </c>
      <c r="R423">
        <f t="shared" ca="1" si="201"/>
        <v>638.44066340855431</v>
      </c>
      <c r="S423">
        <f t="shared" ca="1" si="202"/>
        <v>321.71415625924578</v>
      </c>
      <c r="T423">
        <f t="shared" ca="1" si="203"/>
        <v>1171.3668899357701</v>
      </c>
      <c r="U423">
        <f t="shared" ca="1" si="224"/>
        <v>-637.80172274516053</v>
      </c>
      <c r="V423">
        <f t="shared" ca="1" si="225"/>
        <v>0</v>
      </c>
      <c r="W423">
        <f t="shared" ca="1" si="204"/>
        <v>0.05</v>
      </c>
      <c r="X423">
        <f t="shared" ca="1" si="205"/>
        <v>0.22635000000000002</v>
      </c>
      <c r="Y423">
        <f t="shared" ca="1" si="206"/>
        <v>4.8919386211368064E-2</v>
      </c>
      <c r="Z423">
        <f t="shared" ca="1" si="207"/>
        <v>225.3147779986746</v>
      </c>
      <c r="AA423">
        <f t="shared" ca="1" si="208"/>
        <v>632.47550000000001</v>
      </c>
      <c r="AB423">
        <f t="shared" ca="1" si="209"/>
        <v>3219.9754584399602</v>
      </c>
      <c r="AC423">
        <f t="shared" ca="1" si="210"/>
        <v>638.44066340855431</v>
      </c>
      <c r="AD423">
        <f t="shared" ca="1" si="211"/>
        <v>321.71415625924578</v>
      </c>
      <c r="AE423">
        <f t="shared" ca="1" si="212"/>
        <v>1171.3668899357701</v>
      </c>
      <c r="AF423">
        <f t="shared" ca="1" si="213"/>
        <v>638.44016340855433</v>
      </c>
      <c r="AG423">
        <f t="shared" ca="1" si="214"/>
        <v>0</v>
      </c>
      <c r="AH423">
        <f ca="1">IF(V32="Supercritical",L423,IF(V32="Subcritical",W423,IF(AND(V423=1,AG423=1),IF(T423&gt;=AE423,L423,W423),IF(V423=1,L423,IF(AG423=1,W423,MAX($D$16,POWER((ABS(K423)^2)/($I$5*MAX(F423,0.1)^2),1/3)))))))</f>
        <v>2.3475604556821654</v>
      </c>
      <c r="AI423">
        <f t="shared" ca="1" si="215"/>
        <v>634.77306045568218</v>
      </c>
      <c r="AJ423">
        <f t="shared" ca="1" si="216"/>
        <v>635.94684068352331</v>
      </c>
      <c r="AM423">
        <v>0</v>
      </c>
      <c r="AN423">
        <v>0</v>
      </c>
      <c r="AO423">
        <f t="shared" si="217"/>
        <v>0</v>
      </c>
      <c r="AP423">
        <f t="shared" si="226"/>
        <v>0</v>
      </c>
      <c r="AQ423">
        <f t="shared" ca="1" si="218"/>
        <v>1</v>
      </c>
      <c r="AR423" t="str">
        <f t="shared" ca="1" si="219"/>
        <v>Supercritical</v>
      </c>
      <c r="AS423">
        <f t="shared" ca="1" si="220"/>
        <v>4.2888384428928488E-3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191</v>
      </c>
      <c r="I424">
        <v>0</v>
      </c>
      <c r="J424">
        <f t="shared" si="221"/>
        <v>1</v>
      </c>
      <c r="K424">
        <f t="shared" si="222"/>
        <v>51</v>
      </c>
      <c r="L424">
        <f t="shared" ca="1" si="223"/>
        <v>0.05</v>
      </c>
      <c r="M424">
        <f t="shared" ca="1" si="196"/>
        <v>0.22635000000000002</v>
      </c>
      <c r="N424">
        <f t="shared" ca="1" si="197"/>
        <v>4.8919386211368064E-2</v>
      </c>
      <c r="O424">
        <f t="shared" ca="1" si="198"/>
        <v>225.3147779986746</v>
      </c>
      <c r="P424">
        <f t="shared" ca="1" si="199"/>
        <v>632.47499999999991</v>
      </c>
      <c r="Q424">
        <f t="shared" ca="1" si="200"/>
        <v>3219.9749584399601</v>
      </c>
      <c r="R424">
        <f t="shared" ca="1" si="201"/>
        <v>638.44066340855431</v>
      </c>
      <c r="S424">
        <f t="shared" ca="1" si="202"/>
        <v>321.71415625924578</v>
      </c>
      <c r="T424">
        <f t="shared" ca="1" si="203"/>
        <v>1171.3668899357701</v>
      </c>
      <c r="U424">
        <f t="shared" ca="1" si="224"/>
        <v>-638.44016340855433</v>
      </c>
      <c r="V424">
        <f t="shared" ca="1" si="225"/>
        <v>0</v>
      </c>
      <c r="W424">
        <f t="shared" ca="1" si="204"/>
        <v>0.05</v>
      </c>
      <c r="X424">
        <f t="shared" ca="1" si="205"/>
        <v>0.22635000000000002</v>
      </c>
      <c r="Y424">
        <f t="shared" ca="1" si="206"/>
        <v>4.8919386211368064E-2</v>
      </c>
      <c r="Z424">
        <f t="shared" ca="1" si="207"/>
        <v>225.3147779986746</v>
      </c>
      <c r="AA424">
        <f t="shared" ca="1" si="208"/>
        <v>632.47499999999991</v>
      </c>
      <c r="AB424">
        <f t="shared" ca="1" si="209"/>
        <v>3219.9749584399601</v>
      </c>
      <c r="AC424">
        <f t="shared" ca="1" si="210"/>
        <v>638.44066340855431</v>
      </c>
      <c r="AD424">
        <f t="shared" ca="1" si="211"/>
        <v>321.71415625924578</v>
      </c>
      <c r="AE424">
        <f t="shared" ca="1" si="212"/>
        <v>1171.3668899357701</v>
      </c>
      <c r="AF424">
        <f t="shared" ca="1" si="213"/>
        <v>638.44016340855433</v>
      </c>
      <c r="AG424">
        <f t="shared" ca="1" si="214"/>
        <v>0</v>
      </c>
      <c r="AH424">
        <f ca="1">IF(V32="Supercritical",L424,IF(V32="Subcritical",W424,IF(AND(V424=1,AG424=1),IF(T424&gt;=AE424,L424,W424),IF(V424=1,L424,IF(AG424=1,W424,MAX($D$16,POWER((ABS(K424)^2)/($I$5*MAX(F424,0.1)^2),1/3)))))))</f>
        <v>2.3475604556821654</v>
      </c>
      <c r="AI424">
        <f t="shared" ca="1" si="215"/>
        <v>634.77256045568208</v>
      </c>
      <c r="AJ424">
        <f t="shared" ca="1" si="216"/>
        <v>635.9463406835232</v>
      </c>
      <c r="AM424">
        <v>0</v>
      </c>
      <c r="AN424">
        <v>0</v>
      </c>
      <c r="AO424">
        <f t="shared" si="217"/>
        <v>0</v>
      </c>
      <c r="AP424">
        <f t="shared" si="226"/>
        <v>0</v>
      </c>
      <c r="AQ424">
        <f t="shared" ca="1" si="218"/>
        <v>1</v>
      </c>
      <c r="AR424" t="str">
        <f t="shared" ca="1" si="219"/>
        <v>Supercritical</v>
      </c>
      <c r="AS424">
        <f t="shared" ca="1" si="220"/>
        <v>4.2888384428928488E-3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191</v>
      </c>
      <c r="I425">
        <v>0</v>
      </c>
      <c r="J425">
        <f t="shared" si="221"/>
        <v>1</v>
      </c>
      <c r="K425">
        <f t="shared" si="222"/>
        <v>51</v>
      </c>
      <c r="L425">
        <f t="shared" ca="1" si="223"/>
        <v>0.05</v>
      </c>
      <c r="M425">
        <f t="shared" ca="1" si="196"/>
        <v>0.22635000000000002</v>
      </c>
      <c r="N425">
        <f t="shared" ca="1" si="197"/>
        <v>4.8919386211368064E-2</v>
      </c>
      <c r="O425">
        <f t="shared" ca="1" si="198"/>
        <v>225.3147779986746</v>
      </c>
      <c r="P425">
        <f t="shared" ca="1" si="199"/>
        <v>632.47449999999992</v>
      </c>
      <c r="Q425">
        <f t="shared" ca="1" si="200"/>
        <v>3219.97445843996</v>
      </c>
      <c r="R425">
        <f t="shared" ca="1" si="201"/>
        <v>638.44066340855431</v>
      </c>
      <c r="S425">
        <f t="shared" ca="1" si="202"/>
        <v>321.71415625924578</v>
      </c>
      <c r="T425">
        <f t="shared" ca="1" si="203"/>
        <v>1171.3668899357701</v>
      </c>
      <c r="U425">
        <f t="shared" ca="1" si="224"/>
        <v>-638.44016340855433</v>
      </c>
      <c r="V425">
        <f t="shared" ca="1" si="225"/>
        <v>0</v>
      </c>
      <c r="W425">
        <f t="shared" ca="1" si="204"/>
        <v>0.05</v>
      </c>
      <c r="X425">
        <f t="shared" ca="1" si="205"/>
        <v>0.22635000000000002</v>
      </c>
      <c r="Y425">
        <f t="shared" ca="1" si="206"/>
        <v>4.8919386211368064E-2</v>
      </c>
      <c r="Z425">
        <f t="shared" ca="1" si="207"/>
        <v>225.3147779986746</v>
      </c>
      <c r="AA425">
        <f t="shared" ca="1" si="208"/>
        <v>632.47449999999992</v>
      </c>
      <c r="AB425">
        <f t="shared" ca="1" si="209"/>
        <v>3219.97445843996</v>
      </c>
      <c r="AC425">
        <f t="shared" ca="1" si="210"/>
        <v>638.44066340855431</v>
      </c>
      <c r="AD425">
        <f t="shared" ca="1" si="211"/>
        <v>321.71415625924578</v>
      </c>
      <c r="AE425">
        <f t="shared" ca="1" si="212"/>
        <v>1171.3668899357701</v>
      </c>
      <c r="AF425">
        <f t="shared" ca="1" si="213"/>
        <v>638.44016340855478</v>
      </c>
      <c r="AG425">
        <f t="shared" ca="1" si="214"/>
        <v>0</v>
      </c>
      <c r="AH425">
        <f ca="1">IF(V32="Supercritical",L425,IF(V32="Subcritical",W425,IF(AND(V425=1,AG425=1),IF(T425&gt;=AE425,L425,W425),IF(V425=1,L425,IF(AG425=1,W425,MAX($D$16,POWER((ABS(K425)^2)/($I$5*MAX(F425,0.1)^2),1/3)))))))</f>
        <v>2.3475604556821654</v>
      </c>
      <c r="AI425">
        <f t="shared" ca="1" si="215"/>
        <v>634.77206045568209</v>
      </c>
      <c r="AJ425">
        <f t="shared" ca="1" si="216"/>
        <v>635.94584068352322</v>
      </c>
      <c r="AM425">
        <v>0</v>
      </c>
      <c r="AN425">
        <v>0</v>
      </c>
      <c r="AO425">
        <f t="shared" si="217"/>
        <v>0</v>
      </c>
      <c r="AP425">
        <f t="shared" si="226"/>
        <v>0</v>
      </c>
      <c r="AQ425">
        <f t="shared" ca="1" si="218"/>
        <v>1</v>
      </c>
      <c r="AR425" t="str">
        <f t="shared" ca="1" si="219"/>
        <v>Supercritical</v>
      </c>
      <c r="AS425">
        <f t="shared" ca="1" si="220"/>
        <v>4.2888384428928488E-3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191</v>
      </c>
      <c r="I426">
        <v>0</v>
      </c>
      <c r="J426">
        <f t="shared" si="221"/>
        <v>1</v>
      </c>
      <c r="K426">
        <f t="shared" si="222"/>
        <v>51</v>
      </c>
      <c r="L426">
        <f t="shared" ca="1" si="223"/>
        <v>0.05</v>
      </c>
      <c r="M426">
        <f t="shared" ca="1" si="196"/>
        <v>0.22635000000000002</v>
      </c>
      <c r="N426">
        <f t="shared" ca="1" si="197"/>
        <v>4.8919386211368064E-2</v>
      </c>
      <c r="O426">
        <f t="shared" ca="1" si="198"/>
        <v>225.3147779986746</v>
      </c>
      <c r="P426">
        <f t="shared" ca="1" si="199"/>
        <v>632.47399999999993</v>
      </c>
      <c r="Q426">
        <f t="shared" ca="1" si="200"/>
        <v>3219.9739584399604</v>
      </c>
      <c r="R426">
        <f t="shared" ca="1" si="201"/>
        <v>638.44066340855431</v>
      </c>
      <c r="S426">
        <f t="shared" ca="1" si="202"/>
        <v>321.71415625924578</v>
      </c>
      <c r="T426">
        <f t="shared" ca="1" si="203"/>
        <v>1171.3668899357701</v>
      </c>
      <c r="U426">
        <f t="shared" ca="1" si="224"/>
        <v>-638.44016340855478</v>
      </c>
      <c r="V426">
        <f t="shared" ca="1" si="225"/>
        <v>0</v>
      </c>
      <c r="W426">
        <f t="shared" ca="1" si="204"/>
        <v>0.05</v>
      </c>
      <c r="X426">
        <f t="shared" ca="1" si="205"/>
        <v>0.22635000000000002</v>
      </c>
      <c r="Y426">
        <f t="shared" ca="1" si="206"/>
        <v>4.8919386211368064E-2</v>
      </c>
      <c r="Z426">
        <f t="shared" ca="1" si="207"/>
        <v>225.3147779986746</v>
      </c>
      <c r="AA426">
        <f t="shared" ca="1" si="208"/>
        <v>632.47399999999993</v>
      </c>
      <c r="AB426">
        <f t="shared" ca="1" si="209"/>
        <v>3219.9739584399604</v>
      </c>
      <c r="AC426">
        <f t="shared" ca="1" si="210"/>
        <v>638.44066340855431</v>
      </c>
      <c r="AD426">
        <f t="shared" ca="1" si="211"/>
        <v>321.71415625924578</v>
      </c>
      <c r="AE426">
        <f t="shared" ca="1" si="212"/>
        <v>1171.3668899357701</v>
      </c>
      <c r="AF426">
        <f t="shared" ca="1" si="213"/>
        <v>638.44016340855433</v>
      </c>
      <c r="AG426">
        <f t="shared" ca="1" si="214"/>
        <v>0</v>
      </c>
      <c r="AH426">
        <f ca="1">IF(V32="Supercritical",L426,IF(V32="Subcritical",W426,IF(AND(V426=1,AG426=1),IF(T426&gt;=AE426,L426,W426),IF(V426=1,L426,IF(AG426=1,W426,MAX($D$16,POWER((ABS(K426)^2)/($I$5*MAX(F426,0.1)^2),1/3)))))))</f>
        <v>2.3475604556821654</v>
      </c>
      <c r="AI426">
        <f t="shared" ca="1" si="215"/>
        <v>634.77156045568211</v>
      </c>
      <c r="AJ426">
        <f t="shared" ca="1" si="216"/>
        <v>635.94534068352323</v>
      </c>
      <c r="AM426">
        <v>0</v>
      </c>
      <c r="AN426">
        <v>0</v>
      </c>
      <c r="AO426">
        <f t="shared" si="217"/>
        <v>0</v>
      </c>
      <c r="AP426">
        <f t="shared" si="226"/>
        <v>0</v>
      </c>
      <c r="AQ426">
        <f t="shared" ca="1" si="218"/>
        <v>1</v>
      </c>
      <c r="AR426" t="str">
        <f t="shared" ca="1" si="219"/>
        <v>Supercritical</v>
      </c>
      <c r="AS426">
        <f t="shared" ca="1" si="220"/>
        <v>4.2888384428928488E-3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191</v>
      </c>
      <c r="I427">
        <v>0</v>
      </c>
      <c r="J427">
        <f t="shared" si="221"/>
        <v>1</v>
      </c>
      <c r="K427">
        <f t="shared" si="222"/>
        <v>51</v>
      </c>
      <c r="L427">
        <f t="shared" ca="1" si="223"/>
        <v>0.05</v>
      </c>
      <c r="M427">
        <f t="shared" ca="1" si="196"/>
        <v>0.22635000000000002</v>
      </c>
      <c r="N427">
        <f t="shared" ca="1" si="197"/>
        <v>4.8919386211368064E-2</v>
      </c>
      <c r="O427">
        <f t="shared" ca="1" si="198"/>
        <v>225.3147779986746</v>
      </c>
      <c r="P427">
        <f t="shared" ca="1" si="199"/>
        <v>632.47349999999994</v>
      </c>
      <c r="Q427">
        <f t="shared" ca="1" si="200"/>
        <v>3219.9734584399603</v>
      </c>
      <c r="R427">
        <f t="shared" ca="1" si="201"/>
        <v>638.44066340855431</v>
      </c>
      <c r="S427">
        <f t="shared" ca="1" si="202"/>
        <v>321.71415625924578</v>
      </c>
      <c r="T427">
        <f t="shared" ca="1" si="203"/>
        <v>1171.3668899357701</v>
      </c>
      <c r="U427">
        <f t="shared" ca="1" si="224"/>
        <v>-638.44016340855433</v>
      </c>
      <c r="V427">
        <f t="shared" ca="1" si="225"/>
        <v>0</v>
      </c>
      <c r="W427">
        <f t="shared" ca="1" si="204"/>
        <v>0.05</v>
      </c>
      <c r="X427">
        <f t="shared" ca="1" si="205"/>
        <v>0.22635000000000002</v>
      </c>
      <c r="Y427">
        <f t="shared" ca="1" si="206"/>
        <v>4.8919386211368064E-2</v>
      </c>
      <c r="Z427">
        <f t="shared" ca="1" si="207"/>
        <v>225.3147779986746</v>
      </c>
      <c r="AA427">
        <f t="shared" ca="1" si="208"/>
        <v>632.47349999999994</v>
      </c>
      <c r="AB427">
        <f t="shared" ca="1" si="209"/>
        <v>3219.9734584399603</v>
      </c>
      <c r="AC427">
        <f t="shared" ca="1" si="210"/>
        <v>638.44066340855431</v>
      </c>
      <c r="AD427">
        <f t="shared" ca="1" si="211"/>
        <v>321.71415625924578</v>
      </c>
      <c r="AE427">
        <f t="shared" ca="1" si="212"/>
        <v>1171.3668899357701</v>
      </c>
      <c r="AF427">
        <f t="shared" ca="1" si="213"/>
        <v>638.44016340855433</v>
      </c>
      <c r="AG427">
        <f t="shared" ca="1" si="214"/>
        <v>0</v>
      </c>
      <c r="AH427">
        <f ca="1">IF(V32="Supercritical",L427,IF(V32="Subcritical",W427,IF(AND(V427=1,AG427=1),IF(T427&gt;=AE427,L427,W427),IF(V427=1,L427,IF(AG427=1,W427,MAX($D$16,POWER((ABS(K427)^2)/($I$5*MAX(F427,0.1)^2),1/3)))))))</f>
        <v>2.3475604556821654</v>
      </c>
      <c r="AI427">
        <f t="shared" ca="1" si="215"/>
        <v>634.77106045568212</v>
      </c>
      <c r="AJ427">
        <f t="shared" ca="1" si="216"/>
        <v>635.94484068352324</v>
      </c>
      <c r="AM427">
        <v>0</v>
      </c>
      <c r="AN427">
        <v>0</v>
      </c>
      <c r="AO427">
        <f t="shared" si="217"/>
        <v>0</v>
      </c>
      <c r="AP427">
        <f t="shared" si="226"/>
        <v>0</v>
      </c>
      <c r="AQ427">
        <f t="shared" ca="1" si="218"/>
        <v>1</v>
      </c>
      <c r="AR427" t="str">
        <f t="shared" ca="1" si="219"/>
        <v>Supercritical</v>
      </c>
      <c r="AS427">
        <f t="shared" ca="1" si="220"/>
        <v>4.2888384428928488E-3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191</v>
      </c>
      <c r="I428">
        <v>0</v>
      </c>
      <c r="J428">
        <f t="shared" si="221"/>
        <v>1</v>
      </c>
      <c r="K428">
        <f t="shared" si="222"/>
        <v>51</v>
      </c>
      <c r="L428">
        <f t="shared" ca="1" si="223"/>
        <v>0.05</v>
      </c>
      <c r="M428">
        <f t="shared" ca="1" si="196"/>
        <v>0.22635000000000002</v>
      </c>
      <c r="N428">
        <f t="shared" ca="1" si="197"/>
        <v>4.8919386211368064E-2</v>
      </c>
      <c r="O428">
        <f t="shared" ca="1" si="198"/>
        <v>225.3147779986746</v>
      </c>
      <c r="P428">
        <f t="shared" ca="1" si="199"/>
        <v>632.47299999999996</v>
      </c>
      <c r="Q428">
        <f t="shared" ca="1" si="200"/>
        <v>3219.9729584399602</v>
      </c>
      <c r="R428">
        <f t="shared" ca="1" si="201"/>
        <v>638.44066340855431</v>
      </c>
      <c r="S428">
        <f t="shared" ca="1" si="202"/>
        <v>321.71415625924578</v>
      </c>
      <c r="T428">
        <f t="shared" ca="1" si="203"/>
        <v>1171.3668899357701</v>
      </c>
      <c r="U428">
        <f t="shared" ca="1" si="224"/>
        <v>-638.44016340855433</v>
      </c>
      <c r="V428">
        <f t="shared" ca="1" si="225"/>
        <v>0</v>
      </c>
      <c r="W428">
        <f t="shared" ca="1" si="204"/>
        <v>0.05</v>
      </c>
      <c r="X428">
        <f t="shared" ca="1" si="205"/>
        <v>0.22635000000000002</v>
      </c>
      <c r="Y428">
        <f t="shared" ca="1" si="206"/>
        <v>4.8919386211368064E-2</v>
      </c>
      <c r="Z428">
        <f t="shared" ca="1" si="207"/>
        <v>225.3147779986746</v>
      </c>
      <c r="AA428">
        <f t="shared" ca="1" si="208"/>
        <v>632.47299999999996</v>
      </c>
      <c r="AB428">
        <f t="shared" ca="1" si="209"/>
        <v>3219.9729584399602</v>
      </c>
      <c r="AC428">
        <f t="shared" ca="1" si="210"/>
        <v>638.44066340855431</v>
      </c>
      <c r="AD428">
        <f t="shared" ca="1" si="211"/>
        <v>321.71415625924578</v>
      </c>
      <c r="AE428">
        <f t="shared" ca="1" si="212"/>
        <v>1171.3668899357701</v>
      </c>
      <c r="AF428">
        <f t="shared" ca="1" si="213"/>
        <v>638.57385090640719</v>
      </c>
      <c r="AG428">
        <f t="shared" ca="1" si="214"/>
        <v>0</v>
      </c>
      <c r="AH428">
        <f ca="1">IF(V32="Supercritical",L428,IF(V32="Subcritical",W428,IF(AND(V428=1,AG428=1),IF(T428&gt;=AE428,L428,W428),IF(V428=1,L428,IF(AG428=1,W428,MAX($D$16,POWER((ABS(K428)^2)/($I$5*MAX(F428,0.1)^2),1/3)))))))</f>
        <v>2.3475604556821654</v>
      </c>
      <c r="AI428">
        <f t="shared" ca="1" si="215"/>
        <v>634.77056045568213</v>
      </c>
      <c r="AJ428">
        <f t="shared" ca="1" si="216"/>
        <v>635.94434068352325</v>
      </c>
      <c r="AM428">
        <v>0</v>
      </c>
      <c r="AN428">
        <v>0</v>
      </c>
      <c r="AO428">
        <f t="shared" si="217"/>
        <v>0</v>
      </c>
      <c r="AP428">
        <f t="shared" si="226"/>
        <v>0</v>
      </c>
      <c r="AQ428">
        <f t="shared" ca="1" si="218"/>
        <v>1</v>
      </c>
      <c r="AR428" t="str">
        <f t="shared" ca="1" si="219"/>
        <v>Supercritical</v>
      </c>
      <c r="AS428">
        <f t="shared" ca="1" si="220"/>
        <v>4.2888384428928488E-3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191</v>
      </c>
      <c r="I429">
        <v>3.1E-2</v>
      </c>
      <c r="J429">
        <f t="shared" si="221"/>
        <v>1</v>
      </c>
      <c r="K429">
        <f t="shared" si="222"/>
        <v>51</v>
      </c>
      <c r="L429">
        <f t="shared" ca="1" si="223"/>
        <v>0.05</v>
      </c>
      <c r="M429">
        <f t="shared" ca="1" si="196"/>
        <v>0.22635000000000002</v>
      </c>
      <c r="N429">
        <f t="shared" ca="1" si="197"/>
        <v>4.8919386211368064E-2</v>
      </c>
      <c r="O429">
        <f t="shared" ca="1" si="198"/>
        <v>225.3147779986746</v>
      </c>
      <c r="P429">
        <f t="shared" ca="1" si="199"/>
        <v>632.47249999999997</v>
      </c>
      <c r="Q429">
        <f t="shared" ca="1" si="200"/>
        <v>3219.9724584399601</v>
      </c>
      <c r="R429">
        <f t="shared" ca="1" si="201"/>
        <v>638.44066340855431</v>
      </c>
      <c r="S429">
        <f t="shared" ca="1" si="202"/>
        <v>321.71415625924578</v>
      </c>
      <c r="T429">
        <f t="shared" ca="1" si="203"/>
        <v>1171.3668899357701</v>
      </c>
      <c r="U429">
        <f t="shared" ca="1" si="224"/>
        <v>-638.57385090640719</v>
      </c>
      <c r="V429">
        <f t="shared" ca="1" si="225"/>
        <v>0</v>
      </c>
      <c r="W429">
        <f t="shared" ca="1" si="204"/>
        <v>0.05</v>
      </c>
      <c r="X429">
        <f t="shared" ca="1" si="205"/>
        <v>0.22635000000000002</v>
      </c>
      <c r="Y429">
        <f t="shared" ca="1" si="206"/>
        <v>4.8919386211368064E-2</v>
      </c>
      <c r="Z429">
        <f t="shared" ca="1" si="207"/>
        <v>225.3147779986746</v>
      </c>
      <c r="AA429">
        <f t="shared" ca="1" si="208"/>
        <v>632.47249999999997</v>
      </c>
      <c r="AB429">
        <f t="shared" ca="1" si="209"/>
        <v>3219.9724584399601</v>
      </c>
      <c r="AC429">
        <f t="shared" ca="1" si="210"/>
        <v>638.44066340855431</v>
      </c>
      <c r="AD429">
        <f t="shared" ca="1" si="211"/>
        <v>321.71415625924578</v>
      </c>
      <c r="AE429">
        <f t="shared" ca="1" si="212"/>
        <v>1171.3668899357701</v>
      </c>
      <c r="AF429">
        <f t="shared" ca="1" si="213"/>
        <v>639.21229156980053</v>
      </c>
      <c r="AG429">
        <f t="shared" ca="1" si="214"/>
        <v>0</v>
      </c>
      <c r="AH429">
        <f ca="1">IF(V32="Supercritical",L429,IF(V32="Subcritical",W429,IF(AND(V429=1,AG429=1),IF(T429&gt;=AE429,L429,W429),IF(V429=1,L429,IF(AG429=1,W429,MAX($D$16,POWER((ABS(K429)^2)/($I$5*MAX(F429,0.1)^2),1/3)))))))</f>
        <v>2.3475604556821654</v>
      </c>
      <c r="AI429">
        <f t="shared" ca="1" si="215"/>
        <v>634.77006045568214</v>
      </c>
      <c r="AJ429">
        <f t="shared" ca="1" si="216"/>
        <v>635.94384068352326</v>
      </c>
      <c r="AM429">
        <v>0</v>
      </c>
      <c r="AN429">
        <v>0</v>
      </c>
      <c r="AO429">
        <f t="shared" si="217"/>
        <v>0</v>
      </c>
      <c r="AP429">
        <f t="shared" si="226"/>
        <v>0</v>
      </c>
      <c r="AQ429">
        <f t="shared" ca="1" si="218"/>
        <v>1</v>
      </c>
      <c r="AR429" t="str">
        <f t="shared" ca="1" si="219"/>
        <v>Supercritical</v>
      </c>
      <c r="AS429">
        <f t="shared" ca="1" si="220"/>
        <v>4.2888384428928488E-3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191</v>
      </c>
      <c r="I430">
        <v>3.1E-2</v>
      </c>
      <c r="J430">
        <f t="shared" si="221"/>
        <v>1.0009999999999764</v>
      </c>
      <c r="K430">
        <f t="shared" si="222"/>
        <v>51</v>
      </c>
      <c r="L430">
        <f t="shared" ca="1" si="223"/>
        <v>0.05</v>
      </c>
      <c r="M430">
        <f t="shared" ca="1" si="196"/>
        <v>0.22635000000000002</v>
      </c>
      <c r="N430">
        <f t="shared" ca="1" si="197"/>
        <v>4.8919386211368064E-2</v>
      </c>
      <c r="O430">
        <f t="shared" ca="1" si="198"/>
        <v>225.3147779986746</v>
      </c>
      <c r="P430">
        <f t="shared" ca="1" si="199"/>
        <v>632.47199999999998</v>
      </c>
      <c r="Q430">
        <f t="shared" ca="1" si="200"/>
        <v>3219.97195843996</v>
      </c>
      <c r="R430">
        <f t="shared" ca="1" si="201"/>
        <v>638.44066340855431</v>
      </c>
      <c r="S430">
        <f t="shared" ca="1" si="202"/>
        <v>321.71415625924578</v>
      </c>
      <c r="T430">
        <f t="shared" ca="1" si="203"/>
        <v>1171.3668899357701</v>
      </c>
      <c r="U430">
        <f t="shared" ca="1" si="224"/>
        <v>-639.21229156980053</v>
      </c>
      <c r="V430">
        <f t="shared" ca="1" si="225"/>
        <v>0</v>
      </c>
      <c r="W430">
        <f t="shared" ca="1" si="204"/>
        <v>0.05</v>
      </c>
      <c r="X430">
        <f t="shared" ca="1" si="205"/>
        <v>0.22635000000000002</v>
      </c>
      <c r="Y430">
        <f t="shared" ca="1" si="206"/>
        <v>4.8919386211368064E-2</v>
      </c>
      <c r="Z430">
        <f t="shared" ca="1" si="207"/>
        <v>225.3147779986746</v>
      </c>
      <c r="AA430">
        <f t="shared" ca="1" si="208"/>
        <v>632.47199999999998</v>
      </c>
      <c r="AB430">
        <f t="shared" ca="1" si="209"/>
        <v>3219.97195843996</v>
      </c>
      <c r="AC430">
        <f t="shared" ca="1" si="210"/>
        <v>638.44066340855431</v>
      </c>
      <c r="AD430">
        <f t="shared" ca="1" si="211"/>
        <v>321.71415625924578</v>
      </c>
      <c r="AE430">
        <f t="shared" ca="1" si="212"/>
        <v>1171.3668899357701</v>
      </c>
      <c r="AF430">
        <f t="shared" ca="1" si="213"/>
        <v>638.44016340855478</v>
      </c>
      <c r="AG430">
        <f t="shared" ca="1" si="214"/>
        <v>0</v>
      </c>
      <c r="AH430">
        <f ca="1">IF(V32="Supercritical",L430,IF(V32="Subcritical",W430,IF(AND(V430=1,AG430=1),IF(T430&gt;=AE430,L430,W430),IF(V430=1,L430,IF(AG430=1,W430,MAX($D$16,POWER((ABS(K430)^2)/($I$5*MAX(F430,0.1)^2),1/3)))))))</f>
        <v>2.3475604556821654</v>
      </c>
      <c r="AI430">
        <f t="shared" ca="1" si="215"/>
        <v>634.76956045568215</v>
      </c>
      <c r="AJ430">
        <f t="shared" ca="1" si="216"/>
        <v>635.94334068352327</v>
      </c>
      <c r="AM430">
        <v>0</v>
      </c>
      <c r="AN430">
        <v>0</v>
      </c>
      <c r="AO430">
        <f t="shared" si="217"/>
        <v>0</v>
      </c>
      <c r="AP430">
        <f t="shared" si="226"/>
        <v>0</v>
      </c>
      <c r="AQ430">
        <f t="shared" ca="1" si="218"/>
        <v>1</v>
      </c>
      <c r="AR430" t="str">
        <f t="shared" ca="1" si="219"/>
        <v>Supercritical</v>
      </c>
      <c r="AS430">
        <f t="shared" ca="1" si="220"/>
        <v>4.2888384428928488E-3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191</v>
      </c>
      <c r="I431">
        <v>0</v>
      </c>
      <c r="J431">
        <f t="shared" si="221"/>
        <v>1</v>
      </c>
      <c r="K431">
        <f t="shared" si="222"/>
        <v>51</v>
      </c>
      <c r="L431">
        <f t="shared" ca="1" si="223"/>
        <v>0.05</v>
      </c>
      <c r="M431">
        <f t="shared" ca="1" si="196"/>
        <v>0.22635000000000002</v>
      </c>
      <c r="N431">
        <f t="shared" ca="1" si="197"/>
        <v>4.8919386211368064E-2</v>
      </c>
      <c r="O431">
        <f t="shared" ca="1" si="198"/>
        <v>225.3147779986746</v>
      </c>
      <c r="P431">
        <f t="shared" ca="1" si="199"/>
        <v>632.47149999999999</v>
      </c>
      <c r="Q431">
        <f t="shared" ca="1" si="200"/>
        <v>3219.9714584399603</v>
      </c>
      <c r="R431">
        <f t="shared" ca="1" si="201"/>
        <v>638.44066340855431</v>
      </c>
      <c r="S431">
        <f t="shared" ca="1" si="202"/>
        <v>321.71415625924578</v>
      </c>
      <c r="T431">
        <f t="shared" ca="1" si="203"/>
        <v>1171.3668899357701</v>
      </c>
      <c r="U431">
        <f t="shared" ca="1" si="224"/>
        <v>-638.44016340855478</v>
      </c>
      <c r="V431">
        <f t="shared" ca="1" si="225"/>
        <v>0</v>
      </c>
      <c r="W431">
        <f t="shared" ca="1" si="204"/>
        <v>0.05</v>
      </c>
      <c r="X431">
        <f t="shared" ca="1" si="205"/>
        <v>0.22635000000000002</v>
      </c>
      <c r="Y431">
        <f t="shared" ca="1" si="206"/>
        <v>4.8919386211368064E-2</v>
      </c>
      <c r="Z431">
        <f t="shared" ca="1" si="207"/>
        <v>225.3147779986746</v>
      </c>
      <c r="AA431">
        <f t="shared" ca="1" si="208"/>
        <v>632.47149999999999</v>
      </c>
      <c r="AB431">
        <f t="shared" ca="1" si="209"/>
        <v>3219.9714584399603</v>
      </c>
      <c r="AC431">
        <f t="shared" ca="1" si="210"/>
        <v>638.44066340855431</v>
      </c>
      <c r="AD431">
        <f t="shared" ca="1" si="211"/>
        <v>321.71415625924578</v>
      </c>
      <c r="AE431">
        <f t="shared" ca="1" si="212"/>
        <v>1171.3668899357701</v>
      </c>
      <c r="AF431">
        <f t="shared" ca="1" si="213"/>
        <v>358.11368236765838</v>
      </c>
      <c r="AG431">
        <f t="shared" ca="1" si="214"/>
        <v>0</v>
      </c>
      <c r="AH431">
        <f ca="1">IF(V32="Supercritical",L431,IF(V32="Subcritical",W431,IF(AND(V431=1,AG431=1),IF(T431&gt;=AE431,L431,W431),IF(V431=1,L431,IF(AG431=1,W431,MAX($D$16,POWER((ABS(K431)^2)/($I$5*MAX(F431,0.1)^2),1/3)))))))</f>
        <v>2.3475604556821654</v>
      </c>
      <c r="AI431">
        <f t="shared" ca="1" si="215"/>
        <v>634.76906045568217</v>
      </c>
      <c r="AJ431">
        <f t="shared" ca="1" si="216"/>
        <v>635.94284068352329</v>
      </c>
      <c r="AM431">
        <v>0</v>
      </c>
      <c r="AN431">
        <v>0</v>
      </c>
      <c r="AO431">
        <f t="shared" si="217"/>
        <v>0</v>
      </c>
      <c r="AP431">
        <f t="shared" si="226"/>
        <v>0</v>
      </c>
      <c r="AQ431">
        <f t="shared" ca="1" si="218"/>
        <v>1</v>
      </c>
      <c r="AR431" t="str">
        <f t="shared" ca="1" si="219"/>
        <v>Supercritical</v>
      </c>
      <c r="AS431">
        <f t="shared" ca="1" si="220"/>
        <v>4.2888384428928488E-3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191</v>
      </c>
      <c r="I432">
        <v>12.746</v>
      </c>
      <c r="J432">
        <f t="shared" si="221"/>
        <v>0.99900000000002365</v>
      </c>
      <c r="K432">
        <f t="shared" si="222"/>
        <v>51</v>
      </c>
      <c r="L432">
        <f t="shared" ca="1" si="223"/>
        <v>0.05</v>
      </c>
      <c r="M432">
        <f t="shared" ca="1" si="196"/>
        <v>0.2465</v>
      </c>
      <c r="N432">
        <f t="shared" ca="1" si="197"/>
        <v>4.9005964214711734E-2</v>
      </c>
      <c r="O432">
        <f t="shared" ca="1" si="198"/>
        <v>206.89655172413794</v>
      </c>
      <c r="P432">
        <f t="shared" ca="1" si="199"/>
        <v>632.471</v>
      </c>
      <c r="Q432">
        <f t="shared" ca="1" si="200"/>
        <v>2814.2336460417373</v>
      </c>
      <c r="R432">
        <f t="shared" ca="1" si="201"/>
        <v>537.06119230570835</v>
      </c>
      <c r="S432">
        <f t="shared" ca="1" si="202"/>
        <v>295.41581853663399</v>
      </c>
      <c r="T432">
        <f t="shared" ca="1" si="203"/>
        <v>1075.6151469985764</v>
      </c>
      <c r="U432">
        <f t="shared" ca="1" si="224"/>
        <v>-358.11368236765838</v>
      </c>
      <c r="V432">
        <f t="shared" ca="1" si="225"/>
        <v>0</v>
      </c>
      <c r="W432">
        <f t="shared" ca="1" si="204"/>
        <v>0.05</v>
      </c>
      <c r="X432">
        <f t="shared" ca="1" si="205"/>
        <v>0.2465</v>
      </c>
      <c r="Y432">
        <f t="shared" ca="1" si="206"/>
        <v>4.9005964214711734E-2</v>
      </c>
      <c r="Z432">
        <f t="shared" ca="1" si="207"/>
        <v>206.89655172413794</v>
      </c>
      <c r="AA432">
        <f t="shared" ca="1" si="208"/>
        <v>632.471</v>
      </c>
      <c r="AB432">
        <f t="shared" ca="1" si="209"/>
        <v>2814.2336460417373</v>
      </c>
      <c r="AC432">
        <f t="shared" ca="1" si="210"/>
        <v>537.06119230570835</v>
      </c>
      <c r="AD432">
        <f t="shared" ca="1" si="211"/>
        <v>295.41581853663399</v>
      </c>
      <c r="AE432">
        <f t="shared" ca="1" si="212"/>
        <v>1075.6151469985764</v>
      </c>
      <c r="AF432">
        <f t="shared" ca="1" si="213"/>
        <v>399.62627608848879</v>
      </c>
      <c r="AG432">
        <f t="shared" ca="1" si="214"/>
        <v>0</v>
      </c>
      <c r="AH432">
        <f ca="1">IF(V32="Supercritical",L432,IF(V32="Subcritical",W432,IF(AND(V432=1,AG432=1),IF(T432&gt;=AE432,L432,W432),IF(V432=1,L432,IF(AG432=1,W432,MAX($D$16,POWER((ABS(K432)^2)/($I$5*MAX(F432,0.1)^2),1/3)))))))</f>
        <v>2.2178176501737119</v>
      </c>
      <c r="AI432">
        <f t="shared" ca="1" si="215"/>
        <v>634.63881765017379</v>
      </c>
      <c r="AJ432">
        <f t="shared" ca="1" si="216"/>
        <v>635.74772647526061</v>
      </c>
      <c r="AM432">
        <v>0</v>
      </c>
      <c r="AN432">
        <v>0</v>
      </c>
      <c r="AO432">
        <f t="shared" si="217"/>
        <v>0</v>
      </c>
      <c r="AP432">
        <f t="shared" si="226"/>
        <v>0</v>
      </c>
      <c r="AQ432">
        <f t="shared" ca="1" si="218"/>
        <v>1</v>
      </c>
      <c r="AR432" t="str">
        <f t="shared" ca="1" si="219"/>
        <v>Supercritical</v>
      </c>
      <c r="AS432">
        <f t="shared" ca="1" si="220"/>
        <v>3.9822636631032388E-3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191</v>
      </c>
      <c r="I433">
        <v>16.733000000000001</v>
      </c>
      <c r="J433">
        <f t="shared" si="221"/>
        <v>0.96799999999996089</v>
      </c>
      <c r="K433">
        <f t="shared" si="222"/>
        <v>51</v>
      </c>
      <c r="L433">
        <f t="shared" ca="1" si="223"/>
        <v>0.05</v>
      </c>
      <c r="M433">
        <f t="shared" ca="1" si="196"/>
        <v>0.26</v>
      </c>
      <c r="N433">
        <f t="shared" ca="1" si="197"/>
        <v>4.9056603773584909E-2</v>
      </c>
      <c r="O433">
        <f t="shared" ca="1" si="198"/>
        <v>196.15384615384616</v>
      </c>
      <c r="P433">
        <f t="shared" ca="1" si="199"/>
        <v>632.4704999999999</v>
      </c>
      <c r="Q433">
        <f t="shared" ca="1" si="200"/>
        <v>2593.5475316486618</v>
      </c>
      <c r="R433">
        <f t="shared" ca="1" si="201"/>
        <v>482.07306851378365</v>
      </c>
      <c r="S433">
        <f t="shared" ca="1" si="202"/>
        <v>280.07692026646265</v>
      </c>
      <c r="T433">
        <f t="shared" ca="1" si="203"/>
        <v>1019.7665564573041</v>
      </c>
      <c r="U433">
        <f t="shared" ca="1" si="224"/>
        <v>-399.62627608848879</v>
      </c>
      <c r="V433">
        <f t="shared" ca="1" si="225"/>
        <v>0</v>
      </c>
      <c r="W433">
        <f t="shared" ca="1" si="204"/>
        <v>0.05</v>
      </c>
      <c r="X433">
        <f t="shared" ca="1" si="205"/>
        <v>0.26</v>
      </c>
      <c r="Y433">
        <f t="shared" ca="1" si="206"/>
        <v>4.9056603773584909E-2</v>
      </c>
      <c r="Z433">
        <f t="shared" ca="1" si="207"/>
        <v>196.15384615384616</v>
      </c>
      <c r="AA433">
        <f t="shared" ca="1" si="208"/>
        <v>632.4704999999999</v>
      </c>
      <c r="AB433">
        <f t="shared" ca="1" si="209"/>
        <v>2593.5475316486618</v>
      </c>
      <c r="AC433">
        <f t="shared" ca="1" si="210"/>
        <v>482.07306851378365</v>
      </c>
      <c r="AD433">
        <f t="shared" ca="1" si="211"/>
        <v>280.07692026646265</v>
      </c>
      <c r="AE433">
        <f t="shared" ca="1" si="212"/>
        <v>1019.7665564573041</v>
      </c>
      <c r="AF433">
        <f t="shared" ca="1" si="213"/>
        <v>482.16081698020844</v>
      </c>
      <c r="AG433">
        <f t="shared" ca="1" si="214"/>
        <v>0</v>
      </c>
      <c r="AH433">
        <f ca="1">IF(V32="Supercritical",L433,IF(V32="Subcritical",W433,IF(AND(V433=1,AG433=1),IF(T433&gt;=AE433,L433,W433),IF(V433=1,L433,IF(AG433=1,W433,MAX($D$16,POWER((ABS(K433)^2)/($I$5*MAX(F433,0.1)^2),1/3)))))))</f>
        <v>2.1403668656741068</v>
      </c>
      <c r="AI433">
        <f t="shared" ca="1" si="215"/>
        <v>634.56086686567403</v>
      </c>
      <c r="AJ433">
        <f t="shared" ca="1" si="216"/>
        <v>635.63105029851113</v>
      </c>
      <c r="AM433">
        <v>0</v>
      </c>
      <c r="AN433">
        <v>0</v>
      </c>
      <c r="AO433">
        <f t="shared" si="217"/>
        <v>0</v>
      </c>
      <c r="AP433">
        <f t="shared" si="226"/>
        <v>0</v>
      </c>
      <c r="AQ433">
        <f t="shared" ca="1" si="218"/>
        <v>0.99999999999999978</v>
      </c>
      <c r="AR433" t="str">
        <f t="shared" ca="1" si="219"/>
        <v>Supercritical</v>
      </c>
      <c r="AS433">
        <f t="shared" ca="1" si="220"/>
        <v>3.8148159832266538E-3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191</v>
      </c>
      <c r="I434">
        <v>2.7E-2</v>
      </c>
      <c r="J434">
        <f t="shared" si="221"/>
        <v>1</v>
      </c>
      <c r="K434">
        <f t="shared" si="222"/>
        <v>51</v>
      </c>
      <c r="L434">
        <f t="shared" ca="1" si="223"/>
        <v>0.05</v>
      </c>
      <c r="M434">
        <f t="shared" ca="1" si="196"/>
        <v>0.26</v>
      </c>
      <c r="N434">
        <f t="shared" ca="1" si="197"/>
        <v>4.9056603773584909E-2</v>
      </c>
      <c r="O434">
        <f t="shared" ca="1" si="198"/>
        <v>196.15384615384616</v>
      </c>
      <c r="P434">
        <f t="shared" ca="1" si="199"/>
        <v>632.46999999999991</v>
      </c>
      <c r="Q434">
        <f t="shared" ca="1" si="200"/>
        <v>2593.5470316486621</v>
      </c>
      <c r="R434">
        <f t="shared" ca="1" si="201"/>
        <v>482.07306851378365</v>
      </c>
      <c r="S434">
        <f t="shared" ca="1" si="202"/>
        <v>280.07692026646265</v>
      </c>
      <c r="T434">
        <f t="shared" ca="1" si="203"/>
        <v>1019.7665564573041</v>
      </c>
      <c r="U434">
        <f t="shared" ca="1" si="224"/>
        <v>-482.16081698020844</v>
      </c>
      <c r="V434">
        <f t="shared" ca="1" si="225"/>
        <v>0</v>
      </c>
      <c r="W434">
        <f t="shared" ca="1" si="204"/>
        <v>0.05</v>
      </c>
      <c r="X434">
        <f t="shared" ca="1" si="205"/>
        <v>0.26</v>
      </c>
      <c r="Y434">
        <f t="shared" ca="1" si="206"/>
        <v>4.9056603773584909E-2</v>
      </c>
      <c r="Z434">
        <f t="shared" ca="1" si="207"/>
        <v>196.15384615384616</v>
      </c>
      <c r="AA434">
        <f t="shared" ca="1" si="208"/>
        <v>632.46999999999991</v>
      </c>
      <c r="AB434">
        <f t="shared" ca="1" si="209"/>
        <v>2593.5470316486621</v>
      </c>
      <c r="AC434">
        <f t="shared" ca="1" si="210"/>
        <v>482.07306851378365</v>
      </c>
      <c r="AD434">
        <f t="shared" ca="1" si="211"/>
        <v>280.07692026646265</v>
      </c>
      <c r="AE434">
        <f t="shared" ca="1" si="212"/>
        <v>1019.7665564573041</v>
      </c>
      <c r="AF434">
        <f t="shared" ca="1" si="213"/>
        <v>482.16081698020798</v>
      </c>
      <c r="AG434">
        <f t="shared" ca="1" si="214"/>
        <v>0</v>
      </c>
      <c r="AH434">
        <f ca="1">IF(V32="Supercritical",L434,IF(V32="Subcritical",W434,IF(AND(V434=1,AG434=1),IF(T434&gt;=AE434,L434,W434),IF(V434=1,L434,IF(AG434=1,W434,MAX($D$16,POWER((ABS(K434)^2)/($I$5*MAX(F434,0.1)^2),1/3)))))))</f>
        <v>2.1403668656741068</v>
      </c>
      <c r="AI434">
        <f t="shared" ca="1" si="215"/>
        <v>634.56036686567404</v>
      </c>
      <c r="AJ434">
        <f t="shared" ca="1" si="216"/>
        <v>635.63055029851114</v>
      </c>
      <c r="AM434">
        <v>0</v>
      </c>
      <c r="AN434">
        <v>0</v>
      </c>
      <c r="AO434">
        <f t="shared" si="217"/>
        <v>0</v>
      </c>
      <c r="AP434">
        <f t="shared" si="226"/>
        <v>0</v>
      </c>
      <c r="AQ434">
        <f t="shared" ca="1" si="218"/>
        <v>0.99999999999999978</v>
      </c>
      <c r="AR434" t="str">
        <f t="shared" ca="1" si="219"/>
        <v>Supercritical</v>
      </c>
      <c r="AS434">
        <f t="shared" ca="1" si="220"/>
        <v>3.8148159832266538E-3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191</v>
      </c>
      <c r="I435">
        <v>2.7E-2</v>
      </c>
      <c r="J435">
        <f t="shared" si="221"/>
        <v>1</v>
      </c>
      <c r="K435">
        <f t="shared" si="222"/>
        <v>51</v>
      </c>
      <c r="L435">
        <f t="shared" ca="1" si="223"/>
        <v>0.05</v>
      </c>
      <c r="M435">
        <f t="shared" ca="1" si="196"/>
        <v>0.26</v>
      </c>
      <c r="N435">
        <f t="shared" ca="1" si="197"/>
        <v>4.9056603773584909E-2</v>
      </c>
      <c r="O435">
        <f t="shared" ca="1" si="198"/>
        <v>196.15384615384616</v>
      </c>
      <c r="P435">
        <f t="shared" ca="1" si="199"/>
        <v>632.46949999999993</v>
      </c>
      <c r="Q435">
        <f t="shared" ca="1" si="200"/>
        <v>2593.546531648662</v>
      </c>
      <c r="R435">
        <f t="shared" ca="1" si="201"/>
        <v>482.07306851378365</v>
      </c>
      <c r="S435">
        <f t="shared" ca="1" si="202"/>
        <v>280.07692026646265</v>
      </c>
      <c r="T435">
        <f t="shared" ca="1" si="203"/>
        <v>1019.7665564573041</v>
      </c>
      <c r="U435">
        <f t="shared" ca="1" si="224"/>
        <v>-482.16081698020798</v>
      </c>
      <c r="V435">
        <f t="shared" ca="1" si="225"/>
        <v>0</v>
      </c>
      <c r="W435">
        <f t="shared" ca="1" si="204"/>
        <v>0.05</v>
      </c>
      <c r="X435">
        <f t="shared" ca="1" si="205"/>
        <v>0.26</v>
      </c>
      <c r="Y435">
        <f t="shared" ca="1" si="206"/>
        <v>4.9056603773584909E-2</v>
      </c>
      <c r="Z435">
        <f t="shared" ca="1" si="207"/>
        <v>196.15384615384616</v>
      </c>
      <c r="AA435">
        <f t="shared" ca="1" si="208"/>
        <v>632.46949999999993</v>
      </c>
      <c r="AB435">
        <f t="shared" ca="1" si="209"/>
        <v>2593.546531648662</v>
      </c>
      <c r="AC435">
        <f t="shared" ca="1" si="210"/>
        <v>482.07306851378365</v>
      </c>
      <c r="AD435">
        <f t="shared" ca="1" si="211"/>
        <v>280.07692026646265</v>
      </c>
      <c r="AE435">
        <f t="shared" ca="1" si="212"/>
        <v>1019.7665564573041</v>
      </c>
      <c r="AF435">
        <f t="shared" ca="1" si="213"/>
        <v>482.1477431333301</v>
      </c>
      <c r="AG435">
        <f t="shared" ca="1" si="214"/>
        <v>0</v>
      </c>
      <c r="AH435">
        <f ca="1">IF(V32="Supercritical",L435,IF(V32="Subcritical",W435,IF(AND(V435=1,AG435=1),IF(T435&gt;=AE435,L435,W435),IF(V435=1,L435,IF(AG435=1,W435,MAX($D$16,POWER((ABS(K435)^2)/($I$5*MAX(F435,0.1)^2),1/3)))))))</f>
        <v>2.1403668656741068</v>
      </c>
      <c r="AI435">
        <f t="shared" ca="1" si="215"/>
        <v>634.55986686567405</v>
      </c>
      <c r="AJ435">
        <f t="shared" ca="1" si="216"/>
        <v>635.63005029851115</v>
      </c>
      <c r="AM435">
        <v>0</v>
      </c>
      <c r="AN435">
        <v>0</v>
      </c>
      <c r="AO435">
        <f t="shared" si="217"/>
        <v>0</v>
      </c>
      <c r="AP435">
        <f t="shared" si="226"/>
        <v>0</v>
      </c>
      <c r="AQ435">
        <f t="shared" ca="1" si="218"/>
        <v>0.99999999999999978</v>
      </c>
      <c r="AR435" t="str">
        <f t="shared" ca="1" si="219"/>
        <v>Supercritical</v>
      </c>
      <c r="AS435">
        <f t="shared" ca="1" si="220"/>
        <v>3.8148159832266538E-3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191</v>
      </c>
      <c r="I436">
        <v>2.3E-2</v>
      </c>
      <c r="J436">
        <f t="shared" si="221"/>
        <v>1</v>
      </c>
      <c r="K436">
        <f t="shared" si="222"/>
        <v>51</v>
      </c>
      <c r="L436">
        <f t="shared" ca="1" si="223"/>
        <v>0.05</v>
      </c>
      <c r="M436">
        <f t="shared" ca="1" si="196"/>
        <v>0.26</v>
      </c>
      <c r="N436">
        <f t="shared" ca="1" si="197"/>
        <v>4.9056603773584909E-2</v>
      </c>
      <c r="O436">
        <f t="shared" ca="1" si="198"/>
        <v>196.15384615384616</v>
      </c>
      <c r="P436">
        <f t="shared" ca="1" si="199"/>
        <v>632.46899999999994</v>
      </c>
      <c r="Q436">
        <f t="shared" ca="1" si="200"/>
        <v>2593.5460316486619</v>
      </c>
      <c r="R436">
        <f t="shared" ca="1" si="201"/>
        <v>482.07306851378365</v>
      </c>
      <c r="S436">
        <f t="shared" ca="1" si="202"/>
        <v>280.07692026646265</v>
      </c>
      <c r="T436">
        <f t="shared" ca="1" si="203"/>
        <v>1019.7665564573041</v>
      </c>
      <c r="U436">
        <f t="shared" ca="1" si="224"/>
        <v>-482.1477431333301</v>
      </c>
      <c r="V436">
        <f t="shared" ca="1" si="225"/>
        <v>0</v>
      </c>
      <c r="W436">
        <f t="shared" ca="1" si="204"/>
        <v>0.05</v>
      </c>
      <c r="X436">
        <f t="shared" ca="1" si="205"/>
        <v>0.26</v>
      </c>
      <c r="Y436">
        <f t="shared" ca="1" si="206"/>
        <v>4.9056603773584909E-2</v>
      </c>
      <c r="Z436">
        <f t="shared" ca="1" si="207"/>
        <v>196.15384615384616</v>
      </c>
      <c r="AA436">
        <f t="shared" ca="1" si="208"/>
        <v>632.46899999999994</v>
      </c>
      <c r="AB436">
        <f t="shared" ca="1" si="209"/>
        <v>2593.5460316486619</v>
      </c>
      <c r="AC436">
        <f t="shared" ca="1" si="210"/>
        <v>482.07306851378365</v>
      </c>
      <c r="AD436">
        <f t="shared" ca="1" si="211"/>
        <v>280.07692026646265</v>
      </c>
      <c r="AE436">
        <f t="shared" ca="1" si="212"/>
        <v>1019.7665564573041</v>
      </c>
      <c r="AF436">
        <f t="shared" ca="1" si="213"/>
        <v>482.62981620186019</v>
      </c>
      <c r="AG436">
        <f t="shared" ca="1" si="214"/>
        <v>0</v>
      </c>
      <c r="AH436">
        <f ca="1">IF(V32="Supercritical",L436,IF(V32="Subcritical",W436,IF(AND(V436=1,AG436=1),IF(T436&gt;=AE436,L436,W436),IF(V436=1,L436,IF(AG436=1,W436,MAX($D$16,POWER((ABS(K436)^2)/($I$5*MAX(F436,0.1)^2),1/3)))))))</f>
        <v>2.1403668656741068</v>
      </c>
      <c r="AI436">
        <f t="shared" ca="1" si="215"/>
        <v>634.55936686567406</v>
      </c>
      <c r="AJ436">
        <f t="shared" ca="1" si="216"/>
        <v>635.62955029851116</v>
      </c>
      <c r="AM436">
        <v>0</v>
      </c>
      <c r="AN436">
        <v>0</v>
      </c>
      <c r="AO436">
        <f t="shared" si="217"/>
        <v>0</v>
      </c>
      <c r="AP436">
        <f t="shared" si="226"/>
        <v>0</v>
      </c>
      <c r="AQ436">
        <f t="shared" ca="1" si="218"/>
        <v>0.99999999999999978</v>
      </c>
      <c r="AR436" t="str">
        <f t="shared" ca="1" si="219"/>
        <v>Supercritical</v>
      </c>
      <c r="AS436">
        <f t="shared" ca="1" si="220"/>
        <v>3.8148159832266538E-3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191</v>
      </c>
      <c r="I437">
        <v>2.3E-2</v>
      </c>
      <c r="J437">
        <f t="shared" si="221"/>
        <v>1.0010000000000332</v>
      </c>
      <c r="K437">
        <f t="shared" si="222"/>
        <v>51</v>
      </c>
      <c r="L437">
        <f t="shared" ca="1" si="223"/>
        <v>0.05</v>
      </c>
      <c r="M437">
        <f t="shared" ca="1" si="196"/>
        <v>0.26</v>
      </c>
      <c r="N437">
        <f t="shared" ca="1" si="197"/>
        <v>4.9056603773584909E-2</v>
      </c>
      <c r="O437">
        <f t="shared" ca="1" si="198"/>
        <v>196.15384615384616</v>
      </c>
      <c r="P437">
        <f t="shared" ca="1" si="199"/>
        <v>632.46849999999995</v>
      </c>
      <c r="Q437">
        <f t="shared" ca="1" si="200"/>
        <v>2593.5455316486623</v>
      </c>
      <c r="R437">
        <f t="shared" ca="1" si="201"/>
        <v>482.07306851378365</v>
      </c>
      <c r="S437">
        <f t="shared" ca="1" si="202"/>
        <v>280.07692026646265</v>
      </c>
      <c r="T437">
        <f t="shared" ca="1" si="203"/>
        <v>1019.7665564573041</v>
      </c>
      <c r="U437">
        <f t="shared" ca="1" si="224"/>
        <v>-482.62981620186019</v>
      </c>
      <c r="V437">
        <f t="shared" ca="1" si="225"/>
        <v>0</v>
      </c>
      <c r="W437">
        <f t="shared" ca="1" si="204"/>
        <v>0.05</v>
      </c>
      <c r="X437">
        <f t="shared" ca="1" si="205"/>
        <v>0.26</v>
      </c>
      <c r="Y437">
        <f t="shared" ca="1" si="206"/>
        <v>4.9056603773584909E-2</v>
      </c>
      <c r="Z437">
        <f t="shared" ca="1" si="207"/>
        <v>196.15384615384616</v>
      </c>
      <c r="AA437">
        <f t="shared" ca="1" si="208"/>
        <v>632.46849999999995</v>
      </c>
      <c r="AB437">
        <f t="shared" ca="1" si="209"/>
        <v>2593.5455316486623</v>
      </c>
      <c r="AC437">
        <f t="shared" ca="1" si="210"/>
        <v>482.07306851378365</v>
      </c>
      <c r="AD437">
        <f t="shared" ca="1" si="211"/>
        <v>280.07692026646265</v>
      </c>
      <c r="AE437">
        <f t="shared" ca="1" si="212"/>
        <v>1019.7665564573041</v>
      </c>
      <c r="AF437">
        <f t="shared" ca="1" si="213"/>
        <v>481.59049544525351</v>
      </c>
      <c r="AG437">
        <f t="shared" ca="1" si="214"/>
        <v>0</v>
      </c>
      <c r="AH437">
        <f ca="1">IF(V32="Supercritical",L437,IF(V32="Subcritical",W437,IF(AND(V437=1,AG437=1),IF(T437&gt;=AE437,L437,W437),IF(V437=1,L437,IF(AG437=1,W437,MAX($D$16,POWER((ABS(K437)^2)/($I$5*MAX(F437,0.1)^2),1/3)))))))</f>
        <v>2.1403668656741068</v>
      </c>
      <c r="AI437">
        <f t="shared" ca="1" si="215"/>
        <v>634.55886686567408</v>
      </c>
      <c r="AJ437">
        <f t="shared" ca="1" si="216"/>
        <v>635.62905029851117</v>
      </c>
      <c r="AM437">
        <v>0</v>
      </c>
      <c r="AN437">
        <v>0</v>
      </c>
      <c r="AO437">
        <f t="shared" si="217"/>
        <v>0</v>
      </c>
      <c r="AP437">
        <f t="shared" si="226"/>
        <v>0</v>
      </c>
      <c r="AQ437">
        <f t="shared" ca="1" si="218"/>
        <v>0.99999999999999978</v>
      </c>
      <c r="AR437" t="str">
        <f t="shared" ca="1" si="219"/>
        <v>Supercritical</v>
      </c>
      <c r="AS437">
        <f t="shared" ca="1" si="220"/>
        <v>3.8148159832266538E-3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191</v>
      </c>
      <c r="I438">
        <v>0</v>
      </c>
      <c r="J438">
        <f t="shared" si="221"/>
        <v>0.9989999999999668</v>
      </c>
      <c r="K438">
        <f t="shared" si="222"/>
        <v>51</v>
      </c>
      <c r="L438">
        <f t="shared" ca="1" si="223"/>
        <v>0.05</v>
      </c>
      <c r="M438">
        <f t="shared" ca="1" si="196"/>
        <v>0.26</v>
      </c>
      <c r="N438">
        <f t="shared" ca="1" si="197"/>
        <v>4.9056603773584909E-2</v>
      </c>
      <c r="O438">
        <f t="shared" ca="1" si="198"/>
        <v>196.15384615384616</v>
      </c>
      <c r="P438">
        <f t="shared" ca="1" si="199"/>
        <v>632.46799999999996</v>
      </c>
      <c r="Q438">
        <f t="shared" ca="1" si="200"/>
        <v>2593.5450316486622</v>
      </c>
      <c r="R438">
        <f t="shared" ca="1" si="201"/>
        <v>482.07306851378365</v>
      </c>
      <c r="S438">
        <f t="shared" ca="1" si="202"/>
        <v>280.07692026646265</v>
      </c>
      <c r="T438">
        <f t="shared" ca="1" si="203"/>
        <v>1019.7665564573041</v>
      </c>
      <c r="U438">
        <f t="shared" ca="1" si="224"/>
        <v>-481.59049544525351</v>
      </c>
      <c r="V438">
        <f t="shared" ca="1" si="225"/>
        <v>0</v>
      </c>
      <c r="W438">
        <f t="shared" ca="1" si="204"/>
        <v>0.05</v>
      </c>
      <c r="X438">
        <f t="shared" ca="1" si="205"/>
        <v>0.26</v>
      </c>
      <c r="Y438">
        <f t="shared" ca="1" si="206"/>
        <v>4.9056603773584909E-2</v>
      </c>
      <c r="Z438">
        <f t="shared" ca="1" si="207"/>
        <v>196.15384615384616</v>
      </c>
      <c r="AA438">
        <f t="shared" ca="1" si="208"/>
        <v>632.46799999999996</v>
      </c>
      <c r="AB438">
        <f t="shared" ca="1" si="209"/>
        <v>2593.5450316486622</v>
      </c>
      <c r="AC438">
        <f t="shared" ca="1" si="210"/>
        <v>482.07306851378365</v>
      </c>
      <c r="AD438">
        <f t="shared" ca="1" si="211"/>
        <v>280.07692026646265</v>
      </c>
      <c r="AE438">
        <f t="shared" ca="1" si="212"/>
        <v>1019.7665564573041</v>
      </c>
      <c r="AF438">
        <f t="shared" ca="1" si="213"/>
        <v>482.16081698020798</v>
      </c>
      <c r="AG438">
        <f t="shared" ca="1" si="214"/>
        <v>0</v>
      </c>
      <c r="AH438">
        <f ca="1">IF(V32="Supercritical",L438,IF(V32="Subcritical",W438,IF(AND(V438=1,AG438=1),IF(T438&gt;=AE438,L438,W438),IF(V438=1,L438,IF(AG438=1,W438,MAX($D$16,POWER((ABS(K438)^2)/($I$5*MAX(F438,0.1)^2),1/3)))))))</f>
        <v>2.1403668656741068</v>
      </c>
      <c r="AI438">
        <f t="shared" ca="1" si="215"/>
        <v>634.55836686567409</v>
      </c>
      <c r="AJ438">
        <f t="shared" ca="1" si="216"/>
        <v>635.62855029851119</v>
      </c>
      <c r="AM438">
        <v>0</v>
      </c>
      <c r="AN438">
        <v>0</v>
      </c>
      <c r="AO438">
        <f t="shared" si="217"/>
        <v>0</v>
      </c>
      <c r="AP438">
        <f t="shared" si="226"/>
        <v>0</v>
      </c>
      <c r="AQ438">
        <f t="shared" ca="1" si="218"/>
        <v>0.99999999999999978</v>
      </c>
      <c r="AR438" t="str">
        <f t="shared" ca="1" si="219"/>
        <v>Supercritical</v>
      </c>
      <c r="AS438">
        <f t="shared" ca="1" si="220"/>
        <v>3.8148159832266538E-3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191</v>
      </c>
      <c r="I439">
        <v>2.7E-2</v>
      </c>
      <c r="J439">
        <f t="shared" si="221"/>
        <v>1</v>
      </c>
      <c r="K439">
        <f t="shared" si="222"/>
        <v>51</v>
      </c>
      <c r="L439">
        <f t="shared" ca="1" si="223"/>
        <v>0.05</v>
      </c>
      <c r="M439">
        <f t="shared" ca="1" si="196"/>
        <v>0.26</v>
      </c>
      <c r="N439">
        <f t="shared" ca="1" si="197"/>
        <v>4.9056603773584909E-2</v>
      </c>
      <c r="O439">
        <f t="shared" ca="1" si="198"/>
        <v>196.15384615384616</v>
      </c>
      <c r="P439">
        <f t="shared" ca="1" si="199"/>
        <v>632.46749999999997</v>
      </c>
      <c r="Q439">
        <f t="shared" ca="1" si="200"/>
        <v>2593.5445316486621</v>
      </c>
      <c r="R439">
        <f t="shared" ca="1" si="201"/>
        <v>482.07306851378365</v>
      </c>
      <c r="S439">
        <f t="shared" ca="1" si="202"/>
        <v>280.07692026646265</v>
      </c>
      <c r="T439">
        <f t="shared" ca="1" si="203"/>
        <v>1019.7665564573041</v>
      </c>
      <c r="U439">
        <f t="shared" ca="1" si="224"/>
        <v>-482.16081698020798</v>
      </c>
      <c r="V439">
        <f t="shared" ca="1" si="225"/>
        <v>0</v>
      </c>
      <c r="W439">
        <f t="shared" ca="1" si="204"/>
        <v>0.05</v>
      </c>
      <c r="X439">
        <f t="shared" ca="1" si="205"/>
        <v>0.26</v>
      </c>
      <c r="Y439">
        <f t="shared" ca="1" si="206"/>
        <v>4.9056603773584909E-2</v>
      </c>
      <c r="Z439">
        <f t="shared" ca="1" si="207"/>
        <v>196.15384615384616</v>
      </c>
      <c r="AA439">
        <f t="shared" ca="1" si="208"/>
        <v>632.46749999999997</v>
      </c>
      <c r="AB439">
        <f t="shared" ca="1" si="209"/>
        <v>2593.5445316486621</v>
      </c>
      <c r="AC439">
        <f t="shared" ca="1" si="210"/>
        <v>482.07306851378365</v>
      </c>
      <c r="AD439">
        <f t="shared" ca="1" si="211"/>
        <v>280.07692026646265</v>
      </c>
      <c r="AE439">
        <f t="shared" ca="1" si="212"/>
        <v>1019.7665564573041</v>
      </c>
      <c r="AF439">
        <f t="shared" ca="1" si="213"/>
        <v>482.32750852789786</v>
      </c>
      <c r="AG439">
        <f t="shared" ca="1" si="214"/>
        <v>0</v>
      </c>
      <c r="AH439">
        <f ca="1">IF(V32="Supercritical",L439,IF(V32="Subcritical",W439,IF(AND(V439=1,AG439=1),IF(T439&gt;=AE439,L439,W439),IF(V439=1,L439,IF(AG439=1,W439,MAX($D$16,POWER((ABS(K439)^2)/($I$5*MAX(F439,0.1)^2),1/3)))))))</f>
        <v>2.1403668656741068</v>
      </c>
      <c r="AI439">
        <f t="shared" ca="1" si="215"/>
        <v>634.5578668656741</v>
      </c>
      <c r="AJ439">
        <f t="shared" ca="1" si="216"/>
        <v>635.6280502985112</v>
      </c>
      <c r="AM439">
        <v>0</v>
      </c>
      <c r="AN439">
        <v>0</v>
      </c>
      <c r="AO439">
        <f t="shared" si="217"/>
        <v>0</v>
      </c>
      <c r="AP439">
        <f t="shared" si="226"/>
        <v>0</v>
      </c>
      <c r="AQ439">
        <f t="shared" ca="1" si="218"/>
        <v>0.99999999999999978</v>
      </c>
      <c r="AR439" t="str">
        <f t="shared" ca="1" si="219"/>
        <v>Supercritical</v>
      </c>
      <c r="AS439">
        <f t="shared" ca="1" si="220"/>
        <v>3.8148159832266538E-3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191</v>
      </c>
      <c r="I440">
        <v>7.8E-2</v>
      </c>
      <c r="J440">
        <f t="shared" si="221"/>
        <v>1</v>
      </c>
      <c r="K440">
        <f t="shared" si="222"/>
        <v>51</v>
      </c>
      <c r="L440">
        <f t="shared" ca="1" si="223"/>
        <v>0.05</v>
      </c>
      <c r="M440">
        <f t="shared" ca="1" si="196"/>
        <v>0.26</v>
      </c>
      <c r="N440">
        <f t="shared" ca="1" si="197"/>
        <v>4.9056603773584909E-2</v>
      </c>
      <c r="O440">
        <f t="shared" ca="1" si="198"/>
        <v>196.15384615384616</v>
      </c>
      <c r="P440">
        <f t="shared" ca="1" si="199"/>
        <v>632.46699999999998</v>
      </c>
      <c r="Q440">
        <f t="shared" ca="1" si="200"/>
        <v>2593.544031648662</v>
      </c>
      <c r="R440">
        <f t="shared" ca="1" si="201"/>
        <v>482.07306851378365</v>
      </c>
      <c r="S440">
        <f t="shared" ca="1" si="202"/>
        <v>280.07692026646265</v>
      </c>
      <c r="T440">
        <f t="shared" ca="1" si="203"/>
        <v>1019.7665564573041</v>
      </c>
      <c r="U440">
        <f t="shared" ca="1" si="224"/>
        <v>-482.32750852789786</v>
      </c>
      <c r="V440">
        <f t="shared" ca="1" si="225"/>
        <v>0</v>
      </c>
      <c r="W440">
        <f t="shared" ca="1" si="204"/>
        <v>0.05</v>
      </c>
      <c r="X440">
        <f t="shared" ca="1" si="205"/>
        <v>0.26</v>
      </c>
      <c r="Y440">
        <f t="shared" ca="1" si="206"/>
        <v>4.9056603773584909E-2</v>
      </c>
      <c r="Z440">
        <f t="shared" ca="1" si="207"/>
        <v>196.15384615384616</v>
      </c>
      <c r="AA440">
        <f t="shared" ca="1" si="208"/>
        <v>632.46699999999998</v>
      </c>
      <c r="AB440">
        <f t="shared" ca="1" si="209"/>
        <v>2593.544031648662</v>
      </c>
      <c r="AC440">
        <f t="shared" ca="1" si="210"/>
        <v>482.07306851378365</v>
      </c>
      <c r="AD440">
        <f t="shared" ca="1" si="211"/>
        <v>280.07692026646265</v>
      </c>
      <c r="AE440">
        <f t="shared" ca="1" si="212"/>
        <v>1019.7665564573041</v>
      </c>
      <c r="AF440">
        <f t="shared" ca="1" si="213"/>
        <v>482.32750852789786</v>
      </c>
      <c r="AG440">
        <f t="shared" ca="1" si="214"/>
        <v>0</v>
      </c>
      <c r="AH440">
        <f ca="1">IF(V32="Supercritical",L440,IF(V32="Subcritical",W440,IF(AND(V440=1,AG440=1),IF(T440&gt;=AE440,L440,W440),IF(V440=1,L440,IF(AG440=1,W440,MAX($D$16,POWER((ABS(K440)^2)/($I$5*MAX(F440,0.1)^2),1/3)))))))</f>
        <v>2.1403668656741068</v>
      </c>
      <c r="AI440">
        <f t="shared" ca="1" si="215"/>
        <v>634.55736686567411</v>
      </c>
      <c r="AJ440">
        <f t="shared" ca="1" si="216"/>
        <v>635.62755029851121</v>
      </c>
      <c r="AM440">
        <v>0</v>
      </c>
      <c r="AN440">
        <v>0</v>
      </c>
      <c r="AO440">
        <f t="shared" si="217"/>
        <v>0</v>
      </c>
      <c r="AP440">
        <f t="shared" si="226"/>
        <v>0</v>
      </c>
      <c r="AQ440">
        <f t="shared" ca="1" si="218"/>
        <v>0.99999999999999978</v>
      </c>
      <c r="AR440" t="str">
        <f t="shared" ca="1" si="219"/>
        <v>Supercritical</v>
      </c>
      <c r="AS440">
        <f t="shared" ca="1" si="220"/>
        <v>3.8148159832266538E-3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191</v>
      </c>
      <c r="I441">
        <v>7.8E-2</v>
      </c>
      <c r="J441">
        <f t="shared" si="221"/>
        <v>1</v>
      </c>
      <c r="K441">
        <f t="shared" si="222"/>
        <v>51</v>
      </c>
      <c r="L441">
        <f t="shared" ca="1" si="223"/>
        <v>0.05</v>
      </c>
      <c r="M441">
        <f t="shared" ca="1" si="196"/>
        <v>0.26</v>
      </c>
      <c r="N441">
        <f t="shared" ca="1" si="197"/>
        <v>4.9056603773584909E-2</v>
      </c>
      <c r="O441">
        <f t="shared" ca="1" si="198"/>
        <v>196.15384615384616</v>
      </c>
      <c r="P441">
        <f t="shared" ca="1" si="199"/>
        <v>632.4665</v>
      </c>
      <c r="Q441">
        <f t="shared" ca="1" si="200"/>
        <v>2593.5435316486619</v>
      </c>
      <c r="R441">
        <f t="shared" ca="1" si="201"/>
        <v>482.07306851378365</v>
      </c>
      <c r="S441">
        <f t="shared" ca="1" si="202"/>
        <v>280.07692026646265</v>
      </c>
      <c r="T441">
        <f t="shared" ca="1" si="203"/>
        <v>1019.7665564573041</v>
      </c>
      <c r="U441">
        <f t="shared" ca="1" si="224"/>
        <v>-482.32750852789786</v>
      </c>
      <c r="V441">
        <f t="shared" ca="1" si="225"/>
        <v>0</v>
      </c>
      <c r="W441">
        <f t="shared" ca="1" si="204"/>
        <v>0.05</v>
      </c>
      <c r="X441">
        <f t="shared" ca="1" si="205"/>
        <v>0.26</v>
      </c>
      <c r="Y441">
        <f t="shared" ca="1" si="206"/>
        <v>4.9056603773584909E-2</v>
      </c>
      <c r="Z441">
        <f t="shared" ca="1" si="207"/>
        <v>196.15384615384616</v>
      </c>
      <c r="AA441">
        <f t="shared" ca="1" si="208"/>
        <v>632.4665</v>
      </c>
      <c r="AB441">
        <f t="shared" ca="1" si="209"/>
        <v>2593.5435316486619</v>
      </c>
      <c r="AC441">
        <f t="shared" ca="1" si="210"/>
        <v>482.07306851378365</v>
      </c>
      <c r="AD441">
        <f t="shared" ca="1" si="211"/>
        <v>280.07692026646265</v>
      </c>
      <c r="AE441">
        <f t="shared" ca="1" si="212"/>
        <v>1019.7665564573041</v>
      </c>
      <c r="AF441">
        <f t="shared" ca="1" si="213"/>
        <v>482.64289004873808</v>
      </c>
      <c r="AG441">
        <f t="shared" ca="1" si="214"/>
        <v>0</v>
      </c>
      <c r="AH441">
        <f ca="1">IF(V32="Supercritical",L441,IF(V32="Subcritical",W441,IF(AND(V441=1,AG441=1),IF(T441&gt;=AE441,L441,W441),IF(V441=1,L441,IF(AG441=1,W441,MAX($D$16,POWER((ABS(K441)^2)/($I$5*MAX(F441,0.1)^2),1/3)))))))</f>
        <v>2.1403668656741068</v>
      </c>
      <c r="AI441">
        <f t="shared" ca="1" si="215"/>
        <v>634.55686686567412</v>
      </c>
      <c r="AJ441">
        <f t="shared" ca="1" si="216"/>
        <v>635.62705029851122</v>
      </c>
      <c r="AM441">
        <v>0</v>
      </c>
      <c r="AN441">
        <v>0</v>
      </c>
      <c r="AO441">
        <f t="shared" si="217"/>
        <v>0</v>
      </c>
      <c r="AP441">
        <f t="shared" si="226"/>
        <v>0</v>
      </c>
      <c r="AQ441">
        <f t="shared" ca="1" si="218"/>
        <v>0.99999999999999978</v>
      </c>
      <c r="AR441" t="str">
        <f t="shared" ca="1" si="219"/>
        <v>Supercritical</v>
      </c>
      <c r="AS441">
        <f t="shared" ca="1" si="220"/>
        <v>3.8148159832266538E-3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191</v>
      </c>
      <c r="I442">
        <v>2.7E-2</v>
      </c>
      <c r="J442">
        <f t="shared" si="221"/>
        <v>1.0010000000000332</v>
      </c>
      <c r="K442">
        <f t="shared" si="222"/>
        <v>51</v>
      </c>
      <c r="L442">
        <f t="shared" ca="1" si="223"/>
        <v>0.05</v>
      </c>
      <c r="M442">
        <f t="shared" ca="1" si="196"/>
        <v>0.26</v>
      </c>
      <c r="N442">
        <f t="shared" ca="1" si="197"/>
        <v>4.9056603773584909E-2</v>
      </c>
      <c r="O442">
        <f t="shared" ca="1" si="198"/>
        <v>196.15384615384616</v>
      </c>
      <c r="P442">
        <f t="shared" ca="1" si="199"/>
        <v>632.46600000000001</v>
      </c>
      <c r="Q442">
        <f t="shared" ca="1" si="200"/>
        <v>2593.5430316486622</v>
      </c>
      <c r="R442">
        <f t="shared" ca="1" si="201"/>
        <v>482.07306851378365</v>
      </c>
      <c r="S442">
        <f t="shared" ca="1" si="202"/>
        <v>280.07692026646265</v>
      </c>
      <c r="T442">
        <f t="shared" ca="1" si="203"/>
        <v>1019.7665564573041</v>
      </c>
      <c r="U442">
        <f t="shared" ca="1" si="224"/>
        <v>-482.64289004873808</v>
      </c>
      <c r="V442">
        <f t="shared" ca="1" si="225"/>
        <v>0</v>
      </c>
      <c r="W442">
        <f t="shared" ca="1" si="204"/>
        <v>0.05</v>
      </c>
      <c r="X442">
        <f t="shared" ca="1" si="205"/>
        <v>0.26</v>
      </c>
      <c r="Y442">
        <f t="shared" ca="1" si="206"/>
        <v>4.9056603773584909E-2</v>
      </c>
      <c r="Z442">
        <f t="shared" ca="1" si="207"/>
        <v>196.15384615384616</v>
      </c>
      <c r="AA442">
        <f t="shared" ca="1" si="208"/>
        <v>632.46600000000001</v>
      </c>
      <c r="AB442">
        <f t="shared" ca="1" si="209"/>
        <v>2593.5430316486622</v>
      </c>
      <c r="AC442">
        <f t="shared" ca="1" si="210"/>
        <v>482.07306851378365</v>
      </c>
      <c r="AD442">
        <f t="shared" ca="1" si="211"/>
        <v>280.07692026646265</v>
      </c>
      <c r="AE442">
        <f t="shared" ca="1" si="212"/>
        <v>1019.7665564573041</v>
      </c>
      <c r="AF442">
        <f t="shared" ca="1" si="213"/>
        <v>481.59049544525396</v>
      </c>
      <c r="AG442">
        <f t="shared" ca="1" si="214"/>
        <v>0</v>
      </c>
      <c r="AH442">
        <f ca="1">IF(V32="Supercritical",L442,IF(V32="Subcritical",W442,IF(AND(V442=1,AG442=1),IF(T442&gt;=AE442,L442,W442),IF(V442=1,L442,IF(AG442=1,W442,MAX($D$16,POWER((ABS(K442)^2)/($I$5*MAX(F442,0.1)^2),1/3)))))))</f>
        <v>2.1403668656741068</v>
      </c>
      <c r="AI442">
        <f t="shared" ca="1" si="215"/>
        <v>634.55636686567414</v>
      </c>
      <c r="AJ442">
        <f t="shared" ca="1" si="216"/>
        <v>635.62655029851123</v>
      </c>
      <c r="AM442">
        <v>0</v>
      </c>
      <c r="AN442">
        <v>0</v>
      </c>
      <c r="AO442">
        <f t="shared" si="217"/>
        <v>0</v>
      </c>
      <c r="AP442">
        <f t="shared" si="226"/>
        <v>0</v>
      </c>
      <c r="AQ442">
        <f t="shared" ca="1" si="218"/>
        <v>0.99999999999999978</v>
      </c>
      <c r="AR442" t="str">
        <f t="shared" ca="1" si="219"/>
        <v>Supercritical</v>
      </c>
      <c r="AS442">
        <f t="shared" ca="1" si="220"/>
        <v>3.8148159832266538E-3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191</v>
      </c>
      <c r="I443">
        <v>0</v>
      </c>
      <c r="J443">
        <f t="shared" si="221"/>
        <v>0.9989999999999668</v>
      </c>
      <c r="K443">
        <f t="shared" si="222"/>
        <v>51</v>
      </c>
      <c r="L443">
        <f t="shared" ca="1" si="223"/>
        <v>0.05</v>
      </c>
      <c r="M443">
        <f t="shared" ca="1" si="196"/>
        <v>0.26</v>
      </c>
      <c r="N443">
        <f t="shared" ca="1" si="197"/>
        <v>4.9056603773584909E-2</v>
      </c>
      <c r="O443">
        <f t="shared" ca="1" si="198"/>
        <v>196.15384615384616</v>
      </c>
      <c r="P443">
        <f t="shared" ca="1" si="199"/>
        <v>632.46549999999991</v>
      </c>
      <c r="Q443">
        <f t="shared" ca="1" si="200"/>
        <v>2593.5425316486621</v>
      </c>
      <c r="R443">
        <f t="shared" ca="1" si="201"/>
        <v>482.07306851378365</v>
      </c>
      <c r="S443">
        <f t="shared" ca="1" si="202"/>
        <v>280.07692026646265</v>
      </c>
      <c r="T443">
        <f t="shared" ca="1" si="203"/>
        <v>1019.7665564573041</v>
      </c>
      <c r="U443">
        <f t="shared" ca="1" si="224"/>
        <v>-481.59049544525396</v>
      </c>
      <c r="V443">
        <f t="shared" ca="1" si="225"/>
        <v>0</v>
      </c>
      <c r="W443">
        <f t="shared" ca="1" si="204"/>
        <v>0.05</v>
      </c>
      <c r="X443">
        <f t="shared" ca="1" si="205"/>
        <v>0.26</v>
      </c>
      <c r="Y443">
        <f t="shared" ca="1" si="206"/>
        <v>4.9056603773584909E-2</v>
      </c>
      <c r="Z443">
        <f t="shared" ca="1" si="207"/>
        <v>196.15384615384616</v>
      </c>
      <c r="AA443">
        <f t="shared" ca="1" si="208"/>
        <v>632.46549999999991</v>
      </c>
      <c r="AB443">
        <f t="shared" ca="1" si="209"/>
        <v>2593.5425316486621</v>
      </c>
      <c r="AC443">
        <f t="shared" ca="1" si="210"/>
        <v>482.07306851378365</v>
      </c>
      <c r="AD443">
        <f t="shared" ca="1" si="211"/>
        <v>280.07692026646265</v>
      </c>
      <c r="AE443">
        <f t="shared" ca="1" si="212"/>
        <v>1019.7665564573041</v>
      </c>
      <c r="AF443">
        <f t="shared" ca="1" si="213"/>
        <v>482.1477431333301</v>
      </c>
      <c r="AG443">
        <f t="shared" ca="1" si="214"/>
        <v>0</v>
      </c>
      <c r="AH443">
        <f ca="1">IF(V32="Supercritical",L443,IF(V32="Subcritical",W443,IF(AND(V443=1,AG443=1),IF(T443&gt;=AE443,L443,W443),IF(V443=1,L443,IF(AG443=1,W443,MAX($D$16,POWER((ABS(K443)^2)/($I$5*MAX(F443,0.1)^2),1/3)))))))</f>
        <v>2.1403668656741068</v>
      </c>
      <c r="AI443">
        <f t="shared" ca="1" si="215"/>
        <v>634.55586686567403</v>
      </c>
      <c r="AJ443">
        <f t="shared" ca="1" si="216"/>
        <v>635.62605029851113</v>
      </c>
      <c r="AM443">
        <v>0</v>
      </c>
      <c r="AN443">
        <v>0</v>
      </c>
      <c r="AO443">
        <f t="shared" si="217"/>
        <v>0</v>
      </c>
      <c r="AP443">
        <f t="shared" si="226"/>
        <v>0</v>
      </c>
      <c r="AQ443">
        <f t="shared" ca="1" si="218"/>
        <v>0.99999999999999978</v>
      </c>
      <c r="AR443" t="str">
        <f t="shared" ca="1" si="219"/>
        <v>Supercritical</v>
      </c>
      <c r="AS443">
        <f t="shared" ca="1" si="220"/>
        <v>3.8148159832266538E-3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191</v>
      </c>
      <c r="I444">
        <v>2.3E-2</v>
      </c>
      <c r="J444">
        <f t="shared" si="221"/>
        <v>1</v>
      </c>
      <c r="K444">
        <f t="shared" si="222"/>
        <v>51</v>
      </c>
      <c r="L444">
        <f t="shared" ca="1" si="223"/>
        <v>0.05</v>
      </c>
      <c r="M444">
        <f t="shared" ca="1" si="196"/>
        <v>0.26</v>
      </c>
      <c r="N444">
        <f t="shared" ca="1" si="197"/>
        <v>4.9056603773584909E-2</v>
      </c>
      <c r="O444">
        <f t="shared" ca="1" si="198"/>
        <v>196.15384615384616</v>
      </c>
      <c r="P444">
        <f t="shared" ca="1" si="199"/>
        <v>632.46499999999992</v>
      </c>
      <c r="Q444">
        <f t="shared" ca="1" si="200"/>
        <v>2593.542031648662</v>
      </c>
      <c r="R444">
        <f t="shared" ca="1" si="201"/>
        <v>482.07306851378365</v>
      </c>
      <c r="S444">
        <f t="shared" ca="1" si="202"/>
        <v>280.07692026646265</v>
      </c>
      <c r="T444">
        <f t="shared" ca="1" si="203"/>
        <v>1019.7665564573041</v>
      </c>
      <c r="U444">
        <f t="shared" ca="1" si="224"/>
        <v>-482.1477431333301</v>
      </c>
      <c r="V444">
        <f t="shared" ca="1" si="225"/>
        <v>0</v>
      </c>
      <c r="W444">
        <f t="shared" ca="1" si="204"/>
        <v>0.05</v>
      </c>
      <c r="X444">
        <f t="shared" ca="1" si="205"/>
        <v>0.26</v>
      </c>
      <c r="Y444">
        <f t="shared" ca="1" si="206"/>
        <v>4.9056603773584909E-2</v>
      </c>
      <c r="Z444">
        <f t="shared" ca="1" si="207"/>
        <v>196.15384615384616</v>
      </c>
      <c r="AA444">
        <f t="shared" ca="1" si="208"/>
        <v>632.46499999999992</v>
      </c>
      <c r="AB444">
        <f t="shared" ca="1" si="209"/>
        <v>2593.542031648662</v>
      </c>
      <c r="AC444">
        <f t="shared" ca="1" si="210"/>
        <v>482.07306851378365</v>
      </c>
      <c r="AD444">
        <f t="shared" ca="1" si="211"/>
        <v>280.07692026646265</v>
      </c>
      <c r="AE444">
        <f t="shared" ca="1" si="212"/>
        <v>1019.7665564573041</v>
      </c>
      <c r="AF444">
        <f t="shared" ca="1" si="213"/>
        <v>482.62981620185974</v>
      </c>
      <c r="AG444">
        <f t="shared" ca="1" si="214"/>
        <v>0</v>
      </c>
      <c r="AH444">
        <f ca="1">IF(V32="Supercritical",L444,IF(V32="Subcritical",W444,IF(AND(V444=1,AG444=1),IF(T444&gt;=AE444,L444,W444),IF(V444=1,L444,IF(AG444=1,W444,MAX($D$16,POWER((ABS(K444)^2)/($I$5*MAX(F444,0.1)^2),1/3)))))))</f>
        <v>2.1403668656741068</v>
      </c>
      <c r="AI444">
        <f t="shared" ca="1" si="215"/>
        <v>634.55536686567405</v>
      </c>
      <c r="AJ444">
        <f t="shared" ca="1" si="216"/>
        <v>635.62555029851114</v>
      </c>
      <c r="AM444">
        <v>0</v>
      </c>
      <c r="AN444">
        <v>0</v>
      </c>
      <c r="AO444">
        <f t="shared" si="217"/>
        <v>0</v>
      </c>
      <c r="AP444">
        <f t="shared" si="226"/>
        <v>0</v>
      </c>
      <c r="AQ444">
        <f t="shared" ca="1" si="218"/>
        <v>0.99999999999999978</v>
      </c>
      <c r="AR444" t="str">
        <f t="shared" ca="1" si="219"/>
        <v>Supercritical</v>
      </c>
      <c r="AS444">
        <f t="shared" ca="1" si="220"/>
        <v>3.8148159832266538E-3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191</v>
      </c>
      <c r="I445">
        <v>2.3E-2</v>
      </c>
      <c r="J445">
        <f t="shared" si="221"/>
        <v>1.0010000000000332</v>
      </c>
      <c r="K445">
        <f t="shared" si="222"/>
        <v>51</v>
      </c>
      <c r="L445">
        <f t="shared" ca="1" si="223"/>
        <v>0.05</v>
      </c>
      <c r="M445">
        <f t="shared" ca="1" si="196"/>
        <v>0.26</v>
      </c>
      <c r="N445">
        <f t="shared" ca="1" si="197"/>
        <v>4.9056603773584909E-2</v>
      </c>
      <c r="O445">
        <f t="shared" ca="1" si="198"/>
        <v>196.15384615384616</v>
      </c>
      <c r="P445">
        <f t="shared" ca="1" si="199"/>
        <v>632.46449999999993</v>
      </c>
      <c r="Q445">
        <f t="shared" ca="1" si="200"/>
        <v>2593.5415316486619</v>
      </c>
      <c r="R445">
        <f t="shared" ca="1" si="201"/>
        <v>482.07306851378365</v>
      </c>
      <c r="S445">
        <f t="shared" ca="1" si="202"/>
        <v>280.07692026646265</v>
      </c>
      <c r="T445">
        <f t="shared" ca="1" si="203"/>
        <v>1019.7665564573041</v>
      </c>
      <c r="U445">
        <f t="shared" ca="1" si="224"/>
        <v>-482.62981620185974</v>
      </c>
      <c r="V445">
        <f t="shared" ca="1" si="225"/>
        <v>0</v>
      </c>
      <c r="W445">
        <f t="shared" ca="1" si="204"/>
        <v>0.05</v>
      </c>
      <c r="X445">
        <f t="shared" ca="1" si="205"/>
        <v>0.26</v>
      </c>
      <c r="Y445">
        <f t="shared" ca="1" si="206"/>
        <v>4.9056603773584909E-2</v>
      </c>
      <c r="Z445">
        <f t="shared" ca="1" si="207"/>
        <v>196.15384615384616</v>
      </c>
      <c r="AA445">
        <f t="shared" ca="1" si="208"/>
        <v>632.46449999999993</v>
      </c>
      <c r="AB445">
        <f t="shared" ca="1" si="209"/>
        <v>2593.5415316486619</v>
      </c>
      <c r="AC445">
        <f t="shared" ca="1" si="210"/>
        <v>482.07306851378365</v>
      </c>
      <c r="AD445">
        <f t="shared" ca="1" si="211"/>
        <v>280.07692026646265</v>
      </c>
      <c r="AE445">
        <f t="shared" ca="1" si="212"/>
        <v>1019.7665564573041</v>
      </c>
      <c r="AF445">
        <f t="shared" ca="1" si="213"/>
        <v>481.67874391167834</v>
      </c>
      <c r="AG445">
        <f t="shared" ca="1" si="214"/>
        <v>0</v>
      </c>
      <c r="AH445">
        <f ca="1">IF(V32="Supercritical",L445,IF(V32="Subcritical",W445,IF(AND(V445=1,AG445=1),IF(T445&gt;=AE445,L445,W445),IF(V445=1,L445,IF(AG445=1,W445,MAX($D$16,POWER((ABS(K445)^2)/($I$5*MAX(F445,0.1)^2),1/3)))))))</f>
        <v>2.1403668656741068</v>
      </c>
      <c r="AI445">
        <f t="shared" ca="1" si="215"/>
        <v>634.55486686567406</v>
      </c>
      <c r="AJ445">
        <f t="shared" ca="1" si="216"/>
        <v>635.62505029851116</v>
      </c>
      <c r="AM445">
        <v>0</v>
      </c>
      <c r="AN445">
        <v>0</v>
      </c>
      <c r="AO445">
        <f t="shared" si="217"/>
        <v>0</v>
      </c>
      <c r="AP445">
        <f t="shared" si="226"/>
        <v>0</v>
      </c>
      <c r="AQ445">
        <f t="shared" ca="1" si="218"/>
        <v>0.99999999999999978</v>
      </c>
      <c r="AR445" t="str">
        <f t="shared" ca="1" si="219"/>
        <v>Supercritical</v>
      </c>
      <c r="AS445">
        <f t="shared" ca="1" si="220"/>
        <v>3.8148159832266538E-3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191</v>
      </c>
      <c r="I446">
        <v>2.7E-2</v>
      </c>
      <c r="J446">
        <f t="shared" si="221"/>
        <v>0.9989999999999668</v>
      </c>
      <c r="K446">
        <f t="shared" si="222"/>
        <v>51</v>
      </c>
      <c r="L446">
        <f t="shared" ca="1" si="223"/>
        <v>0.05</v>
      </c>
      <c r="M446">
        <f t="shared" ca="1" si="196"/>
        <v>0.26</v>
      </c>
      <c r="N446">
        <f t="shared" ca="1" si="197"/>
        <v>4.9056603773584909E-2</v>
      </c>
      <c r="O446">
        <f t="shared" ca="1" si="198"/>
        <v>196.15384615384616</v>
      </c>
      <c r="P446">
        <f t="shared" ca="1" si="199"/>
        <v>632.46399999999994</v>
      </c>
      <c r="Q446">
        <f t="shared" ca="1" si="200"/>
        <v>2593.5410316486623</v>
      </c>
      <c r="R446">
        <f t="shared" ca="1" si="201"/>
        <v>482.07306851378365</v>
      </c>
      <c r="S446">
        <f t="shared" ca="1" si="202"/>
        <v>280.07692026646265</v>
      </c>
      <c r="T446">
        <f t="shared" ca="1" si="203"/>
        <v>1019.7665564573041</v>
      </c>
      <c r="U446">
        <f t="shared" ca="1" si="224"/>
        <v>-481.67874391167879</v>
      </c>
      <c r="V446">
        <f t="shared" ca="1" si="225"/>
        <v>0</v>
      </c>
      <c r="W446">
        <f t="shared" ca="1" si="204"/>
        <v>0.05</v>
      </c>
      <c r="X446">
        <f t="shared" ca="1" si="205"/>
        <v>0.26</v>
      </c>
      <c r="Y446">
        <f t="shared" ca="1" si="206"/>
        <v>4.9056603773584909E-2</v>
      </c>
      <c r="Z446">
        <f t="shared" ca="1" si="207"/>
        <v>196.15384615384616</v>
      </c>
      <c r="AA446">
        <f t="shared" ca="1" si="208"/>
        <v>632.46399999999994</v>
      </c>
      <c r="AB446">
        <f t="shared" ca="1" si="209"/>
        <v>2593.5410316486623</v>
      </c>
      <c r="AC446">
        <f t="shared" ca="1" si="210"/>
        <v>482.07306851378365</v>
      </c>
      <c r="AD446">
        <f t="shared" ca="1" si="211"/>
        <v>280.07692026646265</v>
      </c>
      <c r="AE446">
        <f t="shared" ca="1" si="212"/>
        <v>1019.7665564573041</v>
      </c>
      <c r="AF446">
        <f t="shared" ca="1" si="213"/>
        <v>482.64289004873763</v>
      </c>
      <c r="AG446">
        <f t="shared" ca="1" si="214"/>
        <v>0</v>
      </c>
      <c r="AH446">
        <f ca="1">IF(V32="Supercritical",L446,IF(V32="Subcritical",W446,IF(AND(V446=1,AG446=1),IF(T446&gt;=AE446,L446,W446),IF(V446=1,L446,IF(AG446=1,W446,MAX($D$16,POWER((ABS(K446)^2)/($I$5*MAX(F446,0.1)^2),1/3)))))))</f>
        <v>2.1403668656741068</v>
      </c>
      <c r="AI446">
        <f t="shared" ca="1" si="215"/>
        <v>634.55436686567407</v>
      </c>
      <c r="AJ446">
        <f t="shared" ca="1" si="216"/>
        <v>635.62455029851117</v>
      </c>
      <c r="AM446">
        <v>0</v>
      </c>
      <c r="AN446">
        <v>0</v>
      </c>
      <c r="AO446">
        <f t="shared" si="217"/>
        <v>0</v>
      </c>
      <c r="AP446">
        <f t="shared" si="226"/>
        <v>0</v>
      </c>
      <c r="AQ446">
        <f t="shared" ca="1" si="218"/>
        <v>0.99999999999999978</v>
      </c>
      <c r="AR446" t="str">
        <f t="shared" ca="1" si="219"/>
        <v>Supercritical</v>
      </c>
      <c r="AS446">
        <f t="shared" ca="1" si="220"/>
        <v>3.8148159832266538E-3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191</v>
      </c>
      <c r="I447">
        <v>2.7E-2</v>
      </c>
      <c r="J447">
        <f t="shared" si="221"/>
        <v>1.0010000000000332</v>
      </c>
      <c r="K447">
        <f t="shared" si="222"/>
        <v>51</v>
      </c>
      <c r="L447">
        <f t="shared" ca="1" si="223"/>
        <v>0.05</v>
      </c>
      <c r="M447">
        <f t="shared" ca="1" si="196"/>
        <v>0.26</v>
      </c>
      <c r="N447">
        <f t="shared" ca="1" si="197"/>
        <v>4.9056603773584909E-2</v>
      </c>
      <c r="O447">
        <f t="shared" ca="1" si="198"/>
        <v>196.15384615384616</v>
      </c>
      <c r="P447">
        <f t="shared" ca="1" si="199"/>
        <v>632.46349999999995</v>
      </c>
      <c r="Q447">
        <f t="shared" ca="1" si="200"/>
        <v>2593.5405316486622</v>
      </c>
      <c r="R447">
        <f t="shared" ca="1" si="201"/>
        <v>482.07306851378365</v>
      </c>
      <c r="S447">
        <f t="shared" ca="1" si="202"/>
        <v>280.07692026646265</v>
      </c>
      <c r="T447">
        <f t="shared" ca="1" si="203"/>
        <v>1019.7665564573041</v>
      </c>
      <c r="U447">
        <f t="shared" ca="1" si="224"/>
        <v>-482.64289004873763</v>
      </c>
      <c r="V447">
        <f t="shared" ca="1" si="225"/>
        <v>0</v>
      </c>
      <c r="W447">
        <f t="shared" ca="1" si="204"/>
        <v>0.05</v>
      </c>
      <c r="X447">
        <f t="shared" ca="1" si="205"/>
        <v>0.26</v>
      </c>
      <c r="Y447">
        <f t="shared" ca="1" si="206"/>
        <v>4.9056603773584909E-2</v>
      </c>
      <c r="Z447">
        <f t="shared" ca="1" si="207"/>
        <v>196.15384615384616</v>
      </c>
      <c r="AA447">
        <f t="shared" ca="1" si="208"/>
        <v>632.46349999999995</v>
      </c>
      <c r="AB447">
        <f t="shared" ca="1" si="209"/>
        <v>2593.5405316486622</v>
      </c>
      <c r="AC447">
        <f t="shared" ca="1" si="210"/>
        <v>482.07306851378365</v>
      </c>
      <c r="AD447">
        <f t="shared" ca="1" si="211"/>
        <v>280.07692026646265</v>
      </c>
      <c r="AE447">
        <f t="shared" ca="1" si="212"/>
        <v>1019.7665564573041</v>
      </c>
      <c r="AF447">
        <f t="shared" ca="1" si="213"/>
        <v>481.59049544525351</v>
      </c>
      <c r="AG447">
        <f t="shared" ca="1" si="214"/>
        <v>0</v>
      </c>
      <c r="AH447">
        <f ca="1">IF(V32="Supercritical",L447,IF(V32="Subcritical",W447,IF(AND(V447=1,AG447=1),IF(T447&gt;=AE447,L447,W447),IF(V447=1,L447,IF(AG447=1,W447,MAX($D$16,POWER((ABS(K447)^2)/($I$5*MAX(F447,0.1)^2),1/3)))))))</f>
        <v>2.1403668656741068</v>
      </c>
      <c r="AI447">
        <f t="shared" ca="1" si="215"/>
        <v>634.55386686567408</v>
      </c>
      <c r="AJ447">
        <f t="shared" ca="1" si="216"/>
        <v>635.62405029851118</v>
      </c>
      <c r="AM447">
        <v>0</v>
      </c>
      <c r="AN447">
        <v>0</v>
      </c>
      <c r="AO447">
        <f t="shared" si="217"/>
        <v>0</v>
      </c>
      <c r="AP447">
        <f t="shared" si="226"/>
        <v>0</v>
      </c>
      <c r="AQ447">
        <f t="shared" ca="1" si="218"/>
        <v>0.99999999999999978</v>
      </c>
      <c r="AR447" t="str">
        <f t="shared" ca="1" si="219"/>
        <v>Supercritical</v>
      </c>
      <c r="AS447">
        <f t="shared" ca="1" si="220"/>
        <v>3.8148159832266538E-3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191</v>
      </c>
      <c r="I448">
        <v>0</v>
      </c>
      <c r="J448">
        <f t="shared" si="221"/>
        <v>0.9989999999999668</v>
      </c>
      <c r="K448">
        <f t="shared" si="222"/>
        <v>51</v>
      </c>
      <c r="L448">
        <f t="shared" ca="1" si="223"/>
        <v>0.05</v>
      </c>
      <c r="M448">
        <f t="shared" ca="1" si="196"/>
        <v>0.26</v>
      </c>
      <c r="N448">
        <f t="shared" ca="1" si="197"/>
        <v>4.9056603773584909E-2</v>
      </c>
      <c r="O448">
        <f t="shared" ca="1" si="198"/>
        <v>196.15384615384616</v>
      </c>
      <c r="P448">
        <f t="shared" ca="1" si="199"/>
        <v>632.46299999999997</v>
      </c>
      <c r="Q448">
        <f t="shared" ca="1" si="200"/>
        <v>2593.5400316486621</v>
      </c>
      <c r="R448">
        <f t="shared" ca="1" si="201"/>
        <v>482.07306851378365</v>
      </c>
      <c r="S448">
        <f t="shared" ca="1" si="202"/>
        <v>280.07692026646265</v>
      </c>
      <c r="T448">
        <f t="shared" ca="1" si="203"/>
        <v>1019.7665564573041</v>
      </c>
      <c r="U448">
        <f t="shared" ca="1" si="224"/>
        <v>-481.59049544525351</v>
      </c>
      <c r="V448">
        <f t="shared" ca="1" si="225"/>
        <v>0</v>
      </c>
      <c r="W448">
        <f t="shared" ca="1" si="204"/>
        <v>0.05</v>
      </c>
      <c r="X448">
        <f t="shared" ca="1" si="205"/>
        <v>0.26</v>
      </c>
      <c r="Y448">
        <f t="shared" ca="1" si="206"/>
        <v>4.9056603773584909E-2</v>
      </c>
      <c r="Z448">
        <f t="shared" ca="1" si="207"/>
        <v>196.15384615384616</v>
      </c>
      <c r="AA448">
        <f t="shared" ca="1" si="208"/>
        <v>632.46299999999997</v>
      </c>
      <c r="AB448">
        <f t="shared" ca="1" si="209"/>
        <v>2593.5400316486621</v>
      </c>
      <c r="AC448">
        <f t="shared" ca="1" si="210"/>
        <v>482.07306851378365</v>
      </c>
      <c r="AD448">
        <f t="shared" ca="1" si="211"/>
        <v>280.07692026646265</v>
      </c>
      <c r="AE448">
        <f t="shared" ca="1" si="212"/>
        <v>1019.7665564573041</v>
      </c>
      <c r="AF448">
        <f t="shared" ca="1" si="213"/>
        <v>482.1477431333301</v>
      </c>
      <c r="AG448">
        <f t="shared" ca="1" si="214"/>
        <v>0</v>
      </c>
      <c r="AH448">
        <f ca="1">IF(V32="Supercritical",L448,IF(V32="Subcritical",W448,IF(AND(V448=1,AG448=1),IF(T448&gt;=AE448,L448,W448),IF(V448=1,L448,IF(AG448=1,W448,MAX($D$16,POWER((ABS(K448)^2)/($I$5*MAX(F448,0.1)^2),1/3)))))))</f>
        <v>2.1403668656741068</v>
      </c>
      <c r="AI448">
        <f t="shared" ca="1" si="215"/>
        <v>634.55336686567409</v>
      </c>
      <c r="AJ448">
        <f t="shared" ca="1" si="216"/>
        <v>635.62355029851119</v>
      </c>
      <c r="AM448">
        <v>0</v>
      </c>
      <c r="AN448">
        <v>0</v>
      </c>
      <c r="AO448">
        <f t="shared" si="217"/>
        <v>0</v>
      </c>
      <c r="AP448">
        <f t="shared" si="226"/>
        <v>0</v>
      </c>
      <c r="AQ448">
        <f t="shared" ca="1" si="218"/>
        <v>0.99999999999999978</v>
      </c>
      <c r="AR448" t="str">
        <f t="shared" ca="1" si="219"/>
        <v>Supercritical</v>
      </c>
      <c r="AS448">
        <f t="shared" ca="1" si="220"/>
        <v>3.8148159832266538E-3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191</v>
      </c>
      <c r="I449">
        <v>2.3E-2</v>
      </c>
      <c r="J449">
        <f t="shared" si="221"/>
        <v>1</v>
      </c>
      <c r="K449">
        <f t="shared" si="222"/>
        <v>51</v>
      </c>
      <c r="L449">
        <f t="shared" ca="1" si="223"/>
        <v>0.05</v>
      </c>
      <c r="M449">
        <f t="shared" ca="1" si="196"/>
        <v>0.26</v>
      </c>
      <c r="N449">
        <f t="shared" ca="1" si="197"/>
        <v>4.9056603773584909E-2</v>
      </c>
      <c r="O449">
        <f t="shared" ca="1" si="198"/>
        <v>196.15384615384616</v>
      </c>
      <c r="P449">
        <f t="shared" ca="1" si="199"/>
        <v>632.46249999999998</v>
      </c>
      <c r="Q449">
        <f t="shared" ca="1" si="200"/>
        <v>2593.539531648662</v>
      </c>
      <c r="R449">
        <f t="shared" ca="1" si="201"/>
        <v>482.07306851378365</v>
      </c>
      <c r="S449">
        <f t="shared" ca="1" si="202"/>
        <v>280.07692026646265</v>
      </c>
      <c r="T449">
        <f t="shared" ca="1" si="203"/>
        <v>1019.7665564573041</v>
      </c>
      <c r="U449">
        <f t="shared" ca="1" si="224"/>
        <v>-482.1477431333301</v>
      </c>
      <c r="V449">
        <f t="shared" ca="1" si="225"/>
        <v>0</v>
      </c>
      <c r="W449">
        <f t="shared" ca="1" si="204"/>
        <v>0.05</v>
      </c>
      <c r="X449">
        <f t="shared" ca="1" si="205"/>
        <v>0.26</v>
      </c>
      <c r="Y449">
        <f t="shared" ca="1" si="206"/>
        <v>4.9056603773584909E-2</v>
      </c>
      <c r="Z449">
        <f t="shared" ca="1" si="207"/>
        <v>196.15384615384616</v>
      </c>
      <c r="AA449">
        <f t="shared" ca="1" si="208"/>
        <v>632.46249999999998</v>
      </c>
      <c r="AB449">
        <f t="shared" ca="1" si="209"/>
        <v>2593.539531648662</v>
      </c>
      <c r="AC449">
        <f t="shared" ca="1" si="210"/>
        <v>482.07306851378365</v>
      </c>
      <c r="AD449">
        <f t="shared" ca="1" si="211"/>
        <v>280.07692026646265</v>
      </c>
      <c r="AE449">
        <f t="shared" ca="1" si="212"/>
        <v>1019.7665564573041</v>
      </c>
      <c r="AF449">
        <f t="shared" ca="1" si="213"/>
        <v>482.62981620185974</v>
      </c>
      <c r="AG449">
        <f t="shared" ca="1" si="214"/>
        <v>0</v>
      </c>
      <c r="AH449">
        <f ca="1">IF(V32="Supercritical",L449,IF(V32="Subcritical",W449,IF(AND(V449=1,AG449=1),IF(T449&gt;=AE449,L449,W449),IF(V449=1,L449,IF(AG449=1,W449,MAX($D$16,POWER((ABS(K449)^2)/($I$5*MAX(F449,0.1)^2),1/3)))))))</f>
        <v>2.1403668656741068</v>
      </c>
      <c r="AI449">
        <f t="shared" ca="1" si="215"/>
        <v>634.5528668656741</v>
      </c>
      <c r="AJ449">
        <f t="shared" ca="1" si="216"/>
        <v>635.6230502985112</v>
      </c>
      <c r="AM449">
        <v>0</v>
      </c>
      <c r="AN449">
        <v>0</v>
      </c>
      <c r="AO449">
        <f t="shared" si="217"/>
        <v>0</v>
      </c>
      <c r="AP449">
        <f t="shared" si="226"/>
        <v>0</v>
      </c>
      <c r="AQ449">
        <f t="shared" ca="1" si="218"/>
        <v>0.99999999999999978</v>
      </c>
      <c r="AR449" t="str">
        <f t="shared" ca="1" si="219"/>
        <v>Supercritical</v>
      </c>
      <c r="AS449">
        <f t="shared" ca="1" si="220"/>
        <v>3.8148159832266538E-3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191</v>
      </c>
      <c r="I450">
        <v>2.3E-2</v>
      </c>
      <c r="J450">
        <f t="shared" si="221"/>
        <v>1.0010000000000332</v>
      </c>
      <c r="K450">
        <f t="shared" si="222"/>
        <v>51</v>
      </c>
      <c r="L450">
        <f t="shared" ca="1" si="223"/>
        <v>0.05</v>
      </c>
      <c r="M450">
        <f t="shared" ca="1" si="196"/>
        <v>0.26</v>
      </c>
      <c r="N450">
        <f t="shared" ca="1" si="197"/>
        <v>4.9056603773584909E-2</v>
      </c>
      <c r="O450">
        <f t="shared" ca="1" si="198"/>
        <v>196.15384615384616</v>
      </c>
      <c r="P450">
        <f t="shared" ca="1" si="199"/>
        <v>632.46199999999999</v>
      </c>
      <c r="Q450">
        <f t="shared" ca="1" si="200"/>
        <v>2593.5390316486619</v>
      </c>
      <c r="R450">
        <f t="shared" ca="1" si="201"/>
        <v>482.07306851378365</v>
      </c>
      <c r="S450">
        <f t="shared" ca="1" si="202"/>
        <v>280.07692026646265</v>
      </c>
      <c r="T450">
        <f t="shared" ca="1" si="203"/>
        <v>1019.7665564573041</v>
      </c>
      <c r="U450">
        <f t="shared" ca="1" si="224"/>
        <v>-482.62981620185974</v>
      </c>
      <c r="V450">
        <f t="shared" ca="1" si="225"/>
        <v>0</v>
      </c>
      <c r="W450">
        <f t="shared" ca="1" si="204"/>
        <v>0.05</v>
      </c>
      <c r="X450">
        <f t="shared" ca="1" si="205"/>
        <v>0.26</v>
      </c>
      <c r="Y450">
        <f t="shared" ca="1" si="206"/>
        <v>4.9056603773584909E-2</v>
      </c>
      <c r="Z450">
        <f t="shared" ca="1" si="207"/>
        <v>196.15384615384616</v>
      </c>
      <c r="AA450">
        <f t="shared" ca="1" si="208"/>
        <v>632.46199999999999</v>
      </c>
      <c r="AB450">
        <f t="shared" ca="1" si="209"/>
        <v>2593.5390316486619</v>
      </c>
      <c r="AC450">
        <f t="shared" ca="1" si="210"/>
        <v>482.07306851378365</v>
      </c>
      <c r="AD450">
        <f t="shared" ca="1" si="211"/>
        <v>280.07692026646265</v>
      </c>
      <c r="AE450">
        <f t="shared" ca="1" si="212"/>
        <v>1019.7665564573041</v>
      </c>
      <c r="AF450">
        <f t="shared" ca="1" si="213"/>
        <v>481.67874391167879</v>
      </c>
      <c r="AG450">
        <f t="shared" ca="1" si="214"/>
        <v>0</v>
      </c>
      <c r="AH450">
        <f ca="1">IF(V32="Supercritical",L450,IF(V32="Subcritical",W450,IF(AND(V450=1,AG450=1),IF(T450&gt;=AE450,L450,W450),IF(V450=1,L450,IF(AG450=1,W450,MAX($D$16,POWER((ABS(K450)^2)/($I$5*MAX(F450,0.1)^2),1/3)))))))</f>
        <v>2.1403668656741068</v>
      </c>
      <c r="AI450">
        <f t="shared" ca="1" si="215"/>
        <v>634.55236686567412</v>
      </c>
      <c r="AJ450">
        <f t="shared" ca="1" si="216"/>
        <v>635.62255029851121</v>
      </c>
      <c r="AM450">
        <v>0</v>
      </c>
      <c r="AN450">
        <v>0</v>
      </c>
      <c r="AO450">
        <f t="shared" si="217"/>
        <v>0</v>
      </c>
      <c r="AP450">
        <f t="shared" si="226"/>
        <v>0</v>
      </c>
      <c r="AQ450">
        <f t="shared" ca="1" si="218"/>
        <v>0.99999999999999978</v>
      </c>
      <c r="AR450" t="str">
        <f t="shared" ca="1" si="219"/>
        <v>Supercritical</v>
      </c>
      <c r="AS450">
        <f t="shared" ca="1" si="220"/>
        <v>3.8148159832266538E-3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191</v>
      </c>
      <c r="I451">
        <v>2.7E-2</v>
      </c>
      <c r="J451">
        <f t="shared" si="221"/>
        <v>0.9989999999999668</v>
      </c>
      <c r="K451">
        <f t="shared" si="222"/>
        <v>51</v>
      </c>
      <c r="L451">
        <f t="shared" ca="1" si="223"/>
        <v>0.05</v>
      </c>
      <c r="M451">
        <f t="shared" ca="1" si="196"/>
        <v>0.26</v>
      </c>
      <c r="N451">
        <f t="shared" ca="1" si="197"/>
        <v>4.9056603773584909E-2</v>
      </c>
      <c r="O451">
        <f t="shared" ca="1" si="198"/>
        <v>196.15384615384616</v>
      </c>
      <c r="P451">
        <f t="shared" ca="1" si="199"/>
        <v>632.4615</v>
      </c>
      <c r="Q451">
        <f t="shared" ca="1" si="200"/>
        <v>2593.5385316486622</v>
      </c>
      <c r="R451">
        <f t="shared" ca="1" si="201"/>
        <v>482.07306851378365</v>
      </c>
      <c r="S451">
        <f t="shared" ca="1" si="202"/>
        <v>280.07692026646265</v>
      </c>
      <c r="T451">
        <f t="shared" ca="1" si="203"/>
        <v>1019.7665564573041</v>
      </c>
      <c r="U451">
        <f t="shared" ca="1" si="224"/>
        <v>-481.67874391167834</v>
      </c>
      <c r="V451">
        <f t="shared" ca="1" si="225"/>
        <v>0</v>
      </c>
      <c r="W451">
        <f t="shared" ca="1" si="204"/>
        <v>0.05</v>
      </c>
      <c r="X451">
        <f t="shared" ca="1" si="205"/>
        <v>0.26</v>
      </c>
      <c r="Y451">
        <f t="shared" ca="1" si="206"/>
        <v>4.9056603773584909E-2</v>
      </c>
      <c r="Z451">
        <f t="shared" ca="1" si="207"/>
        <v>196.15384615384616</v>
      </c>
      <c r="AA451">
        <f t="shared" ca="1" si="208"/>
        <v>632.4615</v>
      </c>
      <c r="AB451">
        <f t="shared" ca="1" si="209"/>
        <v>2593.5385316486622</v>
      </c>
      <c r="AC451">
        <f t="shared" ca="1" si="210"/>
        <v>482.07306851378365</v>
      </c>
      <c r="AD451">
        <f t="shared" ca="1" si="211"/>
        <v>280.07692026646265</v>
      </c>
      <c r="AE451">
        <f t="shared" ca="1" si="212"/>
        <v>1019.7665564573041</v>
      </c>
      <c r="AF451">
        <f t="shared" ca="1" si="213"/>
        <v>482.64289004873763</v>
      </c>
      <c r="AG451">
        <f t="shared" ca="1" si="214"/>
        <v>0</v>
      </c>
      <c r="AH451">
        <f ca="1">IF(V32="Supercritical",L451,IF(V32="Subcritical",W451,IF(AND(V451=1,AG451=1),IF(T451&gt;=AE451,L451,W451),IF(V451=1,L451,IF(AG451=1,W451,MAX($D$16,POWER((ABS(K451)^2)/($I$5*MAX(F451,0.1)^2),1/3)))))))</f>
        <v>2.1403668656741068</v>
      </c>
      <c r="AI451">
        <f t="shared" ca="1" si="215"/>
        <v>634.55186686567413</v>
      </c>
      <c r="AJ451">
        <f t="shared" ca="1" si="216"/>
        <v>635.62205029851123</v>
      </c>
      <c r="AM451">
        <v>0</v>
      </c>
      <c r="AN451">
        <v>0</v>
      </c>
      <c r="AO451">
        <f t="shared" si="217"/>
        <v>0</v>
      </c>
      <c r="AP451">
        <f t="shared" si="226"/>
        <v>0</v>
      </c>
      <c r="AQ451">
        <f t="shared" ca="1" si="218"/>
        <v>0.99999999999999978</v>
      </c>
      <c r="AR451" t="str">
        <f t="shared" ca="1" si="219"/>
        <v>Supercritical</v>
      </c>
      <c r="AS451">
        <f t="shared" ca="1" si="220"/>
        <v>3.8148159832266538E-3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191</v>
      </c>
      <c r="I452">
        <v>2.7E-2</v>
      </c>
      <c r="J452">
        <f t="shared" si="221"/>
        <v>1.0010000000000332</v>
      </c>
      <c r="K452">
        <f t="shared" si="222"/>
        <v>51</v>
      </c>
      <c r="L452">
        <f t="shared" ca="1" si="223"/>
        <v>0.05</v>
      </c>
      <c r="M452">
        <f t="shared" ca="1" si="196"/>
        <v>0.26</v>
      </c>
      <c r="N452">
        <f t="shared" ca="1" si="197"/>
        <v>4.9056603773584909E-2</v>
      </c>
      <c r="O452">
        <f t="shared" ca="1" si="198"/>
        <v>196.15384615384616</v>
      </c>
      <c r="P452">
        <f t="shared" ca="1" si="199"/>
        <v>632.4609999999999</v>
      </c>
      <c r="Q452">
        <f t="shared" ca="1" si="200"/>
        <v>2593.5380316486621</v>
      </c>
      <c r="R452">
        <f t="shared" ca="1" si="201"/>
        <v>482.07306851378365</v>
      </c>
      <c r="S452">
        <f t="shared" ca="1" si="202"/>
        <v>280.07692026646265</v>
      </c>
      <c r="T452">
        <f t="shared" ca="1" si="203"/>
        <v>1019.7665564573041</v>
      </c>
      <c r="U452">
        <f t="shared" ca="1" si="224"/>
        <v>-482.64289004873763</v>
      </c>
      <c r="V452">
        <f t="shared" ca="1" si="225"/>
        <v>0</v>
      </c>
      <c r="W452">
        <f t="shared" ca="1" si="204"/>
        <v>0.05</v>
      </c>
      <c r="X452">
        <f t="shared" ca="1" si="205"/>
        <v>0.26</v>
      </c>
      <c r="Y452">
        <f t="shared" ca="1" si="206"/>
        <v>4.9056603773584909E-2</v>
      </c>
      <c r="Z452">
        <f t="shared" ca="1" si="207"/>
        <v>196.15384615384616</v>
      </c>
      <c r="AA452">
        <f t="shared" ca="1" si="208"/>
        <v>632.4609999999999</v>
      </c>
      <c r="AB452">
        <f t="shared" ca="1" si="209"/>
        <v>2593.5380316486621</v>
      </c>
      <c r="AC452">
        <f t="shared" ca="1" si="210"/>
        <v>482.07306851378365</v>
      </c>
      <c r="AD452">
        <f t="shared" ca="1" si="211"/>
        <v>280.07692026646265</v>
      </c>
      <c r="AE452">
        <f t="shared" ca="1" si="212"/>
        <v>1019.7665564573041</v>
      </c>
      <c r="AF452">
        <f t="shared" ca="1" si="213"/>
        <v>481.75391853122483</v>
      </c>
      <c r="AG452">
        <f t="shared" ca="1" si="214"/>
        <v>0</v>
      </c>
      <c r="AH452">
        <f ca="1">IF(V32="Supercritical",L452,IF(V32="Subcritical",W452,IF(AND(V452=1,AG452=1),IF(T452&gt;=AE452,L452,W452),IF(V452=1,L452,IF(AG452=1,W452,MAX($D$16,POWER((ABS(K452)^2)/($I$5*MAX(F452,0.1)^2),1/3)))))))</f>
        <v>2.1403668656741068</v>
      </c>
      <c r="AI452">
        <f t="shared" ca="1" si="215"/>
        <v>634.55136686567403</v>
      </c>
      <c r="AJ452">
        <f t="shared" ca="1" si="216"/>
        <v>635.62155029851112</v>
      </c>
      <c r="AM452">
        <v>0</v>
      </c>
      <c r="AN452">
        <v>0</v>
      </c>
      <c r="AO452">
        <f t="shared" si="217"/>
        <v>0</v>
      </c>
      <c r="AP452">
        <f t="shared" si="226"/>
        <v>0</v>
      </c>
      <c r="AQ452">
        <f t="shared" ca="1" si="218"/>
        <v>0.99999999999999978</v>
      </c>
      <c r="AR452" t="str">
        <f t="shared" ca="1" si="219"/>
        <v>Supercritical</v>
      </c>
      <c r="AS452">
        <f t="shared" ca="1" si="220"/>
        <v>3.8148159832266538E-3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191</v>
      </c>
      <c r="I453">
        <v>0.05</v>
      </c>
      <c r="J453">
        <f t="shared" si="221"/>
        <v>0.9989999999999668</v>
      </c>
      <c r="K453">
        <f t="shared" si="222"/>
        <v>51</v>
      </c>
      <c r="L453">
        <f t="shared" ca="1" si="223"/>
        <v>0.05</v>
      </c>
      <c r="M453">
        <f t="shared" ca="1" si="196"/>
        <v>0.26</v>
      </c>
      <c r="N453">
        <f t="shared" ca="1" si="197"/>
        <v>4.9056603773584909E-2</v>
      </c>
      <c r="O453">
        <f t="shared" ca="1" si="198"/>
        <v>196.15384615384616</v>
      </c>
      <c r="P453">
        <f t="shared" ca="1" si="199"/>
        <v>632.46049999999991</v>
      </c>
      <c r="Q453">
        <f t="shared" ca="1" si="200"/>
        <v>2593.537531648662</v>
      </c>
      <c r="R453">
        <f t="shared" ca="1" si="201"/>
        <v>482.07306851378365</v>
      </c>
      <c r="S453">
        <f t="shared" ca="1" si="202"/>
        <v>280.07692026646265</v>
      </c>
      <c r="T453">
        <f t="shared" ca="1" si="203"/>
        <v>1019.7665564573041</v>
      </c>
      <c r="U453">
        <f t="shared" ca="1" si="224"/>
        <v>-481.75391853122483</v>
      </c>
      <c r="V453">
        <f t="shared" ca="1" si="225"/>
        <v>0</v>
      </c>
      <c r="W453">
        <f t="shared" ca="1" si="204"/>
        <v>0.05</v>
      </c>
      <c r="X453">
        <f t="shared" ca="1" si="205"/>
        <v>0.26</v>
      </c>
      <c r="Y453">
        <f t="shared" ca="1" si="206"/>
        <v>4.9056603773584909E-2</v>
      </c>
      <c r="Z453">
        <f t="shared" ca="1" si="207"/>
        <v>196.15384615384616</v>
      </c>
      <c r="AA453">
        <f t="shared" ca="1" si="208"/>
        <v>632.46049999999991</v>
      </c>
      <c r="AB453">
        <f t="shared" ca="1" si="209"/>
        <v>2593.537531648662</v>
      </c>
      <c r="AC453">
        <f t="shared" ca="1" si="210"/>
        <v>482.07306851378365</v>
      </c>
      <c r="AD453">
        <f t="shared" ca="1" si="211"/>
        <v>280.07692026646265</v>
      </c>
      <c r="AE453">
        <f t="shared" ca="1" si="212"/>
        <v>1019.7665564573041</v>
      </c>
      <c r="AF453">
        <f t="shared" ca="1" si="213"/>
        <v>482.32750852789786</v>
      </c>
      <c r="AG453">
        <f t="shared" ca="1" si="214"/>
        <v>0</v>
      </c>
      <c r="AH453">
        <f ca="1">IF(V32="Supercritical",L453,IF(V32="Subcritical",W453,IF(AND(V453=1,AG453=1),IF(T453&gt;=AE453,L453,W453),IF(V453=1,L453,IF(AG453=1,W453,MAX($D$16,POWER((ABS(K453)^2)/($I$5*MAX(F453,0.1)^2),1/3)))))))</f>
        <v>2.1403668656741068</v>
      </c>
      <c r="AI453">
        <f t="shared" ca="1" si="215"/>
        <v>634.55086686567404</v>
      </c>
      <c r="AJ453">
        <f t="shared" ca="1" si="216"/>
        <v>635.62105029851114</v>
      </c>
      <c r="AM453">
        <v>0</v>
      </c>
      <c r="AN453">
        <v>0</v>
      </c>
      <c r="AO453">
        <f t="shared" si="217"/>
        <v>0</v>
      </c>
      <c r="AP453">
        <f t="shared" si="226"/>
        <v>0</v>
      </c>
      <c r="AQ453">
        <f t="shared" ca="1" si="218"/>
        <v>0.99999999999999978</v>
      </c>
      <c r="AR453" t="str">
        <f t="shared" ca="1" si="219"/>
        <v>Supercritical</v>
      </c>
      <c r="AS453">
        <f t="shared" ca="1" si="220"/>
        <v>3.8148159832266538E-3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191</v>
      </c>
      <c r="I454">
        <v>7.8E-2</v>
      </c>
      <c r="J454">
        <f t="shared" si="221"/>
        <v>1</v>
      </c>
      <c r="K454">
        <f t="shared" si="222"/>
        <v>51</v>
      </c>
      <c r="L454">
        <f t="shared" ca="1" si="223"/>
        <v>0.05</v>
      </c>
      <c r="M454">
        <f t="shared" ca="1" si="196"/>
        <v>0.26</v>
      </c>
      <c r="N454">
        <f t="shared" ca="1" si="197"/>
        <v>4.9056603773584909E-2</v>
      </c>
      <c r="O454">
        <f t="shared" ca="1" si="198"/>
        <v>196.15384615384616</v>
      </c>
      <c r="P454">
        <f t="shared" ca="1" si="199"/>
        <v>632.45999999999992</v>
      </c>
      <c r="Q454">
        <f t="shared" ca="1" si="200"/>
        <v>2593.5370316486619</v>
      </c>
      <c r="R454">
        <f t="shared" ca="1" si="201"/>
        <v>482.07306851378365</v>
      </c>
      <c r="S454">
        <f t="shared" ca="1" si="202"/>
        <v>280.07692026646265</v>
      </c>
      <c r="T454">
        <f t="shared" ca="1" si="203"/>
        <v>1019.7665564573041</v>
      </c>
      <c r="U454">
        <f t="shared" ca="1" si="224"/>
        <v>-482.32750852789786</v>
      </c>
      <c r="V454">
        <f t="shared" ca="1" si="225"/>
        <v>0</v>
      </c>
      <c r="W454">
        <f t="shared" ca="1" si="204"/>
        <v>0.05</v>
      </c>
      <c r="X454">
        <f t="shared" ca="1" si="205"/>
        <v>0.26</v>
      </c>
      <c r="Y454">
        <f t="shared" ca="1" si="206"/>
        <v>4.9056603773584909E-2</v>
      </c>
      <c r="Z454">
        <f t="shared" ca="1" si="207"/>
        <v>196.15384615384616</v>
      </c>
      <c r="AA454">
        <f t="shared" ca="1" si="208"/>
        <v>632.45999999999992</v>
      </c>
      <c r="AB454">
        <f t="shared" ca="1" si="209"/>
        <v>2593.5370316486619</v>
      </c>
      <c r="AC454">
        <f t="shared" ca="1" si="210"/>
        <v>482.07306851378365</v>
      </c>
      <c r="AD454">
        <f t="shared" ca="1" si="211"/>
        <v>280.07692026646265</v>
      </c>
      <c r="AE454">
        <f t="shared" ca="1" si="212"/>
        <v>1019.7665564573041</v>
      </c>
      <c r="AF454">
        <f t="shared" ca="1" si="213"/>
        <v>482.64289004873808</v>
      </c>
      <c r="AG454">
        <f t="shared" ca="1" si="214"/>
        <v>0</v>
      </c>
      <c r="AH454">
        <f ca="1">IF(V32="Supercritical",L454,IF(V32="Subcritical",W454,IF(AND(V454=1,AG454=1),IF(T454&gt;=AE454,L454,W454),IF(V454=1,L454,IF(AG454=1,W454,MAX($D$16,POWER((ABS(K454)^2)/($I$5*MAX(F454,0.1)^2),1/3)))))))</f>
        <v>2.1403668656741068</v>
      </c>
      <c r="AI454">
        <f t="shared" ca="1" si="215"/>
        <v>634.55036686567405</v>
      </c>
      <c r="AJ454">
        <f t="shared" ca="1" si="216"/>
        <v>635.62055029851115</v>
      </c>
      <c r="AM454">
        <v>0</v>
      </c>
      <c r="AN454">
        <v>0</v>
      </c>
      <c r="AO454">
        <f t="shared" si="217"/>
        <v>0</v>
      </c>
      <c r="AP454">
        <f t="shared" si="226"/>
        <v>0</v>
      </c>
      <c r="AQ454">
        <f t="shared" ca="1" si="218"/>
        <v>0.99999999999999978</v>
      </c>
      <c r="AR454" t="str">
        <f t="shared" ca="1" si="219"/>
        <v>Supercritical</v>
      </c>
      <c r="AS454">
        <f t="shared" ca="1" si="220"/>
        <v>3.8148159832266538E-3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191</v>
      </c>
      <c r="I455">
        <v>2.7E-2</v>
      </c>
      <c r="J455">
        <f t="shared" si="221"/>
        <v>1.0010000000000332</v>
      </c>
      <c r="K455">
        <f t="shared" si="222"/>
        <v>51</v>
      </c>
      <c r="L455">
        <f t="shared" ca="1" si="223"/>
        <v>0.05</v>
      </c>
      <c r="M455">
        <f t="shared" ca="1" si="196"/>
        <v>0.26</v>
      </c>
      <c r="N455">
        <f t="shared" ca="1" si="197"/>
        <v>4.9056603773584909E-2</v>
      </c>
      <c r="O455">
        <f t="shared" ca="1" si="198"/>
        <v>196.15384615384616</v>
      </c>
      <c r="P455">
        <f t="shared" ca="1" si="199"/>
        <v>632.45949999999993</v>
      </c>
      <c r="Q455">
        <f t="shared" ca="1" si="200"/>
        <v>2593.5365316486623</v>
      </c>
      <c r="R455">
        <f t="shared" ca="1" si="201"/>
        <v>482.07306851378365</v>
      </c>
      <c r="S455">
        <f t="shared" ca="1" si="202"/>
        <v>280.07692026646265</v>
      </c>
      <c r="T455">
        <f t="shared" ca="1" si="203"/>
        <v>1019.7665564573041</v>
      </c>
      <c r="U455">
        <f t="shared" ca="1" si="224"/>
        <v>-482.64289004873808</v>
      </c>
      <c r="V455">
        <f t="shared" ca="1" si="225"/>
        <v>0</v>
      </c>
      <c r="W455">
        <f t="shared" ca="1" si="204"/>
        <v>0.05</v>
      </c>
      <c r="X455">
        <f t="shared" ca="1" si="205"/>
        <v>0.26</v>
      </c>
      <c r="Y455">
        <f t="shared" ca="1" si="206"/>
        <v>4.9056603773584909E-2</v>
      </c>
      <c r="Z455">
        <f t="shared" ca="1" si="207"/>
        <v>196.15384615384616</v>
      </c>
      <c r="AA455">
        <f t="shared" ca="1" si="208"/>
        <v>632.45949999999993</v>
      </c>
      <c r="AB455">
        <f t="shared" ca="1" si="209"/>
        <v>2593.5365316486623</v>
      </c>
      <c r="AC455">
        <f t="shared" ca="1" si="210"/>
        <v>482.07306851378365</v>
      </c>
      <c r="AD455">
        <f t="shared" ca="1" si="211"/>
        <v>280.07692026646265</v>
      </c>
      <c r="AE455">
        <f t="shared" ca="1" si="212"/>
        <v>1019.7665564573041</v>
      </c>
      <c r="AF455">
        <f t="shared" ca="1" si="213"/>
        <v>481.67874391167788</v>
      </c>
      <c r="AG455">
        <f t="shared" ca="1" si="214"/>
        <v>0</v>
      </c>
      <c r="AH455">
        <f ca="1">IF(V32="Supercritical",L455,IF(V32="Subcritical",W455,IF(AND(V455=1,AG455=1),IF(T455&gt;=AE455,L455,W455),IF(V455=1,L455,IF(AG455=1,W455,MAX($D$16,POWER((ABS(K455)^2)/($I$5*MAX(F455,0.1)^2),1/3)))))))</f>
        <v>2.1403668656741068</v>
      </c>
      <c r="AI455">
        <f t="shared" ca="1" si="215"/>
        <v>634.54986686567406</v>
      </c>
      <c r="AJ455">
        <f t="shared" ca="1" si="216"/>
        <v>635.62005029851116</v>
      </c>
      <c r="AM455">
        <v>0</v>
      </c>
      <c r="AN455">
        <v>0</v>
      </c>
      <c r="AO455">
        <f t="shared" si="217"/>
        <v>0</v>
      </c>
      <c r="AP455">
        <f t="shared" si="226"/>
        <v>0</v>
      </c>
      <c r="AQ455">
        <f t="shared" ca="1" si="218"/>
        <v>0.99999999999999978</v>
      </c>
      <c r="AR455" t="str">
        <f t="shared" ca="1" si="219"/>
        <v>Supercritical</v>
      </c>
      <c r="AS455">
        <f t="shared" ca="1" si="220"/>
        <v>3.8148159832266538E-3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191</v>
      </c>
      <c r="I456">
        <v>2.7E-2</v>
      </c>
      <c r="J456">
        <f t="shared" si="221"/>
        <v>0.9989999999999668</v>
      </c>
      <c r="K456">
        <f t="shared" si="222"/>
        <v>51</v>
      </c>
      <c r="L456">
        <f t="shared" ca="1" si="223"/>
        <v>0.05</v>
      </c>
      <c r="M456">
        <f t="shared" ca="1" si="196"/>
        <v>0.26</v>
      </c>
      <c r="N456">
        <f t="shared" ca="1" si="197"/>
        <v>4.9056603773584909E-2</v>
      </c>
      <c r="O456">
        <f t="shared" ca="1" si="198"/>
        <v>196.15384615384616</v>
      </c>
      <c r="P456">
        <f t="shared" ca="1" si="199"/>
        <v>632.45899999999995</v>
      </c>
      <c r="Q456">
        <f t="shared" ca="1" si="200"/>
        <v>2593.5360316486622</v>
      </c>
      <c r="R456">
        <f t="shared" ca="1" si="201"/>
        <v>482.07306851378365</v>
      </c>
      <c r="S456">
        <f t="shared" ca="1" si="202"/>
        <v>280.07692026646265</v>
      </c>
      <c r="T456">
        <f t="shared" ca="1" si="203"/>
        <v>1019.7665564573041</v>
      </c>
      <c r="U456">
        <f t="shared" ca="1" si="224"/>
        <v>-481.67874391167788</v>
      </c>
      <c r="V456">
        <f t="shared" ca="1" si="225"/>
        <v>0</v>
      </c>
      <c r="W456">
        <f t="shared" ca="1" si="204"/>
        <v>0.05</v>
      </c>
      <c r="X456">
        <f t="shared" ca="1" si="205"/>
        <v>0.26</v>
      </c>
      <c r="Y456">
        <f t="shared" ca="1" si="206"/>
        <v>4.9056603773584909E-2</v>
      </c>
      <c r="Z456">
        <f t="shared" ca="1" si="207"/>
        <v>196.15384615384616</v>
      </c>
      <c r="AA456">
        <f t="shared" ca="1" si="208"/>
        <v>632.45899999999995</v>
      </c>
      <c r="AB456">
        <f t="shared" ca="1" si="209"/>
        <v>2593.5360316486622</v>
      </c>
      <c r="AC456">
        <f t="shared" ca="1" si="210"/>
        <v>482.07306851378365</v>
      </c>
      <c r="AD456">
        <f t="shared" ca="1" si="211"/>
        <v>280.07692026646265</v>
      </c>
      <c r="AE456">
        <f t="shared" ca="1" si="212"/>
        <v>1019.7665564573041</v>
      </c>
      <c r="AF456">
        <f t="shared" ca="1" si="213"/>
        <v>482.80958159642751</v>
      </c>
      <c r="AG456">
        <f t="shared" ca="1" si="214"/>
        <v>0</v>
      </c>
      <c r="AH456">
        <f ca="1">IF(V32="Supercritical",L456,IF(V32="Subcritical",W456,IF(AND(V456=1,AG456=1),IF(T456&gt;=AE456,L456,W456),IF(V456=1,L456,IF(AG456=1,W456,MAX($D$16,POWER((ABS(K456)^2)/($I$5*MAX(F456,0.1)^2),1/3)))))))</f>
        <v>2.1403668656741068</v>
      </c>
      <c r="AI456">
        <f t="shared" ca="1" si="215"/>
        <v>634.54936686567407</v>
      </c>
      <c r="AJ456">
        <f t="shared" ca="1" si="216"/>
        <v>635.61955029851117</v>
      </c>
      <c r="AM456">
        <v>0</v>
      </c>
      <c r="AN456">
        <v>0</v>
      </c>
      <c r="AO456">
        <f t="shared" si="217"/>
        <v>0</v>
      </c>
      <c r="AP456">
        <f t="shared" si="226"/>
        <v>0</v>
      </c>
      <c r="AQ456">
        <f t="shared" ca="1" si="218"/>
        <v>0.99999999999999978</v>
      </c>
      <c r="AR456" t="str">
        <f t="shared" ca="1" si="219"/>
        <v>Supercritical</v>
      </c>
      <c r="AS456">
        <f t="shared" ca="1" si="220"/>
        <v>3.8148159832266538E-3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191</v>
      </c>
      <c r="I457">
        <v>7.8E-2</v>
      </c>
      <c r="J457">
        <f t="shared" si="221"/>
        <v>1.0010000000000332</v>
      </c>
      <c r="K457">
        <f t="shared" si="222"/>
        <v>51</v>
      </c>
      <c r="L457">
        <f t="shared" ca="1" si="223"/>
        <v>0.05</v>
      </c>
      <c r="M457">
        <f t="shared" ca="1" si="196"/>
        <v>0.26</v>
      </c>
      <c r="N457">
        <f t="shared" ca="1" si="197"/>
        <v>4.9056603773584909E-2</v>
      </c>
      <c r="O457">
        <f t="shared" ca="1" si="198"/>
        <v>196.15384615384616</v>
      </c>
      <c r="P457">
        <f t="shared" ca="1" si="199"/>
        <v>632.45849999999996</v>
      </c>
      <c r="Q457">
        <f t="shared" ca="1" si="200"/>
        <v>2593.5355316486621</v>
      </c>
      <c r="R457">
        <f t="shared" ca="1" si="201"/>
        <v>482.07306851378365</v>
      </c>
      <c r="S457">
        <f t="shared" ca="1" si="202"/>
        <v>280.07692026646265</v>
      </c>
      <c r="T457">
        <f t="shared" ca="1" si="203"/>
        <v>1019.7665564573041</v>
      </c>
      <c r="U457">
        <f t="shared" ca="1" si="224"/>
        <v>-482.80958159642751</v>
      </c>
      <c r="V457">
        <f t="shared" ca="1" si="225"/>
        <v>0</v>
      </c>
      <c r="W457">
        <f t="shared" ca="1" si="204"/>
        <v>0.05</v>
      </c>
      <c r="X457">
        <f t="shared" ca="1" si="205"/>
        <v>0.26</v>
      </c>
      <c r="Y457">
        <f t="shared" ca="1" si="206"/>
        <v>4.9056603773584909E-2</v>
      </c>
      <c r="Z457">
        <f t="shared" ca="1" si="207"/>
        <v>196.15384615384616</v>
      </c>
      <c r="AA457">
        <f t="shared" ca="1" si="208"/>
        <v>632.45849999999996</v>
      </c>
      <c r="AB457">
        <f t="shared" ca="1" si="209"/>
        <v>2593.5355316486621</v>
      </c>
      <c r="AC457">
        <f t="shared" ca="1" si="210"/>
        <v>482.07306851378365</v>
      </c>
      <c r="AD457">
        <f t="shared" ca="1" si="211"/>
        <v>280.07692026646265</v>
      </c>
      <c r="AE457">
        <f t="shared" ca="1" si="212"/>
        <v>1019.7665564573041</v>
      </c>
      <c r="AF457">
        <f t="shared" ca="1" si="213"/>
        <v>482.23599159975447</v>
      </c>
      <c r="AG457">
        <f t="shared" ca="1" si="214"/>
        <v>0</v>
      </c>
      <c r="AH457">
        <f ca="1">IF(V32="Supercritical",L457,IF(V32="Subcritical",W457,IF(AND(V457=1,AG457=1),IF(T457&gt;=AE457,L457,W457),IF(V457=1,L457,IF(AG457=1,W457,MAX($D$16,POWER((ABS(K457)^2)/($I$5*MAX(F457,0.1)^2),1/3)))))))</f>
        <v>2.1403668656741068</v>
      </c>
      <c r="AI457">
        <f t="shared" ca="1" si="215"/>
        <v>634.54886686567409</v>
      </c>
      <c r="AJ457">
        <f t="shared" ca="1" si="216"/>
        <v>635.61905029851118</v>
      </c>
      <c r="AM457">
        <v>0</v>
      </c>
      <c r="AN457">
        <v>0</v>
      </c>
      <c r="AO457">
        <f t="shared" si="217"/>
        <v>0</v>
      </c>
      <c r="AP457">
        <f t="shared" si="226"/>
        <v>0</v>
      </c>
      <c r="AQ457">
        <f t="shared" ca="1" si="218"/>
        <v>0.99999999999999978</v>
      </c>
      <c r="AR457" t="str">
        <f t="shared" ca="1" si="219"/>
        <v>Supercritical</v>
      </c>
      <c r="AS457">
        <f t="shared" ca="1" si="220"/>
        <v>3.8148159832266538E-3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191</v>
      </c>
      <c r="I458">
        <v>0.05</v>
      </c>
      <c r="J458">
        <f t="shared" si="221"/>
        <v>1</v>
      </c>
      <c r="K458">
        <f t="shared" si="222"/>
        <v>51</v>
      </c>
      <c r="L458">
        <f t="shared" ca="1" si="223"/>
        <v>0.05</v>
      </c>
      <c r="M458">
        <f t="shared" ca="1" si="196"/>
        <v>0.26</v>
      </c>
      <c r="N458">
        <f t="shared" ca="1" si="197"/>
        <v>4.9056603773584909E-2</v>
      </c>
      <c r="O458">
        <f t="shared" ca="1" si="198"/>
        <v>196.15384615384616</v>
      </c>
      <c r="P458">
        <f t="shared" ca="1" si="199"/>
        <v>632.45799999999997</v>
      </c>
      <c r="Q458">
        <f t="shared" ca="1" si="200"/>
        <v>2593.535031648662</v>
      </c>
      <c r="R458">
        <f t="shared" ca="1" si="201"/>
        <v>482.07306851378365</v>
      </c>
      <c r="S458">
        <f t="shared" ca="1" si="202"/>
        <v>280.07692026646265</v>
      </c>
      <c r="T458">
        <f t="shared" ca="1" si="203"/>
        <v>1019.7665564573041</v>
      </c>
      <c r="U458">
        <f t="shared" ca="1" si="224"/>
        <v>-482.23599159975447</v>
      </c>
      <c r="V458">
        <f t="shared" ca="1" si="225"/>
        <v>0</v>
      </c>
      <c r="W458">
        <f t="shared" ca="1" si="204"/>
        <v>0.05</v>
      </c>
      <c r="X458">
        <f t="shared" ca="1" si="205"/>
        <v>0.26</v>
      </c>
      <c r="Y458">
        <f t="shared" ca="1" si="206"/>
        <v>4.9056603773584909E-2</v>
      </c>
      <c r="Z458">
        <f t="shared" ca="1" si="207"/>
        <v>196.15384615384616</v>
      </c>
      <c r="AA458">
        <f t="shared" ca="1" si="208"/>
        <v>632.45799999999997</v>
      </c>
      <c r="AB458">
        <f t="shared" ca="1" si="209"/>
        <v>2593.535031648662</v>
      </c>
      <c r="AC458">
        <f t="shared" ca="1" si="210"/>
        <v>482.07306851378365</v>
      </c>
      <c r="AD458">
        <f t="shared" ca="1" si="211"/>
        <v>280.07692026646265</v>
      </c>
      <c r="AE458">
        <f t="shared" ca="1" si="212"/>
        <v>1019.7665564573041</v>
      </c>
      <c r="AF458">
        <f t="shared" ca="1" si="213"/>
        <v>481.67874391167788</v>
      </c>
      <c r="AG458">
        <f t="shared" ca="1" si="214"/>
        <v>0</v>
      </c>
      <c r="AH458">
        <f ca="1">IF(V32="Supercritical",L458,IF(V32="Subcritical",W458,IF(AND(V458=1,AG458=1),IF(T458&gt;=AE458,L458,W458),IF(V458=1,L458,IF(AG458=1,W458,MAX($D$16,POWER((ABS(K458)^2)/($I$5*MAX(F458,0.1)^2),1/3)))))))</f>
        <v>2.1403668656741068</v>
      </c>
      <c r="AI458">
        <f t="shared" ca="1" si="215"/>
        <v>634.5483668656741</v>
      </c>
      <c r="AJ458">
        <f t="shared" ca="1" si="216"/>
        <v>635.6185502985112</v>
      </c>
      <c r="AM458">
        <v>0</v>
      </c>
      <c r="AN458">
        <v>0</v>
      </c>
      <c r="AO458">
        <f t="shared" si="217"/>
        <v>0</v>
      </c>
      <c r="AP458">
        <f t="shared" si="226"/>
        <v>0</v>
      </c>
      <c r="AQ458">
        <f t="shared" ca="1" si="218"/>
        <v>0.99999999999999978</v>
      </c>
      <c r="AR458" t="str">
        <f t="shared" ca="1" si="219"/>
        <v>Supercritical</v>
      </c>
      <c r="AS458">
        <f t="shared" ca="1" si="220"/>
        <v>3.8148159832266538E-3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191</v>
      </c>
      <c r="I459">
        <v>2.7E-2</v>
      </c>
      <c r="J459">
        <f t="shared" si="221"/>
        <v>0.9989999999999668</v>
      </c>
      <c r="K459">
        <f t="shared" si="222"/>
        <v>51</v>
      </c>
      <c r="L459">
        <f t="shared" ca="1" si="223"/>
        <v>0.05</v>
      </c>
      <c r="M459">
        <f t="shared" ca="1" si="196"/>
        <v>0.26</v>
      </c>
      <c r="N459">
        <f t="shared" ca="1" si="197"/>
        <v>4.9056603773584909E-2</v>
      </c>
      <c r="O459">
        <f t="shared" ca="1" si="198"/>
        <v>196.15384615384616</v>
      </c>
      <c r="P459">
        <f t="shared" ca="1" si="199"/>
        <v>632.45749999999998</v>
      </c>
      <c r="Q459">
        <f t="shared" ca="1" si="200"/>
        <v>2593.5345316486619</v>
      </c>
      <c r="R459">
        <f t="shared" ca="1" si="201"/>
        <v>482.07306851378365</v>
      </c>
      <c r="S459">
        <f t="shared" ca="1" si="202"/>
        <v>280.07692026646265</v>
      </c>
      <c r="T459">
        <f t="shared" ca="1" si="203"/>
        <v>1019.7665564573041</v>
      </c>
      <c r="U459">
        <f t="shared" ca="1" si="224"/>
        <v>-481.67874391167788</v>
      </c>
      <c r="V459">
        <f t="shared" ca="1" si="225"/>
        <v>0</v>
      </c>
      <c r="W459">
        <f t="shared" ca="1" si="204"/>
        <v>0.05</v>
      </c>
      <c r="X459">
        <f t="shared" ca="1" si="205"/>
        <v>0.26</v>
      </c>
      <c r="Y459">
        <f t="shared" ca="1" si="206"/>
        <v>4.9056603773584909E-2</v>
      </c>
      <c r="Z459">
        <f t="shared" ca="1" si="207"/>
        <v>196.15384615384616</v>
      </c>
      <c r="AA459">
        <f t="shared" ca="1" si="208"/>
        <v>632.45749999999998</v>
      </c>
      <c r="AB459">
        <f t="shared" ca="1" si="209"/>
        <v>2593.5345316486619</v>
      </c>
      <c r="AC459">
        <f t="shared" ca="1" si="210"/>
        <v>482.07306851378365</v>
      </c>
      <c r="AD459">
        <f t="shared" ca="1" si="211"/>
        <v>280.07692026646265</v>
      </c>
      <c r="AE459">
        <f t="shared" ca="1" si="212"/>
        <v>1019.7665564573041</v>
      </c>
      <c r="AF459">
        <f t="shared" ca="1" si="213"/>
        <v>482.64289004873808</v>
      </c>
      <c r="AG459">
        <f t="shared" ca="1" si="214"/>
        <v>0</v>
      </c>
      <c r="AH459">
        <f ca="1">IF(V32="Supercritical",L459,IF(V32="Subcritical",W459,IF(AND(V459=1,AG459=1),IF(T459&gt;=AE459,L459,W459),IF(V459=1,L459,IF(AG459=1,W459,MAX($D$16,POWER((ABS(K459)^2)/($I$5*MAX(F459,0.1)^2),1/3)))))))</f>
        <v>2.1403668656741068</v>
      </c>
      <c r="AI459">
        <f t="shared" ca="1" si="215"/>
        <v>634.54786686567411</v>
      </c>
      <c r="AJ459">
        <f t="shared" ca="1" si="216"/>
        <v>635.61805029851121</v>
      </c>
      <c r="AM459">
        <v>0</v>
      </c>
      <c r="AN459">
        <v>0</v>
      </c>
      <c r="AO459">
        <f t="shared" si="217"/>
        <v>0</v>
      </c>
      <c r="AP459">
        <f t="shared" si="226"/>
        <v>0</v>
      </c>
      <c r="AQ459">
        <f t="shared" ca="1" si="218"/>
        <v>0.99999999999999978</v>
      </c>
      <c r="AR459" t="str">
        <f t="shared" ca="1" si="219"/>
        <v>Supercritical</v>
      </c>
      <c r="AS459">
        <f t="shared" ca="1" si="220"/>
        <v>3.8148159832266538E-3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191</v>
      </c>
      <c r="I460">
        <v>2.7E-2</v>
      </c>
      <c r="J460">
        <f t="shared" si="221"/>
        <v>1.0010000000000332</v>
      </c>
      <c r="K460">
        <f t="shared" si="222"/>
        <v>51</v>
      </c>
      <c r="L460">
        <f t="shared" ca="1" si="223"/>
        <v>0.05</v>
      </c>
      <c r="M460">
        <f t="shared" ca="1" si="196"/>
        <v>0.26</v>
      </c>
      <c r="N460">
        <f t="shared" ca="1" si="197"/>
        <v>4.9056603773584909E-2</v>
      </c>
      <c r="O460">
        <f t="shared" ca="1" si="198"/>
        <v>196.15384615384616</v>
      </c>
      <c r="P460">
        <f t="shared" ca="1" si="199"/>
        <v>632.45699999999999</v>
      </c>
      <c r="Q460">
        <f t="shared" ca="1" si="200"/>
        <v>2593.5340316486622</v>
      </c>
      <c r="R460">
        <f t="shared" ca="1" si="201"/>
        <v>482.07306851378365</v>
      </c>
      <c r="S460">
        <f t="shared" ca="1" si="202"/>
        <v>280.07692026646265</v>
      </c>
      <c r="T460">
        <f t="shared" ca="1" si="203"/>
        <v>1019.7665564573041</v>
      </c>
      <c r="U460">
        <f t="shared" ca="1" si="224"/>
        <v>-482.64289004873808</v>
      </c>
      <c r="V460">
        <f t="shared" ca="1" si="225"/>
        <v>0</v>
      </c>
      <c r="W460">
        <f t="shared" ca="1" si="204"/>
        <v>0.05</v>
      </c>
      <c r="X460">
        <f t="shared" ca="1" si="205"/>
        <v>0.26</v>
      </c>
      <c r="Y460">
        <f t="shared" ca="1" si="206"/>
        <v>4.9056603773584909E-2</v>
      </c>
      <c r="Z460">
        <f t="shared" ca="1" si="207"/>
        <v>196.15384615384616</v>
      </c>
      <c r="AA460">
        <f t="shared" ca="1" si="208"/>
        <v>632.45699999999999</v>
      </c>
      <c r="AB460">
        <f t="shared" ca="1" si="209"/>
        <v>2593.5340316486622</v>
      </c>
      <c r="AC460">
        <f t="shared" ca="1" si="210"/>
        <v>482.07306851378365</v>
      </c>
      <c r="AD460">
        <f t="shared" ca="1" si="211"/>
        <v>280.07692026646265</v>
      </c>
      <c r="AE460">
        <f t="shared" ca="1" si="212"/>
        <v>1019.7665564573041</v>
      </c>
      <c r="AF460">
        <f t="shared" ca="1" si="213"/>
        <v>481.67874391167834</v>
      </c>
      <c r="AG460">
        <f t="shared" ca="1" si="214"/>
        <v>0</v>
      </c>
      <c r="AH460">
        <f ca="1">IF(V32="Supercritical",L460,IF(V32="Subcritical",W460,IF(AND(V460=1,AG460=1),IF(T460&gt;=AE460,L460,W460),IF(V460=1,L460,IF(AG460=1,W460,MAX($D$16,POWER((ABS(K460)^2)/($I$5*MAX(F460,0.1)^2),1/3)))))))</f>
        <v>2.1403668656741068</v>
      </c>
      <c r="AI460">
        <f t="shared" ca="1" si="215"/>
        <v>634.54736686567412</v>
      </c>
      <c r="AJ460">
        <f t="shared" ca="1" si="216"/>
        <v>635.61755029851122</v>
      </c>
      <c r="AM460">
        <v>0</v>
      </c>
      <c r="AN460">
        <v>0</v>
      </c>
      <c r="AO460">
        <f t="shared" si="217"/>
        <v>0</v>
      </c>
      <c r="AP460">
        <f t="shared" si="226"/>
        <v>0</v>
      </c>
      <c r="AQ460">
        <f t="shared" ca="1" si="218"/>
        <v>0.99999999999999978</v>
      </c>
      <c r="AR460" t="str">
        <f t="shared" ca="1" si="219"/>
        <v>Supercritical</v>
      </c>
      <c r="AS460">
        <f t="shared" ca="1" si="220"/>
        <v>3.8148159832266538E-3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191</v>
      </c>
      <c r="I461">
        <v>2.7E-2</v>
      </c>
      <c r="J461">
        <f t="shared" si="221"/>
        <v>0.9989999999999668</v>
      </c>
      <c r="K461">
        <f t="shared" si="222"/>
        <v>51</v>
      </c>
      <c r="L461">
        <f t="shared" ca="1" si="223"/>
        <v>0.05</v>
      </c>
      <c r="M461">
        <f t="shared" ca="1" si="196"/>
        <v>0.26</v>
      </c>
      <c r="N461">
        <f t="shared" ca="1" si="197"/>
        <v>4.9056603773584909E-2</v>
      </c>
      <c r="O461">
        <f t="shared" ca="1" si="198"/>
        <v>196.15384615384616</v>
      </c>
      <c r="P461">
        <f t="shared" ca="1" si="199"/>
        <v>632.45650000000001</v>
      </c>
      <c r="Q461">
        <f t="shared" ca="1" si="200"/>
        <v>2593.5335316486621</v>
      </c>
      <c r="R461">
        <f t="shared" ca="1" si="201"/>
        <v>482.07306851378365</v>
      </c>
      <c r="S461">
        <f t="shared" ca="1" si="202"/>
        <v>280.07692026646265</v>
      </c>
      <c r="T461">
        <f t="shared" ca="1" si="203"/>
        <v>1019.7665564573041</v>
      </c>
      <c r="U461">
        <f t="shared" ca="1" si="224"/>
        <v>-481.67874391167834</v>
      </c>
      <c r="V461">
        <f t="shared" ca="1" si="225"/>
        <v>0</v>
      </c>
      <c r="W461">
        <f t="shared" ca="1" si="204"/>
        <v>0.05</v>
      </c>
      <c r="X461">
        <f t="shared" ca="1" si="205"/>
        <v>0.26</v>
      </c>
      <c r="Y461">
        <f t="shared" ca="1" si="206"/>
        <v>4.9056603773584909E-2</v>
      </c>
      <c r="Z461">
        <f t="shared" ca="1" si="207"/>
        <v>196.15384615384616</v>
      </c>
      <c r="AA461">
        <f t="shared" ca="1" si="208"/>
        <v>632.45650000000001</v>
      </c>
      <c r="AB461">
        <f t="shared" ca="1" si="209"/>
        <v>2593.5335316486621</v>
      </c>
      <c r="AC461">
        <f t="shared" ca="1" si="210"/>
        <v>482.07306851378365</v>
      </c>
      <c r="AD461">
        <f t="shared" ca="1" si="211"/>
        <v>280.07692026646265</v>
      </c>
      <c r="AE461">
        <f t="shared" ca="1" si="212"/>
        <v>1019.7665564573041</v>
      </c>
      <c r="AF461">
        <f t="shared" ca="1" si="213"/>
        <v>482.80958159642751</v>
      </c>
      <c r="AG461">
        <f t="shared" ca="1" si="214"/>
        <v>0</v>
      </c>
      <c r="AH461">
        <f ca="1">IF(V32="Supercritical",L461,IF(V32="Subcritical",W461,IF(AND(V461=1,AG461=1),IF(T461&gt;=AE461,L461,W461),IF(V461=1,L461,IF(AG461=1,W461,MAX($D$16,POWER((ABS(K461)^2)/($I$5*MAX(F461,0.1)^2),1/3)))))))</f>
        <v>2.1403668656741068</v>
      </c>
      <c r="AI461">
        <f t="shared" ca="1" si="215"/>
        <v>634.54686686567413</v>
      </c>
      <c r="AJ461">
        <f t="shared" ca="1" si="216"/>
        <v>635.61705029851123</v>
      </c>
      <c r="AM461">
        <v>0</v>
      </c>
      <c r="AN461">
        <v>0</v>
      </c>
      <c r="AO461">
        <f t="shared" si="217"/>
        <v>0</v>
      </c>
      <c r="AP461">
        <f t="shared" si="226"/>
        <v>0</v>
      </c>
      <c r="AQ461">
        <f t="shared" ca="1" si="218"/>
        <v>0.99999999999999978</v>
      </c>
      <c r="AR461" t="str">
        <f t="shared" ca="1" si="219"/>
        <v>Supercritical</v>
      </c>
      <c r="AS461">
        <f t="shared" ca="1" si="220"/>
        <v>3.8148159832266538E-3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191</v>
      </c>
      <c r="I462">
        <v>7.8E-2</v>
      </c>
      <c r="J462">
        <f t="shared" si="221"/>
        <v>1.0010000000000332</v>
      </c>
      <c r="K462">
        <f t="shared" si="222"/>
        <v>51</v>
      </c>
      <c r="L462">
        <f t="shared" ca="1" si="223"/>
        <v>0.05</v>
      </c>
      <c r="M462">
        <f t="shared" ca="1" si="196"/>
        <v>0.26</v>
      </c>
      <c r="N462">
        <f t="shared" ca="1" si="197"/>
        <v>4.9056603773584909E-2</v>
      </c>
      <c r="O462">
        <f t="shared" ca="1" si="198"/>
        <v>196.15384615384616</v>
      </c>
      <c r="P462">
        <f t="shared" ca="1" si="199"/>
        <v>632.4559999999999</v>
      </c>
      <c r="Q462">
        <f t="shared" ca="1" si="200"/>
        <v>2593.533031648662</v>
      </c>
      <c r="R462">
        <f t="shared" ca="1" si="201"/>
        <v>482.07306851378365</v>
      </c>
      <c r="S462">
        <f t="shared" ca="1" si="202"/>
        <v>280.07692026646265</v>
      </c>
      <c r="T462">
        <f t="shared" ca="1" si="203"/>
        <v>1019.7665564573041</v>
      </c>
      <c r="U462">
        <f t="shared" ca="1" si="224"/>
        <v>-482.80958159642751</v>
      </c>
      <c r="V462">
        <f t="shared" ca="1" si="225"/>
        <v>0</v>
      </c>
      <c r="W462">
        <f t="shared" ca="1" si="204"/>
        <v>0.05</v>
      </c>
      <c r="X462">
        <f t="shared" ca="1" si="205"/>
        <v>0.26</v>
      </c>
      <c r="Y462">
        <f t="shared" ca="1" si="206"/>
        <v>4.9056603773584909E-2</v>
      </c>
      <c r="Z462">
        <f t="shared" ca="1" si="207"/>
        <v>196.15384615384616</v>
      </c>
      <c r="AA462">
        <f t="shared" ca="1" si="208"/>
        <v>632.4559999999999</v>
      </c>
      <c r="AB462">
        <f t="shared" ca="1" si="209"/>
        <v>2593.533031648662</v>
      </c>
      <c r="AC462">
        <f t="shared" ca="1" si="210"/>
        <v>482.07306851378365</v>
      </c>
      <c r="AD462">
        <f t="shared" ca="1" si="211"/>
        <v>280.07692026646265</v>
      </c>
      <c r="AE462">
        <f t="shared" ca="1" si="212"/>
        <v>1019.7665564573041</v>
      </c>
      <c r="AF462">
        <f t="shared" ca="1" si="213"/>
        <v>482.23599159975447</v>
      </c>
      <c r="AG462">
        <f t="shared" ca="1" si="214"/>
        <v>0</v>
      </c>
      <c r="AH462">
        <f ca="1">IF(V32="Supercritical",L462,IF(V32="Subcritical",W462,IF(AND(V462=1,AG462=1),IF(T462&gt;=AE462,L462,W462),IF(V462=1,L462,IF(AG462=1,W462,MAX($D$16,POWER((ABS(K462)^2)/($I$5*MAX(F462,0.1)^2),1/3)))))))</f>
        <v>2.1403668656741068</v>
      </c>
      <c r="AI462">
        <f t="shared" ca="1" si="215"/>
        <v>634.54636686567403</v>
      </c>
      <c r="AJ462">
        <f t="shared" ca="1" si="216"/>
        <v>635.61655029851113</v>
      </c>
      <c r="AM462">
        <v>0</v>
      </c>
      <c r="AN462">
        <v>0</v>
      </c>
      <c r="AO462">
        <f t="shared" si="217"/>
        <v>0</v>
      </c>
      <c r="AP462">
        <f t="shared" si="226"/>
        <v>0</v>
      </c>
      <c r="AQ462">
        <f t="shared" ca="1" si="218"/>
        <v>0.99999999999999978</v>
      </c>
      <c r="AR462" t="str">
        <f t="shared" ca="1" si="219"/>
        <v>Supercritical</v>
      </c>
      <c r="AS462">
        <f t="shared" ca="1" si="220"/>
        <v>3.8148159832266538E-3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191</v>
      </c>
      <c r="I463">
        <v>0.05</v>
      </c>
      <c r="J463">
        <f t="shared" si="221"/>
        <v>1</v>
      </c>
      <c r="K463">
        <f t="shared" si="222"/>
        <v>51</v>
      </c>
      <c r="L463">
        <f t="shared" ca="1" si="223"/>
        <v>0.05</v>
      </c>
      <c r="M463">
        <f t="shared" ca="1" si="196"/>
        <v>0.26</v>
      </c>
      <c r="N463">
        <f t="shared" ca="1" si="197"/>
        <v>4.9056603773584909E-2</v>
      </c>
      <c r="O463">
        <f t="shared" ca="1" si="198"/>
        <v>196.15384615384616</v>
      </c>
      <c r="P463">
        <f t="shared" ca="1" si="199"/>
        <v>632.45549999999992</v>
      </c>
      <c r="Q463">
        <f t="shared" ca="1" si="200"/>
        <v>2593.5325316486619</v>
      </c>
      <c r="R463">
        <f t="shared" ca="1" si="201"/>
        <v>482.07306851378365</v>
      </c>
      <c r="S463">
        <f t="shared" ca="1" si="202"/>
        <v>280.07692026646265</v>
      </c>
      <c r="T463">
        <f t="shared" ca="1" si="203"/>
        <v>1019.7665564573041</v>
      </c>
      <c r="U463">
        <f t="shared" ca="1" si="224"/>
        <v>-482.23599159975447</v>
      </c>
      <c r="V463">
        <f t="shared" ca="1" si="225"/>
        <v>0</v>
      </c>
      <c r="W463">
        <f t="shared" ca="1" si="204"/>
        <v>0.05</v>
      </c>
      <c r="X463">
        <f t="shared" ca="1" si="205"/>
        <v>0.26</v>
      </c>
      <c r="Y463">
        <f t="shared" ca="1" si="206"/>
        <v>4.9056603773584909E-2</v>
      </c>
      <c r="Z463">
        <f t="shared" ca="1" si="207"/>
        <v>196.15384615384616</v>
      </c>
      <c r="AA463">
        <f t="shared" ca="1" si="208"/>
        <v>632.45549999999992</v>
      </c>
      <c r="AB463">
        <f t="shared" ca="1" si="209"/>
        <v>2593.5325316486619</v>
      </c>
      <c r="AC463">
        <f t="shared" ca="1" si="210"/>
        <v>482.07306851378365</v>
      </c>
      <c r="AD463">
        <f t="shared" ca="1" si="211"/>
        <v>280.07692026646265</v>
      </c>
      <c r="AE463">
        <f t="shared" ca="1" si="212"/>
        <v>1019.7665564573041</v>
      </c>
      <c r="AF463">
        <f t="shared" ca="1" si="213"/>
        <v>481.67874391167834</v>
      </c>
      <c r="AG463">
        <f t="shared" ca="1" si="214"/>
        <v>0</v>
      </c>
      <c r="AH463">
        <f ca="1">IF(V32="Supercritical",L463,IF(V32="Subcritical",W463,IF(AND(V463=1,AG463=1),IF(T463&gt;=AE463,L463,W463),IF(V463=1,L463,IF(AG463=1,W463,MAX($D$16,POWER((ABS(K463)^2)/($I$5*MAX(F463,0.1)^2),1/3)))))))</f>
        <v>2.1403668656741068</v>
      </c>
      <c r="AI463">
        <f t="shared" ca="1" si="215"/>
        <v>634.54586686567404</v>
      </c>
      <c r="AJ463">
        <f t="shared" ca="1" si="216"/>
        <v>635.61605029851114</v>
      </c>
      <c r="AM463">
        <v>0</v>
      </c>
      <c r="AN463">
        <v>0</v>
      </c>
      <c r="AO463">
        <f t="shared" si="217"/>
        <v>0</v>
      </c>
      <c r="AP463">
        <f t="shared" si="226"/>
        <v>0</v>
      </c>
      <c r="AQ463">
        <f t="shared" ca="1" si="218"/>
        <v>0.99999999999999978</v>
      </c>
      <c r="AR463" t="str">
        <f t="shared" ca="1" si="219"/>
        <v>Supercritical</v>
      </c>
      <c r="AS463">
        <f t="shared" ca="1" si="220"/>
        <v>3.8148159832266538E-3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191</v>
      </c>
      <c r="I464">
        <v>2.7E-2</v>
      </c>
      <c r="J464">
        <f t="shared" si="221"/>
        <v>0.9989999999999668</v>
      </c>
      <c r="K464">
        <f t="shared" si="222"/>
        <v>51</v>
      </c>
      <c r="L464">
        <f t="shared" ca="1" si="223"/>
        <v>0.05</v>
      </c>
      <c r="M464">
        <f t="shared" ca="1" si="196"/>
        <v>0.26</v>
      </c>
      <c r="N464">
        <f t="shared" ca="1" si="197"/>
        <v>4.9056603773584909E-2</v>
      </c>
      <c r="O464">
        <f t="shared" ca="1" si="198"/>
        <v>196.15384615384616</v>
      </c>
      <c r="P464">
        <f t="shared" ca="1" si="199"/>
        <v>632.45499999999993</v>
      </c>
      <c r="Q464">
        <f t="shared" ca="1" si="200"/>
        <v>2593.5320316486623</v>
      </c>
      <c r="R464">
        <f t="shared" ca="1" si="201"/>
        <v>482.07306851378365</v>
      </c>
      <c r="S464">
        <f t="shared" ca="1" si="202"/>
        <v>280.07692026646265</v>
      </c>
      <c r="T464">
        <f t="shared" ca="1" si="203"/>
        <v>1019.7665564573041</v>
      </c>
      <c r="U464">
        <f t="shared" ca="1" si="224"/>
        <v>-481.67874391167879</v>
      </c>
      <c r="V464">
        <f t="shared" ca="1" si="225"/>
        <v>0</v>
      </c>
      <c r="W464">
        <f t="shared" ca="1" si="204"/>
        <v>0.05</v>
      </c>
      <c r="X464">
        <f t="shared" ca="1" si="205"/>
        <v>0.26</v>
      </c>
      <c r="Y464">
        <f t="shared" ca="1" si="206"/>
        <v>4.9056603773584909E-2</v>
      </c>
      <c r="Z464">
        <f t="shared" ca="1" si="207"/>
        <v>196.15384615384616</v>
      </c>
      <c r="AA464">
        <f t="shared" ca="1" si="208"/>
        <v>632.45499999999993</v>
      </c>
      <c r="AB464">
        <f t="shared" ca="1" si="209"/>
        <v>2593.5320316486623</v>
      </c>
      <c r="AC464">
        <f t="shared" ca="1" si="210"/>
        <v>482.07306851378365</v>
      </c>
      <c r="AD464">
        <f t="shared" ca="1" si="211"/>
        <v>280.07692026646265</v>
      </c>
      <c r="AE464">
        <f t="shared" ca="1" si="212"/>
        <v>1019.7665564573041</v>
      </c>
      <c r="AF464">
        <f t="shared" ca="1" si="213"/>
        <v>482.16081698020798</v>
      </c>
      <c r="AG464">
        <f t="shared" ca="1" si="214"/>
        <v>0</v>
      </c>
      <c r="AH464">
        <f ca="1">IF(V32="Supercritical",L464,IF(V32="Subcritical",W464,IF(AND(V464=1,AG464=1),IF(T464&gt;=AE464,L464,W464),IF(V464=1,L464,IF(AG464=1,W464,MAX($D$16,POWER((ABS(K464)^2)/($I$5*MAX(F464,0.1)^2),1/3)))))))</f>
        <v>2.1403668656741068</v>
      </c>
      <c r="AI464">
        <f t="shared" ca="1" si="215"/>
        <v>634.54536686567405</v>
      </c>
      <c r="AJ464">
        <f t="shared" ca="1" si="216"/>
        <v>635.61555029851115</v>
      </c>
      <c r="AM464">
        <v>0</v>
      </c>
      <c r="AN464">
        <v>0</v>
      </c>
      <c r="AO464">
        <f t="shared" si="217"/>
        <v>0</v>
      </c>
      <c r="AP464">
        <f t="shared" si="226"/>
        <v>0</v>
      </c>
      <c r="AQ464">
        <f t="shared" ca="1" si="218"/>
        <v>0.99999999999999978</v>
      </c>
      <c r="AR464" t="str">
        <f t="shared" ca="1" si="219"/>
        <v>Supercritical</v>
      </c>
      <c r="AS464">
        <f t="shared" ca="1" si="220"/>
        <v>3.8148159832266538E-3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191</v>
      </c>
      <c r="I465">
        <v>2.7E-2</v>
      </c>
      <c r="J465">
        <f t="shared" si="221"/>
        <v>1</v>
      </c>
      <c r="K465">
        <f t="shared" si="222"/>
        <v>51</v>
      </c>
      <c r="L465">
        <f t="shared" ca="1" si="223"/>
        <v>0.05</v>
      </c>
      <c r="M465">
        <f t="shared" ca="1" si="196"/>
        <v>0.26</v>
      </c>
      <c r="N465">
        <f t="shared" ca="1" si="197"/>
        <v>4.9056603773584909E-2</v>
      </c>
      <c r="O465">
        <f t="shared" ca="1" si="198"/>
        <v>196.15384615384616</v>
      </c>
      <c r="P465">
        <f t="shared" ca="1" si="199"/>
        <v>632.45449999999994</v>
      </c>
      <c r="Q465">
        <f t="shared" ca="1" si="200"/>
        <v>2593.5315316486622</v>
      </c>
      <c r="R465">
        <f t="shared" ca="1" si="201"/>
        <v>482.07306851378365</v>
      </c>
      <c r="S465">
        <f t="shared" ca="1" si="202"/>
        <v>280.07692026646265</v>
      </c>
      <c r="T465">
        <f t="shared" ca="1" si="203"/>
        <v>1019.7665564573041</v>
      </c>
      <c r="U465">
        <f t="shared" ca="1" si="224"/>
        <v>-482.16081698020798</v>
      </c>
      <c r="V465">
        <f t="shared" ca="1" si="225"/>
        <v>0</v>
      </c>
      <c r="W465">
        <f t="shared" ca="1" si="204"/>
        <v>0.05</v>
      </c>
      <c r="X465">
        <f t="shared" ca="1" si="205"/>
        <v>0.26</v>
      </c>
      <c r="Y465">
        <f t="shared" ca="1" si="206"/>
        <v>4.9056603773584909E-2</v>
      </c>
      <c r="Z465">
        <f t="shared" ca="1" si="207"/>
        <v>196.15384615384616</v>
      </c>
      <c r="AA465">
        <f t="shared" ca="1" si="208"/>
        <v>632.45449999999994</v>
      </c>
      <c r="AB465">
        <f t="shared" ca="1" si="209"/>
        <v>2593.5315316486622</v>
      </c>
      <c r="AC465">
        <f t="shared" ca="1" si="210"/>
        <v>482.07306851378365</v>
      </c>
      <c r="AD465">
        <f t="shared" ca="1" si="211"/>
        <v>280.07692026646265</v>
      </c>
      <c r="AE465">
        <f t="shared" ca="1" si="212"/>
        <v>1019.7665564573041</v>
      </c>
      <c r="AF465">
        <f t="shared" ca="1" si="213"/>
        <v>482.1477431333301</v>
      </c>
      <c r="AG465">
        <f t="shared" ca="1" si="214"/>
        <v>0</v>
      </c>
      <c r="AH465">
        <f ca="1">IF(V32="Supercritical",L465,IF(V32="Subcritical",W465,IF(AND(V465=1,AG465=1),IF(T465&gt;=AE465,L465,W465),IF(V465=1,L465,IF(AG465=1,W465,MAX($D$16,POWER((ABS(K465)^2)/($I$5*MAX(F465,0.1)^2),1/3)))))))</f>
        <v>2.1403668656741068</v>
      </c>
      <c r="AI465">
        <f t="shared" ca="1" si="215"/>
        <v>634.54486686567407</v>
      </c>
      <c r="AJ465">
        <f t="shared" ca="1" si="216"/>
        <v>635.61505029851116</v>
      </c>
      <c r="AM465">
        <v>0</v>
      </c>
      <c r="AN465">
        <v>0</v>
      </c>
      <c r="AO465">
        <f t="shared" si="217"/>
        <v>0</v>
      </c>
      <c r="AP465">
        <f t="shared" si="226"/>
        <v>0</v>
      </c>
      <c r="AQ465">
        <f t="shared" ca="1" si="218"/>
        <v>0.99999999999999978</v>
      </c>
      <c r="AR465" t="str">
        <f t="shared" ca="1" si="219"/>
        <v>Supercritical</v>
      </c>
      <c r="AS465">
        <f t="shared" ca="1" si="220"/>
        <v>3.8148159832266538E-3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191</v>
      </c>
      <c r="I466">
        <v>2.3E-2</v>
      </c>
      <c r="J466">
        <f t="shared" si="221"/>
        <v>1</v>
      </c>
      <c r="K466">
        <f t="shared" si="222"/>
        <v>51</v>
      </c>
      <c r="L466">
        <f t="shared" ca="1" si="223"/>
        <v>0.05</v>
      </c>
      <c r="M466">
        <f t="shared" ca="1" si="196"/>
        <v>0.26</v>
      </c>
      <c r="N466">
        <f t="shared" ca="1" si="197"/>
        <v>4.9056603773584909E-2</v>
      </c>
      <c r="O466">
        <f t="shared" ca="1" si="198"/>
        <v>196.15384615384616</v>
      </c>
      <c r="P466">
        <f t="shared" ca="1" si="199"/>
        <v>632.45399999999995</v>
      </c>
      <c r="Q466">
        <f t="shared" ca="1" si="200"/>
        <v>2593.5310316486621</v>
      </c>
      <c r="R466">
        <f t="shared" ca="1" si="201"/>
        <v>482.07306851378365</v>
      </c>
      <c r="S466">
        <f t="shared" ca="1" si="202"/>
        <v>280.07692026646265</v>
      </c>
      <c r="T466">
        <f t="shared" ca="1" si="203"/>
        <v>1019.7665564573041</v>
      </c>
      <c r="U466">
        <f t="shared" ca="1" si="224"/>
        <v>-482.1477431333301</v>
      </c>
      <c r="V466">
        <f t="shared" ca="1" si="225"/>
        <v>0</v>
      </c>
      <c r="W466">
        <f t="shared" ca="1" si="204"/>
        <v>0.05</v>
      </c>
      <c r="X466">
        <f t="shared" ca="1" si="205"/>
        <v>0.26</v>
      </c>
      <c r="Y466">
        <f t="shared" ca="1" si="206"/>
        <v>4.9056603773584909E-2</v>
      </c>
      <c r="Z466">
        <f t="shared" ca="1" si="207"/>
        <v>196.15384615384616</v>
      </c>
      <c r="AA466">
        <f t="shared" ca="1" si="208"/>
        <v>632.45399999999995</v>
      </c>
      <c r="AB466">
        <f t="shared" ca="1" si="209"/>
        <v>2593.5310316486621</v>
      </c>
      <c r="AC466">
        <f t="shared" ca="1" si="210"/>
        <v>482.07306851378365</v>
      </c>
      <c r="AD466">
        <f t="shared" ca="1" si="211"/>
        <v>280.07692026646265</v>
      </c>
      <c r="AE466">
        <f t="shared" ca="1" si="212"/>
        <v>1019.7665564573041</v>
      </c>
      <c r="AF466">
        <f t="shared" ca="1" si="213"/>
        <v>482.62981620185974</v>
      </c>
      <c r="AG466">
        <f t="shared" ca="1" si="214"/>
        <v>0</v>
      </c>
      <c r="AH466">
        <f ca="1">IF(V32="Supercritical",L466,IF(V32="Subcritical",W466,IF(AND(V466=1,AG466=1),IF(T466&gt;=AE466,L466,W466),IF(V466=1,L466,IF(AG466=1,W466,MAX($D$16,POWER((ABS(K466)^2)/($I$5*MAX(F466,0.1)^2),1/3)))))))</f>
        <v>2.1403668656741068</v>
      </c>
      <c r="AI466">
        <f t="shared" ca="1" si="215"/>
        <v>634.54436686567408</v>
      </c>
      <c r="AJ466">
        <f t="shared" ca="1" si="216"/>
        <v>635.61455029851118</v>
      </c>
      <c r="AM466">
        <v>0</v>
      </c>
      <c r="AN466">
        <v>0</v>
      </c>
      <c r="AO466">
        <f t="shared" si="217"/>
        <v>0</v>
      </c>
      <c r="AP466">
        <f t="shared" si="226"/>
        <v>0</v>
      </c>
      <c r="AQ466">
        <f t="shared" ca="1" si="218"/>
        <v>0.99999999999999978</v>
      </c>
      <c r="AR466" t="str">
        <f t="shared" ca="1" si="219"/>
        <v>Supercritical</v>
      </c>
      <c r="AS466">
        <f t="shared" ca="1" si="220"/>
        <v>3.8148159832266538E-3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191</v>
      </c>
      <c r="I467">
        <v>2.3E-2</v>
      </c>
      <c r="J467">
        <f t="shared" si="221"/>
        <v>1.0010000000000332</v>
      </c>
      <c r="K467">
        <f t="shared" si="222"/>
        <v>51</v>
      </c>
      <c r="L467">
        <f t="shared" ca="1" si="223"/>
        <v>0.05</v>
      </c>
      <c r="M467">
        <f t="shared" ca="1" si="196"/>
        <v>0.26</v>
      </c>
      <c r="N467">
        <f t="shared" ca="1" si="197"/>
        <v>4.9056603773584909E-2</v>
      </c>
      <c r="O467">
        <f t="shared" ca="1" si="198"/>
        <v>196.15384615384616</v>
      </c>
      <c r="P467">
        <f t="shared" ca="1" si="199"/>
        <v>632.45349999999996</v>
      </c>
      <c r="Q467">
        <f t="shared" ca="1" si="200"/>
        <v>2593.530531648662</v>
      </c>
      <c r="R467">
        <f t="shared" ca="1" si="201"/>
        <v>482.07306851378365</v>
      </c>
      <c r="S467">
        <f t="shared" ca="1" si="202"/>
        <v>280.07692026646265</v>
      </c>
      <c r="T467">
        <f t="shared" ca="1" si="203"/>
        <v>1019.7665564573041</v>
      </c>
      <c r="U467">
        <f t="shared" ca="1" si="224"/>
        <v>-482.62981620185974</v>
      </c>
      <c r="V467">
        <f t="shared" ca="1" si="225"/>
        <v>0</v>
      </c>
      <c r="W467">
        <f t="shared" ca="1" si="204"/>
        <v>0.05</v>
      </c>
      <c r="X467">
        <f t="shared" ca="1" si="205"/>
        <v>0.26</v>
      </c>
      <c r="Y467">
        <f t="shared" ca="1" si="206"/>
        <v>4.9056603773584909E-2</v>
      </c>
      <c r="Z467">
        <f t="shared" ca="1" si="207"/>
        <v>196.15384615384616</v>
      </c>
      <c r="AA467">
        <f t="shared" ca="1" si="208"/>
        <v>632.45349999999996</v>
      </c>
      <c r="AB467">
        <f t="shared" ca="1" si="209"/>
        <v>2593.530531648662</v>
      </c>
      <c r="AC467">
        <f t="shared" ca="1" si="210"/>
        <v>482.07306851378365</v>
      </c>
      <c r="AD467">
        <f t="shared" ca="1" si="211"/>
        <v>280.07692026646265</v>
      </c>
      <c r="AE467">
        <f t="shared" ca="1" si="212"/>
        <v>1019.7665564573041</v>
      </c>
      <c r="AF467">
        <f t="shared" ca="1" si="213"/>
        <v>481.59049544525351</v>
      </c>
      <c r="AG467">
        <f t="shared" ca="1" si="214"/>
        <v>0</v>
      </c>
      <c r="AH467">
        <f ca="1">IF(V32="Supercritical",L467,IF(V32="Subcritical",W467,IF(AND(V467=1,AG467=1),IF(T467&gt;=AE467,L467,W467),IF(V467=1,L467,IF(AG467=1,W467,MAX($D$16,POWER((ABS(K467)^2)/($I$5*MAX(F467,0.1)^2),1/3)))))))</f>
        <v>2.1403668656741068</v>
      </c>
      <c r="AI467">
        <f t="shared" ca="1" si="215"/>
        <v>634.54386686567409</v>
      </c>
      <c r="AJ467">
        <f t="shared" ca="1" si="216"/>
        <v>635.61405029851119</v>
      </c>
      <c r="AM467">
        <v>0</v>
      </c>
      <c r="AN467">
        <v>0</v>
      </c>
      <c r="AO467">
        <f t="shared" si="217"/>
        <v>0</v>
      </c>
      <c r="AP467">
        <f t="shared" si="226"/>
        <v>0</v>
      </c>
      <c r="AQ467">
        <f t="shared" ca="1" si="218"/>
        <v>0.99999999999999978</v>
      </c>
      <c r="AR467" t="str">
        <f t="shared" ca="1" si="219"/>
        <v>Supercritical</v>
      </c>
      <c r="AS467">
        <f t="shared" ca="1" si="220"/>
        <v>3.8148159832266538E-3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191</v>
      </c>
      <c r="I468">
        <v>0</v>
      </c>
      <c r="J468">
        <f t="shared" si="221"/>
        <v>0.9989999999999668</v>
      </c>
      <c r="K468">
        <f t="shared" si="222"/>
        <v>51</v>
      </c>
      <c r="L468">
        <f t="shared" ca="1" si="223"/>
        <v>0.05</v>
      </c>
      <c r="M468">
        <f t="shared" ca="1" si="196"/>
        <v>0.26</v>
      </c>
      <c r="N468">
        <f t="shared" ca="1" si="197"/>
        <v>4.9056603773584909E-2</v>
      </c>
      <c r="O468">
        <f t="shared" ca="1" si="198"/>
        <v>196.15384615384616</v>
      </c>
      <c r="P468">
        <f t="shared" ca="1" si="199"/>
        <v>632.45299999999997</v>
      </c>
      <c r="Q468">
        <f t="shared" ca="1" si="200"/>
        <v>2593.5300316486619</v>
      </c>
      <c r="R468">
        <f t="shared" ca="1" si="201"/>
        <v>482.07306851378365</v>
      </c>
      <c r="S468">
        <f t="shared" ca="1" si="202"/>
        <v>280.07692026646265</v>
      </c>
      <c r="T468">
        <f t="shared" ca="1" si="203"/>
        <v>1019.7665564573041</v>
      </c>
      <c r="U468">
        <f t="shared" ca="1" si="224"/>
        <v>-481.59049544525351</v>
      </c>
      <c r="V468">
        <f t="shared" ca="1" si="225"/>
        <v>0</v>
      </c>
      <c r="W468">
        <f t="shared" ca="1" si="204"/>
        <v>0.05</v>
      </c>
      <c r="X468">
        <f t="shared" ca="1" si="205"/>
        <v>0.26</v>
      </c>
      <c r="Y468">
        <f t="shared" ca="1" si="206"/>
        <v>4.9056603773584909E-2</v>
      </c>
      <c r="Z468">
        <f t="shared" ca="1" si="207"/>
        <v>196.15384615384616</v>
      </c>
      <c r="AA468">
        <f t="shared" ca="1" si="208"/>
        <v>632.45299999999997</v>
      </c>
      <c r="AB468">
        <f t="shared" ca="1" si="209"/>
        <v>2593.5300316486619</v>
      </c>
      <c r="AC468">
        <f t="shared" ca="1" si="210"/>
        <v>482.07306851378365</v>
      </c>
      <c r="AD468">
        <f t="shared" ca="1" si="211"/>
        <v>280.07692026646265</v>
      </c>
      <c r="AE468">
        <f t="shared" ca="1" si="212"/>
        <v>1019.7665564573041</v>
      </c>
      <c r="AF468">
        <f t="shared" ca="1" si="213"/>
        <v>482.16081698020844</v>
      </c>
      <c r="AG468">
        <f t="shared" ca="1" si="214"/>
        <v>0</v>
      </c>
      <c r="AH468">
        <f ca="1">IF(V32="Supercritical",L468,IF(V32="Subcritical",W468,IF(AND(V468=1,AG468=1),IF(T468&gt;=AE468,L468,W468),IF(V468=1,L468,IF(AG468=1,W468,MAX($D$16,POWER((ABS(K468)^2)/($I$5*MAX(F468,0.1)^2),1/3)))))))</f>
        <v>2.1403668656741068</v>
      </c>
      <c r="AI468">
        <f t="shared" ca="1" si="215"/>
        <v>634.5433668656741</v>
      </c>
      <c r="AJ468">
        <f t="shared" ca="1" si="216"/>
        <v>635.6135502985112</v>
      </c>
      <c r="AM468">
        <v>0</v>
      </c>
      <c r="AN468">
        <v>0</v>
      </c>
      <c r="AO468">
        <f t="shared" si="217"/>
        <v>0</v>
      </c>
      <c r="AP468">
        <f t="shared" si="226"/>
        <v>0</v>
      </c>
      <c r="AQ468">
        <f t="shared" ca="1" si="218"/>
        <v>0.99999999999999978</v>
      </c>
      <c r="AR468" t="str">
        <f t="shared" ca="1" si="219"/>
        <v>Supercritical</v>
      </c>
      <c r="AS468">
        <f t="shared" ca="1" si="220"/>
        <v>3.8148159832266538E-3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191</v>
      </c>
      <c r="I469">
        <v>2.7E-2</v>
      </c>
      <c r="J469">
        <f t="shared" si="221"/>
        <v>1</v>
      </c>
      <c r="K469">
        <f t="shared" si="222"/>
        <v>51</v>
      </c>
      <c r="L469">
        <f t="shared" ca="1" si="223"/>
        <v>0.05</v>
      </c>
      <c r="M469">
        <f t="shared" ca="1" si="196"/>
        <v>0.26</v>
      </c>
      <c r="N469">
        <f t="shared" ca="1" si="197"/>
        <v>4.9056603773584909E-2</v>
      </c>
      <c r="O469">
        <f t="shared" ca="1" si="198"/>
        <v>196.15384615384616</v>
      </c>
      <c r="P469">
        <f t="shared" ca="1" si="199"/>
        <v>632.45249999999999</v>
      </c>
      <c r="Q469">
        <f t="shared" ca="1" si="200"/>
        <v>2593.5295316486622</v>
      </c>
      <c r="R469">
        <f t="shared" ca="1" si="201"/>
        <v>482.07306851378365</v>
      </c>
      <c r="S469">
        <f t="shared" ca="1" si="202"/>
        <v>280.07692026646265</v>
      </c>
      <c r="T469">
        <f t="shared" ca="1" si="203"/>
        <v>1019.7665564573041</v>
      </c>
      <c r="U469">
        <f t="shared" ca="1" si="224"/>
        <v>-482.16081698020844</v>
      </c>
      <c r="V469">
        <f t="shared" ca="1" si="225"/>
        <v>0</v>
      </c>
      <c r="W469">
        <f t="shared" ca="1" si="204"/>
        <v>0.05</v>
      </c>
      <c r="X469">
        <f t="shared" ca="1" si="205"/>
        <v>0.26</v>
      </c>
      <c r="Y469">
        <f t="shared" ca="1" si="206"/>
        <v>4.9056603773584909E-2</v>
      </c>
      <c r="Z469">
        <f t="shared" ca="1" si="207"/>
        <v>196.15384615384616</v>
      </c>
      <c r="AA469">
        <f t="shared" ca="1" si="208"/>
        <v>632.45249999999999</v>
      </c>
      <c r="AB469">
        <f t="shared" ca="1" si="209"/>
        <v>2593.5295316486622</v>
      </c>
      <c r="AC469">
        <f t="shared" ca="1" si="210"/>
        <v>482.07306851378365</v>
      </c>
      <c r="AD469">
        <f t="shared" ca="1" si="211"/>
        <v>280.07692026646265</v>
      </c>
      <c r="AE469">
        <f t="shared" ca="1" si="212"/>
        <v>1019.7665564573041</v>
      </c>
      <c r="AF469">
        <f t="shared" ca="1" si="213"/>
        <v>482.32750852789786</v>
      </c>
      <c r="AG469">
        <f t="shared" ca="1" si="214"/>
        <v>0</v>
      </c>
      <c r="AH469">
        <f ca="1">IF(V32="Supercritical",L469,IF(V32="Subcritical",W469,IF(AND(V469=1,AG469=1),IF(T469&gt;=AE469,L469,W469),IF(V469=1,L469,IF(AG469=1,W469,MAX($D$16,POWER((ABS(K469)^2)/($I$5*MAX(F469,0.1)^2),1/3)))))))</f>
        <v>2.1403668656741068</v>
      </c>
      <c r="AI469">
        <f t="shared" ca="1" si="215"/>
        <v>634.54286686567411</v>
      </c>
      <c r="AJ469">
        <f t="shared" ca="1" si="216"/>
        <v>635.61305029851121</v>
      </c>
      <c r="AM469">
        <v>0</v>
      </c>
      <c r="AN469">
        <v>0</v>
      </c>
      <c r="AO469">
        <f t="shared" si="217"/>
        <v>0</v>
      </c>
      <c r="AP469">
        <f t="shared" si="226"/>
        <v>0</v>
      </c>
      <c r="AQ469">
        <f t="shared" ca="1" si="218"/>
        <v>0.99999999999999978</v>
      </c>
      <c r="AR469" t="str">
        <f t="shared" ca="1" si="219"/>
        <v>Supercritical</v>
      </c>
      <c r="AS469">
        <f t="shared" ca="1" si="220"/>
        <v>3.8148159832266538E-3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191</v>
      </c>
      <c r="I470">
        <v>7.8E-2</v>
      </c>
      <c r="J470">
        <f t="shared" si="221"/>
        <v>1</v>
      </c>
      <c r="K470">
        <f t="shared" si="222"/>
        <v>51</v>
      </c>
      <c r="L470">
        <f t="shared" ca="1" si="223"/>
        <v>0.05</v>
      </c>
      <c r="M470">
        <f t="shared" ref="M470:M533" ca="1" si="227">((F470)+(G470)*(L470))*(L470)</f>
        <v>0.26</v>
      </c>
      <c r="N470">
        <f t="shared" ref="N470:N533" ca="1" si="228">(((F470)+(G470)*(L470))*(L470))/MAX((F470)+2*(L470)*SQRT(1+(G470)^2),0.000001)</f>
        <v>4.9056603773584909E-2</v>
      </c>
      <c r="O470">
        <f t="shared" ref="O470:O533" ca="1" si="229">ABS(K470)/MAX(((F470)+(G470)*(L470))*(L470),0.000001)</f>
        <v>196.15384615384616</v>
      </c>
      <c r="P470">
        <f t="shared" ref="P470:P533" ca="1" si="230">E470+L470</f>
        <v>632.452</v>
      </c>
      <c r="Q470">
        <f t="shared" ref="Q470:Q533" ca="1" si="231">P470+((ABS(K470)/MAX(((F470)+(G470)*(L470))*(L470),0.000001))^2)/(2*$I$5)</f>
        <v>2593.5290316486621</v>
      </c>
      <c r="R470">
        <f t="shared" ref="R470:R533" ca="1" si="232">((ABS(K470)*$D$6)/(MAX(((F470)+(G470)*(L470))*(L470),0.000001)*MAX(((((F470)+(G470)*(L470))*(L470))/MAX((F470)+2*(L470)*SQRT(1+(G470)^2),0.000001))^(2/3),0.000001)))^2</f>
        <v>482.07306851378365</v>
      </c>
      <c r="S470">
        <f t="shared" ref="S470:S533" ca="1" si="233">ABS(ABS(K470)/MAX(((F470)+(G470)*(L470))*(L470),0.000001))/SQRT($I$5*MAX((((F470)+(G470)*(L470))*(L470))/MAX((F470)+2*(G470)*(L470),0.000001),0.000001))</f>
        <v>280.07692026646265</v>
      </c>
      <c r="T470">
        <f t="shared" ref="T470:T533" ca="1" si="234">((F470)*(L470)^2)/2+(G470)*(L470)^3/3+(ABS(K470)^2)/($I$5*MAX(((F470)+(G470)*(L470))*(L470),0.000001))</f>
        <v>1019.7665564573041</v>
      </c>
      <c r="U470">
        <f t="shared" ca="1" si="224"/>
        <v>-482.32750852789786</v>
      </c>
      <c r="V470">
        <f t="shared" ca="1" si="225"/>
        <v>0</v>
      </c>
      <c r="W470">
        <f t="shared" ref="W470:W533" ca="1" si="235">IF(OR($D$20=0,AG471=0),W471,IF(OR(W470=0,AD471&gt;1),MAX($D$16,POWER((ABS(K470)^2)/($I$5*MAX(F470,0.1)^2),1/3)),IF(AF470&gt;0,MAX($D$16,W470+((AF470)*$D$18*IF((AD470)&lt;1,1,-1))),IF(AF470&lt;0,IF(ABS((MAX($D$16,POWER((ABS(K470)^2)/($I$5*MAX(F470,0.1)^2),1/3)))-W470)&gt;$D$19,MAX($D$16,W470+($D$18*((MAX($D$16,POWER((ABS(K470)^2)/($I$5*MAX(F470,0.1)^2),1/3)))-W470))),MAX($D$16,POWER((ABS(K470)^2)/($I$5*MAX(F470,0.1)^2),1/3))),W470))))</f>
        <v>0.05</v>
      </c>
      <c r="X470">
        <f t="shared" ref="X470:X533" ca="1" si="236">((F470)+(G470)*(W470))*(W470)</f>
        <v>0.26</v>
      </c>
      <c r="Y470">
        <f t="shared" ref="Y470:Y533" ca="1" si="237">(((F470)+(G470)*(W470))*(W470))/MAX((F470)+2*(W470)*SQRT(1+(G470)^2),0.000001)</f>
        <v>4.9056603773584909E-2</v>
      </c>
      <c r="Z470">
        <f t="shared" ref="Z470:Z533" ca="1" si="238">ABS(K470)/MAX(((F470)+(G470)*(W470))*(W470),0.000001)</f>
        <v>196.15384615384616</v>
      </c>
      <c r="AA470">
        <f t="shared" ref="AA470:AA533" ca="1" si="239">E470+W470</f>
        <v>632.452</v>
      </c>
      <c r="AB470">
        <f t="shared" ref="AB470:AB533" ca="1" si="240">AA470+((ABS(K470)/MAX(((F470)+(G470)*(W470))*(W470),0.000001))^2)/(2*$I$5)</f>
        <v>2593.5290316486621</v>
      </c>
      <c r="AC470">
        <f t="shared" ref="AC470:AC533" ca="1" si="241">((ABS(K470)*$D$6)/(MAX(((F470)+(G470)*(W470))*(W470),0.000001)*MAX(((((F470)+(G470)*(W470))*(W470))/MAX((F470)+2*(W470)*SQRT(1+(G470)^2),0.000001))^(2/3),0.000001)))^2</f>
        <v>482.07306851378365</v>
      </c>
      <c r="AD470">
        <f t="shared" ref="AD470:AD533" ca="1" si="242">ABS(ABS(K470)/MAX(((F470)+(G470)*(W470))*(W470),0.000001))/SQRT($I$5*MAX((((F470)+(G470)*(W470))*(W470))/MAX((F470)+2*(G470)*(W470),0.000001),0.000001))</f>
        <v>280.07692026646265</v>
      </c>
      <c r="AE470">
        <f t="shared" ref="AE470:AE533" ca="1" si="243">((F470)*(W470)^2)/2+(G470)*(W470)^3/3+(ABS(K470)^2)/($I$5*MAX(((F470)+(G470)*(W470))*(W470),0.000001))</f>
        <v>1019.7665564573041</v>
      </c>
      <c r="AF470">
        <f t="shared" ref="AF470:AF533" ca="1" si="244">AB471+(((AC470+AC471)/2)*J471)+(IF(Z470&gt;Z471,$D$8*((Z470^2-Z471^2)/(2*$I$5)),$D$9*((Z471^2-Z470^2)/(2*$I$5)))+($D$10*(ABS(I471)/90)*(MAX(Z470^2,Z471^2)/(2*$I$5))))-AB470</f>
        <v>482.32750852789786</v>
      </c>
      <c r="AG470">
        <f t="shared" ref="AG470:AG533" ca="1" si="245">IF(ROUND(AD470,3)=1,1,IF(AND(ABS(AF470)&lt;$D$19,AD470&lt;1),1,0))</f>
        <v>0</v>
      </c>
      <c r="AH470">
        <f ca="1">IF(V32="Supercritical",L470,IF(V32="Subcritical",W470,IF(AND(V470=1,AG470=1),IF(T470&gt;=AE470,L470,W470),IF(V470=1,L470,IF(AG470=1,W470,MAX($D$16,POWER((ABS(K470)^2)/($I$5*MAX(F470,0.1)^2),1/3)))))))</f>
        <v>2.1403668656741068</v>
      </c>
      <c r="AI470">
        <f t="shared" ref="AI470:AI533" ca="1" si="246">E470+AH470</f>
        <v>634.54236686567413</v>
      </c>
      <c r="AJ470">
        <f t="shared" ref="AJ470:AJ533" ca="1" si="247">AI470+((ABS(K470)/MAX(((F470)+(G470)*(AH470))*(AH470),0.000001))^2)/(2*$I$5)</f>
        <v>635.61255029851122</v>
      </c>
      <c r="AM470">
        <v>0</v>
      </c>
      <c r="AN470">
        <v>0</v>
      </c>
      <c r="AO470">
        <f t="shared" ref="AO470:AO533" si="248">AM470+AN470</f>
        <v>0</v>
      </c>
      <c r="AP470">
        <f t="shared" si="226"/>
        <v>0</v>
      </c>
      <c r="AQ470">
        <f t="shared" ref="AQ470:AQ533" ca="1" si="249">ABS(ABS(K470)/MAX(((F470)+(G470)*(AH470))*(AH470),0.000001))/SQRT($I$5*MAX((((F470)+(G470)*(AH470))*(AH470))/MAX((F470)+2*(G470)*(AH470),0.000001),0.000001))</f>
        <v>0.99999999999999978</v>
      </c>
      <c r="AR470" t="str">
        <f t="shared" ref="AR470:AR533" ca="1" si="250">IF(AQ470&lt;1,"Subcritical","Supercritical")</f>
        <v>Supercritical</v>
      </c>
      <c r="AS470">
        <f t="shared" ref="AS470:AS533" ca="1" si="251">((ABS(K470)*$D$6)/(MAX(((F470)+(G470)*(AH470))*(AH470),0.000001)*MAX(((((F470)+(G470)*(AH470))*(AH470))/MAX((F470)+2*(AH470)*SQRT(1+(G470)^2),0.000001))^(2/3),0.000001)))^2</f>
        <v>3.8148159832266538E-3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191</v>
      </c>
      <c r="I471">
        <v>7.8E-2</v>
      </c>
      <c r="J471">
        <f t="shared" ref="J471:J534" si="252">B471-B470</f>
        <v>1</v>
      </c>
      <c r="K471">
        <f t="shared" ref="K471:K534" si="253">MAX(0,K470-AO470)</f>
        <v>51</v>
      </c>
      <c r="L471">
        <f t="shared" ref="L471:L534" ca="1" si="254">IF(OR($D$20=0,V470=0),L470,IF(OR(L471=0,S470&lt;1,S471&lt;1),MAX($D$16,POWER((ABS(K471)^2)/($I$5*MAX(F471,0.1)^2),1/3)),IF(U471&gt;0,MAX($D$16,L471+((U471)*$D$18*IF((S471)&lt;1,1,-1))),IF(U471&lt;0,IF(ABS((MAX($D$16,POWER((ABS(K471)^2)/($I$5*MAX(F471,0.1)^2),1/3)))-L471)&gt;$D$19,MAX($D$16,L471+($D$18*((MAX($D$16,POWER((ABS(K471)^2)/($I$5*MAX(F471,0.1)^2),1/3)))-L471))),MAX($D$16,POWER((ABS(K471)^2)/($I$5*MAX(F471,0.1)^2),1/3))),L471))))</f>
        <v>0.05</v>
      </c>
      <c r="M471">
        <f t="shared" ca="1" si="227"/>
        <v>0.26</v>
      </c>
      <c r="N471">
        <f t="shared" ca="1" si="228"/>
        <v>4.9056603773584909E-2</v>
      </c>
      <c r="O471">
        <f t="shared" ca="1" si="229"/>
        <v>196.15384615384616</v>
      </c>
      <c r="P471">
        <f t="shared" ca="1" si="230"/>
        <v>632.45150000000001</v>
      </c>
      <c r="Q471">
        <f t="shared" ca="1" si="231"/>
        <v>2593.528531648662</v>
      </c>
      <c r="R471">
        <f t="shared" ca="1" si="232"/>
        <v>482.07306851378365</v>
      </c>
      <c r="S471">
        <f t="shared" ca="1" si="233"/>
        <v>280.07692026646265</v>
      </c>
      <c r="T471">
        <f t="shared" ca="1" si="234"/>
        <v>1019.7665564573041</v>
      </c>
      <c r="U471">
        <f t="shared" ref="U471:U534" ca="1" si="255">Q470-(((R470+R471)/2)*J471)-(IF(O470&gt;O471,$D$8*((O470^2-O471^2)/(2*$I$5)),$D$9*((O471^2-O470^2)/(2*$I$5)))+($D$10*(ABS(I471)/90)*(MAX(O470^2,O471^2)/(2*$I$5))))-Q471</f>
        <v>-482.32750852789786</v>
      </c>
      <c r="V471">
        <f t="shared" ref="V471:V534" ca="1" si="256">IF(ROUND(S471,3)=1,1,IF(AND(ABS(U471)&lt;$D$19,S471&gt;1),1,0))</f>
        <v>0</v>
      </c>
      <c r="W471">
        <f t="shared" ca="1" si="235"/>
        <v>0.05</v>
      </c>
      <c r="X471">
        <f t="shared" ca="1" si="236"/>
        <v>0.26</v>
      </c>
      <c r="Y471">
        <f t="shared" ca="1" si="237"/>
        <v>4.9056603773584909E-2</v>
      </c>
      <c r="Z471">
        <f t="shared" ca="1" si="238"/>
        <v>196.15384615384616</v>
      </c>
      <c r="AA471">
        <f t="shared" ca="1" si="239"/>
        <v>632.45150000000001</v>
      </c>
      <c r="AB471">
        <f t="shared" ca="1" si="240"/>
        <v>2593.528531648662</v>
      </c>
      <c r="AC471">
        <f t="shared" ca="1" si="241"/>
        <v>482.07306851378365</v>
      </c>
      <c r="AD471">
        <f t="shared" ca="1" si="242"/>
        <v>280.07692026646265</v>
      </c>
      <c r="AE471">
        <f t="shared" ca="1" si="243"/>
        <v>1019.7665564573041</v>
      </c>
      <c r="AF471">
        <f t="shared" ca="1" si="244"/>
        <v>482.64289004873763</v>
      </c>
      <c r="AG471">
        <f t="shared" ca="1" si="245"/>
        <v>0</v>
      </c>
      <c r="AH471">
        <f ca="1">IF(V32="Supercritical",L471,IF(V32="Subcritical",W471,IF(AND(V471=1,AG471=1),IF(T471&gt;=AE471,L471,W471),IF(V471=1,L471,IF(AG471=1,W471,MAX($D$16,POWER((ABS(K471)^2)/($I$5*MAX(F471,0.1)^2),1/3)))))))</f>
        <v>2.1403668656741068</v>
      </c>
      <c r="AI471">
        <f t="shared" ca="1" si="246"/>
        <v>634.54186686567414</v>
      </c>
      <c r="AJ471">
        <f t="shared" ca="1" si="247"/>
        <v>635.61205029851124</v>
      </c>
      <c r="AM471">
        <v>0</v>
      </c>
      <c r="AN471">
        <v>0</v>
      </c>
      <c r="AO471">
        <f t="shared" si="248"/>
        <v>0</v>
      </c>
      <c r="AP471">
        <f t="shared" ref="AP471:AP534" si="257">AP470+AO471</f>
        <v>0</v>
      </c>
      <c r="AQ471">
        <f t="shared" ca="1" si="249"/>
        <v>0.99999999999999978</v>
      </c>
      <c r="AR471" t="str">
        <f t="shared" ca="1" si="250"/>
        <v>Supercritical</v>
      </c>
      <c r="AS471">
        <f t="shared" ca="1" si="251"/>
        <v>3.8148159832266538E-3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191</v>
      </c>
      <c r="I472">
        <v>2.7E-2</v>
      </c>
      <c r="J472">
        <f t="shared" si="252"/>
        <v>1.0010000000000332</v>
      </c>
      <c r="K472">
        <f t="shared" si="253"/>
        <v>51</v>
      </c>
      <c r="L472">
        <f t="shared" ca="1" si="254"/>
        <v>0.05</v>
      </c>
      <c r="M472">
        <f t="shared" ca="1" si="227"/>
        <v>0.26</v>
      </c>
      <c r="N472">
        <f t="shared" ca="1" si="228"/>
        <v>4.9056603773584909E-2</v>
      </c>
      <c r="O472">
        <f t="shared" ca="1" si="229"/>
        <v>196.15384615384616</v>
      </c>
      <c r="P472">
        <f t="shared" ca="1" si="230"/>
        <v>632.45099999999991</v>
      </c>
      <c r="Q472">
        <f t="shared" ca="1" si="231"/>
        <v>2593.5280316486619</v>
      </c>
      <c r="R472">
        <f t="shared" ca="1" si="232"/>
        <v>482.07306851378365</v>
      </c>
      <c r="S472">
        <f t="shared" ca="1" si="233"/>
        <v>280.07692026646265</v>
      </c>
      <c r="T472">
        <f t="shared" ca="1" si="234"/>
        <v>1019.7665564573041</v>
      </c>
      <c r="U472">
        <f t="shared" ca="1" si="255"/>
        <v>-482.64289004873763</v>
      </c>
      <c r="V472">
        <f t="shared" ca="1" si="256"/>
        <v>0</v>
      </c>
      <c r="W472">
        <f t="shared" ca="1" si="235"/>
        <v>0.05</v>
      </c>
      <c r="X472">
        <f t="shared" ca="1" si="236"/>
        <v>0.26</v>
      </c>
      <c r="Y472">
        <f t="shared" ca="1" si="237"/>
        <v>4.9056603773584909E-2</v>
      </c>
      <c r="Z472">
        <f t="shared" ca="1" si="238"/>
        <v>196.15384615384616</v>
      </c>
      <c r="AA472">
        <f t="shared" ca="1" si="239"/>
        <v>632.45099999999991</v>
      </c>
      <c r="AB472">
        <f t="shared" ca="1" si="240"/>
        <v>2593.5280316486619</v>
      </c>
      <c r="AC472">
        <f t="shared" ca="1" si="241"/>
        <v>482.07306851378365</v>
      </c>
      <c r="AD472">
        <f t="shared" ca="1" si="242"/>
        <v>280.07692026646265</v>
      </c>
      <c r="AE472">
        <f t="shared" ca="1" si="243"/>
        <v>1019.7665564573041</v>
      </c>
      <c r="AF472">
        <f t="shared" ca="1" si="244"/>
        <v>481.59049544525396</v>
      </c>
      <c r="AG472">
        <f t="shared" ca="1" si="245"/>
        <v>0</v>
      </c>
      <c r="AH472">
        <f ca="1">IF(V32="Supercritical",L472,IF(V32="Subcritical",W472,IF(AND(V472=1,AG472=1),IF(T472&gt;=AE472,L472,W472),IF(V472=1,L472,IF(AG472=1,W472,MAX($D$16,POWER((ABS(K472)^2)/($I$5*MAX(F472,0.1)^2),1/3)))))))</f>
        <v>2.1403668656741068</v>
      </c>
      <c r="AI472">
        <f t="shared" ca="1" si="246"/>
        <v>634.54136686567404</v>
      </c>
      <c r="AJ472">
        <f t="shared" ca="1" si="247"/>
        <v>635.61155029851113</v>
      </c>
      <c r="AM472">
        <v>0</v>
      </c>
      <c r="AN472">
        <v>0</v>
      </c>
      <c r="AO472">
        <f t="shared" si="248"/>
        <v>0</v>
      </c>
      <c r="AP472">
        <f t="shared" si="257"/>
        <v>0</v>
      </c>
      <c r="AQ472">
        <f t="shared" ca="1" si="249"/>
        <v>0.99999999999999978</v>
      </c>
      <c r="AR472" t="str">
        <f t="shared" ca="1" si="250"/>
        <v>Supercritical</v>
      </c>
      <c r="AS472">
        <f t="shared" ca="1" si="251"/>
        <v>3.8148159832266538E-3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191</v>
      </c>
      <c r="I473">
        <v>0</v>
      </c>
      <c r="J473">
        <f t="shared" si="252"/>
        <v>0.9989999999999668</v>
      </c>
      <c r="K473">
        <f t="shared" si="253"/>
        <v>51</v>
      </c>
      <c r="L473">
        <f t="shared" ca="1" si="254"/>
        <v>0.05</v>
      </c>
      <c r="M473">
        <f t="shared" ca="1" si="227"/>
        <v>0.26</v>
      </c>
      <c r="N473">
        <f t="shared" ca="1" si="228"/>
        <v>4.9056603773584909E-2</v>
      </c>
      <c r="O473">
        <f t="shared" ca="1" si="229"/>
        <v>196.15384615384616</v>
      </c>
      <c r="P473">
        <f t="shared" ca="1" si="230"/>
        <v>632.45049999999992</v>
      </c>
      <c r="Q473">
        <f t="shared" ca="1" si="231"/>
        <v>2593.5275316486623</v>
      </c>
      <c r="R473">
        <f t="shared" ca="1" si="232"/>
        <v>482.07306851378365</v>
      </c>
      <c r="S473">
        <f t="shared" ca="1" si="233"/>
        <v>280.07692026646265</v>
      </c>
      <c r="T473">
        <f t="shared" ca="1" si="234"/>
        <v>1019.7665564573041</v>
      </c>
      <c r="U473">
        <f t="shared" ca="1" si="255"/>
        <v>-481.59049544525442</v>
      </c>
      <c r="V473">
        <f t="shared" ca="1" si="256"/>
        <v>0</v>
      </c>
      <c r="W473">
        <f t="shared" ca="1" si="235"/>
        <v>0.05</v>
      </c>
      <c r="X473">
        <f t="shared" ca="1" si="236"/>
        <v>0.26</v>
      </c>
      <c r="Y473">
        <f t="shared" ca="1" si="237"/>
        <v>4.9056603773584909E-2</v>
      </c>
      <c r="Z473">
        <f t="shared" ca="1" si="238"/>
        <v>196.15384615384616</v>
      </c>
      <c r="AA473">
        <f t="shared" ca="1" si="239"/>
        <v>632.45049999999992</v>
      </c>
      <c r="AB473">
        <f t="shared" ca="1" si="240"/>
        <v>2593.5275316486623</v>
      </c>
      <c r="AC473">
        <f t="shared" ca="1" si="241"/>
        <v>482.07306851378365</v>
      </c>
      <c r="AD473">
        <f t="shared" ca="1" si="242"/>
        <v>280.07692026646265</v>
      </c>
      <c r="AE473">
        <f t="shared" ca="1" si="243"/>
        <v>1019.7665564573041</v>
      </c>
      <c r="AF473">
        <f t="shared" ca="1" si="244"/>
        <v>482.16081698020798</v>
      </c>
      <c r="AG473">
        <f t="shared" ca="1" si="245"/>
        <v>0</v>
      </c>
      <c r="AH473">
        <f ca="1">IF(V32="Supercritical",L473,IF(V32="Subcritical",W473,IF(AND(V473=1,AG473=1),IF(T473&gt;=AE473,L473,W473),IF(V473=1,L473,IF(AG473=1,W473,MAX($D$16,POWER((ABS(K473)^2)/($I$5*MAX(F473,0.1)^2),1/3)))))))</f>
        <v>2.1403668656741068</v>
      </c>
      <c r="AI473">
        <f t="shared" ca="1" si="246"/>
        <v>634.54086686567405</v>
      </c>
      <c r="AJ473">
        <f t="shared" ca="1" si="247"/>
        <v>635.61105029851115</v>
      </c>
      <c r="AM473">
        <v>0</v>
      </c>
      <c r="AN473">
        <v>0</v>
      </c>
      <c r="AO473">
        <f t="shared" si="248"/>
        <v>0</v>
      </c>
      <c r="AP473">
        <f t="shared" si="257"/>
        <v>0</v>
      </c>
      <c r="AQ473">
        <f t="shared" ca="1" si="249"/>
        <v>0.99999999999999978</v>
      </c>
      <c r="AR473" t="str">
        <f t="shared" ca="1" si="250"/>
        <v>Supercritical</v>
      </c>
      <c r="AS473">
        <f t="shared" ca="1" si="251"/>
        <v>3.8148159832266538E-3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191</v>
      </c>
      <c r="I474">
        <v>2.7E-2</v>
      </c>
      <c r="J474">
        <f t="shared" si="252"/>
        <v>1</v>
      </c>
      <c r="K474">
        <f t="shared" si="253"/>
        <v>51</v>
      </c>
      <c r="L474">
        <f t="shared" ca="1" si="254"/>
        <v>0.05</v>
      </c>
      <c r="M474">
        <f t="shared" ca="1" si="227"/>
        <v>0.26</v>
      </c>
      <c r="N474">
        <f t="shared" ca="1" si="228"/>
        <v>4.9056603773584909E-2</v>
      </c>
      <c r="O474">
        <f t="shared" ca="1" si="229"/>
        <v>196.15384615384616</v>
      </c>
      <c r="P474">
        <f t="shared" ca="1" si="230"/>
        <v>632.44999999999993</v>
      </c>
      <c r="Q474">
        <f t="shared" ca="1" si="231"/>
        <v>2593.5270316486622</v>
      </c>
      <c r="R474">
        <f t="shared" ca="1" si="232"/>
        <v>482.07306851378365</v>
      </c>
      <c r="S474">
        <f t="shared" ca="1" si="233"/>
        <v>280.07692026646265</v>
      </c>
      <c r="T474">
        <f t="shared" ca="1" si="234"/>
        <v>1019.7665564573041</v>
      </c>
      <c r="U474">
        <f t="shared" ca="1" si="255"/>
        <v>-482.16081698020798</v>
      </c>
      <c r="V474">
        <f t="shared" ca="1" si="256"/>
        <v>0</v>
      </c>
      <c r="W474">
        <f t="shared" ca="1" si="235"/>
        <v>0.05</v>
      </c>
      <c r="X474">
        <f t="shared" ca="1" si="236"/>
        <v>0.26</v>
      </c>
      <c r="Y474">
        <f t="shared" ca="1" si="237"/>
        <v>4.9056603773584909E-2</v>
      </c>
      <c r="Z474">
        <f t="shared" ca="1" si="238"/>
        <v>196.15384615384616</v>
      </c>
      <c r="AA474">
        <f t="shared" ca="1" si="239"/>
        <v>632.44999999999993</v>
      </c>
      <c r="AB474">
        <f t="shared" ca="1" si="240"/>
        <v>2593.5270316486622</v>
      </c>
      <c r="AC474">
        <f t="shared" ca="1" si="241"/>
        <v>482.07306851378365</v>
      </c>
      <c r="AD474">
        <f t="shared" ca="1" si="242"/>
        <v>280.07692026646265</v>
      </c>
      <c r="AE474">
        <f t="shared" ca="1" si="243"/>
        <v>1019.7665564573041</v>
      </c>
      <c r="AF474">
        <f t="shared" ca="1" si="244"/>
        <v>482.32750852789786</v>
      </c>
      <c r="AG474">
        <f t="shared" ca="1" si="245"/>
        <v>0</v>
      </c>
      <c r="AH474">
        <f ca="1">IF(V32="Supercritical",L474,IF(V32="Subcritical",W474,IF(AND(V474=1,AG474=1),IF(T474&gt;=AE474,L474,W474),IF(V474=1,L474,IF(AG474=1,W474,MAX($D$16,POWER((ABS(K474)^2)/($I$5*MAX(F474,0.1)^2),1/3)))))))</f>
        <v>2.1403668656741068</v>
      </c>
      <c r="AI474">
        <f t="shared" ca="1" si="246"/>
        <v>634.54036686567406</v>
      </c>
      <c r="AJ474">
        <f t="shared" ca="1" si="247"/>
        <v>635.61055029851116</v>
      </c>
      <c r="AM474">
        <v>0</v>
      </c>
      <c r="AN474">
        <v>0</v>
      </c>
      <c r="AO474">
        <f t="shared" si="248"/>
        <v>0</v>
      </c>
      <c r="AP474">
        <f t="shared" si="257"/>
        <v>0</v>
      </c>
      <c r="AQ474">
        <f t="shared" ca="1" si="249"/>
        <v>0.99999999999999978</v>
      </c>
      <c r="AR474" t="str">
        <f t="shared" ca="1" si="250"/>
        <v>Supercritical</v>
      </c>
      <c r="AS474">
        <f t="shared" ca="1" si="251"/>
        <v>3.8148159832266538E-3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191</v>
      </c>
      <c r="I475">
        <v>7.8E-2</v>
      </c>
      <c r="J475">
        <f t="shared" si="252"/>
        <v>1</v>
      </c>
      <c r="K475">
        <f t="shared" si="253"/>
        <v>51</v>
      </c>
      <c r="L475">
        <f t="shared" ca="1" si="254"/>
        <v>0.05</v>
      </c>
      <c r="M475">
        <f t="shared" ca="1" si="227"/>
        <v>0.26</v>
      </c>
      <c r="N475">
        <f t="shared" ca="1" si="228"/>
        <v>4.9056603773584909E-2</v>
      </c>
      <c r="O475">
        <f t="shared" ca="1" si="229"/>
        <v>196.15384615384616</v>
      </c>
      <c r="P475">
        <f t="shared" ca="1" si="230"/>
        <v>632.44949999999994</v>
      </c>
      <c r="Q475">
        <f t="shared" ca="1" si="231"/>
        <v>2593.5265316486621</v>
      </c>
      <c r="R475">
        <f t="shared" ca="1" si="232"/>
        <v>482.07306851378365</v>
      </c>
      <c r="S475">
        <f t="shared" ca="1" si="233"/>
        <v>280.07692026646265</v>
      </c>
      <c r="T475">
        <f t="shared" ca="1" si="234"/>
        <v>1019.7665564573041</v>
      </c>
      <c r="U475">
        <f t="shared" ca="1" si="255"/>
        <v>-482.32750852789786</v>
      </c>
      <c r="V475">
        <f t="shared" ca="1" si="256"/>
        <v>0</v>
      </c>
      <c r="W475">
        <f t="shared" ca="1" si="235"/>
        <v>0.05</v>
      </c>
      <c r="X475">
        <f t="shared" ca="1" si="236"/>
        <v>0.26</v>
      </c>
      <c r="Y475">
        <f t="shared" ca="1" si="237"/>
        <v>4.9056603773584909E-2</v>
      </c>
      <c r="Z475">
        <f t="shared" ca="1" si="238"/>
        <v>196.15384615384616</v>
      </c>
      <c r="AA475">
        <f t="shared" ca="1" si="239"/>
        <v>632.44949999999994</v>
      </c>
      <c r="AB475">
        <f t="shared" ca="1" si="240"/>
        <v>2593.5265316486621</v>
      </c>
      <c r="AC475">
        <f t="shared" ca="1" si="241"/>
        <v>482.07306851378365</v>
      </c>
      <c r="AD475">
        <f t="shared" ca="1" si="242"/>
        <v>280.07692026646265</v>
      </c>
      <c r="AE475">
        <f t="shared" ca="1" si="243"/>
        <v>1019.7665564573041</v>
      </c>
      <c r="AF475">
        <f t="shared" ca="1" si="244"/>
        <v>482.32750852789786</v>
      </c>
      <c r="AG475">
        <f t="shared" ca="1" si="245"/>
        <v>0</v>
      </c>
      <c r="AH475">
        <f ca="1">IF(V32="Supercritical",L475,IF(V32="Subcritical",W475,IF(AND(V475=1,AG475=1),IF(T475&gt;=AE475,L475,W475),IF(V475=1,L475,IF(AG475=1,W475,MAX($D$16,POWER((ABS(K475)^2)/($I$5*MAX(F475,0.1)^2),1/3)))))))</f>
        <v>2.1403668656741068</v>
      </c>
      <c r="AI475">
        <f t="shared" ca="1" si="246"/>
        <v>634.53986686567407</v>
      </c>
      <c r="AJ475">
        <f t="shared" ca="1" si="247"/>
        <v>635.61005029851117</v>
      </c>
      <c r="AM475">
        <v>0</v>
      </c>
      <c r="AN475">
        <v>0</v>
      </c>
      <c r="AO475">
        <f t="shared" si="248"/>
        <v>0</v>
      </c>
      <c r="AP475">
        <f t="shared" si="257"/>
        <v>0</v>
      </c>
      <c r="AQ475">
        <f t="shared" ca="1" si="249"/>
        <v>0.99999999999999978</v>
      </c>
      <c r="AR475" t="str">
        <f t="shared" ca="1" si="250"/>
        <v>Supercritical</v>
      </c>
      <c r="AS475">
        <f t="shared" ca="1" si="251"/>
        <v>3.8148159832266538E-3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191</v>
      </c>
      <c r="I476">
        <v>7.8E-2</v>
      </c>
      <c r="J476">
        <f t="shared" si="252"/>
        <v>1</v>
      </c>
      <c r="K476">
        <f t="shared" si="253"/>
        <v>51</v>
      </c>
      <c r="L476">
        <f t="shared" ca="1" si="254"/>
        <v>0.05</v>
      </c>
      <c r="M476">
        <f t="shared" ca="1" si="227"/>
        <v>0.26</v>
      </c>
      <c r="N476">
        <f t="shared" ca="1" si="228"/>
        <v>4.9056603773584909E-2</v>
      </c>
      <c r="O476">
        <f t="shared" ca="1" si="229"/>
        <v>196.15384615384616</v>
      </c>
      <c r="P476">
        <f t="shared" ca="1" si="230"/>
        <v>632.44899999999996</v>
      </c>
      <c r="Q476">
        <f t="shared" ca="1" si="231"/>
        <v>2593.526031648662</v>
      </c>
      <c r="R476">
        <f t="shared" ca="1" si="232"/>
        <v>482.07306851378365</v>
      </c>
      <c r="S476">
        <f t="shared" ca="1" si="233"/>
        <v>280.07692026646265</v>
      </c>
      <c r="T476">
        <f t="shared" ca="1" si="234"/>
        <v>1019.7665564573041</v>
      </c>
      <c r="U476">
        <f t="shared" ca="1" si="255"/>
        <v>-482.32750852789786</v>
      </c>
      <c r="V476">
        <f t="shared" ca="1" si="256"/>
        <v>0</v>
      </c>
      <c r="W476">
        <f t="shared" ca="1" si="235"/>
        <v>0.05</v>
      </c>
      <c r="X476">
        <f t="shared" ca="1" si="236"/>
        <v>0.26</v>
      </c>
      <c r="Y476">
        <f t="shared" ca="1" si="237"/>
        <v>4.9056603773584909E-2</v>
      </c>
      <c r="Z476">
        <f t="shared" ca="1" si="238"/>
        <v>196.15384615384616</v>
      </c>
      <c r="AA476">
        <f t="shared" ca="1" si="239"/>
        <v>632.44899999999996</v>
      </c>
      <c r="AB476">
        <f t="shared" ca="1" si="240"/>
        <v>2593.526031648662</v>
      </c>
      <c r="AC476">
        <f t="shared" ca="1" si="241"/>
        <v>482.07306851378365</v>
      </c>
      <c r="AD476">
        <f t="shared" ca="1" si="242"/>
        <v>280.07692026646265</v>
      </c>
      <c r="AE476">
        <f t="shared" ca="1" si="243"/>
        <v>1019.7665564573041</v>
      </c>
      <c r="AF476">
        <f t="shared" ca="1" si="244"/>
        <v>482.64289004873763</v>
      </c>
      <c r="AG476">
        <f t="shared" ca="1" si="245"/>
        <v>0</v>
      </c>
      <c r="AH476">
        <f ca="1">IF(V32="Supercritical",L476,IF(V32="Subcritical",W476,IF(AND(V476=1,AG476=1),IF(T476&gt;=AE476,L476,W476),IF(V476=1,L476,IF(AG476=1,W476,MAX($D$16,POWER((ABS(K476)^2)/($I$5*MAX(F476,0.1)^2),1/3)))))))</f>
        <v>2.1403668656741068</v>
      </c>
      <c r="AI476">
        <f t="shared" ca="1" si="246"/>
        <v>634.53936686567408</v>
      </c>
      <c r="AJ476">
        <f t="shared" ca="1" si="247"/>
        <v>635.60955029851118</v>
      </c>
      <c r="AM476">
        <v>0</v>
      </c>
      <c r="AN476">
        <v>0</v>
      </c>
      <c r="AO476">
        <f t="shared" si="248"/>
        <v>0</v>
      </c>
      <c r="AP476">
        <f t="shared" si="257"/>
        <v>0</v>
      </c>
      <c r="AQ476">
        <f t="shared" ca="1" si="249"/>
        <v>0.99999999999999978</v>
      </c>
      <c r="AR476" t="str">
        <f t="shared" ca="1" si="250"/>
        <v>Supercritical</v>
      </c>
      <c r="AS476">
        <f t="shared" ca="1" si="251"/>
        <v>3.8148159832266538E-3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191</v>
      </c>
      <c r="I477">
        <v>2.7E-2</v>
      </c>
      <c r="J477">
        <f t="shared" si="252"/>
        <v>1.0010000000000332</v>
      </c>
      <c r="K477">
        <f t="shared" si="253"/>
        <v>51</v>
      </c>
      <c r="L477">
        <f t="shared" ca="1" si="254"/>
        <v>0.05</v>
      </c>
      <c r="M477">
        <f t="shared" ca="1" si="227"/>
        <v>0.26</v>
      </c>
      <c r="N477">
        <f t="shared" ca="1" si="228"/>
        <v>4.9056603773584909E-2</v>
      </c>
      <c r="O477">
        <f t="shared" ca="1" si="229"/>
        <v>196.15384615384616</v>
      </c>
      <c r="P477">
        <f t="shared" ca="1" si="230"/>
        <v>632.44849999999997</v>
      </c>
      <c r="Q477">
        <f t="shared" ca="1" si="231"/>
        <v>2593.5255316486619</v>
      </c>
      <c r="R477">
        <f t="shared" ca="1" si="232"/>
        <v>482.07306851378365</v>
      </c>
      <c r="S477">
        <f t="shared" ca="1" si="233"/>
        <v>280.07692026646265</v>
      </c>
      <c r="T477">
        <f t="shared" ca="1" si="234"/>
        <v>1019.7665564573041</v>
      </c>
      <c r="U477">
        <f t="shared" ca="1" si="255"/>
        <v>-482.64289004873763</v>
      </c>
      <c r="V477">
        <f t="shared" ca="1" si="256"/>
        <v>0</v>
      </c>
      <c r="W477">
        <f t="shared" ca="1" si="235"/>
        <v>0.05</v>
      </c>
      <c r="X477">
        <f t="shared" ca="1" si="236"/>
        <v>0.26</v>
      </c>
      <c r="Y477">
        <f t="shared" ca="1" si="237"/>
        <v>4.9056603773584909E-2</v>
      </c>
      <c r="Z477">
        <f t="shared" ca="1" si="238"/>
        <v>196.15384615384616</v>
      </c>
      <c r="AA477">
        <f t="shared" ca="1" si="239"/>
        <v>632.44849999999997</v>
      </c>
      <c r="AB477">
        <f t="shared" ca="1" si="240"/>
        <v>2593.5255316486619</v>
      </c>
      <c r="AC477">
        <f t="shared" ca="1" si="241"/>
        <v>482.07306851378365</v>
      </c>
      <c r="AD477">
        <f t="shared" ca="1" si="242"/>
        <v>280.07692026646265</v>
      </c>
      <c r="AE477">
        <f t="shared" ca="1" si="243"/>
        <v>1019.7665564573041</v>
      </c>
      <c r="AF477">
        <f t="shared" ca="1" si="244"/>
        <v>481.59049544525442</v>
      </c>
      <c r="AG477">
        <f t="shared" ca="1" si="245"/>
        <v>0</v>
      </c>
      <c r="AH477">
        <f ca="1">IF(V32="Supercritical",L477,IF(V32="Subcritical",W477,IF(AND(V477=1,AG477=1),IF(T477&gt;=AE477,L477,W477),IF(V477=1,L477,IF(AG477=1,W477,MAX($D$16,POWER((ABS(K477)^2)/($I$5*MAX(F477,0.1)^2),1/3)))))))</f>
        <v>2.1403668656741068</v>
      </c>
      <c r="AI477">
        <f t="shared" ca="1" si="246"/>
        <v>634.53886686567409</v>
      </c>
      <c r="AJ477">
        <f t="shared" ca="1" si="247"/>
        <v>635.60905029851119</v>
      </c>
      <c r="AM477">
        <v>0</v>
      </c>
      <c r="AN477">
        <v>0</v>
      </c>
      <c r="AO477">
        <f t="shared" si="248"/>
        <v>0</v>
      </c>
      <c r="AP477">
        <f t="shared" si="257"/>
        <v>0</v>
      </c>
      <c r="AQ477">
        <f t="shared" ca="1" si="249"/>
        <v>0.99999999999999978</v>
      </c>
      <c r="AR477" t="str">
        <f t="shared" ca="1" si="250"/>
        <v>Supercritical</v>
      </c>
      <c r="AS477">
        <f t="shared" ca="1" si="251"/>
        <v>3.8148159832266538E-3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191</v>
      </c>
      <c r="I478">
        <v>0</v>
      </c>
      <c r="J478">
        <f t="shared" si="252"/>
        <v>0.9989999999999668</v>
      </c>
      <c r="K478">
        <f t="shared" si="253"/>
        <v>51</v>
      </c>
      <c r="L478">
        <f t="shared" ca="1" si="254"/>
        <v>0.05</v>
      </c>
      <c r="M478">
        <f t="shared" ca="1" si="227"/>
        <v>0.26</v>
      </c>
      <c r="N478">
        <f t="shared" ca="1" si="228"/>
        <v>4.9056603773584909E-2</v>
      </c>
      <c r="O478">
        <f t="shared" ca="1" si="229"/>
        <v>196.15384615384616</v>
      </c>
      <c r="P478">
        <f t="shared" ca="1" si="230"/>
        <v>632.44799999999998</v>
      </c>
      <c r="Q478">
        <f t="shared" ca="1" si="231"/>
        <v>2593.5250316486622</v>
      </c>
      <c r="R478">
        <f t="shared" ca="1" si="232"/>
        <v>482.07306851378365</v>
      </c>
      <c r="S478">
        <f t="shared" ca="1" si="233"/>
        <v>280.07692026646265</v>
      </c>
      <c r="T478">
        <f t="shared" ca="1" si="234"/>
        <v>1019.7665564573041</v>
      </c>
      <c r="U478">
        <f t="shared" ca="1" si="255"/>
        <v>-481.59049544525396</v>
      </c>
      <c r="V478">
        <f t="shared" ca="1" si="256"/>
        <v>0</v>
      </c>
      <c r="W478">
        <f t="shared" ca="1" si="235"/>
        <v>0.05</v>
      </c>
      <c r="X478">
        <f t="shared" ca="1" si="236"/>
        <v>0.26</v>
      </c>
      <c r="Y478">
        <f t="shared" ca="1" si="237"/>
        <v>4.9056603773584909E-2</v>
      </c>
      <c r="Z478">
        <f t="shared" ca="1" si="238"/>
        <v>196.15384615384616</v>
      </c>
      <c r="AA478">
        <f t="shared" ca="1" si="239"/>
        <v>632.44799999999998</v>
      </c>
      <c r="AB478">
        <f t="shared" ca="1" si="240"/>
        <v>2593.5250316486622</v>
      </c>
      <c r="AC478">
        <f t="shared" ca="1" si="241"/>
        <v>482.07306851378365</v>
      </c>
      <c r="AD478">
        <f t="shared" ca="1" si="242"/>
        <v>280.07692026646265</v>
      </c>
      <c r="AE478">
        <f t="shared" ca="1" si="243"/>
        <v>1019.7665564573041</v>
      </c>
      <c r="AF478">
        <f t="shared" ca="1" si="244"/>
        <v>482.1477431333301</v>
      </c>
      <c r="AG478">
        <f t="shared" ca="1" si="245"/>
        <v>0</v>
      </c>
      <c r="AH478">
        <f ca="1">IF(V32="Supercritical",L478,IF(V32="Subcritical",W478,IF(AND(V478=1,AG478=1),IF(T478&gt;=AE478,L478,W478),IF(V478=1,L478,IF(AG478=1,W478,MAX($D$16,POWER((ABS(K478)^2)/($I$5*MAX(F478,0.1)^2),1/3)))))))</f>
        <v>2.1403668656741068</v>
      </c>
      <c r="AI478">
        <f t="shared" ca="1" si="246"/>
        <v>634.53836686567411</v>
      </c>
      <c r="AJ478">
        <f t="shared" ca="1" si="247"/>
        <v>635.6085502985112</v>
      </c>
      <c r="AM478">
        <v>0</v>
      </c>
      <c r="AN478">
        <v>0</v>
      </c>
      <c r="AO478">
        <f t="shared" si="248"/>
        <v>0</v>
      </c>
      <c r="AP478">
        <f t="shared" si="257"/>
        <v>0</v>
      </c>
      <c r="AQ478">
        <f t="shared" ca="1" si="249"/>
        <v>0.99999999999999978</v>
      </c>
      <c r="AR478" t="str">
        <f t="shared" ca="1" si="250"/>
        <v>Supercritical</v>
      </c>
      <c r="AS478">
        <f t="shared" ca="1" si="251"/>
        <v>3.8148159832266538E-3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191</v>
      </c>
      <c r="I479">
        <v>2.3E-2</v>
      </c>
      <c r="J479">
        <f t="shared" si="252"/>
        <v>1</v>
      </c>
      <c r="K479">
        <f t="shared" si="253"/>
        <v>51</v>
      </c>
      <c r="L479">
        <f t="shared" ca="1" si="254"/>
        <v>0.05</v>
      </c>
      <c r="M479">
        <f t="shared" ca="1" si="227"/>
        <v>0.26</v>
      </c>
      <c r="N479">
        <f t="shared" ca="1" si="228"/>
        <v>4.9056603773584909E-2</v>
      </c>
      <c r="O479">
        <f t="shared" ca="1" si="229"/>
        <v>196.15384615384616</v>
      </c>
      <c r="P479">
        <f t="shared" ca="1" si="230"/>
        <v>632.44749999999999</v>
      </c>
      <c r="Q479">
        <f t="shared" ca="1" si="231"/>
        <v>2593.5245316486621</v>
      </c>
      <c r="R479">
        <f t="shared" ca="1" si="232"/>
        <v>482.07306851378365</v>
      </c>
      <c r="S479">
        <f t="shared" ca="1" si="233"/>
        <v>280.07692026646265</v>
      </c>
      <c r="T479">
        <f t="shared" ca="1" si="234"/>
        <v>1019.7665564573041</v>
      </c>
      <c r="U479">
        <f t="shared" ca="1" si="255"/>
        <v>-482.1477431333301</v>
      </c>
      <c r="V479">
        <f t="shared" ca="1" si="256"/>
        <v>0</v>
      </c>
      <c r="W479">
        <f t="shared" ca="1" si="235"/>
        <v>0.05</v>
      </c>
      <c r="X479">
        <f t="shared" ca="1" si="236"/>
        <v>0.26</v>
      </c>
      <c r="Y479">
        <f t="shared" ca="1" si="237"/>
        <v>4.9056603773584909E-2</v>
      </c>
      <c r="Z479">
        <f t="shared" ca="1" si="238"/>
        <v>196.15384615384616</v>
      </c>
      <c r="AA479">
        <f t="shared" ca="1" si="239"/>
        <v>632.44749999999999</v>
      </c>
      <c r="AB479">
        <f t="shared" ca="1" si="240"/>
        <v>2593.5245316486621</v>
      </c>
      <c r="AC479">
        <f t="shared" ca="1" si="241"/>
        <v>482.07306851378365</v>
      </c>
      <c r="AD479">
        <f t="shared" ca="1" si="242"/>
        <v>280.07692026646265</v>
      </c>
      <c r="AE479">
        <f t="shared" ca="1" si="243"/>
        <v>1019.7665564573041</v>
      </c>
      <c r="AF479">
        <f t="shared" ca="1" si="244"/>
        <v>482.62981620185974</v>
      </c>
      <c r="AG479">
        <f t="shared" ca="1" si="245"/>
        <v>0</v>
      </c>
      <c r="AH479">
        <f ca="1">IF(V32="Supercritical",L479,IF(V32="Subcritical",W479,IF(AND(V479=1,AG479=1),IF(T479&gt;=AE479,L479,W479),IF(V479=1,L479,IF(AG479=1,W479,MAX($D$16,POWER((ABS(K479)^2)/($I$5*MAX(F479,0.1)^2),1/3)))))))</f>
        <v>2.1403668656741068</v>
      </c>
      <c r="AI479">
        <f t="shared" ca="1" si="246"/>
        <v>634.53786686567412</v>
      </c>
      <c r="AJ479">
        <f t="shared" ca="1" si="247"/>
        <v>635.60805029851122</v>
      </c>
      <c r="AM479">
        <v>0</v>
      </c>
      <c r="AN479">
        <v>0</v>
      </c>
      <c r="AO479">
        <f t="shared" si="248"/>
        <v>0</v>
      </c>
      <c r="AP479">
        <f t="shared" si="257"/>
        <v>0</v>
      </c>
      <c r="AQ479">
        <f t="shared" ca="1" si="249"/>
        <v>0.99999999999999978</v>
      </c>
      <c r="AR479" t="str">
        <f t="shared" ca="1" si="250"/>
        <v>Supercritical</v>
      </c>
      <c r="AS479">
        <f t="shared" ca="1" si="251"/>
        <v>3.8148159832266538E-3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191</v>
      </c>
      <c r="I480">
        <v>2.3E-2</v>
      </c>
      <c r="J480">
        <f t="shared" si="252"/>
        <v>1.0010000000000332</v>
      </c>
      <c r="K480">
        <f t="shared" si="253"/>
        <v>51</v>
      </c>
      <c r="L480">
        <f t="shared" ca="1" si="254"/>
        <v>0.05</v>
      </c>
      <c r="M480">
        <f t="shared" ca="1" si="227"/>
        <v>0.26</v>
      </c>
      <c r="N480">
        <f t="shared" ca="1" si="228"/>
        <v>4.9056603773584909E-2</v>
      </c>
      <c r="O480">
        <f t="shared" ca="1" si="229"/>
        <v>196.15384615384616</v>
      </c>
      <c r="P480">
        <f t="shared" ca="1" si="230"/>
        <v>632.447</v>
      </c>
      <c r="Q480">
        <f t="shared" ca="1" si="231"/>
        <v>2593.524031648662</v>
      </c>
      <c r="R480">
        <f t="shared" ca="1" si="232"/>
        <v>482.07306851378365</v>
      </c>
      <c r="S480">
        <f t="shared" ca="1" si="233"/>
        <v>280.07692026646265</v>
      </c>
      <c r="T480">
        <f t="shared" ca="1" si="234"/>
        <v>1019.7665564573041</v>
      </c>
      <c r="U480">
        <f t="shared" ca="1" si="255"/>
        <v>-482.62981620185974</v>
      </c>
      <c r="V480">
        <f t="shared" ca="1" si="256"/>
        <v>0</v>
      </c>
      <c r="W480">
        <f t="shared" ca="1" si="235"/>
        <v>0.05</v>
      </c>
      <c r="X480">
        <f t="shared" ca="1" si="236"/>
        <v>0.26</v>
      </c>
      <c r="Y480">
        <f t="shared" ca="1" si="237"/>
        <v>4.9056603773584909E-2</v>
      </c>
      <c r="Z480">
        <f t="shared" ca="1" si="238"/>
        <v>196.15384615384616</v>
      </c>
      <c r="AA480">
        <f t="shared" ca="1" si="239"/>
        <v>632.447</v>
      </c>
      <c r="AB480">
        <f t="shared" ca="1" si="240"/>
        <v>2593.524031648662</v>
      </c>
      <c r="AC480">
        <f t="shared" ca="1" si="241"/>
        <v>482.07306851378365</v>
      </c>
      <c r="AD480">
        <f t="shared" ca="1" si="242"/>
        <v>280.07692026646265</v>
      </c>
      <c r="AE480">
        <f t="shared" ca="1" si="243"/>
        <v>1019.7665564573041</v>
      </c>
      <c r="AF480">
        <f t="shared" ca="1" si="244"/>
        <v>481.67874391167834</v>
      </c>
      <c r="AG480">
        <f t="shared" ca="1" si="245"/>
        <v>0</v>
      </c>
      <c r="AH480">
        <f ca="1">IF(V32="Supercritical",L480,IF(V32="Subcritical",W480,IF(AND(V480=1,AG480=1),IF(T480&gt;=AE480,L480,W480),IF(V480=1,L480,IF(AG480=1,W480,MAX($D$16,POWER((ABS(K480)^2)/($I$5*MAX(F480,0.1)^2),1/3)))))))</f>
        <v>2.1403668656741068</v>
      </c>
      <c r="AI480">
        <f t="shared" ca="1" si="246"/>
        <v>634.53736686567413</v>
      </c>
      <c r="AJ480">
        <f t="shared" ca="1" si="247"/>
        <v>635.60755029851123</v>
      </c>
      <c r="AM480">
        <v>0</v>
      </c>
      <c r="AN480">
        <v>0</v>
      </c>
      <c r="AO480">
        <f t="shared" si="248"/>
        <v>0</v>
      </c>
      <c r="AP480">
        <f t="shared" si="257"/>
        <v>0</v>
      </c>
      <c r="AQ480">
        <f t="shared" ca="1" si="249"/>
        <v>0.99999999999999978</v>
      </c>
      <c r="AR480" t="str">
        <f t="shared" ca="1" si="250"/>
        <v>Supercritical</v>
      </c>
      <c r="AS480">
        <f t="shared" ca="1" si="251"/>
        <v>3.8148159832266538E-3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191</v>
      </c>
      <c r="I481">
        <v>2.7E-2</v>
      </c>
      <c r="J481">
        <f t="shared" si="252"/>
        <v>0.9989999999999668</v>
      </c>
      <c r="K481">
        <f t="shared" si="253"/>
        <v>51</v>
      </c>
      <c r="L481">
        <f t="shared" ca="1" si="254"/>
        <v>0.05</v>
      </c>
      <c r="M481">
        <f t="shared" ca="1" si="227"/>
        <v>0.26</v>
      </c>
      <c r="N481">
        <f t="shared" ca="1" si="228"/>
        <v>4.9056603773584909E-2</v>
      </c>
      <c r="O481">
        <f t="shared" ca="1" si="229"/>
        <v>196.15384615384616</v>
      </c>
      <c r="P481">
        <f t="shared" ca="1" si="230"/>
        <v>632.4464999999999</v>
      </c>
      <c r="Q481">
        <f t="shared" ca="1" si="231"/>
        <v>2593.5235316486619</v>
      </c>
      <c r="R481">
        <f t="shared" ca="1" si="232"/>
        <v>482.07306851378365</v>
      </c>
      <c r="S481">
        <f t="shared" ca="1" si="233"/>
        <v>280.07692026646265</v>
      </c>
      <c r="T481">
        <f t="shared" ca="1" si="234"/>
        <v>1019.7665564573041</v>
      </c>
      <c r="U481">
        <f t="shared" ca="1" si="255"/>
        <v>-481.67874391167834</v>
      </c>
      <c r="V481">
        <f t="shared" ca="1" si="256"/>
        <v>0</v>
      </c>
      <c r="W481">
        <f t="shared" ca="1" si="235"/>
        <v>0.05</v>
      </c>
      <c r="X481">
        <f t="shared" ca="1" si="236"/>
        <v>0.26</v>
      </c>
      <c r="Y481">
        <f t="shared" ca="1" si="237"/>
        <v>4.9056603773584909E-2</v>
      </c>
      <c r="Z481">
        <f t="shared" ca="1" si="238"/>
        <v>196.15384615384616</v>
      </c>
      <c r="AA481">
        <f t="shared" ca="1" si="239"/>
        <v>632.4464999999999</v>
      </c>
      <c r="AB481">
        <f t="shared" ca="1" si="240"/>
        <v>2593.5235316486619</v>
      </c>
      <c r="AC481">
        <f t="shared" ca="1" si="241"/>
        <v>482.07306851378365</v>
      </c>
      <c r="AD481">
        <f t="shared" ca="1" si="242"/>
        <v>280.07692026646265</v>
      </c>
      <c r="AE481">
        <f t="shared" ca="1" si="243"/>
        <v>1019.7665564573041</v>
      </c>
      <c r="AF481">
        <f t="shared" ca="1" si="244"/>
        <v>482.64289004873808</v>
      </c>
      <c r="AG481">
        <f t="shared" ca="1" si="245"/>
        <v>0</v>
      </c>
      <c r="AH481">
        <f ca="1">IF(V32="Supercritical",L481,IF(V32="Subcritical",W481,IF(AND(V481=1,AG481=1),IF(T481&gt;=AE481,L481,W481),IF(V481=1,L481,IF(AG481=1,W481,MAX($D$16,POWER((ABS(K481)^2)/($I$5*MAX(F481,0.1)^2),1/3)))))))</f>
        <v>2.1403668656741068</v>
      </c>
      <c r="AI481">
        <f t="shared" ca="1" si="246"/>
        <v>634.53686686567403</v>
      </c>
      <c r="AJ481">
        <f t="shared" ca="1" si="247"/>
        <v>635.60705029851113</v>
      </c>
      <c r="AM481">
        <v>0</v>
      </c>
      <c r="AN481">
        <v>0</v>
      </c>
      <c r="AO481">
        <f t="shared" si="248"/>
        <v>0</v>
      </c>
      <c r="AP481">
        <f t="shared" si="257"/>
        <v>0</v>
      </c>
      <c r="AQ481">
        <f t="shared" ca="1" si="249"/>
        <v>0.99999999999999978</v>
      </c>
      <c r="AR481" t="str">
        <f t="shared" ca="1" si="250"/>
        <v>Supercritical</v>
      </c>
      <c r="AS481">
        <f t="shared" ca="1" si="251"/>
        <v>3.8148159832266538E-3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191</v>
      </c>
      <c r="I482">
        <v>2.7E-2</v>
      </c>
      <c r="J482">
        <f t="shared" si="252"/>
        <v>1.0010000000000332</v>
      </c>
      <c r="K482">
        <f t="shared" si="253"/>
        <v>51</v>
      </c>
      <c r="L482">
        <f t="shared" ca="1" si="254"/>
        <v>0.05</v>
      </c>
      <c r="M482">
        <f t="shared" ca="1" si="227"/>
        <v>0.26</v>
      </c>
      <c r="N482">
        <f t="shared" ca="1" si="228"/>
        <v>4.9056603773584909E-2</v>
      </c>
      <c r="O482">
        <f t="shared" ca="1" si="229"/>
        <v>196.15384615384616</v>
      </c>
      <c r="P482">
        <f t="shared" ca="1" si="230"/>
        <v>632.44599999999991</v>
      </c>
      <c r="Q482">
        <f t="shared" ca="1" si="231"/>
        <v>2593.5230316486623</v>
      </c>
      <c r="R482">
        <f t="shared" ca="1" si="232"/>
        <v>482.07306851378365</v>
      </c>
      <c r="S482">
        <f t="shared" ca="1" si="233"/>
        <v>280.07692026646265</v>
      </c>
      <c r="T482">
        <f t="shared" ca="1" si="234"/>
        <v>1019.7665564573041</v>
      </c>
      <c r="U482">
        <f t="shared" ca="1" si="255"/>
        <v>-482.64289004873808</v>
      </c>
      <c r="V482">
        <f t="shared" ca="1" si="256"/>
        <v>0</v>
      </c>
      <c r="W482">
        <f t="shared" ca="1" si="235"/>
        <v>0.05</v>
      </c>
      <c r="X482">
        <f t="shared" ca="1" si="236"/>
        <v>0.26</v>
      </c>
      <c r="Y482">
        <f t="shared" ca="1" si="237"/>
        <v>4.9056603773584909E-2</v>
      </c>
      <c r="Z482">
        <f t="shared" ca="1" si="238"/>
        <v>196.15384615384616</v>
      </c>
      <c r="AA482">
        <f t="shared" ca="1" si="239"/>
        <v>632.44599999999991</v>
      </c>
      <c r="AB482">
        <f t="shared" ca="1" si="240"/>
        <v>2593.5230316486623</v>
      </c>
      <c r="AC482">
        <f t="shared" ca="1" si="241"/>
        <v>482.07306851378365</v>
      </c>
      <c r="AD482">
        <f t="shared" ca="1" si="242"/>
        <v>280.07692026646265</v>
      </c>
      <c r="AE482">
        <f t="shared" ca="1" si="243"/>
        <v>1019.7665564573041</v>
      </c>
      <c r="AF482">
        <f t="shared" ca="1" si="244"/>
        <v>481.75391853122437</v>
      </c>
      <c r="AG482">
        <f t="shared" ca="1" si="245"/>
        <v>0</v>
      </c>
      <c r="AH482">
        <f ca="1">IF(V32="Supercritical",L482,IF(V32="Subcritical",W482,IF(AND(V482=1,AG482=1),IF(T482&gt;=AE482,L482,W482),IF(V482=1,L482,IF(AG482=1,W482,MAX($D$16,POWER((ABS(K482)^2)/($I$5*MAX(F482,0.1)^2),1/3)))))))</f>
        <v>2.1403668656741068</v>
      </c>
      <c r="AI482">
        <f t="shared" ca="1" si="246"/>
        <v>634.53636686567404</v>
      </c>
      <c r="AJ482">
        <f t="shared" ca="1" si="247"/>
        <v>635.60655029851114</v>
      </c>
      <c r="AM482">
        <v>0</v>
      </c>
      <c r="AN482">
        <v>0</v>
      </c>
      <c r="AO482">
        <f t="shared" si="248"/>
        <v>0</v>
      </c>
      <c r="AP482">
        <f t="shared" si="257"/>
        <v>0</v>
      </c>
      <c r="AQ482">
        <f t="shared" ca="1" si="249"/>
        <v>0.99999999999999978</v>
      </c>
      <c r="AR482" t="str">
        <f t="shared" ca="1" si="250"/>
        <v>Supercritical</v>
      </c>
      <c r="AS482">
        <f t="shared" ca="1" si="251"/>
        <v>3.8148159832266538E-3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191</v>
      </c>
      <c r="I483">
        <v>0.05</v>
      </c>
      <c r="J483">
        <f t="shared" si="252"/>
        <v>0.9989999999999668</v>
      </c>
      <c r="K483">
        <f t="shared" si="253"/>
        <v>51</v>
      </c>
      <c r="L483">
        <f t="shared" ca="1" si="254"/>
        <v>0.05</v>
      </c>
      <c r="M483">
        <f t="shared" ca="1" si="227"/>
        <v>0.26</v>
      </c>
      <c r="N483">
        <f t="shared" ca="1" si="228"/>
        <v>4.9056603773584909E-2</v>
      </c>
      <c r="O483">
        <f t="shared" ca="1" si="229"/>
        <v>196.15384615384616</v>
      </c>
      <c r="P483">
        <f t="shared" ca="1" si="230"/>
        <v>632.44549999999992</v>
      </c>
      <c r="Q483">
        <f t="shared" ca="1" si="231"/>
        <v>2593.5225316486622</v>
      </c>
      <c r="R483">
        <f t="shared" ca="1" si="232"/>
        <v>482.07306851378365</v>
      </c>
      <c r="S483">
        <f t="shared" ca="1" si="233"/>
        <v>280.07692026646265</v>
      </c>
      <c r="T483">
        <f t="shared" ca="1" si="234"/>
        <v>1019.7665564573041</v>
      </c>
      <c r="U483">
        <f t="shared" ca="1" si="255"/>
        <v>-481.75391853122437</v>
      </c>
      <c r="V483">
        <f t="shared" ca="1" si="256"/>
        <v>0</v>
      </c>
      <c r="W483">
        <f t="shared" ca="1" si="235"/>
        <v>0.05</v>
      </c>
      <c r="X483">
        <f t="shared" ca="1" si="236"/>
        <v>0.26</v>
      </c>
      <c r="Y483">
        <f t="shared" ca="1" si="237"/>
        <v>4.9056603773584909E-2</v>
      </c>
      <c r="Z483">
        <f t="shared" ca="1" si="238"/>
        <v>196.15384615384616</v>
      </c>
      <c r="AA483">
        <f t="shared" ca="1" si="239"/>
        <v>632.44549999999992</v>
      </c>
      <c r="AB483">
        <f t="shared" ca="1" si="240"/>
        <v>2593.5225316486622</v>
      </c>
      <c r="AC483">
        <f t="shared" ca="1" si="241"/>
        <v>482.07306851378365</v>
      </c>
      <c r="AD483">
        <f t="shared" ca="1" si="242"/>
        <v>280.07692026646265</v>
      </c>
      <c r="AE483">
        <f t="shared" ca="1" si="243"/>
        <v>1019.7665564573041</v>
      </c>
      <c r="AF483">
        <f t="shared" ca="1" si="244"/>
        <v>482.32750852789786</v>
      </c>
      <c r="AG483">
        <f t="shared" ca="1" si="245"/>
        <v>0</v>
      </c>
      <c r="AH483">
        <f ca="1">IF(V32="Supercritical",L483,IF(V32="Subcritical",W483,IF(AND(V483=1,AG483=1),IF(T483&gt;=AE483,L483,W483),IF(V483=1,L483,IF(AG483=1,W483,MAX($D$16,POWER((ABS(K483)^2)/($I$5*MAX(F483,0.1)^2),1/3)))))))</f>
        <v>2.1403668656741068</v>
      </c>
      <c r="AI483">
        <f t="shared" ca="1" si="246"/>
        <v>634.53586686567405</v>
      </c>
      <c r="AJ483">
        <f t="shared" ca="1" si="247"/>
        <v>635.60605029851115</v>
      </c>
      <c r="AM483">
        <v>0</v>
      </c>
      <c r="AN483">
        <v>0</v>
      </c>
      <c r="AO483">
        <f t="shared" si="248"/>
        <v>0</v>
      </c>
      <c r="AP483">
        <f t="shared" si="257"/>
        <v>0</v>
      </c>
      <c r="AQ483">
        <f t="shared" ca="1" si="249"/>
        <v>0.99999999999999978</v>
      </c>
      <c r="AR483" t="str">
        <f t="shared" ca="1" si="250"/>
        <v>Supercritical</v>
      </c>
      <c r="AS483">
        <f t="shared" ca="1" si="251"/>
        <v>3.8148159832266538E-3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191</v>
      </c>
      <c r="I484">
        <v>7.8E-2</v>
      </c>
      <c r="J484">
        <f t="shared" si="252"/>
        <v>1</v>
      </c>
      <c r="K484">
        <f t="shared" si="253"/>
        <v>51</v>
      </c>
      <c r="L484">
        <f t="shared" ca="1" si="254"/>
        <v>0.05</v>
      </c>
      <c r="M484">
        <f t="shared" ca="1" si="227"/>
        <v>0.26</v>
      </c>
      <c r="N484">
        <f t="shared" ca="1" si="228"/>
        <v>4.9056603773584909E-2</v>
      </c>
      <c r="O484">
        <f t="shared" ca="1" si="229"/>
        <v>196.15384615384616</v>
      </c>
      <c r="P484">
        <f t="shared" ca="1" si="230"/>
        <v>632.44499999999994</v>
      </c>
      <c r="Q484">
        <f t="shared" ca="1" si="231"/>
        <v>2593.5220316486621</v>
      </c>
      <c r="R484">
        <f t="shared" ca="1" si="232"/>
        <v>482.07306851378365</v>
      </c>
      <c r="S484">
        <f t="shared" ca="1" si="233"/>
        <v>280.07692026646265</v>
      </c>
      <c r="T484">
        <f t="shared" ca="1" si="234"/>
        <v>1019.7665564573041</v>
      </c>
      <c r="U484">
        <f t="shared" ca="1" si="255"/>
        <v>-482.32750852789786</v>
      </c>
      <c r="V484">
        <f t="shared" ca="1" si="256"/>
        <v>0</v>
      </c>
      <c r="W484">
        <f t="shared" ca="1" si="235"/>
        <v>0.05</v>
      </c>
      <c r="X484">
        <f t="shared" ca="1" si="236"/>
        <v>0.26</v>
      </c>
      <c r="Y484">
        <f t="shared" ca="1" si="237"/>
        <v>4.9056603773584909E-2</v>
      </c>
      <c r="Z484">
        <f t="shared" ca="1" si="238"/>
        <v>196.15384615384616</v>
      </c>
      <c r="AA484">
        <f t="shared" ca="1" si="239"/>
        <v>632.44499999999994</v>
      </c>
      <c r="AB484">
        <f t="shared" ca="1" si="240"/>
        <v>2593.5220316486621</v>
      </c>
      <c r="AC484">
        <f t="shared" ca="1" si="241"/>
        <v>482.07306851378365</v>
      </c>
      <c r="AD484">
        <f t="shared" ca="1" si="242"/>
        <v>280.07692026646265</v>
      </c>
      <c r="AE484">
        <f t="shared" ca="1" si="243"/>
        <v>1019.7665564573041</v>
      </c>
      <c r="AF484">
        <f t="shared" ca="1" si="244"/>
        <v>482.64289004873763</v>
      </c>
      <c r="AG484">
        <f t="shared" ca="1" si="245"/>
        <v>0</v>
      </c>
      <c r="AH484">
        <f ca="1">IF(V32="Supercritical",L484,IF(V32="Subcritical",W484,IF(AND(V484=1,AG484=1),IF(T484&gt;=AE484,L484,W484),IF(V484=1,L484,IF(AG484=1,W484,MAX($D$16,POWER((ABS(K484)^2)/($I$5*MAX(F484,0.1)^2),1/3)))))))</f>
        <v>2.1403668656741068</v>
      </c>
      <c r="AI484">
        <f t="shared" ca="1" si="246"/>
        <v>634.53536686567406</v>
      </c>
      <c r="AJ484">
        <f t="shared" ca="1" si="247"/>
        <v>635.60555029851116</v>
      </c>
      <c r="AM484">
        <v>0</v>
      </c>
      <c r="AN484">
        <v>0</v>
      </c>
      <c r="AO484">
        <f t="shared" si="248"/>
        <v>0</v>
      </c>
      <c r="AP484">
        <f t="shared" si="257"/>
        <v>0</v>
      </c>
      <c r="AQ484">
        <f t="shared" ca="1" si="249"/>
        <v>0.99999999999999978</v>
      </c>
      <c r="AR484" t="str">
        <f t="shared" ca="1" si="250"/>
        <v>Supercritical</v>
      </c>
      <c r="AS484">
        <f t="shared" ca="1" si="251"/>
        <v>3.8148159832266538E-3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191</v>
      </c>
      <c r="I485">
        <v>2.7E-2</v>
      </c>
      <c r="J485">
        <f t="shared" si="252"/>
        <v>1.0010000000000332</v>
      </c>
      <c r="K485">
        <f t="shared" si="253"/>
        <v>51</v>
      </c>
      <c r="L485">
        <f t="shared" ca="1" si="254"/>
        <v>0.05</v>
      </c>
      <c r="M485">
        <f t="shared" ca="1" si="227"/>
        <v>0.26</v>
      </c>
      <c r="N485">
        <f t="shared" ca="1" si="228"/>
        <v>4.9056603773584909E-2</v>
      </c>
      <c r="O485">
        <f t="shared" ca="1" si="229"/>
        <v>196.15384615384616</v>
      </c>
      <c r="P485">
        <f t="shared" ca="1" si="230"/>
        <v>632.44449999999995</v>
      </c>
      <c r="Q485">
        <f t="shared" ca="1" si="231"/>
        <v>2593.5215316486619</v>
      </c>
      <c r="R485">
        <f t="shared" ca="1" si="232"/>
        <v>482.07306851378365</v>
      </c>
      <c r="S485">
        <f t="shared" ca="1" si="233"/>
        <v>280.07692026646265</v>
      </c>
      <c r="T485">
        <f t="shared" ca="1" si="234"/>
        <v>1019.7665564573041</v>
      </c>
      <c r="U485">
        <f t="shared" ca="1" si="255"/>
        <v>-482.64289004873763</v>
      </c>
      <c r="V485">
        <f t="shared" ca="1" si="256"/>
        <v>0</v>
      </c>
      <c r="W485">
        <f t="shared" ca="1" si="235"/>
        <v>0.05</v>
      </c>
      <c r="X485">
        <f t="shared" ca="1" si="236"/>
        <v>0.26</v>
      </c>
      <c r="Y485">
        <f t="shared" ca="1" si="237"/>
        <v>4.9056603773584909E-2</v>
      </c>
      <c r="Z485">
        <f t="shared" ca="1" si="238"/>
        <v>196.15384615384616</v>
      </c>
      <c r="AA485">
        <f t="shared" ca="1" si="239"/>
        <v>632.44449999999995</v>
      </c>
      <c r="AB485">
        <f t="shared" ca="1" si="240"/>
        <v>2593.5215316486619</v>
      </c>
      <c r="AC485">
        <f t="shared" ca="1" si="241"/>
        <v>482.07306851378365</v>
      </c>
      <c r="AD485">
        <f t="shared" ca="1" si="242"/>
        <v>280.07692026646265</v>
      </c>
      <c r="AE485">
        <f t="shared" ca="1" si="243"/>
        <v>1019.7665564573041</v>
      </c>
      <c r="AF485">
        <f t="shared" ca="1" si="244"/>
        <v>481.67874391167788</v>
      </c>
      <c r="AG485">
        <f t="shared" ca="1" si="245"/>
        <v>0</v>
      </c>
      <c r="AH485">
        <f ca="1">IF(V32="Supercritical",L485,IF(V32="Subcritical",W485,IF(AND(V485=1,AG485=1),IF(T485&gt;=AE485,L485,W485),IF(V485=1,L485,IF(AG485=1,W485,MAX($D$16,POWER((ABS(K485)^2)/($I$5*MAX(F485,0.1)^2),1/3)))))))</f>
        <v>2.1403668656741068</v>
      </c>
      <c r="AI485">
        <f t="shared" ca="1" si="246"/>
        <v>634.53486686567408</v>
      </c>
      <c r="AJ485">
        <f t="shared" ca="1" si="247"/>
        <v>635.60505029851117</v>
      </c>
      <c r="AM485">
        <v>0</v>
      </c>
      <c r="AN485">
        <v>0</v>
      </c>
      <c r="AO485">
        <f t="shared" si="248"/>
        <v>0</v>
      </c>
      <c r="AP485">
        <f t="shared" si="257"/>
        <v>0</v>
      </c>
      <c r="AQ485">
        <f t="shared" ca="1" si="249"/>
        <v>0.99999999999999978</v>
      </c>
      <c r="AR485" t="str">
        <f t="shared" ca="1" si="250"/>
        <v>Supercritical</v>
      </c>
      <c r="AS485">
        <f t="shared" ca="1" si="251"/>
        <v>3.8148159832266538E-3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191</v>
      </c>
      <c r="I486">
        <v>2.7E-2</v>
      </c>
      <c r="J486">
        <f t="shared" si="252"/>
        <v>0.9989999999999668</v>
      </c>
      <c r="K486">
        <f t="shared" si="253"/>
        <v>51</v>
      </c>
      <c r="L486">
        <f t="shared" ca="1" si="254"/>
        <v>0.05</v>
      </c>
      <c r="M486">
        <f t="shared" ca="1" si="227"/>
        <v>0.26</v>
      </c>
      <c r="N486">
        <f t="shared" ca="1" si="228"/>
        <v>4.9056603773584909E-2</v>
      </c>
      <c r="O486">
        <f t="shared" ca="1" si="229"/>
        <v>196.15384615384616</v>
      </c>
      <c r="P486">
        <f t="shared" ca="1" si="230"/>
        <v>632.44399999999996</v>
      </c>
      <c r="Q486">
        <f t="shared" ca="1" si="231"/>
        <v>2593.5210316486618</v>
      </c>
      <c r="R486">
        <f t="shared" ca="1" si="232"/>
        <v>482.07306851378365</v>
      </c>
      <c r="S486">
        <f t="shared" ca="1" si="233"/>
        <v>280.07692026646265</v>
      </c>
      <c r="T486">
        <f t="shared" ca="1" si="234"/>
        <v>1019.7665564573041</v>
      </c>
      <c r="U486">
        <f t="shared" ca="1" si="255"/>
        <v>-481.67874391167788</v>
      </c>
      <c r="V486">
        <f t="shared" ca="1" si="256"/>
        <v>0</v>
      </c>
      <c r="W486">
        <f t="shared" ca="1" si="235"/>
        <v>0.05</v>
      </c>
      <c r="X486">
        <f t="shared" ca="1" si="236"/>
        <v>0.26</v>
      </c>
      <c r="Y486">
        <f t="shared" ca="1" si="237"/>
        <v>4.9056603773584909E-2</v>
      </c>
      <c r="Z486">
        <f t="shared" ca="1" si="238"/>
        <v>196.15384615384616</v>
      </c>
      <c r="AA486">
        <f t="shared" ca="1" si="239"/>
        <v>632.44399999999996</v>
      </c>
      <c r="AB486">
        <f t="shared" ca="1" si="240"/>
        <v>2593.5210316486618</v>
      </c>
      <c r="AC486">
        <f t="shared" ca="1" si="241"/>
        <v>482.07306851378365</v>
      </c>
      <c r="AD486">
        <f t="shared" ca="1" si="242"/>
        <v>280.07692026646265</v>
      </c>
      <c r="AE486">
        <f t="shared" ca="1" si="243"/>
        <v>1019.7665564573041</v>
      </c>
      <c r="AF486">
        <f t="shared" ca="1" si="244"/>
        <v>482.64289004873808</v>
      </c>
      <c r="AG486">
        <f t="shared" ca="1" si="245"/>
        <v>0</v>
      </c>
      <c r="AH486">
        <f ca="1">IF(V32="Supercritical",L486,IF(V32="Subcritical",W486,IF(AND(V486=1,AG486=1),IF(T486&gt;=AE486,L486,W486),IF(V486=1,L486,IF(AG486=1,W486,MAX($D$16,POWER((ABS(K486)^2)/($I$5*MAX(F486,0.1)^2),1/3)))))))</f>
        <v>2.1403668656741068</v>
      </c>
      <c r="AI486">
        <f t="shared" ca="1" si="246"/>
        <v>634.53436686567409</v>
      </c>
      <c r="AJ486">
        <f t="shared" ca="1" si="247"/>
        <v>635.60455029851119</v>
      </c>
      <c r="AM486">
        <v>0</v>
      </c>
      <c r="AN486">
        <v>0</v>
      </c>
      <c r="AO486">
        <f t="shared" si="248"/>
        <v>0</v>
      </c>
      <c r="AP486">
        <f t="shared" si="257"/>
        <v>0</v>
      </c>
      <c r="AQ486">
        <f t="shared" ca="1" si="249"/>
        <v>0.99999999999999978</v>
      </c>
      <c r="AR486" t="str">
        <f t="shared" ca="1" si="250"/>
        <v>Supercritical</v>
      </c>
      <c r="AS486">
        <f t="shared" ca="1" si="251"/>
        <v>3.8148159832266538E-3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191</v>
      </c>
      <c r="I487">
        <v>2.7E-2</v>
      </c>
      <c r="J487">
        <f t="shared" si="252"/>
        <v>1.0010000000000332</v>
      </c>
      <c r="K487">
        <f t="shared" si="253"/>
        <v>51</v>
      </c>
      <c r="L487">
        <f t="shared" ca="1" si="254"/>
        <v>0.05</v>
      </c>
      <c r="M487">
        <f t="shared" ca="1" si="227"/>
        <v>0.26</v>
      </c>
      <c r="N487">
        <f t="shared" ca="1" si="228"/>
        <v>4.9056603773584909E-2</v>
      </c>
      <c r="O487">
        <f t="shared" ca="1" si="229"/>
        <v>196.15384615384616</v>
      </c>
      <c r="P487">
        <f t="shared" ca="1" si="230"/>
        <v>632.44349999999997</v>
      </c>
      <c r="Q487">
        <f t="shared" ca="1" si="231"/>
        <v>2593.5205316486622</v>
      </c>
      <c r="R487">
        <f t="shared" ca="1" si="232"/>
        <v>482.07306851378365</v>
      </c>
      <c r="S487">
        <f t="shared" ca="1" si="233"/>
        <v>280.07692026646265</v>
      </c>
      <c r="T487">
        <f t="shared" ca="1" si="234"/>
        <v>1019.7665564573041</v>
      </c>
      <c r="U487">
        <f t="shared" ca="1" si="255"/>
        <v>-482.64289004873808</v>
      </c>
      <c r="V487">
        <f t="shared" ca="1" si="256"/>
        <v>0</v>
      </c>
      <c r="W487">
        <f t="shared" ca="1" si="235"/>
        <v>0.05</v>
      </c>
      <c r="X487">
        <f t="shared" ca="1" si="236"/>
        <v>0.26</v>
      </c>
      <c r="Y487">
        <f t="shared" ca="1" si="237"/>
        <v>4.9056603773584909E-2</v>
      </c>
      <c r="Z487">
        <f t="shared" ca="1" si="238"/>
        <v>196.15384615384616</v>
      </c>
      <c r="AA487">
        <f t="shared" ca="1" si="239"/>
        <v>632.44349999999997</v>
      </c>
      <c r="AB487">
        <f t="shared" ca="1" si="240"/>
        <v>2593.5205316486622</v>
      </c>
      <c r="AC487">
        <f t="shared" ca="1" si="241"/>
        <v>482.07306851378365</v>
      </c>
      <c r="AD487">
        <f t="shared" ca="1" si="242"/>
        <v>280.07692026646265</v>
      </c>
      <c r="AE487">
        <f t="shared" ca="1" si="243"/>
        <v>1019.7665564573041</v>
      </c>
      <c r="AF487">
        <f t="shared" ca="1" si="244"/>
        <v>481.75391853122483</v>
      </c>
      <c r="AG487">
        <f t="shared" ca="1" si="245"/>
        <v>0</v>
      </c>
      <c r="AH487">
        <f ca="1">IF(V32="Supercritical",L487,IF(V32="Subcritical",W487,IF(AND(V487=1,AG487=1),IF(T487&gt;=AE487,L487,W487),IF(V487=1,L487,IF(AG487=1,W487,MAX($D$16,POWER((ABS(K487)^2)/($I$5*MAX(F487,0.1)^2),1/3)))))))</f>
        <v>2.1403668656741068</v>
      </c>
      <c r="AI487">
        <f t="shared" ca="1" si="246"/>
        <v>634.5338668656741</v>
      </c>
      <c r="AJ487">
        <f t="shared" ca="1" si="247"/>
        <v>635.6040502985112</v>
      </c>
      <c r="AM487">
        <v>0</v>
      </c>
      <c r="AN487">
        <v>0</v>
      </c>
      <c r="AO487">
        <f t="shared" si="248"/>
        <v>0</v>
      </c>
      <c r="AP487">
        <f t="shared" si="257"/>
        <v>0</v>
      </c>
      <c r="AQ487">
        <f t="shared" ca="1" si="249"/>
        <v>0.99999999999999978</v>
      </c>
      <c r="AR487" t="str">
        <f t="shared" ca="1" si="250"/>
        <v>Supercritical</v>
      </c>
      <c r="AS487">
        <f t="shared" ca="1" si="251"/>
        <v>3.8148159832266538E-3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191</v>
      </c>
      <c r="I488">
        <v>0.05</v>
      </c>
      <c r="J488">
        <f t="shared" si="252"/>
        <v>0.9989999999999668</v>
      </c>
      <c r="K488">
        <f t="shared" si="253"/>
        <v>51</v>
      </c>
      <c r="L488">
        <f t="shared" ca="1" si="254"/>
        <v>0.05</v>
      </c>
      <c r="M488">
        <f t="shared" ca="1" si="227"/>
        <v>0.26</v>
      </c>
      <c r="N488">
        <f t="shared" ca="1" si="228"/>
        <v>4.9056603773584909E-2</v>
      </c>
      <c r="O488">
        <f t="shared" ca="1" si="229"/>
        <v>196.15384615384616</v>
      </c>
      <c r="P488">
        <f t="shared" ca="1" si="230"/>
        <v>632.44299999999998</v>
      </c>
      <c r="Q488">
        <f t="shared" ca="1" si="231"/>
        <v>2593.5200316486621</v>
      </c>
      <c r="R488">
        <f t="shared" ca="1" si="232"/>
        <v>482.07306851378365</v>
      </c>
      <c r="S488">
        <f t="shared" ca="1" si="233"/>
        <v>280.07692026646265</v>
      </c>
      <c r="T488">
        <f t="shared" ca="1" si="234"/>
        <v>1019.7665564573041</v>
      </c>
      <c r="U488">
        <f t="shared" ca="1" si="255"/>
        <v>-481.75391853122483</v>
      </c>
      <c r="V488">
        <f t="shared" ca="1" si="256"/>
        <v>0</v>
      </c>
      <c r="W488">
        <f t="shared" ca="1" si="235"/>
        <v>0.05</v>
      </c>
      <c r="X488">
        <f t="shared" ca="1" si="236"/>
        <v>0.26</v>
      </c>
      <c r="Y488">
        <f t="shared" ca="1" si="237"/>
        <v>4.9056603773584909E-2</v>
      </c>
      <c r="Z488">
        <f t="shared" ca="1" si="238"/>
        <v>196.15384615384616</v>
      </c>
      <c r="AA488">
        <f t="shared" ca="1" si="239"/>
        <v>632.44299999999998</v>
      </c>
      <c r="AB488">
        <f t="shared" ca="1" si="240"/>
        <v>2593.5200316486621</v>
      </c>
      <c r="AC488">
        <f t="shared" ca="1" si="241"/>
        <v>482.07306851378365</v>
      </c>
      <c r="AD488">
        <f t="shared" ca="1" si="242"/>
        <v>280.07692026646265</v>
      </c>
      <c r="AE488">
        <f t="shared" ca="1" si="243"/>
        <v>1019.7665564573041</v>
      </c>
      <c r="AF488">
        <f t="shared" ca="1" si="244"/>
        <v>482.32750852789786</v>
      </c>
      <c r="AG488">
        <f t="shared" ca="1" si="245"/>
        <v>0</v>
      </c>
      <c r="AH488">
        <f ca="1">IF(V32="Supercritical",L488,IF(V32="Subcritical",W488,IF(AND(V488=1,AG488=1),IF(T488&gt;=AE488,L488,W488),IF(V488=1,L488,IF(AG488=1,W488,MAX($D$16,POWER((ABS(K488)^2)/($I$5*MAX(F488,0.1)^2),1/3)))))))</f>
        <v>2.1403668656741068</v>
      </c>
      <c r="AI488">
        <f t="shared" ca="1" si="246"/>
        <v>634.53336686567411</v>
      </c>
      <c r="AJ488">
        <f t="shared" ca="1" si="247"/>
        <v>635.60355029851121</v>
      </c>
      <c r="AM488">
        <v>0</v>
      </c>
      <c r="AN488">
        <v>0</v>
      </c>
      <c r="AO488">
        <f t="shared" si="248"/>
        <v>0</v>
      </c>
      <c r="AP488">
        <f t="shared" si="257"/>
        <v>0</v>
      </c>
      <c r="AQ488">
        <f t="shared" ca="1" si="249"/>
        <v>0.99999999999999978</v>
      </c>
      <c r="AR488" t="str">
        <f t="shared" ca="1" si="250"/>
        <v>Supercritical</v>
      </c>
      <c r="AS488">
        <f t="shared" ca="1" si="251"/>
        <v>3.8148159832266538E-3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191</v>
      </c>
      <c r="I489">
        <v>7.8E-2</v>
      </c>
      <c r="J489">
        <f t="shared" si="252"/>
        <v>1</v>
      </c>
      <c r="K489">
        <f t="shared" si="253"/>
        <v>51</v>
      </c>
      <c r="L489">
        <f t="shared" ca="1" si="254"/>
        <v>0.05</v>
      </c>
      <c r="M489">
        <f t="shared" ca="1" si="227"/>
        <v>0.26</v>
      </c>
      <c r="N489">
        <f t="shared" ca="1" si="228"/>
        <v>4.9056603773584909E-2</v>
      </c>
      <c r="O489">
        <f t="shared" ca="1" si="229"/>
        <v>196.15384615384616</v>
      </c>
      <c r="P489">
        <f t="shared" ca="1" si="230"/>
        <v>632.4425</v>
      </c>
      <c r="Q489">
        <f t="shared" ca="1" si="231"/>
        <v>2593.519531648662</v>
      </c>
      <c r="R489">
        <f t="shared" ca="1" si="232"/>
        <v>482.07306851378365</v>
      </c>
      <c r="S489">
        <f t="shared" ca="1" si="233"/>
        <v>280.07692026646265</v>
      </c>
      <c r="T489">
        <f t="shared" ca="1" si="234"/>
        <v>1019.7665564573041</v>
      </c>
      <c r="U489">
        <f t="shared" ca="1" si="255"/>
        <v>-482.32750852789786</v>
      </c>
      <c r="V489">
        <f t="shared" ca="1" si="256"/>
        <v>0</v>
      </c>
      <c r="W489">
        <f t="shared" ca="1" si="235"/>
        <v>0.05</v>
      </c>
      <c r="X489">
        <f t="shared" ca="1" si="236"/>
        <v>0.26</v>
      </c>
      <c r="Y489">
        <f t="shared" ca="1" si="237"/>
        <v>4.9056603773584909E-2</v>
      </c>
      <c r="Z489">
        <f t="shared" ca="1" si="238"/>
        <v>196.15384615384616</v>
      </c>
      <c r="AA489">
        <f t="shared" ca="1" si="239"/>
        <v>632.4425</v>
      </c>
      <c r="AB489">
        <f t="shared" ca="1" si="240"/>
        <v>2593.519531648662</v>
      </c>
      <c r="AC489">
        <f t="shared" ca="1" si="241"/>
        <v>482.07306851378365</v>
      </c>
      <c r="AD489">
        <f t="shared" ca="1" si="242"/>
        <v>280.07692026646265</v>
      </c>
      <c r="AE489">
        <f t="shared" ca="1" si="243"/>
        <v>1019.7665564573041</v>
      </c>
      <c r="AF489">
        <f t="shared" ca="1" si="244"/>
        <v>482.64289004873808</v>
      </c>
      <c r="AG489">
        <f t="shared" ca="1" si="245"/>
        <v>0</v>
      </c>
      <c r="AH489">
        <f ca="1">IF(V32="Supercritical",L489,IF(V32="Subcritical",W489,IF(AND(V489=1,AG489=1),IF(T489&gt;=AE489,L489,W489),IF(V489=1,L489,IF(AG489=1,W489,MAX($D$16,POWER((ABS(K489)^2)/($I$5*MAX(F489,0.1)^2),1/3)))))))</f>
        <v>2.1403668656741068</v>
      </c>
      <c r="AI489">
        <f t="shared" ca="1" si="246"/>
        <v>634.53286686567412</v>
      </c>
      <c r="AJ489">
        <f t="shared" ca="1" si="247"/>
        <v>635.60305029851122</v>
      </c>
      <c r="AM489">
        <v>0</v>
      </c>
      <c r="AN489">
        <v>0</v>
      </c>
      <c r="AO489">
        <f t="shared" si="248"/>
        <v>0</v>
      </c>
      <c r="AP489">
        <f t="shared" si="257"/>
        <v>0</v>
      </c>
      <c r="AQ489">
        <f t="shared" ca="1" si="249"/>
        <v>0.99999999999999978</v>
      </c>
      <c r="AR489" t="str">
        <f t="shared" ca="1" si="250"/>
        <v>Supercritical</v>
      </c>
      <c r="AS489">
        <f t="shared" ca="1" si="251"/>
        <v>3.8148159832266538E-3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191</v>
      </c>
      <c r="I490">
        <v>2.7E-2</v>
      </c>
      <c r="J490">
        <f t="shared" si="252"/>
        <v>1.0010000000000332</v>
      </c>
      <c r="K490">
        <f t="shared" si="253"/>
        <v>51</v>
      </c>
      <c r="L490">
        <f t="shared" ca="1" si="254"/>
        <v>0.05</v>
      </c>
      <c r="M490">
        <f t="shared" ca="1" si="227"/>
        <v>0.26</v>
      </c>
      <c r="N490">
        <f t="shared" ca="1" si="228"/>
        <v>4.9056603773584909E-2</v>
      </c>
      <c r="O490">
        <f t="shared" ca="1" si="229"/>
        <v>196.15384615384616</v>
      </c>
      <c r="P490">
        <f t="shared" ca="1" si="230"/>
        <v>632.44200000000001</v>
      </c>
      <c r="Q490">
        <f t="shared" ca="1" si="231"/>
        <v>2593.5190316486623</v>
      </c>
      <c r="R490">
        <f t="shared" ca="1" si="232"/>
        <v>482.07306851378365</v>
      </c>
      <c r="S490">
        <f t="shared" ca="1" si="233"/>
        <v>280.07692026646265</v>
      </c>
      <c r="T490">
        <f t="shared" ca="1" si="234"/>
        <v>1019.7665564573041</v>
      </c>
      <c r="U490">
        <f t="shared" ca="1" si="255"/>
        <v>-482.64289004873808</v>
      </c>
      <c r="V490">
        <f t="shared" ca="1" si="256"/>
        <v>0</v>
      </c>
      <c r="W490">
        <f t="shared" ca="1" si="235"/>
        <v>0.05</v>
      </c>
      <c r="X490">
        <f t="shared" ca="1" si="236"/>
        <v>0.26</v>
      </c>
      <c r="Y490">
        <f t="shared" ca="1" si="237"/>
        <v>4.9056603773584909E-2</v>
      </c>
      <c r="Z490">
        <f t="shared" ca="1" si="238"/>
        <v>196.15384615384616</v>
      </c>
      <c r="AA490">
        <f t="shared" ca="1" si="239"/>
        <v>632.44200000000001</v>
      </c>
      <c r="AB490">
        <f t="shared" ca="1" si="240"/>
        <v>2593.5190316486623</v>
      </c>
      <c r="AC490">
        <f t="shared" ca="1" si="241"/>
        <v>482.07306851378365</v>
      </c>
      <c r="AD490">
        <f t="shared" ca="1" si="242"/>
        <v>280.07692026646265</v>
      </c>
      <c r="AE490">
        <f t="shared" ca="1" si="243"/>
        <v>1019.7665564573041</v>
      </c>
      <c r="AF490">
        <f t="shared" ca="1" si="244"/>
        <v>481.67874391167788</v>
      </c>
      <c r="AG490">
        <f t="shared" ca="1" si="245"/>
        <v>0</v>
      </c>
      <c r="AH490">
        <f ca="1">IF(V32="Supercritical",L490,IF(V32="Subcritical",W490,IF(AND(V490=1,AG490=1),IF(T490&gt;=AE490,L490,W490),IF(V490=1,L490,IF(AG490=1,W490,MAX($D$16,POWER((ABS(K490)^2)/($I$5*MAX(F490,0.1)^2),1/3)))))))</f>
        <v>2.1403668656741068</v>
      </c>
      <c r="AI490">
        <f t="shared" ca="1" si="246"/>
        <v>634.53236686567413</v>
      </c>
      <c r="AJ490">
        <f t="shared" ca="1" si="247"/>
        <v>635.60255029851123</v>
      </c>
      <c r="AM490">
        <v>0</v>
      </c>
      <c r="AN490">
        <v>0</v>
      </c>
      <c r="AO490">
        <f t="shared" si="248"/>
        <v>0</v>
      </c>
      <c r="AP490">
        <f t="shared" si="257"/>
        <v>0</v>
      </c>
      <c r="AQ490">
        <f t="shared" ca="1" si="249"/>
        <v>0.99999999999999978</v>
      </c>
      <c r="AR490" t="str">
        <f t="shared" ca="1" si="250"/>
        <v>Supercritical</v>
      </c>
      <c r="AS490">
        <f t="shared" ca="1" si="251"/>
        <v>3.8148159832266538E-3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191</v>
      </c>
      <c r="I491">
        <v>2.7E-2</v>
      </c>
      <c r="J491">
        <f t="shared" si="252"/>
        <v>0.9989999999999668</v>
      </c>
      <c r="K491">
        <f t="shared" si="253"/>
        <v>51</v>
      </c>
      <c r="L491">
        <f t="shared" ca="1" si="254"/>
        <v>0.05</v>
      </c>
      <c r="M491">
        <f t="shared" ca="1" si="227"/>
        <v>0.26</v>
      </c>
      <c r="N491">
        <f t="shared" ca="1" si="228"/>
        <v>4.9056603773584909E-2</v>
      </c>
      <c r="O491">
        <f t="shared" ca="1" si="229"/>
        <v>196.15384615384616</v>
      </c>
      <c r="P491">
        <f t="shared" ca="1" si="230"/>
        <v>632.44149999999991</v>
      </c>
      <c r="Q491">
        <f t="shared" ca="1" si="231"/>
        <v>2593.5185316486622</v>
      </c>
      <c r="R491">
        <f t="shared" ca="1" si="232"/>
        <v>482.07306851378365</v>
      </c>
      <c r="S491">
        <f t="shared" ca="1" si="233"/>
        <v>280.07692026646265</v>
      </c>
      <c r="T491">
        <f t="shared" ca="1" si="234"/>
        <v>1019.7665564573041</v>
      </c>
      <c r="U491">
        <f t="shared" ca="1" si="255"/>
        <v>-481.67874391167788</v>
      </c>
      <c r="V491">
        <f t="shared" ca="1" si="256"/>
        <v>0</v>
      </c>
      <c r="W491">
        <f t="shared" ca="1" si="235"/>
        <v>0.05</v>
      </c>
      <c r="X491">
        <f t="shared" ca="1" si="236"/>
        <v>0.26</v>
      </c>
      <c r="Y491">
        <f t="shared" ca="1" si="237"/>
        <v>4.9056603773584909E-2</v>
      </c>
      <c r="Z491">
        <f t="shared" ca="1" si="238"/>
        <v>196.15384615384616</v>
      </c>
      <c r="AA491">
        <f t="shared" ca="1" si="239"/>
        <v>632.44149999999991</v>
      </c>
      <c r="AB491">
        <f t="shared" ca="1" si="240"/>
        <v>2593.5185316486622</v>
      </c>
      <c r="AC491">
        <f t="shared" ca="1" si="241"/>
        <v>482.07306851378365</v>
      </c>
      <c r="AD491">
        <f t="shared" ca="1" si="242"/>
        <v>280.07692026646265</v>
      </c>
      <c r="AE491">
        <f t="shared" ca="1" si="243"/>
        <v>1019.7665564573041</v>
      </c>
      <c r="AF491">
        <f t="shared" ca="1" si="244"/>
        <v>482.80958159642751</v>
      </c>
      <c r="AG491">
        <f t="shared" ca="1" si="245"/>
        <v>0</v>
      </c>
      <c r="AH491">
        <f ca="1">IF(V32="Supercritical",L491,IF(V32="Subcritical",W491,IF(AND(V491=1,AG491=1),IF(T491&gt;=AE491,L491,W491),IF(V491=1,L491,IF(AG491=1,W491,MAX($D$16,POWER((ABS(K491)^2)/($I$5*MAX(F491,0.1)^2),1/3)))))))</f>
        <v>2.1403668656741068</v>
      </c>
      <c r="AI491">
        <f t="shared" ca="1" si="246"/>
        <v>634.53186686567403</v>
      </c>
      <c r="AJ491">
        <f t="shared" ca="1" si="247"/>
        <v>635.60205029851113</v>
      </c>
      <c r="AM491">
        <v>0</v>
      </c>
      <c r="AN491">
        <v>0</v>
      </c>
      <c r="AO491">
        <f t="shared" si="248"/>
        <v>0</v>
      </c>
      <c r="AP491">
        <f t="shared" si="257"/>
        <v>0</v>
      </c>
      <c r="AQ491">
        <f t="shared" ca="1" si="249"/>
        <v>0.99999999999999978</v>
      </c>
      <c r="AR491" t="str">
        <f t="shared" ca="1" si="250"/>
        <v>Supercritical</v>
      </c>
      <c r="AS491">
        <f t="shared" ca="1" si="251"/>
        <v>3.8148159832266538E-3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191</v>
      </c>
      <c r="I492">
        <v>7.8E-2</v>
      </c>
      <c r="J492">
        <f t="shared" si="252"/>
        <v>1.0010000000000332</v>
      </c>
      <c r="K492">
        <f t="shared" si="253"/>
        <v>51</v>
      </c>
      <c r="L492">
        <f t="shared" ca="1" si="254"/>
        <v>0.05</v>
      </c>
      <c r="M492">
        <f t="shared" ca="1" si="227"/>
        <v>0.26</v>
      </c>
      <c r="N492">
        <f t="shared" ca="1" si="228"/>
        <v>4.9056603773584909E-2</v>
      </c>
      <c r="O492">
        <f t="shared" ca="1" si="229"/>
        <v>196.15384615384616</v>
      </c>
      <c r="P492">
        <f t="shared" ca="1" si="230"/>
        <v>632.44099999999992</v>
      </c>
      <c r="Q492">
        <f t="shared" ca="1" si="231"/>
        <v>2593.5180316486621</v>
      </c>
      <c r="R492">
        <f t="shared" ca="1" si="232"/>
        <v>482.07306851378365</v>
      </c>
      <c r="S492">
        <f t="shared" ca="1" si="233"/>
        <v>280.07692026646265</v>
      </c>
      <c r="T492">
        <f t="shared" ca="1" si="234"/>
        <v>1019.7665564573041</v>
      </c>
      <c r="U492">
        <f t="shared" ca="1" si="255"/>
        <v>-482.80958159642751</v>
      </c>
      <c r="V492">
        <f t="shared" ca="1" si="256"/>
        <v>0</v>
      </c>
      <c r="W492">
        <f t="shared" ca="1" si="235"/>
        <v>0.05</v>
      </c>
      <c r="X492">
        <f t="shared" ca="1" si="236"/>
        <v>0.26</v>
      </c>
      <c r="Y492">
        <f t="shared" ca="1" si="237"/>
        <v>4.9056603773584909E-2</v>
      </c>
      <c r="Z492">
        <f t="shared" ca="1" si="238"/>
        <v>196.15384615384616</v>
      </c>
      <c r="AA492">
        <f t="shared" ca="1" si="239"/>
        <v>632.44099999999992</v>
      </c>
      <c r="AB492">
        <f t="shared" ca="1" si="240"/>
        <v>2593.5180316486621</v>
      </c>
      <c r="AC492">
        <f t="shared" ca="1" si="241"/>
        <v>482.07306851378365</v>
      </c>
      <c r="AD492">
        <f t="shared" ca="1" si="242"/>
        <v>280.07692026646265</v>
      </c>
      <c r="AE492">
        <f t="shared" ca="1" si="243"/>
        <v>1019.7665564573041</v>
      </c>
      <c r="AF492">
        <f t="shared" ca="1" si="244"/>
        <v>482.23599159975447</v>
      </c>
      <c r="AG492">
        <f t="shared" ca="1" si="245"/>
        <v>0</v>
      </c>
      <c r="AH492">
        <f ca="1">IF(V32="Supercritical",L492,IF(V32="Subcritical",W492,IF(AND(V492=1,AG492=1),IF(T492&gt;=AE492,L492,W492),IF(V492=1,L492,IF(AG492=1,W492,MAX($D$16,POWER((ABS(K492)^2)/($I$5*MAX(F492,0.1)^2),1/3)))))))</f>
        <v>2.1403668656741068</v>
      </c>
      <c r="AI492">
        <f t="shared" ca="1" si="246"/>
        <v>634.53136686567404</v>
      </c>
      <c r="AJ492">
        <f t="shared" ca="1" si="247"/>
        <v>635.60155029851114</v>
      </c>
      <c r="AM492">
        <v>0</v>
      </c>
      <c r="AN492">
        <v>0</v>
      </c>
      <c r="AO492">
        <f t="shared" si="248"/>
        <v>0</v>
      </c>
      <c r="AP492">
        <f t="shared" si="257"/>
        <v>0</v>
      </c>
      <c r="AQ492">
        <f t="shared" ca="1" si="249"/>
        <v>0.99999999999999978</v>
      </c>
      <c r="AR492" t="str">
        <f t="shared" ca="1" si="250"/>
        <v>Supercritical</v>
      </c>
      <c r="AS492">
        <f t="shared" ca="1" si="251"/>
        <v>3.8148159832266538E-3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191</v>
      </c>
      <c r="I493">
        <v>0.05</v>
      </c>
      <c r="J493">
        <f t="shared" si="252"/>
        <v>1</v>
      </c>
      <c r="K493">
        <f t="shared" si="253"/>
        <v>51</v>
      </c>
      <c r="L493">
        <f t="shared" ca="1" si="254"/>
        <v>0.05</v>
      </c>
      <c r="M493">
        <f t="shared" ca="1" si="227"/>
        <v>0.26</v>
      </c>
      <c r="N493">
        <f t="shared" ca="1" si="228"/>
        <v>4.9056603773584909E-2</v>
      </c>
      <c r="O493">
        <f t="shared" ca="1" si="229"/>
        <v>196.15384615384616</v>
      </c>
      <c r="P493">
        <f t="shared" ca="1" si="230"/>
        <v>632.44049999999993</v>
      </c>
      <c r="Q493">
        <f t="shared" ca="1" si="231"/>
        <v>2593.517531648662</v>
      </c>
      <c r="R493">
        <f t="shared" ca="1" si="232"/>
        <v>482.07306851378365</v>
      </c>
      <c r="S493">
        <f t="shared" ca="1" si="233"/>
        <v>280.07692026646265</v>
      </c>
      <c r="T493">
        <f t="shared" ca="1" si="234"/>
        <v>1019.7665564573041</v>
      </c>
      <c r="U493">
        <f t="shared" ca="1" si="255"/>
        <v>-482.23599159975447</v>
      </c>
      <c r="V493">
        <f t="shared" ca="1" si="256"/>
        <v>0</v>
      </c>
      <c r="W493">
        <f t="shared" ca="1" si="235"/>
        <v>0.05</v>
      </c>
      <c r="X493">
        <f t="shared" ca="1" si="236"/>
        <v>0.26</v>
      </c>
      <c r="Y493">
        <f t="shared" ca="1" si="237"/>
        <v>4.9056603773584909E-2</v>
      </c>
      <c r="Z493">
        <f t="shared" ca="1" si="238"/>
        <v>196.15384615384616</v>
      </c>
      <c r="AA493">
        <f t="shared" ca="1" si="239"/>
        <v>632.44049999999993</v>
      </c>
      <c r="AB493">
        <f t="shared" ca="1" si="240"/>
        <v>2593.517531648662</v>
      </c>
      <c r="AC493">
        <f t="shared" ca="1" si="241"/>
        <v>482.07306851378365</v>
      </c>
      <c r="AD493">
        <f t="shared" ca="1" si="242"/>
        <v>280.07692026646265</v>
      </c>
      <c r="AE493">
        <f t="shared" ca="1" si="243"/>
        <v>1019.7665564573041</v>
      </c>
      <c r="AF493">
        <f t="shared" ca="1" si="244"/>
        <v>481.67874391167788</v>
      </c>
      <c r="AG493">
        <f t="shared" ca="1" si="245"/>
        <v>0</v>
      </c>
      <c r="AH493">
        <f ca="1">IF(V32="Supercritical",L493,IF(V32="Subcritical",W493,IF(AND(V493=1,AG493=1),IF(T493&gt;=AE493,L493,W493),IF(V493=1,L493,IF(AG493=1,W493,MAX($D$16,POWER((ABS(K493)^2)/($I$5*MAX(F493,0.1)^2),1/3)))))))</f>
        <v>2.1403668656741068</v>
      </c>
      <c r="AI493">
        <f t="shared" ca="1" si="246"/>
        <v>634.53086686567406</v>
      </c>
      <c r="AJ493">
        <f t="shared" ca="1" si="247"/>
        <v>635.60105029851115</v>
      </c>
      <c r="AM493">
        <v>0</v>
      </c>
      <c r="AN493">
        <v>0</v>
      </c>
      <c r="AO493">
        <f t="shared" si="248"/>
        <v>0</v>
      </c>
      <c r="AP493">
        <f t="shared" si="257"/>
        <v>0</v>
      </c>
      <c r="AQ493">
        <f t="shared" ca="1" si="249"/>
        <v>0.99999999999999978</v>
      </c>
      <c r="AR493" t="str">
        <f t="shared" ca="1" si="250"/>
        <v>Supercritical</v>
      </c>
      <c r="AS493">
        <f t="shared" ca="1" si="251"/>
        <v>3.8148159832266538E-3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191</v>
      </c>
      <c r="I494">
        <v>2.7E-2</v>
      </c>
      <c r="J494">
        <f t="shared" si="252"/>
        <v>0.9989999999999668</v>
      </c>
      <c r="K494">
        <f t="shared" si="253"/>
        <v>51</v>
      </c>
      <c r="L494">
        <f t="shared" ca="1" si="254"/>
        <v>0.05</v>
      </c>
      <c r="M494">
        <f t="shared" ca="1" si="227"/>
        <v>0.26</v>
      </c>
      <c r="N494">
        <f t="shared" ca="1" si="228"/>
        <v>4.9056603773584909E-2</v>
      </c>
      <c r="O494">
        <f t="shared" ca="1" si="229"/>
        <v>196.15384615384616</v>
      </c>
      <c r="P494">
        <f t="shared" ca="1" si="230"/>
        <v>632.43999999999994</v>
      </c>
      <c r="Q494">
        <f t="shared" ca="1" si="231"/>
        <v>2593.5170316486619</v>
      </c>
      <c r="R494">
        <f t="shared" ca="1" si="232"/>
        <v>482.07306851378365</v>
      </c>
      <c r="S494">
        <f t="shared" ca="1" si="233"/>
        <v>280.07692026646265</v>
      </c>
      <c r="T494">
        <f t="shared" ca="1" si="234"/>
        <v>1019.7665564573041</v>
      </c>
      <c r="U494">
        <f t="shared" ca="1" si="255"/>
        <v>-481.67874391167788</v>
      </c>
      <c r="V494">
        <f t="shared" ca="1" si="256"/>
        <v>0</v>
      </c>
      <c r="W494">
        <f t="shared" ca="1" si="235"/>
        <v>0.05</v>
      </c>
      <c r="X494">
        <f t="shared" ca="1" si="236"/>
        <v>0.26</v>
      </c>
      <c r="Y494">
        <f t="shared" ca="1" si="237"/>
        <v>4.9056603773584909E-2</v>
      </c>
      <c r="Z494">
        <f t="shared" ca="1" si="238"/>
        <v>196.15384615384616</v>
      </c>
      <c r="AA494">
        <f t="shared" ca="1" si="239"/>
        <v>632.43999999999994</v>
      </c>
      <c r="AB494">
        <f t="shared" ca="1" si="240"/>
        <v>2593.5170316486619</v>
      </c>
      <c r="AC494">
        <f t="shared" ca="1" si="241"/>
        <v>482.07306851378365</v>
      </c>
      <c r="AD494">
        <f t="shared" ca="1" si="242"/>
        <v>280.07692026646265</v>
      </c>
      <c r="AE494">
        <f t="shared" ca="1" si="243"/>
        <v>1019.7665564573041</v>
      </c>
      <c r="AF494">
        <f t="shared" ca="1" si="244"/>
        <v>482.16081698020798</v>
      </c>
      <c r="AG494">
        <f t="shared" ca="1" si="245"/>
        <v>0</v>
      </c>
      <c r="AH494">
        <f ca="1">IF(V32="Supercritical",L494,IF(V32="Subcritical",W494,IF(AND(V494=1,AG494=1),IF(T494&gt;=AE494,L494,W494),IF(V494=1,L494,IF(AG494=1,W494,MAX($D$16,POWER((ABS(K494)^2)/($I$5*MAX(F494,0.1)^2),1/3)))))))</f>
        <v>2.1403668656741068</v>
      </c>
      <c r="AI494">
        <f t="shared" ca="1" si="246"/>
        <v>634.53036686567407</v>
      </c>
      <c r="AJ494">
        <f t="shared" ca="1" si="247"/>
        <v>635.60055029851117</v>
      </c>
      <c r="AM494">
        <v>0</v>
      </c>
      <c r="AN494">
        <v>0</v>
      </c>
      <c r="AO494">
        <f t="shared" si="248"/>
        <v>0</v>
      </c>
      <c r="AP494">
        <f t="shared" si="257"/>
        <v>0</v>
      </c>
      <c r="AQ494">
        <f t="shared" ca="1" si="249"/>
        <v>0.99999999999999978</v>
      </c>
      <c r="AR494" t="str">
        <f t="shared" ca="1" si="250"/>
        <v>Supercritical</v>
      </c>
      <c r="AS494">
        <f t="shared" ca="1" si="251"/>
        <v>3.8148159832266538E-3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191</v>
      </c>
      <c r="I495">
        <v>2.7E-2</v>
      </c>
      <c r="J495">
        <f t="shared" si="252"/>
        <v>1</v>
      </c>
      <c r="K495">
        <f t="shared" si="253"/>
        <v>51</v>
      </c>
      <c r="L495">
        <f t="shared" ca="1" si="254"/>
        <v>0.05</v>
      </c>
      <c r="M495">
        <f t="shared" ca="1" si="227"/>
        <v>0.26</v>
      </c>
      <c r="N495">
        <f t="shared" ca="1" si="228"/>
        <v>4.9056603773584909E-2</v>
      </c>
      <c r="O495">
        <f t="shared" ca="1" si="229"/>
        <v>196.15384615384616</v>
      </c>
      <c r="P495">
        <f t="shared" ca="1" si="230"/>
        <v>632.43949999999995</v>
      </c>
      <c r="Q495">
        <f t="shared" ca="1" si="231"/>
        <v>2593.5165316486618</v>
      </c>
      <c r="R495">
        <f t="shared" ca="1" si="232"/>
        <v>482.07306851378365</v>
      </c>
      <c r="S495">
        <f t="shared" ca="1" si="233"/>
        <v>280.07692026646265</v>
      </c>
      <c r="T495">
        <f t="shared" ca="1" si="234"/>
        <v>1019.7665564573041</v>
      </c>
      <c r="U495">
        <f t="shared" ca="1" si="255"/>
        <v>-482.16081698020798</v>
      </c>
      <c r="V495">
        <f t="shared" ca="1" si="256"/>
        <v>0</v>
      </c>
      <c r="W495">
        <f t="shared" ca="1" si="235"/>
        <v>0.05</v>
      </c>
      <c r="X495">
        <f t="shared" ca="1" si="236"/>
        <v>0.26</v>
      </c>
      <c r="Y495">
        <f t="shared" ca="1" si="237"/>
        <v>4.9056603773584909E-2</v>
      </c>
      <c r="Z495">
        <f t="shared" ca="1" si="238"/>
        <v>196.15384615384616</v>
      </c>
      <c r="AA495">
        <f t="shared" ca="1" si="239"/>
        <v>632.43949999999995</v>
      </c>
      <c r="AB495">
        <f t="shared" ca="1" si="240"/>
        <v>2593.5165316486618</v>
      </c>
      <c r="AC495">
        <f t="shared" ca="1" si="241"/>
        <v>482.07306851378365</v>
      </c>
      <c r="AD495">
        <f t="shared" ca="1" si="242"/>
        <v>280.07692026646265</v>
      </c>
      <c r="AE495">
        <f t="shared" ca="1" si="243"/>
        <v>1019.7665564573041</v>
      </c>
      <c r="AF495">
        <f t="shared" ca="1" si="244"/>
        <v>482.14774313333055</v>
      </c>
      <c r="AG495">
        <f t="shared" ca="1" si="245"/>
        <v>0</v>
      </c>
      <c r="AH495">
        <f ca="1">IF(V32="Supercritical",L495,IF(V32="Subcritical",W495,IF(AND(V495=1,AG495=1),IF(T495&gt;=AE495,L495,W495),IF(V495=1,L495,IF(AG495=1,W495,MAX($D$16,POWER((ABS(K495)^2)/($I$5*MAX(F495,0.1)^2),1/3)))))))</f>
        <v>2.1403668656741068</v>
      </c>
      <c r="AI495">
        <f t="shared" ca="1" si="246"/>
        <v>634.52986686567408</v>
      </c>
      <c r="AJ495">
        <f t="shared" ca="1" si="247"/>
        <v>635.60005029851118</v>
      </c>
      <c r="AM495">
        <v>0</v>
      </c>
      <c r="AN495">
        <v>0</v>
      </c>
      <c r="AO495">
        <f t="shared" si="248"/>
        <v>0</v>
      </c>
      <c r="AP495">
        <f t="shared" si="257"/>
        <v>0</v>
      </c>
      <c r="AQ495">
        <f t="shared" ca="1" si="249"/>
        <v>0.99999999999999978</v>
      </c>
      <c r="AR495" t="str">
        <f t="shared" ca="1" si="250"/>
        <v>Supercritical</v>
      </c>
      <c r="AS495">
        <f t="shared" ca="1" si="251"/>
        <v>3.8148159832266538E-3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191</v>
      </c>
      <c r="I496">
        <v>2.3E-2</v>
      </c>
      <c r="J496">
        <f t="shared" si="252"/>
        <v>1</v>
      </c>
      <c r="K496">
        <f t="shared" si="253"/>
        <v>51</v>
      </c>
      <c r="L496">
        <f t="shared" ca="1" si="254"/>
        <v>0.05</v>
      </c>
      <c r="M496">
        <f t="shared" ca="1" si="227"/>
        <v>0.26</v>
      </c>
      <c r="N496">
        <f t="shared" ca="1" si="228"/>
        <v>4.9056603773584909E-2</v>
      </c>
      <c r="O496">
        <f t="shared" ca="1" si="229"/>
        <v>196.15384615384616</v>
      </c>
      <c r="P496">
        <f t="shared" ca="1" si="230"/>
        <v>632.43899999999996</v>
      </c>
      <c r="Q496">
        <f t="shared" ca="1" si="231"/>
        <v>2593.5160316486622</v>
      </c>
      <c r="R496">
        <f t="shared" ca="1" si="232"/>
        <v>482.07306851378365</v>
      </c>
      <c r="S496">
        <f t="shared" ca="1" si="233"/>
        <v>280.07692026646265</v>
      </c>
      <c r="T496">
        <f t="shared" ca="1" si="234"/>
        <v>1019.7665564573041</v>
      </c>
      <c r="U496">
        <f t="shared" ca="1" si="255"/>
        <v>-482.14774313333055</v>
      </c>
      <c r="V496">
        <f t="shared" ca="1" si="256"/>
        <v>0</v>
      </c>
      <c r="W496">
        <f t="shared" ca="1" si="235"/>
        <v>0.05</v>
      </c>
      <c r="X496">
        <f t="shared" ca="1" si="236"/>
        <v>0.26</v>
      </c>
      <c r="Y496">
        <f t="shared" ca="1" si="237"/>
        <v>4.9056603773584909E-2</v>
      </c>
      <c r="Z496">
        <f t="shared" ca="1" si="238"/>
        <v>196.15384615384616</v>
      </c>
      <c r="AA496">
        <f t="shared" ca="1" si="239"/>
        <v>632.43899999999996</v>
      </c>
      <c r="AB496">
        <f t="shared" ca="1" si="240"/>
        <v>2593.5160316486622</v>
      </c>
      <c r="AC496">
        <f t="shared" ca="1" si="241"/>
        <v>482.07306851378365</v>
      </c>
      <c r="AD496">
        <f t="shared" ca="1" si="242"/>
        <v>280.07692026646265</v>
      </c>
      <c r="AE496">
        <f t="shared" ca="1" si="243"/>
        <v>1019.7665564573041</v>
      </c>
      <c r="AF496">
        <f t="shared" ca="1" si="244"/>
        <v>482.62981620185974</v>
      </c>
      <c r="AG496">
        <f t="shared" ca="1" si="245"/>
        <v>0</v>
      </c>
      <c r="AH496">
        <f ca="1">IF(V32="Supercritical",L496,IF(V32="Subcritical",W496,IF(AND(V496=1,AG496=1),IF(T496&gt;=AE496,L496,W496),IF(V496=1,L496,IF(AG496=1,W496,MAX($D$16,POWER((ABS(K496)^2)/($I$5*MAX(F496,0.1)^2),1/3)))))))</f>
        <v>2.1403668656741068</v>
      </c>
      <c r="AI496">
        <f t="shared" ca="1" si="246"/>
        <v>634.52936686567409</v>
      </c>
      <c r="AJ496">
        <f t="shared" ca="1" si="247"/>
        <v>635.59955029851119</v>
      </c>
      <c r="AM496">
        <v>0</v>
      </c>
      <c r="AN496">
        <v>0</v>
      </c>
      <c r="AO496">
        <f t="shared" si="248"/>
        <v>0</v>
      </c>
      <c r="AP496">
        <f t="shared" si="257"/>
        <v>0</v>
      </c>
      <c r="AQ496">
        <f t="shared" ca="1" si="249"/>
        <v>0.99999999999999978</v>
      </c>
      <c r="AR496" t="str">
        <f t="shared" ca="1" si="250"/>
        <v>Supercritical</v>
      </c>
      <c r="AS496">
        <f t="shared" ca="1" si="251"/>
        <v>3.8148159832266538E-3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191</v>
      </c>
      <c r="I497">
        <v>2.3E-2</v>
      </c>
      <c r="J497">
        <f t="shared" si="252"/>
        <v>1.0010000000000332</v>
      </c>
      <c r="K497">
        <f t="shared" si="253"/>
        <v>51</v>
      </c>
      <c r="L497">
        <f t="shared" ca="1" si="254"/>
        <v>0.05</v>
      </c>
      <c r="M497">
        <f t="shared" ca="1" si="227"/>
        <v>0.26</v>
      </c>
      <c r="N497">
        <f t="shared" ca="1" si="228"/>
        <v>4.9056603773584909E-2</v>
      </c>
      <c r="O497">
        <f t="shared" ca="1" si="229"/>
        <v>196.15384615384616</v>
      </c>
      <c r="P497">
        <f t="shared" ca="1" si="230"/>
        <v>632.43849999999998</v>
      </c>
      <c r="Q497">
        <f t="shared" ca="1" si="231"/>
        <v>2593.5155316486621</v>
      </c>
      <c r="R497">
        <f t="shared" ca="1" si="232"/>
        <v>482.07306851378365</v>
      </c>
      <c r="S497">
        <f t="shared" ca="1" si="233"/>
        <v>280.07692026646265</v>
      </c>
      <c r="T497">
        <f t="shared" ca="1" si="234"/>
        <v>1019.7665564573041</v>
      </c>
      <c r="U497">
        <f t="shared" ca="1" si="255"/>
        <v>-482.62981620185974</v>
      </c>
      <c r="V497">
        <f t="shared" ca="1" si="256"/>
        <v>0</v>
      </c>
      <c r="W497">
        <f t="shared" ca="1" si="235"/>
        <v>0.05</v>
      </c>
      <c r="X497">
        <f t="shared" ca="1" si="236"/>
        <v>0.26</v>
      </c>
      <c r="Y497">
        <f t="shared" ca="1" si="237"/>
        <v>4.9056603773584909E-2</v>
      </c>
      <c r="Z497">
        <f t="shared" ca="1" si="238"/>
        <v>196.15384615384616</v>
      </c>
      <c r="AA497">
        <f t="shared" ca="1" si="239"/>
        <v>632.43849999999998</v>
      </c>
      <c r="AB497">
        <f t="shared" ca="1" si="240"/>
        <v>2593.5155316486621</v>
      </c>
      <c r="AC497">
        <f t="shared" ca="1" si="241"/>
        <v>482.07306851378365</v>
      </c>
      <c r="AD497">
        <f t="shared" ca="1" si="242"/>
        <v>280.07692026646265</v>
      </c>
      <c r="AE497">
        <f t="shared" ca="1" si="243"/>
        <v>1019.7665564573041</v>
      </c>
      <c r="AF497">
        <f t="shared" ca="1" si="244"/>
        <v>481.59049544525396</v>
      </c>
      <c r="AG497">
        <f t="shared" ca="1" si="245"/>
        <v>0</v>
      </c>
      <c r="AH497">
        <f ca="1">IF(V32="Supercritical",L497,IF(V32="Subcritical",W497,IF(AND(V497=1,AG497=1),IF(T497&gt;=AE497,L497,W497),IF(V497=1,L497,IF(AG497=1,W497,MAX($D$16,POWER((ABS(K497)^2)/($I$5*MAX(F497,0.1)^2),1/3)))))))</f>
        <v>2.1403668656741068</v>
      </c>
      <c r="AI497">
        <f t="shared" ca="1" si="246"/>
        <v>634.5288668656741</v>
      </c>
      <c r="AJ497">
        <f t="shared" ca="1" si="247"/>
        <v>635.5990502985112</v>
      </c>
      <c r="AM497">
        <v>0</v>
      </c>
      <c r="AN497">
        <v>0</v>
      </c>
      <c r="AO497">
        <f t="shared" si="248"/>
        <v>0</v>
      </c>
      <c r="AP497">
        <f t="shared" si="257"/>
        <v>0</v>
      </c>
      <c r="AQ497">
        <f t="shared" ca="1" si="249"/>
        <v>0.99999999999999978</v>
      </c>
      <c r="AR497" t="str">
        <f t="shared" ca="1" si="250"/>
        <v>Supercritical</v>
      </c>
      <c r="AS497">
        <f t="shared" ca="1" si="251"/>
        <v>3.8148159832266538E-3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191</v>
      </c>
      <c r="I498">
        <v>0</v>
      </c>
      <c r="J498">
        <f t="shared" si="252"/>
        <v>0.9989999999999668</v>
      </c>
      <c r="K498">
        <f t="shared" si="253"/>
        <v>51</v>
      </c>
      <c r="L498">
        <f t="shared" ca="1" si="254"/>
        <v>0.05</v>
      </c>
      <c r="M498">
        <f t="shared" ca="1" si="227"/>
        <v>0.26</v>
      </c>
      <c r="N498">
        <f t="shared" ca="1" si="228"/>
        <v>4.9056603773584909E-2</v>
      </c>
      <c r="O498">
        <f t="shared" ca="1" si="229"/>
        <v>196.15384615384616</v>
      </c>
      <c r="P498">
        <f t="shared" ca="1" si="230"/>
        <v>632.43799999999999</v>
      </c>
      <c r="Q498">
        <f t="shared" ca="1" si="231"/>
        <v>2593.515031648662</v>
      </c>
      <c r="R498">
        <f t="shared" ca="1" si="232"/>
        <v>482.07306851378365</v>
      </c>
      <c r="S498">
        <f t="shared" ca="1" si="233"/>
        <v>280.07692026646265</v>
      </c>
      <c r="T498">
        <f t="shared" ca="1" si="234"/>
        <v>1019.7665564573041</v>
      </c>
      <c r="U498">
        <f t="shared" ca="1" si="255"/>
        <v>-481.59049544525396</v>
      </c>
      <c r="V498">
        <f t="shared" ca="1" si="256"/>
        <v>0</v>
      </c>
      <c r="W498">
        <f t="shared" ca="1" si="235"/>
        <v>0.05</v>
      </c>
      <c r="X498">
        <f t="shared" ca="1" si="236"/>
        <v>0.26</v>
      </c>
      <c r="Y498">
        <f t="shared" ca="1" si="237"/>
        <v>4.9056603773584909E-2</v>
      </c>
      <c r="Z498">
        <f t="shared" ca="1" si="238"/>
        <v>196.15384615384616</v>
      </c>
      <c r="AA498">
        <f t="shared" ca="1" si="239"/>
        <v>632.43799999999999</v>
      </c>
      <c r="AB498">
        <f t="shared" ca="1" si="240"/>
        <v>2593.515031648662</v>
      </c>
      <c r="AC498">
        <f t="shared" ca="1" si="241"/>
        <v>482.07306851378365</v>
      </c>
      <c r="AD498">
        <f t="shared" ca="1" si="242"/>
        <v>280.07692026646265</v>
      </c>
      <c r="AE498">
        <f t="shared" ca="1" si="243"/>
        <v>1019.7665564573041</v>
      </c>
      <c r="AF498">
        <f t="shared" ca="1" si="244"/>
        <v>482.16081698020844</v>
      </c>
      <c r="AG498">
        <f t="shared" ca="1" si="245"/>
        <v>0</v>
      </c>
      <c r="AH498">
        <f ca="1">IF(V32="Supercritical",L498,IF(V32="Subcritical",W498,IF(AND(V498=1,AG498=1),IF(T498&gt;=AE498,L498,W498),IF(V498=1,L498,IF(AG498=1,W498,MAX($D$16,POWER((ABS(K498)^2)/($I$5*MAX(F498,0.1)^2),1/3)))))))</f>
        <v>2.1403668656741068</v>
      </c>
      <c r="AI498">
        <f t="shared" ca="1" si="246"/>
        <v>634.52836686567412</v>
      </c>
      <c r="AJ498">
        <f t="shared" ca="1" si="247"/>
        <v>635.59855029851121</v>
      </c>
      <c r="AM498">
        <v>0</v>
      </c>
      <c r="AN498">
        <v>0</v>
      </c>
      <c r="AO498">
        <f t="shared" si="248"/>
        <v>0</v>
      </c>
      <c r="AP498">
        <f t="shared" si="257"/>
        <v>0</v>
      </c>
      <c r="AQ498">
        <f t="shared" ca="1" si="249"/>
        <v>0.99999999999999978</v>
      </c>
      <c r="AR498" t="str">
        <f t="shared" ca="1" si="250"/>
        <v>Supercritical</v>
      </c>
      <c r="AS498">
        <f t="shared" ca="1" si="251"/>
        <v>3.8148159832266538E-3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191</v>
      </c>
      <c r="I499">
        <v>2.7E-2</v>
      </c>
      <c r="J499">
        <f t="shared" si="252"/>
        <v>1</v>
      </c>
      <c r="K499">
        <f t="shared" si="253"/>
        <v>51</v>
      </c>
      <c r="L499">
        <f t="shared" ca="1" si="254"/>
        <v>0.05</v>
      </c>
      <c r="M499">
        <f t="shared" ca="1" si="227"/>
        <v>0.26</v>
      </c>
      <c r="N499">
        <f t="shared" ca="1" si="228"/>
        <v>4.9056603773584909E-2</v>
      </c>
      <c r="O499">
        <f t="shared" ca="1" si="229"/>
        <v>196.15384615384616</v>
      </c>
      <c r="P499">
        <f t="shared" ca="1" si="230"/>
        <v>632.4375</v>
      </c>
      <c r="Q499">
        <f t="shared" ca="1" si="231"/>
        <v>2593.5145316486623</v>
      </c>
      <c r="R499">
        <f t="shared" ca="1" si="232"/>
        <v>482.07306851378365</v>
      </c>
      <c r="S499">
        <f t="shared" ca="1" si="233"/>
        <v>280.07692026646265</v>
      </c>
      <c r="T499">
        <f t="shared" ca="1" si="234"/>
        <v>1019.7665564573041</v>
      </c>
      <c r="U499">
        <f t="shared" ca="1" si="255"/>
        <v>-482.16081698020844</v>
      </c>
      <c r="V499">
        <f t="shared" ca="1" si="256"/>
        <v>0</v>
      </c>
      <c r="W499">
        <f t="shared" ca="1" si="235"/>
        <v>0.05</v>
      </c>
      <c r="X499">
        <f t="shared" ca="1" si="236"/>
        <v>0.26</v>
      </c>
      <c r="Y499">
        <f t="shared" ca="1" si="237"/>
        <v>4.9056603773584909E-2</v>
      </c>
      <c r="Z499">
        <f t="shared" ca="1" si="238"/>
        <v>196.15384615384616</v>
      </c>
      <c r="AA499">
        <f t="shared" ca="1" si="239"/>
        <v>632.4375</v>
      </c>
      <c r="AB499">
        <f t="shared" ca="1" si="240"/>
        <v>2593.5145316486623</v>
      </c>
      <c r="AC499">
        <f t="shared" ca="1" si="241"/>
        <v>482.07306851378365</v>
      </c>
      <c r="AD499">
        <f t="shared" ca="1" si="242"/>
        <v>280.07692026646265</v>
      </c>
      <c r="AE499">
        <f t="shared" ca="1" si="243"/>
        <v>1019.7665564573041</v>
      </c>
      <c r="AF499">
        <f t="shared" ca="1" si="244"/>
        <v>482.16081698020798</v>
      </c>
      <c r="AG499">
        <f t="shared" ca="1" si="245"/>
        <v>0</v>
      </c>
      <c r="AH499">
        <f ca="1">IF(V32="Supercritical",L499,IF(V32="Subcritical",W499,IF(AND(V499=1,AG499=1),IF(T499&gt;=AE499,L499,W499),IF(V499=1,L499,IF(AG499=1,W499,MAX($D$16,POWER((ABS(K499)^2)/($I$5*MAX(F499,0.1)^2),1/3)))))))</f>
        <v>2.1403668656741068</v>
      </c>
      <c r="AI499">
        <f t="shared" ca="1" si="246"/>
        <v>634.52786686567413</v>
      </c>
      <c r="AJ499">
        <f t="shared" ca="1" si="247"/>
        <v>635.59805029851123</v>
      </c>
      <c r="AM499">
        <v>0</v>
      </c>
      <c r="AN499">
        <v>0</v>
      </c>
      <c r="AO499">
        <f t="shared" si="248"/>
        <v>0</v>
      </c>
      <c r="AP499">
        <f t="shared" si="257"/>
        <v>0</v>
      </c>
      <c r="AQ499">
        <f t="shared" ca="1" si="249"/>
        <v>0.99999999999999978</v>
      </c>
      <c r="AR499" t="str">
        <f t="shared" ca="1" si="250"/>
        <v>Supercritical</v>
      </c>
      <c r="AS499">
        <f t="shared" ca="1" si="251"/>
        <v>3.8148159832266538E-3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191</v>
      </c>
      <c r="I500">
        <v>2.7E-2</v>
      </c>
      <c r="J500">
        <f t="shared" si="252"/>
        <v>1</v>
      </c>
      <c r="K500">
        <f t="shared" si="253"/>
        <v>51</v>
      </c>
      <c r="L500">
        <f t="shared" ca="1" si="254"/>
        <v>0.05</v>
      </c>
      <c r="M500">
        <f t="shared" ca="1" si="227"/>
        <v>0.26</v>
      </c>
      <c r="N500">
        <f t="shared" ca="1" si="228"/>
        <v>4.9056603773584909E-2</v>
      </c>
      <c r="O500">
        <f t="shared" ca="1" si="229"/>
        <v>196.15384615384616</v>
      </c>
      <c r="P500">
        <f t="shared" ca="1" si="230"/>
        <v>632.4369999999999</v>
      </c>
      <c r="Q500">
        <f t="shared" ca="1" si="231"/>
        <v>2593.5140316486622</v>
      </c>
      <c r="R500">
        <f t="shared" ca="1" si="232"/>
        <v>482.07306851378365</v>
      </c>
      <c r="S500">
        <f t="shared" ca="1" si="233"/>
        <v>280.07692026646265</v>
      </c>
      <c r="T500">
        <f t="shared" ca="1" si="234"/>
        <v>1019.7665564573041</v>
      </c>
      <c r="U500">
        <f t="shared" ca="1" si="255"/>
        <v>-482.16081698020798</v>
      </c>
      <c r="V500">
        <f t="shared" ca="1" si="256"/>
        <v>0</v>
      </c>
      <c r="W500">
        <f t="shared" ca="1" si="235"/>
        <v>0.05</v>
      </c>
      <c r="X500">
        <f t="shared" ca="1" si="236"/>
        <v>0.26</v>
      </c>
      <c r="Y500">
        <f t="shared" ca="1" si="237"/>
        <v>4.9056603773584909E-2</v>
      </c>
      <c r="Z500">
        <f t="shared" ca="1" si="238"/>
        <v>196.15384615384616</v>
      </c>
      <c r="AA500">
        <f t="shared" ca="1" si="239"/>
        <v>632.4369999999999</v>
      </c>
      <c r="AB500">
        <f t="shared" ca="1" si="240"/>
        <v>2593.5140316486622</v>
      </c>
      <c r="AC500">
        <f t="shared" ca="1" si="241"/>
        <v>482.07306851378365</v>
      </c>
      <c r="AD500">
        <f t="shared" ca="1" si="242"/>
        <v>280.07692026646265</v>
      </c>
      <c r="AE500">
        <f t="shared" ca="1" si="243"/>
        <v>1019.7665564573041</v>
      </c>
      <c r="AF500">
        <f t="shared" ca="1" si="244"/>
        <v>482.1477431333301</v>
      </c>
      <c r="AG500">
        <f t="shared" ca="1" si="245"/>
        <v>0</v>
      </c>
      <c r="AH500">
        <f ca="1">IF(V32="Supercritical",L500,IF(V32="Subcritical",W500,IF(AND(V500=1,AG500=1),IF(T500&gt;=AE500,L500,W500),IF(V500=1,L500,IF(AG500=1,W500,MAX($D$16,POWER((ABS(K500)^2)/($I$5*MAX(F500,0.1)^2),1/3)))))))</f>
        <v>2.1403668656741068</v>
      </c>
      <c r="AI500">
        <f t="shared" ca="1" si="246"/>
        <v>634.52736686567403</v>
      </c>
      <c r="AJ500">
        <f t="shared" ca="1" si="247"/>
        <v>635.59755029851112</v>
      </c>
      <c r="AM500">
        <v>0</v>
      </c>
      <c r="AN500">
        <v>0</v>
      </c>
      <c r="AO500">
        <f t="shared" si="248"/>
        <v>0</v>
      </c>
      <c r="AP500">
        <f t="shared" si="257"/>
        <v>0</v>
      </c>
      <c r="AQ500">
        <f t="shared" ca="1" si="249"/>
        <v>0.99999999999999978</v>
      </c>
      <c r="AR500" t="str">
        <f t="shared" ca="1" si="250"/>
        <v>Supercritical</v>
      </c>
      <c r="AS500">
        <f t="shared" ca="1" si="251"/>
        <v>3.8148159832266538E-3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191</v>
      </c>
      <c r="I501">
        <v>2.3E-2</v>
      </c>
      <c r="J501">
        <f t="shared" si="252"/>
        <v>1</v>
      </c>
      <c r="K501">
        <f t="shared" si="253"/>
        <v>51</v>
      </c>
      <c r="L501">
        <f t="shared" ca="1" si="254"/>
        <v>0.05</v>
      </c>
      <c r="M501">
        <f t="shared" ca="1" si="227"/>
        <v>0.26</v>
      </c>
      <c r="N501">
        <f t="shared" ca="1" si="228"/>
        <v>4.9056603773584909E-2</v>
      </c>
      <c r="O501">
        <f t="shared" ca="1" si="229"/>
        <v>196.15384615384616</v>
      </c>
      <c r="P501">
        <f t="shared" ca="1" si="230"/>
        <v>632.43649999999991</v>
      </c>
      <c r="Q501">
        <f t="shared" ca="1" si="231"/>
        <v>2593.5135316486621</v>
      </c>
      <c r="R501">
        <f t="shared" ca="1" si="232"/>
        <v>482.07306851378365</v>
      </c>
      <c r="S501">
        <f t="shared" ca="1" si="233"/>
        <v>280.07692026646265</v>
      </c>
      <c r="T501">
        <f t="shared" ca="1" si="234"/>
        <v>1019.7665564573041</v>
      </c>
      <c r="U501">
        <f t="shared" ca="1" si="255"/>
        <v>-482.1477431333301</v>
      </c>
      <c r="V501">
        <f t="shared" ca="1" si="256"/>
        <v>0</v>
      </c>
      <c r="W501">
        <f t="shared" ca="1" si="235"/>
        <v>0.05</v>
      </c>
      <c r="X501">
        <f t="shared" ca="1" si="236"/>
        <v>0.26</v>
      </c>
      <c r="Y501">
        <f t="shared" ca="1" si="237"/>
        <v>4.9056603773584909E-2</v>
      </c>
      <c r="Z501">
        <f t="shared" ca="1" si="238"/>
        <v>196.15384615384616</v>
      </c>
      <c r="AA501">
        <f t="shared" ca="1" si="239"/>
        <v>632.43649999999991</v>
      </c>
      <c r="AB501">
        <f t="shared" ca="1" si="240"/>
        <v>2593.5135316486621</v>
      </c>
      <c r="AC501">
        <f t="shared" ca="1" si="241"/>
        <v>482.07306851378365</v>
      </c>
      <c r="AD501">
        <f t="shared" ca="1" si="242"/>
        <v>280.07692026646265</v>
      </c>
      <c r="AE501">
        <f t="shared" ca="1" si="243"/>
        <v>1019.7665564573041</v>
      </c>
      <c r="AF501">
        <f t="shared" ca="1" si="244"/>
        <v>482.62981620185974</v>
      </c>
      <c r="AG501">
        <f t="shared" ca="1" si="245"/>
        <v>0</v>
      </c>
      <c r="AH501">
        <f ca="1">IF(V32="Supercritical",L501,IF(V32="Subcritical",W501,IF(AND(V501=1,AG501=1),IF(T501&gt;=AE501,L501,W501),IF(V501=1,L501,IF(AG501=1,W501,MAX($D$16,POWER((ABS(K501)^2)/($I$5*MAX(F501,0.1)^2),1/3)))))))</f>
        <v>2.1403668656741068</v>
      </c>
      <c r="AI501">
        <f t="shared" ca="1" si="246"/>
        <v>634.52686686567404</v>
      </c>
      <c r="AJ501">
        <f t="shared" ca="1" si="247"/>
        <v>635.59705029851114</v>
      </c>
      <c r="AM501">
        <v>0</v>
      </c>
      <c r="AN501">
        <v>0</v>
      </c>
      <c r="AO501">
        <f t="shared" si="248"/>
        <v>0</v>
      </c>
      <c r="AP501">
        <f t="shared" si="257"/>
        <v>0</v>
      </c>
      <c r="AQ501">
        <f t="shared" ca="1" si="249"/>
        <v>0.99999999999999978</v>
      </c>
      <c r="AR501" t="str">
        <f t="shared" ca="1" si="250"/>
        <v>Supercritical</v>
      </c>
      <c r="AS501">
        <f t="shared" ca="1" si="251"/>
        <v>3.8148159832266538E-3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191</v>
      </c>
      <c r="I502">
        <v>2.3E-2</v>
      </c>
      <c r="J502">
        <f t="shared" si="252"/>
        <v>1.0010000000000332</v>
      </c>
      <c r="K502">
        <f t="shared" si="253"/>
        <v>51</v>
      </c>
      <c r="L502">
        <f t="shared" ca="1" si="254"/>
        <v>0.05</v>
      </c>
      <c r="M502">
        <f t="shared" ca="1" si="227"/>
        <v>0.26</v>
      </c>
      <c r="N502">
        <f t="shared" ca="1" si="228"/>
        <v>4.9056603773584909E-2</v>
      </c>
      <c r="O502">
        <f t="shared" ca="1" si="229"/>
        <v>196.15384615384616</v>
      </c>
      <c r="P502">
        <f t="shared" ca="1" si="230"/>
        <v>632.43599999999992</v>
      </c>
      <c r="Q502">
        <f t="shared" ca="1" si="231"/>
        <v>2593.513031648662</v>
      </c>
      <c r="R502">
        <f t="shared" ca="1" si="232"/>
        <v>482.07306851378365</v>
      </c>
      <c r="S502">
        <f t="shared" ca="1" si="233"/>
        <v>280.07692026646265</v>
      </c>
      <c r="T502">
        <f t="shared" ca="1" si="234"/>
        <v>1019.7665564573041</v>
      </c>
      <c r="U502">
        <f t="shared" ca="1" si="255"/>
        <v>-482.62981620185974</v>
      </c>
      <c r="V502">
        <f t="shared" ca="1" si="256"/>
        <v>0</v>
      </c>
      <c r="W502">
        <f t="shared" ca="1" si="235"/>
        <v>0.05</v>
      </c>
      <c r="X502">
        <f t="shared" ca="1" si="236"/>
        <v>0.26</v>
      </c>
      <c r="Y502">
        <f t="shared" ca="1" si="237"/>
        <v>4.9056603773584909E-2</v>
      </c>
      <c r="Z502">
        <f t="shared" ca="1" si="238"/>
        <v>196.15384615384616</v>
      </c>
      <c r="AA502">
        <f t="shared" ca="1" si="239"/>
        <v>632.43599999999992</v>
      </c>
      <c r="AB502">
        <f t="shared" ca="1" si="240"/>
        <v>2593.513031648662</v>
      </c>
      <c r="AC502">
        <f t="shared" ca="1" si="241"/>
        <v>482.07306851378365</v>
      </c>
      <c r="AD502">
        <f t="shared" ca="1" si="242"/>
        <v>280.07692026646265</v>
      </c>
      <c r="AE502">
        <f t="shared" ca="1" si="243"/>
        <v>1019.7665564573041</v>
      </c>
      <c r="AF502">
        <f t="shared" ca="1" si="244"/>
        <v>481.59049544525351</v>
      </c>
      <c r="AG502">
        <f t="shared" ca="1" si="245"/>
        <v>0</v>
      </c>
      <c r="AH502">
        <f ca="1">IF(V32="Supercritical",L502,IF(V32="Subcritical",W502,IF(AND(V502=1,AG502=1),IF(T502&gt;=AE502,L502,W502),IF(V502=1,L502,IF(AG502=1,W502,MAX($D$16,POWER((ABS(K502)^2)/($I$5*MAX(F502,0.1)^2),1/3)))))))</f>
        <v>2.1403668656741068</v>
      </c>
      <c r="AI502">
        <f t="shared" ca="1" si="246"/>
        <v>634.52636686567405</v>
      </c>
      <c r="AJ502">
        <f t="shared" ca="1" si="247"/>
        <v>635.59655029851115</v>
      </c>
      <c r="AM502">
        <v>0</v>
      </c>
      <c r="AN502">
        <v>0</v>
      </c>
      <c r="AO502">
        <f t="shared" si="248"/>
        <v>0</v>
      </c>
      <c r="AP502">
        <f t="shared" si="257"/>
        <v>0</v>
      </c>
      <c r="AQ502">
        <f t="shared" ca="1" si="249"/>
        <v>0.99999999999999978</v>
      </c>
      <c r="AR502" t="str">
        <f t="shared" ca="1" si="250"/>
        <v>Supercritical</v>
      </c>
      <c r="AS502">
        <f t="shared" ca="1" si="251"/>
        <v>3.8148159832266538E-3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191</v>
      </c>
      <c r="I503">
        <v>0</v>
      </c>
      <c r="J503">
        <f t="shared" si="252"/>
        <v>0.9989999999999668</v>
      </c>
      <c r="K503">
        <f t="shared" si="253"/>
        <v>51</v>
      </c>
      <c r="L503">
        <f t="shared" ca="1" si="254"/>
        <v>0.05</v>
      </c>
      <c r="M503">
        <f t="shared" ca="1" si="227"/>
        <v>0.26</v>
      </c>
      <c r="N503">
        <f t="shared" ca="1" si="228"/>
        <v>4.9056603773584909E-2</v>
      </c>
      <c r="O503">
        <f t="shared" ca="1" si="229"/>
        <v>196.15384615384616</v>
      </c>
      <c r="P503">
        <f t="shared" ca="1" si="230"/>
        <v>632.43549999999993</v>
      </c>
      <c r="Q503">
        <f t="shared" ca="1" si="231"/>
        <v>2593.5125316486619</v>
      </c>
      <c r="R503">
        <f t="shared" ca="1" si="232"/>
        <v>482.07306851378365</v>
      </c>
      <c r="S503">
        <f t="shared" ca="1" si="233"/>
        <v>280.07692026646265</v>
      </c>
      <c r="T503">
        <f t="shared" ca="1" si="234"/>
        <v>1019.7665564573041</v>
      </c>
      <c r="U503">
        <f t="shared" ca="1" si="255"/>
        <v>-481.59049544525351</v>
      </c>
      <c r="V503">
        <f t="shared" ca="1" si="256"/>
        <v>0</v>
      </c>
      <c r="W503">
        <f t="shared" ca="1" si="235"/>
        <v>0.05</v>
      </c>
      <c r="X503">
        <f t="shared" ca="1" si="236"/>
        <v>0.26</v>
      </c>
      <c r="Y503">
        <f t="shared" ca="1" si="237"/>
        <v>4.9056603773584909E-2</v>
      </c>
      <c r="Z503">
        <f t="shared" ca="1" si="238"/>
        <v>196.15384615384616</v>
      </c>
      <c r="AA503">
        <f t="shared" ca="1" si="239"/>
        <v>632.43549999999993</v>
      </c>
      <c r="AB503">
        <f t="shared" ca="1" si="240"/>
        <v>2593.5125316486619</v>
      </c>
      <c r="AC503">
        <f t="shared" ca="1" si="241"/>
        <v>482.07306851378365</v>
      </c>
      <c r="AD503">
        <f t="shared" ca="1" si="242"/>
        <v>280.07692026646265</v>
      </c>
      <c r="AE503">
        <f t="shared" ca="1" si="243"/>
        <v>1019.7665564573041</v>
      </c>
      <c r="AF503">
        <f t="shared" ca="1" si="244"/>
        <v>482.16081698020798</v>
      </c>
      <c r="AG503">
        <f t="shared" ca="1" si="245"/>
        <v>0</v>
      </c>
      <c r="AH503">
        <f ca="1">IF(V32="Supercritical",L503,IF(V32="Subcritical",W503,IF(AND(V503=1,AG503=1),IF(T503&gt;=AE503,L503,W503),IF(V503=1,L503,IF(AG503=1,W503,MAX($D$16,POWER((ABS(K503)^2)/($I$5*MAX(F503,0.1)^2),1/3)))))))</f>
        <v>2.1403668656741068</v>
      </c>
      <c r="AI503">
        <f t="shared" ca="1" si="246"/>
        <v>634.52586686567406</v>
      </c>
      <c r="AJ503">
        <f t="shared" ca="1" si="247"/>
        <v>635.59605029851116</v>
      </c>
      <c r="AM503">
        <v>0</v>
      </c>
      <c r="AN503">
        <v>0</v>
      </c>
      <c r="AO503">
        <f t="shared" si="248"/>
        <v>0</v>
      </c>
      <c r="AP503">
        <f t="shared" si="257"/>
        <v>0</v>
      </c>
      <c r="AQ503">
        <f t="shared" ca="1" si="249"/>
        <v>0.99999999999999978</v>
      </c>
      <c r="AR503" t="str">
        <f t="shared" ca="1" si="250"/>
        <v>Supercritical</v>
      </c>
      <c r="AS503">
        <f t="shared" ca="1" si="251"/>
        <v>3.8148159832266538E-3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191</v>
      </c>
      <c r="I504">
        <v>2.7E-2</v>
      </c>
      <c r="J504">
        <f t="shared" si="252"/>
        <v>1</v>
      </c>
      <c r="K504">
        <f t="shared" si="253"/>
        <v>51</v>
      </c>
      <c r="L504">
        <f t="shared" ca="1" si="254"/>
        <v>0.05</v>
      </c>
      <c r="M504">
        <f t="shared" ca="1" si="227"/>
        <v>0.26</v>
      </c>
      <c r="N504">
        <f t="shared" ca="1" si="228"/>
        <v>4.9056603773584909E-2</v>
      </c>
      <c r="O504">
        <f t="shared" ca="1" si="229"/>
        <v>196.15384615384616</v>
      </c>
      <c r="P504">
        <f t="shared" ca="1" si="230"/>
        <v>632.43499999999995</v>
      </c>
      <c r="Q504">
        <f t="shared" ca="1" si="231"/>
        <v>2593.5120316486618</v>
      </c>
      <c r="R504">
        <f t="shared" ca="1" si="232"/>
        <v>482.07306851378365</v>
      </c>
      <c r="S504">
        <f t="shared" ca="1" si="233"/>
        <v>280.07692026646265</v>
      </c>
      <c r="T504">
        <f t="shared" ca="1" si="234"/>
        <v>1019.7665564573041</v>
      </c>
      <c r="U504">
        <f t="shared" ca="1" si="255"/>
        <v>-482.16081698020798</v>
      </c>
      <c r="V504">
        <f t="shared" ca="1" si="256"/>
        <v>0</v>
      </c>
      <c r="W504">
        <f t="shared" ca="1" si="235"/>
        <v>0.05</v>
      </c>
      <c r="X504">
        <f t="shared" ca="1" si="236"/>
        <v>0.26</v>
      </c>
      <c r="Y504">
        <f t="shared" ca="1" si="237"/>
        <v>4.9056603773584909E-2</v>
      </c>
      <c r="Z504">
        <f t="shared" ca="1" si="238"/>
        <v>196.15384615384616</v>
      </c>
      <c r="AA504">
        <f t="shared" ca="1" si="239"/>
        <v>632.43499999999995</v>
      </c>
      <c r="AB504">
        <f t="shared" ca="1" si="240"/>
        <v>2593.5120316486618</v>
      </c>
      <c r="AC504">
        <f t="shared" ca="1" si="241"/>
        <v>482.07306851378365</v>
      </c>
      <c r="AD504">
        <f t="shared" ca="1" si="242"/>
        <v>280.07692026646265</v>
      </c>
      <c r="AE504">
        <f t="shared" ca="1" si="243"/>
        <v>1019.7665564573041</v>
      </c>
      <c r="AF504">
        <f t="shared" ca="1" si="244"/>
        <v>482.32750852789832</v>
      </c>
      <c r="AG504">
        <f t="shared" ca="1" si="245"/>
        <v>0</v>
      </c>
      <c r="AH504">
        <f ca="1">IF(V32="Supercritical",L504,IF(V32="Subcritical",W504,IF(AND(V504=1,AG504=1),IF(T504&gt;=AE504,L504,W504),IF(V504=1,L504,IF(AG504=1,W504,MAX($D$16,POWER((ABS(K504)^2)/($I$5*MAX(F504,0.1)^2),1/3)))))))</f>
        <v>2.1403668656741068</v>
      </c>
      <c r="AI504">
        <f t="shared" ca="1" si="246"/>
        <v>634.52536686567407</v>
      </c>
      <c r="AJ504">
        <f t="shared" ca="1" si="247"/>
        <v>635.59555029851117</v>
      </c>
      <c r="AM504">
        <v>0</v>
      </c>
      <c r="AN504">
        <v>0</v>
      </c>
      <c r="AO504">
        <f t="shared" si="248"/>
        <v>0</v>
      </c>
      <c r="AP504">
        <f t="shared" si="257"/>
        <v>0</v>
      </c>
      <c r="AQ504">
        <f t="shared" ca="1" si="249"/>
        <v>0.99999999999999978</v>
      </c>
      <c r="AR504" t="str">
        <f t="shared" ca="1" si="250"/>
        <v>Supercritical</v>
      </c>
      <c r="AS504">
        <f t="shared" ca="1" si="251"/>
        <v>3.8148159832266538E-3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191</v>
      </c>
      <c r="I505">
        <v>7.8E-2</v>
      </c>
      <c r="J505">
        <f t="shared" si="252"/>
        <v>1</v>
      </c>
      <c r="K505">
        <f t="shared" si="253"/>
        <v>51</v>
      </c>
      <c r="L505">
        <f t="shared" ca="1" si="254"/>
        <v>0.05</v>
      </c>
      <c r="M505">
        <f t="shared" ca="1" si="227"/>
        <v>0.26</v>
      </c>
      <c r="N505">
        <f t="shared" ca="1" si="228"/>
        <v>4.9056603773584909E-2</v>
      </c>
      <c r="O505">
        <f t="shared" ca="1" si="229"/>
        <v>196.15384615384616</v>
      </c>
      <c r="P505">
        <f t="shared" ca="1" si="230"/>
        <v>632.43449999999996</v>
      </c>
      <c r="Q505">
        <f t="shared" ca="1" si="231"/>
        <v>2593.5115316486622</v>
      </c>
      <c r="R505">
        <f t="shared" ca="1" si="232"/>
        <v>482.07306851378365</v>
      </c>
      <c r="S505">
        <f t="shared" ca="1" si="233"/>
        <v>280.07692026646265</v>
      </c>
      <c r="T505">
        <f t="shared" ca="1" si="234"/>
        <v>1019.7665564573041</v>
      </c>
      <c r="U505">
        <f t="shared" ca="1" si="255"/>
        <v>-482.32750852789832</v>
      </c>
      <c r="V505">
        <f t="shared" ca="1" si="256"/>
        <v>0</v>
      </c>
      <c r="W505">
        <f t="shared" ca="1" si="235"/>
        <v>0.05</v>
      </c>
      <c r="X505">
        <f t="shared" ca="1" si="236"/>
        <v>0.26</v>
      </c>
      <c r="Y505">
        <f t="shared" ca="1" si="237"/>
        <v>4.9056603773584909E-2</v>
      </c>
      <c r="Z505">
        <f t="shared" ca="1" si="238"/>
        <v>196.15384615384616</v>
      </c>
      <c r="AA505">
        <f t="shared" ca="1" si="239"/>
        <v>632.43449999999996</v>
      </c>
      <c r="AB505">
        <f t="shared" ca="1" si="240"/>
        <v>2593.5115316486622</v>
      </c>
      <c r="AC505">
        <f t="shared" ca="1" si="241"/>
        <v>482.07306851378365</v>
      </c>
      <c r="AD505">
        <f t="shared" ca="1" si="242"/>
        <v>280.07692026646265</v>
      </c>
      <c r="AE505">
        <f t="shared" ca="1" si="243"/>
        <v>1019.7665564573041</v>
      </c>
      <c r="AF505">
        <f t="shared" ca="1" si="244"/>
        <v>482.32750852789786</v>
      </c>
      <c r="AG505">
        <f t="shared" ca="1" si="245"/>
        <v>0</v>
      </c>
      <c r="AH505">
        <f ca="1">IF(V32="Supercritical",L505,IF(V32="Subcritical",W505,IF(AND(V505=1,AG505=1),IF(T505&gt;=AE505,L505,W505),IF(V505=1,L505,IF(AG505=1,W505,MAX($D$16,POWER((ABS(K505)^2)/($I$5*MAX(F505,0.1)^2),1/3)))))))</f>
        <v>2.1403668656741068</v>
      </c>
      <c r="AI505">
        <f t="shared" ca="1" si="246"/>
        <v>634.52486686567408</v>
      </c>
      <c r="AJ505">
        <f t="shared" ca="1" si="247"/>
        <v>635.59505029851118</v>
      </c>
      <c r="AM505">
        <v>0</v>
      </c>
      <c r="AN505">
        <v>0</v>
      </c>
      <c r="AO505">
        <f t="shared" si="248"/>
        <v>0</v>
      </c>
      <c r="AP505">
        <f t="shared" si="257"/>
        <v>0</v>
      </c>
      <c r="AQ505">
        <f t="shared" ca="1" si="249"/>
        <v>0.99999999999999978</v>
      </c>
      <c r="AR505" t="str">
        <f t="shared" ca="1" si="250"/>
        <v>Supercritical</v>
      </c>
      <c r="AS505">
        <f t="shared" ca="1" si="251"/>
        <v>3.8148159832266538E-3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191</v>
      </c>
      <c r="I506">
        <v>7.8E-2</v>
      </c>
      <c r="J506">
        <f t="shared" si="252"/>
        <v>1</v>
      </c>
      <c r="K506">
        <f t="shared" si="253"/>
        <v>51</v>
      </c>
      <c r="L506">
        <f t="shared" ca="1" si="254"/>
        <v>0.05</v>
      </c>
      <c r="M506">
        <f t="shared" ca="1" si="227"/>
        <v>0.26</v>
      </c>
      <c r="N506">
        <f t="shared" ca="1" si="228"/>
        <v>4.9056603773584909E-2</v>
      </c>
      <c r="O506">
        <f t="shared" ca="1" si="229"/>
        <v>196.15384615384616</v>
      </c>
      <c r="P506">
        <f t="shared" ca="1" si="230"/>
        <v>632.43399999999997</v>
      </c>
      <c r="Q506">
        <f t="shared" ca="1" si="231"/>
        <v>2593.5110316486621</v>
      </c>
      <c r="R506">
        <f t="shared" ca="1" si="232"/>
        <v>482.07306851378365</v>
      </c>
      <c r="S506">
        <f t="shared" ca="1" si="233"/>
        <v>280.07692026646265</v>
      </c>
      <c r="T506">
        <f t="shared" ca="1" si="234"/>
        <v>1019.7665564573041</v>
      </c>
      <c r="U506">
        <f t="shared" ca="1" si="255"/>
        <v>-482.32750852789786</v>
      </c>
      <c r="V506">
        <f t="shared" ca="1" si="256"/>
        <v>0</v>
      </c>
      <c r="W506">
        <f t="shared" ca="1" si="235"/>
        <v>0.05</v>
      </c>
      <c r="X506">
        <f t="shared" ca="1" si="236"/>
        <v>0.26</v>
      </c>
      <c r="Y506">
        <f t="shared" ca="1" si="237"/>
        <v>4.9056603773584909E-2</v>
      </c>
      <c r="Z506">
        <f t="shared" ca="1" si="238"/>
        <v>196.15384615384616</v>
      </c>
      <c r="AA506">
        <f t="shared" ca="1" si="239"/>
        <v>632.43399999999997</v>
      </c>
      <c r="AB506">
        <f t="shared" ca="1" si="240"/>
        <v>2593.5110316486621</v>
      </c>
      <c r="AC506">
        <f t="shared" ca="1" si="241"/>
        <v>482.07306851378365</v>
      </c>
      <c r="AD506">
        <f t="shared" ca="1" si="242"/>
        <v>280.07692026646265</v>
      </c>
      <c r="AE506">
        <f t="shared" ca="1" si="243"/>
        <v>1019.7665564573041</v>
      </c>
      <c r="AF506">
        <f t="shared" ca="1" si="244"/>
        <v>482.64289004873763</v>
      </c>
      <c r="AG506">
        <f t="shared" ca="1" si="245"/>
        <v>0</v>
      </c>
      <c r="AH506">
        <f ca="1">IF(V32="Supercritical",L506,IF(V32="Subcritical",W506,IF(AND(V506=1,AG506=1),IF(T506&gt;=AE506,L506,W506),IF(V506=1,L506,IF(AG506=1,W506,MAX($D$16,POWER((ABS(K506)^2)/($I$5*MAX(F506,0.1)^2),1/3)))))))</f>
        <v>2.1403668656741068</v>
      </c>
      <c r="AI506">
        <f t="shared" ca="1" si="246"/>
        <v>634.5243668656741</v>
      </c>
      <c r="AJ506">
        <f t="shared" ca="1" si="247"/>
        <v>635.59455029851119</v>
      </c>
      <c r="AM506">
        <v>0</v>
      </c>
      <c r="AN506">
        <v>0</v>
      </c>
      <c r="AO506">
        <f t="shared" si="248"/>
        <v>0</v>
      </c>
      <c r="AP506">
        <f t="shared" si="257"/>
        <v>0</v>
      </c>
      <c r="AQ506">
        <f t="shared" ca="1" si="249"/>
        <v>0.99999999999999978</v>
      </c>
      <c r="AR506" t="str">
        <f t="shared" ca="1" si="250"/>
        <v>Supercritical</v>
      </c>
      <c r="AS506">
        <f t="shared" ca="1" si="251"/>
        <v>3.8148159832266538E-3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191</v>
      </c>
      <c r="I507">
        <v>2.7E-2</v>
      </c>
      <c r="J507">
        <f t="shared" si="252"/>
        <v>1.0010000000000332</v>
      </c>
      <c r="K507">
        <f t="shared" si="253"/>
        <v>51</v>
      </c>
      <c r="L507">
        <f t="shared" ca="1" si="254"/>
        <v>0.05</v>
      </c>
      <c r="M507">
        <f t="shared" ca="1" si="227"/>
        <v>0.26</v>
      </c>
      <c r="N507">
        <f t="shared" ca="1" si="228"/>
        <v>4.9056603773584909E-2</v>
      </c>
      <c r="O507">
        <f t="shared" ca="1" si="229"/>
        <v>196.15384615384616</v>
      </c>
      <c r="P507">
        <f t="shared" ca="1" si="230"/>
        <v>632.43349999999998</v>
      </c>
      <c r="Q507">
        <f t="shared" ca="1" si="231"/>
        <v>2593.510531648662</v>
      </c>
      <c r="R507">
        <f t="shared" ca="1" si="232"/>
        <v>482.07306851378365</v>
      </c>
      <c r="S507">
        <f t="shared" ca="1" si="233"/>
        <v>280.07692026646265</v>
      </c>
      <c r="T507">
        <f t="shared" ca="1" si="234"/>
        <v>1019.7665564573041</v>
      </c>
      <c r="U507">
        <f t="shared" ca="1" si="255"/>
        <v>-482.64289004873763</v>
      </c>
      <c r="V507">
        <f t="shared" ca="1" si="256"/>
        <v>0</v>
      </c>
      <c r="W507">
        <f t="shared" ca="1" si="235"/>
        <v>0.05</v>
      </c>
      <c r="X507">
        <f t="shared" ca="1" si="236"/>
        <v>0.26</v>
      </c>
      <c r="Y507">
        <f t="shared" ca="1" si="237"/>
        <v>4.9056603773584909E-2</v>
      </c>
      <c r="Z507">
        <f t="shared" ca="1" si="238"/>
        <v>196.15384615384616</v>
      </c>
      <c r="AA507">
        <f t="shared" ca="1" si="239"/>
        <v>632.43349999999998</v>
      </c>
      <c r="AB507">
        <f t="shared" ca="1" si="240"/>
        <v>2593.510531648662</v>
      </c>
      <c r="AC507">
        <f t="shared" ca="1" si="241"/>
        <v>482.07306851378365</v>
      </c>
      <c r="AD507">
        <f t="shared" ca="1" si="242"/>
        <v>280.07692026646265</v>
      </c>
      <c r="AE507">
        <f t="shared" ca="1" si="243"/>
        <v>1019.7665564573041</v>
      </c>
      <c r="AF507">
        <f t="shared" ca="1" si="244"/>
        <v>481.59049544525396</v>
      </c>
      <c r="AG507">
        <f t="shared" ca="1" si="245"/>
        <v>0</v>
      </c>
      <c r="AH507">
        <f ca="1">IF(V32="Supercritical",L507,IF(V32="Subcritical",W507,IF(AND(V507=1,AG507=1),IF(T507&gt;=AE507,L507,W507),IF(V507=1,L507,IF(AG507=1,W507,MAX($D$16,POWER((ABS(K507)^2)/($I$5*MAX(F507,0.1)^2),1/3)))))))</f>
        <v>2.1403668656741068</v>
      </c>
      <c r="AI507">
        <f t="shared" ca="1" si="246"/>
        <v>634.52386686567411</v>
      </c>
      <c r="AJ507">
        <f t="shared" ca="1" si="247"/>
        <v>635.59405029851121</v>
      </c>
      <c r="AM507">
        <v>0</v>
      </c>
      <c r="AN507">
        <v>0</v>
      </c>
      <c r="AO507">
        <f t="shared" si="248"/>
        <v>0</v>
      </c>
      <c r="AP507">
        <f t="shared" si="257"/>
        <v>0</v>
      </c>
      <c r="AQ507">
        <f t="shared" ca="1" si="249"/>
        <v>0.99999999999999978</v>
      </c>
      <c r="AR507" t="str">
        <f t="shared" ca="1" si="250"/>
        <v>Supercritical</v>
      </c>
      <c r="AS507">
        <f t="shared" ca="1" si="251"/>
        <v>3.8148159832266538E-3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191</v>
      </c>
      <c r="I508">
        <v>0</v>
      </c>
      <c r="J508">
        <f t="shared" si="252"/>
        <v>0.9989999999999668</v>
      </c>
      <c r="K508">
        <f t="shared" si="253"/>
        <v>51</v>
      </c>
      <c r="L508">
        <f t="shared" ca="1" si="254"/>
        <v>0.05</v>
      </c>
      <c r="M508">
        <f t="shared" ca="1" si="227"/>
        <v>0.26</v>
      </c>
      <c r="N508">
        <f t="shared" ca="1" si="228"/>
        <v>4.9056603773584909E-2</v>
      </c>
      <c r="O508">
        <f t="shared" ca="1" si="229"/>
        <v>196.15384615384616</v>
      </c>
      <c r="P508">
        <f t="shared" ca="1" si="230"/>
        <v>632.43299999999999</v>
      </c>
      <c r="Q508">
        <f t="shared" ca="1" si="231"/>
        <v>2593.5100316486623</v>
      </c>
      <c r="R508">
        <f t="shared" ca="1" si="232"/>
        <v>482.07306851378365</v>
      </c>
      <c r="S508">
        <f t="shared" ca="1" si="233"/>
        <v>280.07692026646265</v>
      </c>
      <c r="T508">
        <f t="shared" ca="1" si="234"/>
        <v>1019.7665564573041</v>
      </c>
      <c r="U508">
        <f t="shared" ca="1" si="255"/>
        <v>-481.59049544525442</v>
      </c>
      <c r="V508">
        <f t="shared" ca="1" si="256"/>
        <v>0</v>
      </c>
      <c r="W508">
        <f t="shared" ca="1" si="235"/>
        <v>0.05</v>
      </c>
      <c r="X508">
        <f t="shared" ca="1" si="236"/>
        <v>0.26</v>
      </c>
      <c r="Y508">
        <f t="shared" ca="1" si="237"/>
        <v>4.9056603773584909E-2</v>
      </c>
      <c r="Z508">
        <f t="shared" ca="1" si="238"/>
        <v>196.15384615384616</v>
      </c>
      <c r="AA508">
        <f t="shared" ca="1" si="239"/>
        <v>632.43299999999999</v>
      </c>
      <c r="AB508">
        <f t="shared" ca="1" si="240"/>
        <v>2593.5100316486623</v>
      </c>
      <c r="AC508">
        <f t="shared" ca="1" si="241"/>
        <v>482.07306851378365</v>
      </c>
      <c r="AD508">
        <f t="shared" ca="1" si="242"/>
        <v>280.07692026646265</v>
      </c>
      <c r="AE508">
        <f t="shared" ca="1" si="243"/>
        <v>1019.7665564573041</v>
      </c>
      <c r="AF508">
        <f t="shared" ca="1" si="244"/>
        <v>482.1477431333301</v>
      </c>
      <c r="AG508">
        <f t="shared" ca="1" si="245"/>
        <v>0</v>
      </c>
      <c r="AH508">
        <f ca="1">IF(V32="Supercritical",L508,IF(V32="Subcritical",W508,IF(AND(V508=1,AG508=1),IF(T508&gt;=AE508,L508,W508),IF(V508=1,L508,IF(AG508=1,W508,MAX($D$16,POWER((ABS(K508)^2)/($I$5*MAX(F508,0.1)^2),1/3)))))))</f>
        <v>2.1403668656741068</v>
      </c>
      <c r="AI508">
        <f t="shared" ca="1" si="246"/>
        <v>634.52336686567412</v>
      </c>
      <c r="AJ508">
        <f t="shared" ca="1" si="247"/>
        <v>635.59355029851122</v>
      </c>
      <c r="AM508">
        <v>0</v>
      </c>
      <c r="AN508">
        <v>0</v>
      </c>
      <c r="AO508">
        <f t="shared" si="248"/>
        <v>0</v>
      </c>
      <c r="AP508">
        <f t="shared" si="257"/>
        <v>0</v>
      </c>
      <c r="AQ508">
        <f t="shared" ca="1" si="249"/>
        <v>0.99999999999999978</v>
      </c>
      <c r="AR508" t="str">
        <f t="shared" ca="1" si="250"/>
        <v>Supercritical</v>
      </c>
      <c r="AS508">
        <f t="shared" ca="1" si="251"/>
        <v>3.8148159832266538E-3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191</v>
      </c>
      <c r="I509">
        <v>2.3E-2</v>
      </c>
      <c r="J509">
        <f t="shared" si="252"/>
        <v>1</v>
      </c>
      <c r="K509">
        <f t="shared" si="253"/>
        <v>51</v>
      </c>
      <c r="L509">
        <f t="shared" ca="1" si="254"/>
        <v>0.05</v>
      </c>
      <c r="M509">
        <f t="shared" ca="1" si="227"/>
        <v>0.26</v>
      </c>
      <c r="N509">
        <f t="shared" ca="1" si="228"/>
        <v>4.9056603773584909E-2</v>
      </c>
      <c r="O509">
        <f t="shared" ca="1" si="229"/>
        <v>196.15384615384616</v>
      </c>
      <c r="P509">
        <f t="shared" ca="1" si="230"/>
        <v>632.4325</v>
      </c>
      <c r="Q509">
        <f t="shared" ca="1" si="231"/>
        <v>2593.5095316486622</v>
      </c>
      <c r="R509">
        <f t="shared" ca="1" si="232"/>
        <v>482.07306851378365</v>
      </c>
      <c r="S509">
        <f t="shared" ca="1" si="233"/>
        <v>280.07692026646265</v>
      </c>
      <c r="T509">
        <f t="shared" ca="1" si="234"/>
        <v>1019.7665564573041</v>
      </c>
      <c r="U509">
        <f t="shared" ca="1" si="255"/>
        <v>-482.1477431333301</v>
      </c>
      <c r="V509">
        <f t="shared" ca="1" si="256"/>
        <v>0</v>
      </c>
      <c r="W509">
        <f t="shared" ca="1" si="235"/>
        <v>0.05</v>
      </c>
      <c r="X509">
        <f t="shared" ca="1" si="236"/>
        <v>0.26</v>
      </c>
      <c r="Y509">
        <f t="shared" ca="1" si="237"/>
        <v>4.9056603773584909E-2</v>
      </c>
      <c r="Z509">
        <f t="shared" ca="1" si="238"/>
        <v>196.15384615384616</v>
      </c>
      <c r="AA509">
        <f t="shared" ca="1" si="239"/>
        <v>632.4325</v>
      </c>
      <c r="AB509">
        <f t="shared" ca="1" si="240"/>
        <v>2593.5095316486622</v>
      </c>
      <c r="AC509">
        <f t="shared" ca="1" si="241"/>
        <v>482.07306851378365</v>
      </c>
      <c r="AD509">
        <f t="shared" ca="1" si="242"/>
        <v>280.07692026646265</v>
      </c>
      <c r="AE509">
        <f t="shared" ca="1" si="243"/>
        <v>1019.7665564573041</v>
      </c>
      <c r="AF509">
        <f t="shared" ca="1" si="244"/>
        <v>482.62981620185974</v>
      </c>
      <c r="AG509">
        <f t="shared" ca="1" si="245"/>
        <v>0</v>
      </c>
      <c r="AH509">
        <f ca="1">IF(V32="Supercritical",L509,IF(V32="Subcritical",W509,IF(AND(V509=1,AG509=1),IF(T509&gt;=AE509,L509,W509),IF(V509=1,L509,IF(AG509=1,W509,MAX($D$16,POWER((ABS(K509)^2)/($I$5*MAX(F509,0.1)^2),1/3)))))))</f>
        <v>2.1403668656741068</v>
      </c>
      <c r="AI509">
        <f t="shared" ca="1" si="246"/>
        <v>634.52286686567413</v>
      </c>
      <c r="AJ509">
        <f t="shared" ca="1" si="247"/>
        <v>635.59305029851123</v>
      </c>
      <c r="AM509">
        <v>0</v>
      </c>
      <c r="AN509">
        <v>0</v>
      </c>
      <c r="AO509">
        <f t="shared" si="248"/>
        <v>0</v>
      </c>
      <c r="AP509">
        <f t="shared" si="257"/>
        <v>0</v>
      </c>
      <c r="AQ509">
        <f t="shared" ca="1" si="249"/>
        <v>0.99999999999999978</v>
      </c>
      <c r="AR509" t="str">
        <f t="shared" ca="1" si="250"/>
        <v>Supercritical</v>
      </c>
      <c r="AS509">
        <f t="shared" ca="1" si="251"/>
        <v>3.8148159832266538E-3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191</v>
      </c>
      <c r="I510">
        <v>2.3E-2</v>
      </c>
      <c r="J510">
        <f t="shared" si="252"/>
        <v>1.0010000000000332</v>
      </c>
      <c r="K510">
        <f t="shared" si="253"/>
        <v>51</v>
      </c>
      <c r="L510">
        <f t="shared" ca="1" si="254"/>
        <v>0.05</v>
      </c>
      <c r="M510">
        <f t="shared" ca="1" si="227"/>
        <v>0.26</v>
      </c>
      <c r="N510">
        <f t="shared" ca="1" si="228"/>
        <v>4.9056603773584909E-2</v>
      </c>
      <c r="O510">
        <f t="shared" ca="1" si="229"/>
        <v>196.15384615384616</v>
      </c>
      <c r="P510">
        <f t="shared" ca="1" si="230"/>
        <v>632.4319999999999</v>
      </c>
      <c r="Q510">
        <f t="shared" ca="1" si="231"/>
        <v>2593.5090316486621</v>
      </c>
      <c r="R510">
        <f t="shared" ca="1" si="232"/>
        <v>482.07306851378365</v>
      </c>
      <c r="S510">
        <f t="shared" ca="1" si="233"/>
        <v>280.07692026646265</v>
      </c>
      <c r="T510">
        <f t="shared" ca="1" si="234"/>
        <v>1019.7665564573041</v>
      </c>
      <c r="U510">
        <f t="shared" ca="1" si="255"/>
        <v>-482.62981620185974</v>
      </c>
      <c r="V510">
        <f t="shared" ca="1" si="256"/>
        <v>0</v>
      </c>
      <c r="W510">
        <f t="shared" ca="1" si="235"/>
        <v>0.05</v>
      </c>
      <c r="X510">
        <f t="shared" ca="1" si="236"/>
        <v>0.26</v>
      </c>
      <c r="Y510">
        <f t="shared" ca="1" si="237"/>
        <v>4.9056603773584909E-2</v>
      </c>
      <c r="Z510">
        <f t="shared" ca="1" si="238"/>
        <v>196.15384615384616</v>
      </c>
      <c r="AA510">
        <f t="shared" ca="1" si="239"/>
        <v>632.4319999999999</v>
      </c>
      <c r="AB510">
        <f t="shared" ca="1" si="240"/>
        <v>2593.5090316486621</v>
      </c>
      <c r="AC510">
        <f t="shared" ca="1" si="241"/>
        <v>482.07306851378365</v>
      </c>
      <c r="AD510">
        <f t="shared" ca="1" si="242"/>
        <v>280.07692026646265</v>
      </c>
      <c r="AE510">
        <f t="shared" ca="1" si="243"/>
        <v>1019.7665564573041</v>
      </c>
      <c r="AF510">
        <f t="shared" ca="1" si="244"/>
        <v>481.67874391167788</v>
      </c>
      <c r="AG510">
        <f t="shared" ca="1" si="245"/>
        <v>0</v>
      </c>
      <c r="AH510">
        <f ca="1">IF(V32="Supercritical",L510,IF(V32="Subcritical",W510,IF(AND(V510=1,AG510=1),IF(T510&gt;=AE510,L510,W510),IF(V510=1,L510,IF(AG510=1,W510,MAX($D$16,POWER((ABS(K510)^2)/($I$5*MAX(F510,0.1)^2),1/3)))))))</f>
        <v>2.1403668656741068</v>
      </c>
      <c r="AI510">
        <f t="shared" ca="1" si="246"/>
        <v>634.52236686567403</v>
      </c>
      <c r="AJ510">
        <f t="shared" ca="1" si="247"/>
        <v>635.59255029851113</v>
      </c>
      <c r="AM510">
        <v>0</v>
      </c>
      <c r="AN510">
        <v>0</v>
      </c>
      <c r="AO510">
        <f t="shared" si="248"/>
        <v>0</v>
      </c>
      <c r="AP510">
        <f t="shared" si="257"/>
        <v>0</v>
      </c>
      <c r="AQ510">
        <f t="shared" ca="1" si="249"/>
        <v>0.99999999999999978</v>
      </c>
      <c r="AR510" t="str">
        <f t="shared" ca="1" si="250"/>
        <v>Supercritical</v>
      </c>
      <c r="AS510">
        <f t="shared" ca="1" si="251"/>
        <v>3.8148159832266538E-3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191</v>
      </c>
      <c r="I511">
        <v>2.7E-2</v>
      </c>
      <c r="J511">
        <f t="shared" si="252"/>
        <v>0.9989999999999668</v>
      </c>
      <c r="K511">
        <f t="shared" si="253"/>
        <v>51</v>
      </c>
      <c r="L511">
        <f t="shared" ca="1" si="254"/>
        <v>0.05</v>
      </c>
      <c r="M511">
        <f t="shared" ca="1" si="227"/>
        <v>0.26</v>
      </c>
      <c r="N511">
        <f t="shared" ca="1" si="228"/>
        <v>4.9056603773584909E-2</v>
      </c>
      <c r="O511">
        <f t="shared" ca="1" si="229"/>
        <v>196.15384615384616</v>
      </c>
      <c r="P511">
        <f t="shared" ca="1" si="230"/>
        <v>632.43149999999991</v>
      </c>
      <c r="Q511">
        <f t="shared" ca="1" si="231"/>
        <v>2593.508531648662</v>
      </c>
      <c r="R511">
        <f t="shared" ca="1" si="232"/>
        <v>482.07306851378365</v>
      </c>
      <c r="S511">
        <f t="shared" ca="1" si="233"/>
        <v>280.07692026646265</v>
      </c>
      <c r="T511">
        <f t="shared" ca="1" si="234"/>
        <v>1019.7665564573041</v>
      </c>
      <c r="U511">
        <f t="shared" ca="1" si="255"/>
        <v>-481.67874391167788</v>
      </c>
      <c r="V511">
        <f t="shared" ca="1" si="256"/>
        <v>0</v>
      </c>
      <c r="W511">
        <f t="shared" ca="1" si="235"/>
        <v>0.05</v>
      </c>
      <c r="X511">
        <f t="shared" ca="1" si="236"/>
        <v>0.26</v>
      </c>
      <c r="Y511">
        <f t="shared" ca="1" si="237"/>
        <v>4.9056603773584909E-2</v>
      </c>
      <c r="Z511">
        <f t="shared" ca="1" si="238"/>
        <v>196.15384615384616</v>
      </c>
      <c r="AA511">
        <f t="shared" ca="1" si="239"/>
        <v>632.43149999999991</v>
      </c>
      <c r="AB511">
        <f t="shared" ca="1" si="240"/>
        <v>2593.508531648662</v>
      </c>
      <c r="AC511">
        <f t="shared" ca="1" si="241"/>
        <v>482.07306851378365</v>
      </c>
      <c r="AD511">
        <f t="shared" ca="1" si="242"/>
        <v>280.07692026646265</v>
      </c>
      <c r="AE511">
        <f t="shared" ca="1" si="243"/>
        <v>1019.7665564573041</v>
      </c>
      <c r="AF511">
        <f t="shared" ca="1" si="244"/>
        <v>482.64289004873763</v>
      </c>
      <c r="AG511">
        <f t="shared" ca="1" si="245"/>
        <v>0</v>
      </c>
      <c r="AH511">
        <f ca="1">IF(V32="Supercritical",L511,IF(V32="Subcritical",W511,IF(AND(V511=1,AG511=1),IF(T511&gt;=AE511,L511,W511),IF(V511=1,L511,IF(AG511=1,W511,MAX($D$16,POWER((ABS(K511)^2)/($I$5*MAX(F511,0.1)^2),1/3)))))))</f>
        <v>2.1403668656741068</v>
      </c>
      <c r="AI511">
        <f t="shared" ca="1" si="246"/>
        <v>634.52186686567404</v>
      </c>
      <c r="AJ511">
        <f t="shared" ca="1" si="247"/>
        <v>635.59205029851114</v>
      </c>
      <c r="AM511">
        <v>0</v>
      </c>
      <c r="AN511">
        <v>0</v>
      </c>
      <c r="AO511">
        <f t="shared" si="248"/>
        <v>0</v>
      </c>
      <c r="AP511">
        <f t="shared" si="257"/>
        <v>0</v>
      </c>
      <c r="AQ511">
        <f t="shared" ca="1" si="249"/>
        <v>0.99999999999999978</v>
      </c>
      <c r="AR511" t="str">
        <f t="shared" ca="1" si="250"/>
        <v>Supercritical</v>
      </c>
      <c r="AS511">
        <f t="shared" ca="1" si="251"/>
        <v>3.8148159832266538E-3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191</v>
      </c>
      <c r="I512">
        <v>2.7E-2</v>
      </c>
      <c r="J512">
        <f t="shared" si="252"/>
        <v>1.0010000000000332</v>
      </c>
      <c r="K512">
        <f t="shared" si="253"/>
        <v>51</v>
      </c>
      <c r="L512">
        <f t="shared" ca="1" si="254"/>
        <v>0.05</v>
      </c>
      <c r="M512">
        <f t="shared" ca="1" si="227"/>
        <v>0.26</v>
      </c>
      <c r="N512">
        <f t="shared" ca="1" si="228"/>
        <v>4.9056603773584909E-2</v>
      </c>
      <c r="O512">
        <f t="shared" ca="1" si="229"/>
        <v>196.15384615384616</v>
      </c>
      <c r="P512">
        <f t="shared" ca="1" si="230"/>
        <v>632.43099999999993</v>
      </c>
      <c r="Q512">
        <f t="shared" ca="1" si="231"/>
        <v>2593.5080316486619</v>
      </c>
      <c r="R512">
        <f t="shared" ca="1" si="232"/>
        <v>482.07306851378365</v>
      </c>
      <c r="S512">
        <f t="shared" ca="1" si="233"/>
        <v>280.07692026646265</v>
      </c>
      <c r="T512">
        <f t="shared" ca="1" si="234"/>
        <v>1019.7665564573041</v>
      </c>
      <c r="U512">
        <f t="shared" ca="1" si="255"/>
        <v>-482.64289004873763</v>
      </c>
      <c r="V512">
        <f t="shared" ca="1" si="256"/>
        <v>0</v>
      </c>
      <c r="W512">
        <f t="shared" ca="1" si="235"/>
        <v>0.05</v>
      </c>
      <c r="X512">
        <f t="shared" ca="1" si="236"/>
        <v>0.26</v>
      </c>
      <c r="Y512">
        <f t="shared" ca="1" si="237"/>
        <v>4.9056603773584909E-2</v>
      </c>
      <c r="Z512">
        <f t="shared" ca="1" si="238"/>
        <v>196.15384615384616</v>
      </c>
      <c r="AA512">
        <f t="shared" ca="1" si="239"/>
        <v>632.43099999999993</v>
      </c>
      <c r="AB512">
        <f t="shared" ca="1" si="240"/>
        <v>2593.5080316486619</v>
      </c>
      <c r="AC512">
        <f t="shared" ca="1" si="241"/>
        <v>482.07306851378365</v>
      </c>
      <c r="AD512">
        <f t="shared" ca="1" si="242"/>
        <v>280.07692026646265</v>
      </c>
      <c r="AE512">
        <f t="shared" ca="1" si="243"/>
        <v>1019.7665564573041</v>
      </c>
      <c r="AF512">
        <f t="shared" ca="1" si="244"/>
        <v>481.59049544525351</v>
      </c>
      <c r="AG512">
        <f t="shared" ca="1" si="245"/>
        <v>0</v>
      </c>
      <c r="AH512">
        <f ca="1">IF(V32="Supercritical",L512,IF(V32="Subcritical",W512,IF(AND(V512=1,AG512=1),IF(T512&gt;=AE512,L512,W512),IF(V512=1,L512,IF(AG512=1,W512,MAX($D$16,POWER((ABS(K512)^2)/($I$5*MAX(F512,0.1)^2),1/3)))))))</f>
        <v>2.1403668656741068</v>
      </c>
      <c r="AI512">
        <f t="shared" ca="1" si="246"/>
        <v>634.52136686567405</v>
      </c>
      <c r="AJ512">
        <f t="shared" ca="1" si="247"/>
        <v>635.59155029851115</v>
      </c>
      <c r="AM512">
        <v>0</v>
      </c>
      <c r="AN512">
        <v>0</v>
      </c>
      <c r="AO512">
        <f t="shared" si="248"/>
        <v>0</v>
      </c>
      <c r="AP512">
        <f t="shared" si="257"/>
        <v>0</v>
      </c>
      <c r="AQ512">
        <f t="shared" ca="1" si="249"/>
        <v>0.99999999999999978</v>
      </c>
      <c r="AR512" t="str">
        <f t="shared" ca="1" si="250"/>
        <v>Supercritical</v>
      </c>
      <c r="AS512">
        <f t="shared" ca="1" si="251"/>
        <v>3.8148159832266538E-3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191</v>
      </c>
      <c r="I513">
        <v>0</v>
      </c>
      <c r="J513">
        <f t="shared" si="252"/>
        <v>0.9989999999999668</v>
      </c>
      <c r="K513">
        <f t="shared" si="253"/>
        <v>51</v>
      </c>
      <c r="L513">
        <f t="shared" ca="1" si="254"/>
        <v>0.05</v>
      </c>
      <c r="M513">
        <f t="shared" ca="1" si="227"/>
        <v>0.26</v>
      </c>
      <c r="N513">
        <f t="shared" ca="1" si="228"/>
        <v>4.9056603773584909E-2</v>
      </c>
      <c r="O513">
        <f t="shared" ca="1" si="229"/>
        <v>196.15384615384616</v>
      </c>
      <c r="P513">
        <f t="shared" ca="1" si="230"/>
        <v>632.43049999999994</v>
      </c>
      <c r="Q513">
        <f t="shared" ca="1" si="231"/>
        <v>2593.5075316486618</v>
      </c>
      <c r="R513">
        <f t="shared" ca="1" si="232"/>
        <v>482.07306851378365</v>
      </c>
      <c r="S513">
        <f t="shared" ca="1" si="233"/>
        <v>280.07692026646265</v>
      </c>
      <c r="T513">
        <f t="shared" ca="1" si="234"/>
        <v>1019.7665564573041</v>
      </c>
      <c r="U513">
        <f t="shared" ca="1" si="255"/>
        <v>-481.59049544525351</v>
      </c>
      <c r="V513">
        <f t="shared" ca="1" si="256"/>
        <v>0</v>
      </c>
      <c r="W513">
        <f t="shared" ca="1" si="235"/>
        <v>0.05</v>
      </c>
      <c r="X513">
        <f t="shared" ca="1" si="236"/>
        <v>0.26</v>
      </c>
      <c r="Y513">
        <f t="shared" ca="1" si="237"/>
        <v>4.9056603773584909E-2</v>
      </c>
      <c r="Z513">
        <f t="shared" ca="1" si="238"/>
        <v>196.15384615384616</v>
      </c>
      <c r="AA513">
        <f t="shared" ca="1" si="239"/>
        <v>632.43049999999994</v>
      </c>
      <c r="AB513">
        <f t="shared" ca="1" si="240"/>
        <v>2593.5075316486618</v>
      </c>
      <c r="AC513">
        <f t="shared" ca="1" si="241"/>
        <v>482.07306851378365</v>
      </c>
      <c r="AD513">
        <f t="shared" ca="1" si="242"/>
        <v>280.07692026646265</v>
      </c>
      <c r="AE513">
        <f t="shared" ca="1" si="243"/>
        <v>1019.7665564573041</v>
      </c>
      <c r="AF513">
        <f t="shared" ca="1" si="244"/>
        <v>482.14774313333055</v>
      </c>
      <c r="AG513">
        <f t="shared" ca="1" si="245"/>
        <v>0</v>
      </c>
      <c r="AH513">
        <f ca="1">IF(V32="Supercritical",L513,IF(V32="Subcritical",W513,IF(AND(V513=1,AG513=1),IF(T513&gt;=AE513,L513,W513),IF(V513=1,L513,IF(AG513=1,W513,MAX($D$16,POWER((ABS(K513)^2)/($I$5*MAX(F513,0.1)^2),1/3)))))))</f>
        <v>2.1403668656741068</v>
      </c>
      <c r="AI513">
        <f t="shared" ca="1" si="246"/>
        <v>634.52086686567407</v>
      </c>
      <c r="AJ513">
        <f t="shared" ca="1" si="247"/>
        <v>635.59105029851116</v>
      </c>
      <c r="AM513">
        <v>0</v>
      </c>
      <c r="AN513">
        <v>0</v>
      </c>
      <c r="AO513">
        <f t="shared" si="248"/>
        <v>0</v>
      </c>
      <c r="AP513">
        <f t="shared" si="257"/>
        <v>0</v>
      </c>
      <c r="AQ513">
        <f t="shared" ca="1" si="249"/>
        <v>0.99999999999999978</v>
      </c>
      <c r="AR513" t="str">
        <f t="shared" ca="1" si="250"/>
        <v>Supercritical</v>
      </c>
      <c r="AS513">
        <f t="shared" ca="1" si="251"/>
        <v>3.8148159832266538E-3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191</v>
      </c>
      <c r="I514">
        <v>2.3E-2</v>
      </c>
      <c r="J514">
        <f t="shared" si="252"/>
        <v>1</v>
      </c>
      <c r="K514">
        <f t="shared" si="253"/>
        <v>51</v>
      </c>
      <c r="L514">
        <f t="shared" ca="1" si="254"/>
        <v>0.05</v>
      </c>
      <c r="M514">
        <f t="shared" ca="1" si="227"/>
        <v>0.26</v>
      </c>
      <c r="N514">
        <f t="shared" ca="1" si="228"/>
        <v>4.9056603773584909E-2</v>
      </c>
      <c r="O514">
        <f t="shared" ca="1" si="229"/>
        <v>196.15384615384616</v>
      </c>
      <c r="P514">
        <f t="shared" ca="1" si="230"/>
        <v>632.42999999999995</v>
      </c>
      <c r="Q514">
        <f t="shared" ca="1" si="231"/>
        <v>2593.5070316486622</v>
      </c>
      <c r="R514">
        <f t="shared" ca="1" si="232"/>
        <v>482.07306851378365</v>
      </c>
      <c r="S514">
        <f t="shared" ca="1" si="233"/>
        <v>280.07692026646265</v>
      </c>
      <c r="T514">
        <f t="shared" ca="1" si="234"/>
        <v>1019.7665564573041</v>
      </c>
      <c r="U514">
        <f t="shared" ca="1" si="255"/>
        <v>-482.14774313333055</v>
      </c>
      <c r="V514">
        <f t="shared" ca="1" si="256"/>
        <v>0</v>
      </c>
      <c r="W514">
        <f t="shared" ca="1" si="235"/>
        <v>0.05</v>
      </c>
      <c r="X514">
        <f t="shared" ca="1" si="236"/>
        <v>0.26</v>
      </c>
      <c r="Y514">
        <f t="shared" ca="1" si="237"/>
        <v>4.9056603773584909E-2</v>
      </c>
      <c r="Z514">
        <f t="shared" ca="1" si="238"/>
        <v>196.15384615384616</v>
      </c>
      <c r="AA514">
        <f t="shared" ca="1" si="239"/>
        <v>632.42999999999995</v>
      </c>
      <c r="AB514">
        <f t="shared" ca="1" si="240"/>
        <v>2593.5070316486622</v>
      </c>
      <c r="AC514">
        <f t="shared" ca="1" si="241"/>
        <v>482.07306851378365</v>
      </c>
      <c r="AD514">
        <f t="shared" ca="1" si="242"/>
        <v>280.07692026646265</v>
      </c>
      <c r="AE514">
        <f t="shared" ca="1" si="243"/>
        <v>1019.7665564573041</v>
      </c>
      <c r="AF514">
        <f t="shared" ca="1" si="244"/>
        <v>482.62981620185974</v>
      </c>
      <c r="AG514">
        <f t="shared" ca="1" si="245"/>
        <v>0</v>
      </c>
      <c r="AH514">
        <f ca="1">IF(V32="Supercritical",L514,IF(V32="Subcritical",W514,IF(AND(V514=1,AG514=1),IF(T514&gt;=AE514,L514,W514),IF(V514=1,L514,IF(AG514=1,W514,MAX($D$16,POWER((ABS(K514)^2)/($I$5*MAX(F514,0.1)^2),1/3)))))))</f>
        <v>2.1403668656741068</v>
      </c>
      <c r="AI514">
        <f t="shared" ca="1" si="246"/>
        <v>634.52036686567408</v>
      </c>
      <c r="AJ514">
        <f t="shared" ca="1" si="247"/>
        <v>635.59055029851118</v>
      </c>
      <c r="AM514">
        <v>0</v>
      </c>
      <c r="AN514">
        <v>0</v>
      </c>
      <c r="AO514">
        <f t="shared" si="248"/>
        <v>0</v>
      </c>
      <c r="AP514">
        <f t="shared" si="257"/>
        <v>0</v>
      </c>
      <c r="AQ514">
        <f t="shared" ca="1" si="249"/>
        <v>0.99999999999999978</v>
      </c>
      <c r="AR514" t="str">
        <f t="shared" ca="1" si="250"/>
        <v>Supercritical</v>
      </c>
      <c r="AS514">
        <f t="shared" ca="1" si="251"/>
        <v>3.8148159832266538E-3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191</v>
      </c>
      <c r="I515">
        <v>2.3E-2</v>
      </c>
      <c r="J515">
        <f t="shared" si="252"/>
        <v>1.0010000000000332</v>
      </c>
      <c r="K515">
        <f t="shared" si="253"/>
        <v>51</v>
      </c>
      <c r="L515">
        <f t="shared" ca="1" si="254"/>
        <v>0.05</v>
      </c>
      <c r="M515">
        <f t="shared" ca="1" si="227"/>
        <v>0.26</v>
      </c>
      <c r="N515">
        <f t="shared" ca="1" si="228"/>
        <v>4.9056603773584909E-2</v>
      </c>
      <c r="O515">
        <f t="shared" ca="1" si="229"/>
        <v>196.15384615384616</v>
      </c>
      <c r="P515">
        <f t="shared" ca="1" si="230"/>
        <v>632.42949999999996</v>
      </c>
      <c r="Q515">
        <f t="shared" ca="1" si="231"/>
        <v>2593.5065316486621</v>
      </c>
      <c r="R515">
        <f t="shared" ca="1" si="232"/>
        <v>482.07306851378365</v>
      </c>
      <c r="S515">
        <f t="shared" ca="1" si="233"/>
        <v>280.07692026646265</v>
      </c>
      <c r="T515">
        <f t="shared" ca="1" si="234"/>
        <v>1019.7665564573041</v>
      </c>
      <c r="U515">
        <f t="shared" ca="1" si="255"/>
        <v>-482.62981620185974</v>
      </c>
      <c r="V515">
        <f t="shared" ca="1" si="256"/>
        <v>0</v>
      </c>
      <c r="W515">
        <f t="shared" ca="1" si="235"/>
        <v>0.05</v>
      </c>
      <c r="X515">
        <f t="shared" ca="1" si="236"/>
        <v>0.26</v>
      </c>
      <c r="Y515">
        <f t="shared" ca="1" si="237"/>
        <v>4.9056603773584909E-2</v>
      </c>
      <c r="Z515">
        <f t="shared" ca="1" si="238"/>
        <v>196.15384615384616</v>
      </c>
      <c r="AA515">
        <f t="shared" ca="1" si="239"/>
        <v>632.42949999999996</v>
      </c>
      <c r="AB515">
        <f t="shared" ca="1" si="240"/>
        <v>2593.5065316486621</v>
      </c>
      <c r="AC515">
        <f t="shared" ca="1" si="241"/>
        <v>482.07306851378365</v>
      </c>
      <c r="AD515">
        <f t="shared" ca="1" si="242"/>
        <v>280.07692026646265</v>
      </c>
      <c r="AE515">
        <f t="shared" ca="1" si="243"/>
        <v>1019.7665564573041</v>
      </c>
      <c r="AF515">
        <f t="shared" ca="1" si="244"/>
        <v>481.67874391167834</v>
      </c>
      <c r="AG515">
        <f t="shared" ca="1" si="245"/>
        <v>0</v>
      </c>
      <c r="AH515">
        <f ca="1">IF(V32="Supercritical",L515,IF(V32="Subcritical",W515,IF(AND(V515=1,AG515=1),IF(T515&gt;=AE515,L515,W515),IF(V515=1,L515,IF(AG515=1,W515,MAX($D$16,POWER((ABS(K515)^2)/($I$5*MAX(F515,0.1)^2),1/3)))))))</f>
        <v>2.1403668656741068</v>
      </c>
      <c r="AI515">
        <f t="shared" ca="1" si="246"/>
        <v>634.51986686567409</v>
      </c>
      <c r="AJ515">
        <f t="shared" ca="1" si="247"/>
        <v>635.59005029851119</v>
      </c>
      <c r="AM515">
        <v>0</v>
      </c>
      <c r="AN515">
        <v>0</v>
      </c>
      <c r="AO515">
        <f t="shared" si="248"/>
        <v>0</v>
      </c>
      <c r="AP515">
        <f t="shared" si="257"/>
        <v>0</v>
      </c>
      <c r="AQ515">
        <f t="shared" ca="1" si="249"/>
        <v>0.99999999999999978</v>
      </c>
      <c r="AR515" t="str">
        <f t="shared" ca="1" si="250"/>
        <v>Supercritical</v>
      </c>
      <c r="AS515">
        <f t="shared" ca="1" si="251"/>
        <v>3.8148159832266538E-3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191</v>
      </c>
      <c r="I516">
        <v>2.7E-2</v>
      </c>
      <c r="J516">
        <f t="shared" si="252"/>
        <v>0.9989999999999668</v>
      </c>
      <c r="K516">
        <f t="shared" si="253"/>
        <v>51</v>
      </c>
      <c r="L516">
        <f t="shared" ca="1" si="254"/>
        <v>0.05</v>
      </c>
      <c r="M516">
        <f t="shared" ca="1" si="227"/>
        <v>0.26</v>
      </c>
      <c r="N516">
        <f t="shared" ca="1" si="228"/>
        <v>4.9056603773584909E-2</v>
      </c>
      <c r="O516">
        <f t="shared" ca="1" si="229"/>
        <v>196.15384615384616</v>
      </c>
      <c r="P516">
        <f t="shared" ca="1" si="230"/>
        <v>632.42899999999997</v>
      </c>
      <c r="Q516">
        <f t="shared" ca="1" si="231"/>
        <v>2593.506031648662</v>
      </c>
      <c r="R516">
        <f t="shared" ca="1" si="232"/>
        <v>482.07306851378365</v>
      </c>
      <c r="S516">
        <f t="shared" ca="1" si="233"/>
        <v>280.07692026646265</v>
      </c>
      <c r="T516">
        <f t="shared" ca="1" si="234"/>
        <v>1019.7665564573041</v>
      </c>
      <c r="U516">
        <f t="shared" ca="1" si="255"/>
        <v>-481.67874391167834</v>
      </c>
      <c r="V516">
        <f t="shared" ca="1" si="256"/>
        <v>0</v>
      </c>
      <c r="W516">
        <f t="shared" ca="1" si="235"/>
        <v>0.05</v>
      </c>
      <c r="X516">
        <f t="shared" ca="1" si="236"/>
        <v>0.26</v>
      </c>
      <c r="Y516">
        <f t="shared" ca="1" si="237"/>
        <v>4.9056603773584909E-2</v>
      </c>
      <c r="Z516">
        <f t="shared" ca="1" si="238"/>
        <v>196.15384615384616</v>
      </c>
      <c r="AA516">
        <f t="shared" ca="1" si="239"/>
        <v>632.42899999999997</v>
      </c>
      <c r="AB516">
        <f t="shared" ca="1" si="240"/>
        <v>2593.506031648662</v>
      </c>
      <c r="AC516">
        <f t="shared" ca="1" si="241"/>
        <v>482.07306851378365</v>
      </c>
      <c r="AD516">
        <f t="shared" ca="1" si="242"/>
        <v>280.07692026646265</v>
      </c>
      <c r="AE516">
        <f t="shared" ca="1" si="243"/>
        <v>1019.7665564573041</v>
      </c>
      <c r="AF516">
        <f t="shared" ca="1" si="244"/>
        <v>482.64289004873808</v>
      </c>
      <c r="AG516">
        <f t="shared" ca="1" si="245"/>
        <v>0</v>
      </c>
      <c r="AH516">
        <f ca="1">IF(V32="Supercritical",L516,IF(V32="Subcritical",W516,IF(AND(V516=1,AG516=1),IF(T516&gt;=AE516,L516,W516),IF(V516=1,L516,IF(AG516=1,W516,MAX($D$16,POWER((ABS(K516)^2)/($I$5*MAX(F516,0.1)^2),1/3)))))))</f>
        <v>2.1403668656741068</v>
      </c>
      <c r="AI516">
        <f t="shared" ca="1" si="246"/>
        <v>634.5193668656741</v>
      </c>
      <c r="AJ516">
        <f t="shared" ca="1" si="247"/>
        <v>635.5895502985112</v>
      </c>
      <c r="AM516">
        <v>0</v>
      </c>
      <c r="AN516">
        <v>0</v>
      </c>
      <c r="AO516">
        <f t="shared" si="248"/>
        <v>0</v>
      </c>
      <c r="AP516">
        <f t="shared" si="257"/>
        <v>0</v>
      </c>
      <c r="AQ516">
        <f t="shared" ca="1" si="249"/>
        <v>0.99999999999999978</v>
      </c>
      <c r="AR516" t="str">
        <f t="shared" ca="1" si="250"/>
        <v>Supercritical</v>
      </c>
      <c r="AS516">
        <f t="shared" ca="1" si="251"/>
        <v>3.8148159832266538E-3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191</v>
      </c>
      <c r="I517">
        <v>2.7E-2</v>
      </c>
      <c r="J517">
        <f t="shared" si="252"/>
        <v>1.0010000000000332</v>
      </c>
      <c r="K517">
        <f t="shared" si="253"/>
        <v>51</v>
      </c>
      <c r="L517">
        <f t="shared" ca="1" si="254"/>
        <v>0.05</v>
      </c>
      <c r="M517">
        <f t="shared" ca="1" si="227"/>
        <v>0.26</v>
      </c>
      <c r="N517">
        <f t="shared" ca="1" si="228"/>
        <v>4.9056603773584909E-2</v>
      </c>
      <c r="O517">
        <f t="shared" ca="1" si="229"/>
        <v>196.15384615384616</v>
      </c>
      <c r="P517">
        <f t="shared" ca="1" si="230"/>
        <v>632.42849999999999</v>
      </c>
      <c r="Q517">
        <f t="shared" ca="1" si="231"/>
        <v>2593.5055316486623</v>
      </c>
      <c r="R517">
        <f t="shared" ca="1" si="232"/>
        <v>482.07306851378365</v>
      </c>
      <c r="S517">
        <f t="shared" ca="1" si="233"/>
        <v>280.07692026646265</v>
      </c>
      <c r="T517">
        <f t="shared" ca="1" si="234"/>
        <v>1019.7665564573041</v>
      </c>
      <c r="U517">
        <f t="shared" ca="1" si="255"/>
        <v>-482.64289004873808</v>
      </c>
      <c r="V517">
        <f t="shared" ca="1" si="256"/>
        <v>0</v>
      </c>
      <c r="W517">
        <f t="shared" ca="1" si="235"/>
        <v>0.05</v>
      </c>
      <c r="X517">
        <f t="shared" ca="1" si="236"/>
        <v>0.26</v>
      </c>
      <c r="Y517">
        <f t="shared" ca="1" si="237"/>
        <v>4.9056603773584909E-2</v>
      </c>
      <c r="Z517">
        <f t="shared" ca="1" si="238"/>
        <v>196.15384615384616</v>
      </c>
      <c r="AA517">
        <f t="shared" ca="1" si="239"/>
        <v>632.42849999999999</v>
      </c>
      <c r="AB517">
        <f t="shared" ca="1" si="240"/>
        <v>2593.5055316486623</v>
      </c>
      <c r="AC517">
        <f t="shared" ca="1" si="241"/>
        <v>482.07306851378365</v>
      </c>
      <c r="AD517">
        <f t="shared" ca="1" si="242"/>
        <v>280.07692026646265</v>
      </c>
      <c r="AE517">
        <f t="shared" ca="1" si="243"/>
        <v>1019.7665564573041</v>
      </c>
      <c r="AF517">
        <f t="shared" ca="1" si="244"/>
        <v>481.75391853122437</v>
      </c>
      <c r="AG517">
        <f t="shared" ca="1" si="245"/>
        <v>0</v>
      </c>
      <c r="AH517">
        <f ca="1">IF(V32="Supercritical",L517,IF(V32="Subcritical",W517,IF(AND(V517=1,AG517=1),IF(T517&gt;=AE517,L517,W517),IF(V517=1,L517,IF(AG517=1,W517,MAX($D$16,POWER((ABS(K517)^2)/($I$5*MAX(F517,0.1)^2),1/3)))))))</f>
        <v>2.1403668656741068</v>
      </c>
      <c r="AI517">
        <f t="shared" ca="1" si="246"/>
        <v>634.51886686567411</v>
      </c>
      <c r="AJ517">
        <f t="shared" ca="1" si="247"/>
        <v>635.58905029851121</v>
      </c>
      <c r="AM517">
        <v>0</v>
      </c>
      <c r="AN517">
        <v>0</v>
      </c>
      <c r="AO517">
        <f t="shared" si="248"/>
        <v>0</v>
      </c>
      <c r="AP517">
        <f t="shared" si="257"/>
        <v>0</v>
      </c>
      <c r="AQ517">
        <f t="shared" ca="1" si="249"/>
        <v>0.99999999999999978</v>
      </c>
      <c r="AR517" t="str">
        <f t="shared" ca="1" si="250"/>
        <v>Supercritical</v>
      </c>
      <c r="AS517">
        <f t="shared" ca="1" si="251"/>
        <v>3.8148159832266538E-3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191</v>
      </c>
      <c r="I518">
        <v>0.05</v>
      </c>
      <c r="J518">
        <f t="shared" si="252"/>
        <v>0.9989999999999668</v>
      </c>
      <c r="K518">
        <f t="shared" si="253"/>
        <v>51</v>
      </c>
      <c r="L518">
        <f t="shared" ca="1" si="254"/>
        <v>0.05</v>
      </c>
      <c r="M518">
        <f t="shared" ca="1" si="227"/>
        <v>0.26</v>
      </c>
      <c r="N518">
        <f t="shared" ca="1" si="228"/>
        <v>4.9056603773584909E-2</v>
      </c>
      <c r="O518">
        <f t="shared" ca="1" si="229"/>
        <v>196.15384615384616</v>
      </c>
      <c r="P518">
        <f t="shared" ca="1" si="230"/>
        <v>632.428</v>
      </c>
      <c r="Q518">
        <f t="shared" ca="1" si="231"/>
        <v>2593.5050316486622</v>
      </c>
      <c r="R518">
        <f t="shared" ca="1" si="232"/>
        <v>482.07306851378365</v>
      </c>
      <c r="S518">
        <f t="shared" ca="1" si="233"/>
        <v>280.07692026646265</v>
      </c>
      <c r="T518">
        <f t="shared" ca="1" si="234"/>
        <v>1019.7665564573041</v>
      </c>
      <c r="U518">
        <f t="shared" ca="1" si="255"/>
        <v>-481.75391853122437</v>
      </c>
      <c r="V518">
        <f t="shared" ca="1" si="256"/>
        <v>0</v>
      </c>
      <c r="W518">
        <f t="shared" ca="1" si="235"/>
        <v>0.05</v>
      </c>
      <c r="X518">
        <f t="shared" ca="1" si="236"/>
        <v>0.26</v>
      </c>
      <c r="Y518">
        <f t="shared" ca="1" si="237"/>
        <v>4.9056603773584909E-2</v>
      </c>
      <c r="Z518">
        <f t="shared" ca="1" si="238"/>
        <v>196.15384615384616</v>
      </c>
      <c r="AA518">
        <f t="shared" ca="1" si="239"/>
        <v>632.428</v>
      </c>
      <c r="AB518">
        <f t="shared" ca="1" si="240"/>
        <v>2593.5050316486622</v>
      </c>
      <c r="AC518">
        <f t="shared" ca="1" si="241"/>
        <v>482.07306851378365</v>
      </c>
      <c r="AD518">
        <f t="shared" ca="1" si="242"/>
        <v>280.07692026646265</v>
      </c>
      <c r="AE518">
        <f t="shared" ca="1" si="243"/>
        <v>1019.7665564573041</v>
      </c>
      <c r="AF518">
        <f t="shared" ca="1" si="244"/>
        <v>482.32750852789786</v>
      </c>
      <c r="AG518">
        <f t="shared" ca="1" si="245"/>
        <v>0</v>
      </c>
      <c r="AH518">
        <f ca="1">IF(V32="Supercritical",L518,IF(V32="Subcritical",W518,IF(AND(V518=1,AG518=1),IF(T518&gt;=AE518,L518,W518),IF(V518=1,L518,IF(AG518=1,W518,MAX($D$16,POWER((ABS(K518)^2)/($I$5*MAX(F518,0.1)^2),1/3)))))))</f>
        <v>2.1403668656741068</v>
      </c>
      <c r="AI518">
        <f t="shared" ca="1" si="246"/>
        <v>634.51836686567412</v>
      </c>
      <c r="AJ518">
        <f t="shared" ca="1" si="247"/>
        <v>635.58855029851122</v>
      </c>
      <c r="AM518">
        <v>0</v>
      </c>
      <c r="AN518">
        <v>0</v>
      </c>
      <c r="AO518">
        <f t="shared" si="248"/>
        <v>0</v>
      </c>
      <c r="AP518">
        <f t="shared" si="257"/>
        <v>0</v>
      </c>
      <c r="AQ518">
        <f t="shared" ca="1" si="249"/>
        <v>0.99999999999999978</v>
      </c>
      <c r="AR518" t="str">
        <f t="shared" ca="1" si="250"/>
        <v>Supercritical</v>
      </c>
      <c r="AS518">
        <f t="shared" ca="1" si="251"/>
        <v>3.8148159832266538E-3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191</v>
      </c>
      <c r="I519">
        <v>7.8E-2</v>
      </c>
      <c r="J519">
        <f t="shared" si="252"/>
        <v>1</v>
      </c>
      <c r="K519">
        <f t="shared" si="253"/>
        <v>51</v>
      </c>
      <c r="L519">
        <f t="shared" ca="1" si="254"/>
        <v>0.05</v>
      </c>
      <c r="M519">
        <f t="shared" ca="1" si="227"/>
        <v>0.26</v>
      </c>
      <c r="N519">
        <f t="shared" ca="1" si="228"/>
        <v>4.9056603773584909E-2</v>
      </c>
      <c r="O519">
        <f t="shared" ca="1" si="229"/>
        <v>196.15384615384616</v>
      </c>
      <c r="P519">
        <f t="shared" ca="1" si="230"/>
        <v>632.42750000000001</v>
      </c>
      <c r="Q519">
        <f t="shared" ca="1" si="231"/>
        <v>2593.5045316486621</v>
      </c>
      <c r="R519">
        <f t="shared" ca="1" si="232"/>
        <v>482.07306851378365</v>
      </c>
      <c r="S519">
        <f t="shared" ca="1" si="233"/>
        <v>280.07692026646265</v>
      </c>
      <c r="T519">
        <f t="shared" ca="1" si="234"/>
        <v>1019.7665564573041</v>
      </c>
      <c r="U519">
        <f t="shared" ca="1" si="255"/>
        <v>-482.32750852789786</v>
      </c>
      <c r="V519">
        <f t="shared" ca="1" si="256"/>
        <v>0</v>
      </c>
      <c r="W519">
        <f t="shared" ca="1" si="235"/>
        <v>0.05</v>
      </c>
      <c r="X519">
        <f t="shared" ca="1" si="236"/>
        <v>0.26</v>
      </c>
      <c r="Y519">
        <f t="shared" ca="1" si="237"/>
        <v>4.9056603773584909E-2</v>
      </c>
      <c r="Z519">
        <f t="shared" ca="1" si="238"/>
        <v>196.15384615384616</v>
      </c>
      <c r="AA519">
        <f t="shared" ca="1" si="239"/>
        <v>632.42750000000001</v>
      </c>
      <c r="AB519">
        <f t="shared" ca="1" si="240"/>
        <v>2593.5045316486621</v>
      </c>
      <c r="AC519">
        <f t="shared" ca="1" si="241"/>
        <v>482.07306851378365</v>
      </c>
      <c r="AD519">
        <f t="shared" ca="1" si="242"/>
        <v>280.07692026646265</v>
      </c>
      <c r="AE519">
        <f t="shared" ca="1" si="243"/>
        <v>1019.7665564573041</v>
      </c>
      <c r="AF519">
        <f t="shared" ca="1" si="244"/>
        <v>482.64289004873763</v>
      </c>
      <c r="AG519">
        <f t="shared" ca="1" si="245"/>
        <v>0</v>
      </c>
      <c r="AH519">
        <f ca="1">IF(V32="Supercritical",L519,IF(V32="Subcritical",W519,IF(AND(V519=1,AG519=1),IF(T519&gt;=AE519,L519,W519),IF(V519=1,L519,IF(AG519=1,W519,MAX($D$16,POWER((ABS(K519)^2)/($I$5*MAX(F519,0.1)^2),1/3)))))))</f>
        <v>2.1403668656741068</v>
      </c>
      <c r="AI519">
        <f t="shared" ca="1" si="246"/>
        <v>634.51786686567414</v>
      </c>
      <c r="AJ519">
        <f t="shared" ca="1" si="247"/>
        <v>635.58805029851123</v>
      </c>
      <c r="AM519">
        <v>0</v>
      </c>
      <c r="AN519">
        <v>0</v>
      </c>
      <c r="AO519">
        <f t="shared" si="248"/>
        <v>0</v>
      </c>
      <c r="AP519">
        <f t="shared" si="257"/>
        <v>0</v>
      </c>
      <c r="AQ519">
        <f t="shared" ca="1" si="249"/>
        <v>0.99999999999999978</v>
      </c>
      <c r="AR519" t="str">
        <f t="shared" ca="1" si="250"/>
        <v>Supercritical</v>
      </c>
      <c r="AS519">
        <f t="shared" ca="1" si="251"/>
        <v>3.8148159832266538E-3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191</v>
      </c>
      <c r="I520">
        <v>2.7E-2</v>
      </c>
      <c r="J520">
        <f t="shared" si="252"/>
        <v>1.0010000000000332</v>
      </c>
      <c r="K520">
        <f t="shared" si="253"/>
        <v>51</v>
      </c>
      <c r="L520">
        <f t="shared" ca="1" si="254"/>
        <v>0.05</v>
      </c>
      <c r="M520">
        <f t="shared" ca="1" si="227"/>
        <v>0.26</v>
      </c>
      <c r="N520">
        <f t="shared" ca="1" si="228"/>
        <v>4.9056603773584909E-2</v>
      </c>
      <c r="O520">
        <f t="shared" ca="1" si="229"/>
        <v>196.15384615384616</v>
      </c>
      <c r="P520">
        <f t="shared" ca="1" si="230"/>
        <v>632.42699999999991</v>
      </c>
      <c r="Q520">
        <f t="shared" ca="1" si="231"/>
        <v>2593.504031648662</v>
      </c>
      <c r="R520">
        <f t="shared" ca="1" si="232"/>
        <v>482.07306851378365</v>
      </c>
      <c r="S520">
        <f t="shared" ca="1" si="233"/>
        <v>280.07692026646265</v>
      </c>
      <c r="T520">
        <f t="shared" ca="1" si="234"/>
        <v>1019.7665564573041</v>
      </c>
      <c r="U520">
        <f t="shared" ca="1" si="255"/>
        <v>-482.64289004873763</v>
      </c>
      <c r="V520">
        <f t="shared" ca="1" si="256"/>
        <v>0</v>
      </c>
      <c r="W520">
        <f t="shared" ca="1" si="235"/>
        <v>0.05</v>
      </c>
      <c r="X520">
        <f t="shared" ca="1" si="236"/>
        <v>0.26</v>
      </c>
      <c r="Y520">
        <f t="shared" ca="1" si="237"/>
        <v>4.9056603773584909E-2</v>
      </c>
      <c r="Z520">
        <f t="shared" ca="1" si="238"/>
        <v>196.15384615384616</v>
      </c>
      <c r="AA520">
        <f t="shared" ca="1" si="239"/>
        <v>632.42699999999991</v>
      </c>
      <c r="AB520">
        <f t="shared" ca="1" si="240"/>
        <v>2593.504031648662</v>
      </c>
      <c r="AC520">
        <f t="shared" ca="1" si="241"/>
        <v>482.07306851378365</v>
      </c>
      <c r="AD520">
        <f t="shared" ca="1" si="242"/>
        <v>280.07692026646265</v>
      </c>
      <c r="AE520">
        <f t="shared" ca="1" si="243"/>
        <v>1019.7665564573041</v>
      </c>
      <c r="AF520">
        <f t="shared" ca="1" si="244"/>
        <v>481.67874391167788</v>
      </c>
      <c r="AG520">
        <f t="shared" ca="1" si="245"/>
        <v>0</v>
      </c>
      <c r="AH520">
        <f ca="1">IF(V32="Supercritical",L520,IF(V32="Subcritical",W520,IF(AND(V520=1,AG520=1),IF(T520&gt;=AE520,L520,W520),IF(V520=1,L520,IF(AG520=1,W520,MAX($D$16,POWER((ABS(K520)^2)/($I$5*MAX(F520,0.1)^2),1/3)))))))</f>
        <v>2.1403668656741068</v>
      </c>
      <c r="AI520">
        <f t="shared" ca="1" si="246"/>
        <v>634.51736686567403</v>
      </c>
      <c r="AJ520">
        <f t="shared" ca="1" si="247"/>
        <v>635.58755029851113</v>
      </c>
      <c r="AM520">
        <v>0</v>
      </c>
      <c r="AN520">
        <v>0</v>
      </c>
      <c r="AO520">
        <f t="shared" si="248"/>
        <v>0</v>
      </c>
      <c r="AP520">
        <f t="shared" si="257"/>
        <v>0</v>
      </c>
      <c r="AQ520">
        <f t="shared" ca="1" si="249"/>
        <v>0.99999999999999978</v>
      </c>
      <c r="AR520" t="str">
        <f t="shared" ca="1" si="250"/>
        <v>Supercritical</v>
      </c>
      <c r="AS520">
        <f t="shared" ca="1" si="251"/>
        <v>3.8148159832266538E-3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191</v>
      </c>
      <c r="I521">
        <v>2.7E-2</v>
      </c>
      <c r="J521">
        <f t="shared" si="252"/>
        <v>0.9989999999999668</v>
      </c>
      <c r="K521">
        <f t="shared" si="253"/>
        <v>51</v>
      </c>
      <c r="L521">
        <f t="shared" ca="1" si="254"/>
        <v>0.05</v>
      </c>
      <c r="M521">
        <f t="shared" ca="1" si="227"/>
        <v>0.26</v>
      </c>
      <c r="N521">
        <f t="shared" ca="1" si="228"/>
        <v>4.9056603773584909E-2</v>
      </c>
      <c r="O521">
        <f t="shared" ca="1" si="229"/>
        <v>196.15384615384616</v>
      </c>
      <c r="P521">
        <f t="shared" ca="1" si="230"/>
        <v>632.42649999999992</v>
      </c>
      <c r="Q521">
        <f t="shared" ca="1" si="231"/>
        <v>2593.5035316486619</v>
      </c>
      <c r="R521">
        <f t="shared" ca="1" si="232"/>
        <v>482.07306851378365</v>
      </c>
      <c r="S521">
        <f t="shared" ca="1" si="233"/>
        <v>280.07692026646265</v>
      </c>
      <c r="T521">
        <f t="shared" ca="1" si="234"/>
        <v>1019.7665564573041</v>
      </c>
      <c r="U521">
        <f t="shared" ca="1" si="255"/>
        <v>-481.67874391167788</v>
      </c>
      <c r="V521">
        <f t="shared" ca="1" si="256"/>
        <v>0</v>
      </c>
      <c r="W521">
        <f t="shared" ca="1" si="235"/>
        <v>0.05</v>
      </c>
      <c r="X521">
        <f t="shared" ca="1" si="236"/>
        <v>0.26</v>
      </c>
      <c r="Y521">
        <f t="shared" ca="1" si="237"/>
        <v>4.9056603773584909E-2</v>
      </c>
      <c r="Z521">
        <f t="shared" ca="1" si="238"/>
        <v>196.15384615384616</v>
      </c>
      <c r="AA521">
        <f t="shared" ca="1" si="239"/>
        <v>632.42649999999992</v>
      </c>
      <c r="AB521">
        <f t="shared" ca="1" si="240"/>
        <v>2593.5035316486619</v>
      </c>
      <c r="AC521">
        <f t="shared" ca="1" si="241"/>
        <v>482.07306851378365</v>
      </c>
      <c r="AD521">
        <f t="shared" ca="1" si="242"/>
        <v>280.07692026646265</v>
      </c>
      <c r="AE521">
        <f t="shared" ca="1" si="243"/>
        <v>1019.7665564573041</v>
      </c>
      <c r="AF521">
        <f t="shared" ca="1" si="244"/>
        <v>482.80958159642751</v>
      </c>
      <c r="AG521">
        <f t="shared" ca="1" si="245"/>
        <v>0</v>
      </c>
      <c r="AH521">
        <f ca="1">IF(V32="Supercritical",L521,IF(V32="Subcritical",W521,IF(AND(V521=1,AG521=1),IF(T521&gt;=AE521,L521,W521),IF(V521=1,L521,IF(AG521=1,W521,MAX($D$16,POWER((ABS(K521)^2)/($I$5*MAX(F521,0.1)^2),1/3)))))))</f>
        <v>2.1403668656741068</v>
      </c>
      <c r="AI521">
        <f t="shared" ca="1" si="246"/>
        <v>634.51686686567405</v>
      </c>
      <c r="AJ521">
        <f t="shared" ca="1" si="247"/>
        <v>635.58705029851114</v>
      </c>
      <c r="AM521">
        <v>0</v>
      </c>
      <c r="AN521">
        <v>0</v>
      </c>
      <c r="AO521">
        <f t="shared" si="248"/>
        <v>0</v>
      </c>
      <c r="AP521">
        <f t="shared" si="257"/>
        <v>0</v>
      </c>
      <c r="AQ521">
        <f t="shared" ca="1" si="249"/>
        <v>0.99999999999999978</v>
      </c>
      <c r="AR521" t="str">
        <f t="shared" ca="1" si="250"/>
        <v>Supercritical</v>
      </c>
      <c r="AS521">
        <f t="shared" ca="1" si="251"/>
        <v>3.8148159832266538E-3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191</v>
      </c>
      <c r="I522">
        <v>7.8E-2</v>
      </c>
      <c r="J522">
        <f t="shared" si="252"/>
        <v>1.0010000000000332</v>
      </c>
      <c r="K522">
        <f t="shared" si="253"/>
        <v>51</v>
      </c>
      <c r="L522">
        <f t="shared" ca="1" si="254"/>
        <v>0.05</v>
      </c>
      <c r="M522">
        <f t="shared" ca="1" si="227"/>
        <v>0.26</v>
      </c>
      <c r="N522">
        <f t="shared" ca="1" si="228"/>
        <v>4.9056603773584909E-2</v>
      </c>
      <c r="O522">
        <f t="shared" ca="1" si="229"/>
        <v>196.15384615384616</v>
      </c>
      <c r="P522">
        <f t="shared" ca="1" si="230"/>
        <v>632.42599999999993</v>
      </c>
      <c r="Q522">
        <f t="shared" ca="1" si="231"/>
        <v>2593.5030316486618</v>
      </c>
      <c r="R522">
        <f t="shared" ca="1" si="232"/>
        <v>482.07306851378365</v>
      </c>
      <c r="S522">
        <f t="shared" ca="1" si="233"/>
        <v>280.07692026646265</v>
      </c>
      <c r="T522">
        <f t="shared" ca="1" si="234"/>
        <v>1019.7665564573041</v>
      </c>
      <c r="U522">
        <f t="shared" ca="1" si="255"/>
        <v>-482.80958159642751</v>
      </c>
      <c r="V522">
        <f t="shared" ca="1" si="256"/>
        <v>0</v>
      </c>
      <c r="W522">
        <f t="shared" ca="1" si="235"/>
        <v>0.05</v>
      </c>
      <c r="X522">
        <f t="shared" ca="1" si="236"/>
        <v>0.26</v>
      </c>
      <c r="Y522">
        <f t="shared" ca="1" si="237"/>
        <v>4.9056603773584909E-2</v>
      </c>
      <c r="Z522">
        <f t="shared" ca="1" si="238"/>
        <v>196.15384615384616</v>
      </c>
      <c r="AA522">
        <f t="shared" ca="1" si="239"/>
        <v>632.42599999999993</v>
      </c>
      <c r="AB522">
        <f t="shared" ca="1" si="240"/>
        <v>2593.5030316486618</v>
      </c>
      <c r="AC522">
        <f t="shared" ca="1" si="241"/>
        <v>482.07306851378365</v>
      </c>
      <c r="AD522">
        <f t="shared" ca="1" si="242"/>
        <v>280.07692026646265</v>
      </c>
      <c r="AE522">
        <f t="shared" ca="1" si="243"/>
        <v>1019.7665564573041</v>
      </c>
      <c r="AF522">
        <f t="shared" ca="1" si="244"/>
        <v>482.23599159975493</v>
      </c>
      <c r="AG522">
        <f t="shared" ca="1" si="245"/>
        <v>0</v>
      </c>
      <c r="AH522">
        <f ca="1">IF(V32="Supercritical",L522,IF(V32="Subcritical",W522,IF(AND(V522=1,AG522=1),IF(T522&gt;=AE522,L522,W522),IF(V522=1,L522,IF(AG522=1,W522,MAX($D$16,POWER((ABS(K522)^2)/($I$5*MAX(F522,0.1)^2),1/3)))))))</f>
        <v>2.1403668656741068</v>
      </c>
      <c r="AI522">
        <f t="shared" ca="1" si="246"/>
        <v>634.51636686567406</v>
      </c>
      <c r="AJ522">
        <f t="shared" ca="1" si="247"/>
        <v>635.58655029851116</v>
      </c>
      <c r="AM522">
        <v>0</v>
      </c>
      <c r="AN522">
        <v>0</v>
      </c>
      <c r="AO522">
        <f t="shared" si="248"/>
        <v>0</v>
      </c>
      <c r="AP522">
        <f t="shared" si="257"/>
        <v>0</v>
      </c>
      <c r="AQ522">
        <f t="shared" ca="1" si="249"/>
        <v>0.99999999999999978</v>
      </c>
      <c r="AR522" t="str">
        <f t="shared" ca="1" si="250"/>
        <v>Supercritical</v>
      </c>
      <c r="AS522">
        <f t="shared" ca="1" si="251"/>
        <v>3.8148159832266538E-3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191</v>
      </c>
      <c r="I523">
        <v>0.05</v>
      </c>
      <c r="J523">
        <f t="shared" si="252"/>
        <v>1</v>
      </c>
      <c r="K523">
        <f t="shared" si="253"/>
        <v>51</v>
      </c>
      <c r="L523">
        <f t="shared" ca="1" si="254"/>
        <v>0.05</v>
      </c>
      <c r="M523">
        <f t="shared" ca="1" si="227"/>
        <v>0.26</v>
      </c>
      <c r="N523">
        <f t="shared" ca="1" si="228"/>
        <v>4.9056603773584909E-2</v>
      </c>
      <c r="O523">
        <f t="shared" ca="1" si="229"/>
        <v>196.15384615384616</v>
      </c>
      <c r="P523">
        <f t="shared" ca="1" si="230"/>
        <v>632.42549999999994</v>
      </c>
      <c r="Q523">
        <f t="shared" ca="1" si="231"/>
        <v>2593.5025316486622</v>
      </c>
      <c r="R523">
        <f t="shared" ca="1" si="232"/>
        <v>482.07306851378365</v>
      </c>
      <c r="S523">
        <f t="shared" ca="1" si="233"/>
        <v>280.07692026646265</v>
      </c>
      <c r="T523">
        <f t="shared" ca="1" si="234"/>
        <v>1019.7665564573041</v>
      </c>
      <c r="U523">
        <f t="shared" ca="1" si="255"/>
        <v>-482.23599159975493</v>
      </c>
      <c r="V523">
        <f t="shared" ca="1" si="256"/>
        <v>0</v>
      </c>
      <c r="W523">
        <f t="shared" ca="1" si="235"/>
        <v>0.05</v>
      </c>
      <c r="X523">
        <f t="shared" ca="1" si="236"/>
        <v>0.26</v>
      </c>
      <c r="Y523">
        <f t="shared" ca="1" si="237"/>
        <v>4.9056603773584909E-2</v>
      </c>
      <c r="Z523">
        <f t="shared" ca="1" si="238"/>
        <v>196.15384615384616</v>
      </c>
      <c r="AA523">
        <f t="shared" ca="1" si="239"/>
        <v>632.42549999999994</v>
      </c>
      <c r="AB523">
        <f t="shared" ca="1" si="240"/>
        <v>2593.5025316486622</v>
      </c>
      <c r="AC523">
        <f t="shared" ca="1" si="241"/>
        <v>482.07306851378365</v>
      </c>
      <c r="AD523">
        <f t="shared" ca="1" si="242"/>
        <v>280.07692026646265</v>
      </c>
      <c r="AE523">
        <f t="shared" ca="1" si="243"/>
        <v>1019.7665564573041</v>
      </c>
      <c r="AF523">
        <f t="shared" ca="1" si="244"/>
        <v>481.67874391167834</v>
      </c>
      <c r="AG523">
        <f t="shared" ca="1" si="245"/>
        <v>0</v>
      </c>
      <c r="AH523">
        <f ca="1">IF(V32="Supercritical",L523,IF(V32="Subcritical",W523,IF(AND(V523=1,AG523=1),IF(T523&gt;=AE523,L523,W523),IF(V523=1,L523,IF(AG523=1,W523,MAX($D$16,POWER((ABS(K523)^2)/($I$5*MAX(F523,0.1)^2),1/3)))))))</f>
        <v>2.1403668656741068</v>
      </c>
      <c r="AI523">
        <f t="shared" ca="1" si="246"/>
        <v>634.51586686567407</v>
      </c>
      <c r="AJ523">
        <f t="shared" ca="1" si="247"/>
        <v>635.58605029851117</v>
      </c>
      <c r="AM523">
        <v>0</v>
      </c>
      <c r="AN523">
        <v>0</v>
      </c>
      <c r="AO523">
        <f t="shared" si="248"/>
        <v>0</v>
      </c>
      <c r="AP523">
        <f t="shared" si="257"/>
        <v>0</v>
      </c>
      <c r="AQ523">
        <f t="shared" ca="1" si="249"/>
        <v>0.99999999999999978</v>
      </c>
      <c r="AR523" t="str">
        <f t="shared" ca="1" si="250"/>
        <v>Supercritical</v>
      </c>
      <c r="AS523">
        <f t="shared" ca="1" si="251"/>
        <v>3.8148159832266538E-3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191</v>
      </c>
      <c r="I524">
        <v>2.7E-2</v>
      </c>
      <c r="J524">
        <f t="shared" si="252"/>
        <v>0.9989999999999668</v>
      </c>
      <c r="K524">
        <f t="shared" si="253"/>
        <v>51</v>
      </c>
      <c r="L524">
        <f t="shared" ca="1" si="254"/>
        <v>0.05</v>
      </c>
      <c r="M524">
        <f t="shared" ca="1" si="227"/>
        <v>0.26</v>
      </c>
      <c r="N524">
        <f t="shared" ca="1" si="228"/>
        <v>4.9056603773584909E-2</v>
      </c>
      <c r="O524">
        <f t="shared" ca="1" si="229"/>
        <v>196.15384615384616</v>
      </c>
      <c r="P524">
        <f t="shared" ca="1" si="230"/>
        <v>632.42499999999995</v>
      </c>
      <c r="Q524">
        <f t="shared" ca="1" si="231"/>
        <v>2593.5020316486621</v>
      </c>
      <c r="R524">
        <f t="shared" ca="1" si="232"/>
        <v>482.07306851378365</v>
      </c>
      <c r="S524">
        <f t="shared" ca="1" si="233"/>
        <v>280.07692026646265</v>
      </c>
      <c r="T524">
        <f t="shared" ca="1" si="234"/>
        <v>1019.7665564573041</v>
      </c>
      <c r="U524">
        <f t="shared" ca="1" si="255"/>
        <v>-481.67874391167834</v>
      </c>
      <c r="V524">
        <f t="shared" ca="1" si="256"/>
        <v>0</v>
      </c>
      <c r="W524">
        <f t="shared" ca="1" si="235"/>
        <v>0.05</v>
      </c>
      <c r="X524">
        <f t="shared" ca="1" si="236"/>
        <v>0.26</v>
      </c>
      <c r="Y524">
        <f t="shared" ca="1" si="237"/>
        <v>4.9056603773584909E-2</v>
      </c>
      <c r="Z524">
        <f t="shared" ca="1" si="238"/>
        <v>196.15384615384616</v>
      </c>
      <c r="AA524">
        <f t="shared" ca="1" si="239"/>
        <v>632.42499999999995</v>
      </c>
      <c r="AB524">
        <f t="shared" ca="1" si="240"/>
        <v>2593.5020316486621</v>
      </c>
      <c r="AC524">
        <f t="shared" ca="1" si="241"/>
        <v>482.07306851378365</v>
      </c>
      <c r="AD524">
        <f t="shared" ca="1" si="242"/>
        <v>280.07692026646265</v>
      </c>
      <c r="AE524">
        <f t="shared" ca="1" si="243"/>
        <v>1019.7665564573041</v>
      </c>
      <c r="AF524">
        <f t="shared" ca="1" si="244"/>
        <v>482.64289004873763</v>
      </c>
      <c r="AG524">
        <f t="shared" ca="1" si="245"/>
        <v>0</v>
      </c>
      <c r="AH524">
        <f ca="1">IF(V32="Supercritical",L524,IF(V32="Subcritical",W524,IF(AND(V524=1,AG524=1),IF(T524&gt;=AE524,L524,W524),IF(V524=1,L524,IF(AG524=1,W524,MAX($D$16,POWER((ABS(K524)^2)/($I$5*MAX(F524,0.1)^2),1/3)))))))</f>
        <v>2.1403668656741068</v>
      </c>
      <c r="AI524">
        <f t="shared" ca="1" si="246"/>
        <v>634.51536686567408</v>
      </c>
      <c r="AJ524">
        <f t="shared" ca="1" si="247"/>
        <v>635.58555029851118</v>
      </c>
      <c r="AM524">
        <v>0</v>
      </c>
      <c r="AN524">
        <v>0</v>
      </c>
      <c r="AO524">
        <f t="shared" si="248"/>
        <v>0</v>
      </c>
      <c r="AP524">
        <f t="shared" si="257"/>
        <v>0</v>
      </c>
      <c r="AQ524">
        <f t="shared" ca="1" si="249"/>
        <v>0.99999999999999978</v>
      </c>
      <c r="AR524" t="str">
        <f t="shared" ca="1" si="250"/>
        <v>Supercritical</v>
      </c>
      <c r="AS524">
        <f t="shared" ca="1" si="251"/>
        <v>3.8148159832266538E-3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191</v>
      </c>
      <c r="I525">
        <v>2.7E-2</v>
      </c>
      <c r="J525">
        <f t="shared" si="252"/>
        <v>1.0010000000000332</v>
      </c>
      <c r="K525">
        <f t="shared" si="253"/>
        <v>51</v>
      </c>
      <c r="L525">
        <f t="shared" ca="1" si="254"/>
        <v>0.05</v>
      </c>
      <c r="M525">
        <f t="shared" ca="1" si="227"/>
        <v>0.26</v>
      </c>
      <c r="N525">
        <f t="shared" ca="1" si="228"/>
        <v>4.9056603773584909E-2</v>
      </c>
      <c r="O525">
        <f t="shared" ca="1" si="229"/>
        <v>196.15384615384616</v>
      </c>
      <c r="P525">
        <f t="shared" ca="1" si="230"/>
        <v>632.42449999999997</v>
      </c>
      <c r="Q525">
        <f t="shared" ca="1" si="231"/>
        <v>2593.501531648662</v>
      </c>
      <c r="R525">
        <f t="shared" ca="1" si="232"/>
        <v>482.07306851378365</v>
      </c>
      <c r="S525">
        <f t="shared" ca="1" si="233"/>
        <v>280.07692026646265</v>
      </c>
      <c r="T525">
        <f t="shared" ca="1" si="234"/>
        <v>1019.7665564573041</v>
      </c>
      <c r="U525">
        <f t="shared" ca="1" si="255"/>
        <v>-482.64289004873763</v>
      </c>
      <c r="V525">
        <f t="shared" ca="1" si="256"/>
        <v>0</v>
      </c>
      <c r="W525">
        <f t="shared" ca="1" si="235"/>
        <v>0.05</v>
      </c>
      <c r="X525">
        <f t="shared" ca="1" si="236"/>
        <v>0.26</v>
      </c>
      <c r="Y525">
        <f t="shared" ca="1" si="237"/>
        <v>4.9056603773584909E-2</v>
      </c>
      <c r="Z525">
        <f t="shared" ca="1" si="238"/>
        <v>196.15384615384616</v>
      </c>
      <c r="AA525">
        <f t="shared" ca="1" si="239"/>
        <v>632.42449999999997</v>
      </c>
      <c r="AB525">
        <f t="shared" ca="1" si="240"/>
        <v>2593.501531648662</v>
      </c>
      <c r="AC525">
        <f t="shared" ca="1" si="241"/>
        <v>482.07306851378365</v>
      </c>
      <c r="AD525">
        <f t="shared" ca="1" si="242"/>
        <v>280.07692026646265</v>
      </c>
      <c r="AE525">
        <f t="shared" ca="1" si="243"/>
        <v>1019.7665564573041</v>
      </c>
      <c r="AF525">
        <f t="shared" ca="1" si="244"/>
        <v>481.67874391167834</v>
      </c>
      <c r="AG525">
        <f t="shared" ca="1" si="245"/>
        <v>0</v>
      </c>
      <c r="AH525">
        <f ca="1">IF(V32="Supercritical",L525,IF(V32="Subcritical",W525,IF(AND(V525=1,AG525=1),IF(T525&gt;=AE525,L525,W525),IF(V525=1,L525,IF(AG525=1,W525,MAX($D$16,POWER((ABS(K525)^2)/($I$5*MAX(F525,0.1)^2),1/3)))))))</f>
        <v>2.1403668656741068</v>
      </c>
      <c r="AI525">
        <f t="shared" ca="1" si="246"/>
        <v>634.51486686567409</v>
      </c>
      <c r="AJ525">
        <f t="shared" ca="1" si="247"/>
        <v>635.58505029851119</v>
      </c>
      <c r="AM525">
        <v>0</v>
      </c>
      <c r="AN525">
        <v>0</v>
      </c>
      <c r="AO525">
        <f t="shared" si="248"/>
        <v>0</v>
      </c>
      <c r="AP525">
        <f t="shared" si="257"/>
        <v>0</v>
      </c>
      <c r="AQ525">
        <f t="shared" ca="1" si="249"/>
        <v>0.99999999999999978</v>
      </c>
      <c r="AR525" t="str">
        <f t="shared" ca="1" si="250"/>
        <v>Supercritical</v>
      </c>
      <c r="AS525">
        <f t="shared" ca="1" si="251"/>
        <v>3.8148159832266538E-3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191</v>
      </c>
      <c r="I526">
        <v>2.7E-2</v>
      </c>
      <c r="J526">
        <f t="shared" si="252"/>
        <v>0.9989999999999668</v>
      </c>
      <c r="K526">
        <f t="shared" si="253"/>
        <v>51</v>
      </c>
      <c r="L526">
        <f t="shared" ca="1" si="254"/>
        <v>0.05</v>
      </c>
      <c r="M526">
        <f t="shared" ca="1" si="227"/>
        <v>0.26</v>
      </c>
      <c r="N526">
        <f t="shared" ca="1" si="228"/>
        <v>4.9056603773584909E-2</v>
      </c>
      <c r="O526">
        <f t="shared" ca="1" si="229"/>
        <v>196.15384615384616</v>
      </c>
      <c r="P526">
        <f t="shared" ca="1" si="230"/>
        <v>632.42399999999998</v>
      </c>
      <c r="Q526">
        <f t="shared" ca="1" si="231"/>
        <v>2593.5010316486623</v>
      </c>
      <c r="R526">
        <f t="shared" ca="1" si="232"/>
        <v>482.07306851378365</v>
      </c>
      <c r="S526">
        <f t="shared" ca="1" si="233"/>
        <v>280.07692026646265</v>
      </c>
      <c r="T526">
        <f t="shared" ca="1" si="234"/>
        <v>1019.7665564573041</v>
      </c>
      <c r="U526">
        <f t="shared" ca="1" si="255"/>
        <v>-481.67874391167879</v>
      </c>
      <c r="V526">
        <f t="shared" ca="1" si="256"/>
        <v>0</v>
      </c>
      <c r="W526">
        <f t="shared" ca="1" si="235"/>
        <v>0.05</v>
      </c>
      <c r="X526">
        <f t="shared" ca="1" si="236"/>
        <v>0.26</v>
      </c>
      <c r="Y526">
        <f t="shared" ca="1" si="237"/>
        <v>4.9056603773584909E-2</v>
      </c>
      <c r="Z526">
        <f t="shared" ca="1" si="238"/>
        <v>196.15384615384616</v>
      </c>
      <c r="AA526">
        <f t="shared" ca="1" si="239"/>
        <v>632.42399999999998</v>
      </c>
      <c r="AB526">
        <f t="shared" ca="1" si="240"/>
        <v>2593.5010316486623</v>
      </c>
      <c r="AC526">
        <f t="shared" ca="1" si="241"/>
        <v>482.07306851378365</v>
      </c>
      <c r="AD526">
        <f t="shared" ca="1" si="242"/>
        <v>280.07692026646265</v>
      </c>
      <c r="AE526">
        <f t="shared" ca="1" si="243"/>
        <v>1019.7665564573041</v>
      </c>
      <c r="AF526">
        <f t="shared" ca="1" si="244"/>
        <v>482.32750852789786</v>
      </c>
      <c r="AG526">
        <f t="shared" ca="1" si="245"/>
        <v>0</v>
      </c>
      <c r="AH526">
        <f ca="1">IF(V32="Supercritical",L526,IF(V32="Subcritical",W526,IF(AND(V526=1,AG526=1),IF(T526&gt;=AE526,L526,W526),IF(V526=1,L526,IF(AG526=1,W526,MAX($D$16,POWER((ABS(K526)^2)/($I$5*MAX(F526,0.1)^2),1/3)))))))</f>
        <v>2.1403668656741068</v>
      </c>
      <c r="AI526">
        <f t="shared" ca="1" si="246"/>
        <v>634.51436686567411</v>
      </c>
      <c r="AJ526">
        <f t="shared" ca="1" si="247"/>
        <v>635.5845502985112</v>
      </c>
      <c r="AM526">
        <v>0</v>
      </c>
      <c r="AN526">
        <v>0</v>
      </c>
      <c r="AO526">
        <f t="shared" si="248"/>
        <v>0</v>
      </c>
      <c r="AP526">
        <f t="shared" si="257"/>
        <v>0</v>
      </c>
      <c r="AQ526">
        <f t="shared" ca="1" si="249"/>
        <v>0.99999999999999978</v>
      </c>
      <c r="AR526" t="str">
        <f t="shared" ca="1" si="250"/>
        <v>Supercritical</v>
      </c>
      <c r="AS526">
        <f t="shared" ca="1" si="251"/>
        <v>3.8148159832266538E-3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191</v>
      </c>
      <c r="I527">
        <v>7.8E-2</v>
      </c>
      <c r="J527">
        <f t="shared" si="252"/>
        <v>1</v>
      </c>
      <c r="K527">
        <f t="shared" si="253"/>
        <v>51</v>
      </c>
      <c r="L527">
        <f t="shared" ca="1" si="254"/>
        <v>0.05</v>
      </c>
      <c r="M527">
        <f t="shared" ca="1" si="227"/>
        <v>0.26</v>
      </c>
      <c r="N527">
        <f t="shared" ca="1" si="228"/>
        <v>4.9056603773584909E-2</v>
      </c>
      <c r="O527">
        <f t="shared" ca="1" si="229"/>
        <v>196.15384615384616</v>
      </c>
      <c r="P527">
        <f t="shared" ca="1" si="230"/>
        <v>632.42349999999999</v>
      </c>
      <c r="Q527">
        <f t="shared" ca="1" si="231"/>
        <v>2593.5005316486622</v>
      </c>
      <c r="R527">
        <f t="shared" ca="1" si="232"/>
        <v>482.07306851378365</v>
      </c>
      <c r="S527">
        <f t="shared" ca="1" si="233"/>
        <v>280.07692026646265</v>
      </c>
      <c r="T527">
        <f t="shared" ca="1" si="234"/>
        <v>1019.7665564573041</v>
      </c>
      <c r="U527">
        <f t="shared" ca="1" si="255"/>
        <v>-482.32750852789786</v>
      </c>
      <c r="V527">
        <f t="shared" ca="1" si="256"/>
        <v>0</v>
      </c>
      <c r="W527">
        <f t="shared" ca="1" si="235"/>
        <v>0.05</v>
      </c>
      <c r="X527">
        <f t="shared" ca="1" si="236"/>
        <v>0.26</v>
      </c>
      <c r="Y527">
        <f t="shared" ca="1" si="237"/>
        <v>4.9056603773584909E-2</v>
      </c>
      <c r="Z527">
        <f t="shared" ca="1" si="238"/>
        <v>196.15384615384616</v>
      </c>
      <c r="AA527">
        <f t="shared" ca="1" si="239"/>
        <v>632.42349999999999</v>
      </c>
      <c r="AB527">
        <f t="shared" ca="1" si="240"/>
        <v>2593.5005316486622</v>
      </c>
      <c r="AC527">
        <f t="shared" ca="1" si="241"/>
        <v>482.07306851378365</v>
      </c>
      <c r="AD527">
        <f t="shared" ca="1" si="242"/>
        <v>280.07692026646265</v>
      </c>
      <c r="AE527">
        <f t="shared" ca="1" si="243"/>
        <v>1019.7665564573041</v>
      </c>
      <c r="AF527">
        <f t="shared" ca="1" si="244"/>
        <v>482.23599159975447</v>
      </c>
      <c r="AG527">
        <f t="shared" ca="1" si="245"/>
        <v>0</v>
      </c>
      <c r="AH527">
        <f ca="1">IF(V32="Supercritical",L527,IF(V32="Subcritical",W527,IF(AND(V527=1,AG527=1),IF(T527&gt;=AE527,L527,W527),IF(V527=1,L527,IF(AG527=1,W527,MAX($D$16,POWER((ABS(K527)^2)/($I$5*MAX(F527,0.1)^2),1/3)))))))</f>
        <v>2.1403668656741068</v>
      </c>
      <c r="AI527">
        <f t="shared" ca="1" si="246"/>
        <v>634.51386686567412</v>
      </c>
      <c r="AJ527">
        <f t="shared" ca="1" si="247"/>
        <v>635.58405029851122</v>
      </c>
      <c r="AM527">
        <v>0</v>
      </c>
      <c r="AN527">
        <v>0</v>
      </c>
      <c r="AO527">
        <f t="shared" si="248"/>
        <v>0</v>
      </c>
      <c r="AP527">
        <f t="shared" si="257"/>
        <v>0</v>
      </c>
      <c r="AQ527">
        <f t="shared" ca="1" si="249"/>
        <v>0.99999999999999978</v>
      </c>
      <c r="AR527" t="str">
        <f t="shared" ca="1" si="250"/>
        <v>Supercritical</v>
      </c>
      <c r="AS527">
        <f t="shared" ca="1" si="251"/>
        <v>3.8148159832266538E-3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191</v>
      </c>
      <c r="I528">
        <v>0.05</v>
      </c>
      <c r="J528">
        <f t="shared" si="252"/>
        <v>1</v>
      </c>
      <c r="K528">
        <f t="shared" si="253"/>
        <v>51</v>
      </c>
      <c r="L528">
        <f t="shared" ca="1" si="254"/>
        <v>0.05</v>
      </c>
      <c r="M528">
        <f t="shared" ca="1" si="227"/>
        <v>0.26</v>
      </c>
      <c r="N528">
        <f t="shared" ca="1" si="228"/>
        <v>4.9056603773584909E-2</v>
      </c>
      <c r="O528">
        <f t="shared" ca="1" si="229"/>
        <v>196.15384615384616</v>
      </c>
      <c r="P528">
        <f t="shared" ca="1" si="230"/>
        <v>632.423</v>
      </c>
      <c r="Q528">
        <f t="shared" ca="1" si="231"/>
        <v>2593.5000316486621</v>
      </c>
      <c r="R528">
        <f t="shared" ca="1" si="232"/>
        <v>482.07306851378365</v>
      </c>
      <c r="S528">
        <f t="shared" ca="1" si="233"/>
        <v>280.07692026646265</v>
      </c>
      <c r="T528">
        <f t="shared" ca="1" si="234"/>
        <v>1019.7665564573041</v>
      </c>
      <c r="U528">
        <f t="shared" ca="1" si="255"/>
        <v>-482.23599159975447</v>
      </c>
      <c r="V528">
        <f t="shared" ca="1" si="256"/>
        <v>0</v>
      </c>
      <c r="W528">
        <f t="shared" ca="1" si="235"/>
        <v>0.05</v>
      </c>
      <c r="X528">
        <f t="shared" ca="1" si="236"/>
        <v>0.26</v>
      </c>
      <c r="Y528">
        <f t="shared" ca="1" si="237"/>
        <v>4.9056603773584909E-2</v>
      </c>
      <c r="Z528">
        <f t="shared" ca="1" si="238"/>
        <v>196.15384615384616</v>
      </c>
      <c r="AA528">
        <f t="shared" ca="1" si="239"/>
        <v>632.423</v>
      </c>
      <c r="AB528">
        <f t="shared" ca="1" si="240"/>
        <v>2593.5000316486621</v>
      </c>
      <c r="AC528">
        <f t="shared" ca="1" si="241"/>
        <v>482.07306851378365</v>
      </c>
      <c r="AD528">
        <f t="shared" ca="1" si="242"/>
        <v>280.07692026646265</v>
      </c>
      <c r="AE528">
        <f t="shared" ca="1" si="243"/>
        <v>1019.7665564573041</v>
      </c>
      <c r="AF528">
        <f t="shared" ca="1" si="244"/>
        <v>482.16081698020798</v>
      </c>
      <c r="AG528">
        <f t="shared" ca="1" si="245"/>
        <v>0</v>
      </c>
      <c r="AH528">
        <f ca="1">IF(V32="Supercritical",L528,IF(V32="Subcritical",W528,IF(AND(V528=1,AG528=1),IF(T528&gt;=AE528,L528,W528),IF(V528=1,L528,IF(AG528=1,W528,MAX($D$16,POWER((ABS(K528)^2)/($I$5*MAX(F528,0.1)^2),1/3)))))))</f>
        <v>2.1403668656741068</v>
      </c>
      <c r="AI528">
        <f t="shared" ca="1" si="246"/>
        <v>634.51336686567413</v>
      </c>
      <c r="AJ528">
        <f t="shared" ca="1" si="247"/>
        <v>635.58355029851123</v>
      </c>
      <c r="AM528">
        <v>0</v>
      </c>
      <c r="AN528">
        <v>0</v>
      </c>
      <c r="AO528">
        <f t="shared" si="248"/>
        <v>0</v>
      </c>
      <c r="AP528">
        <f t="shared" si="257"/>
        <v>0</v>
      </c>
      <c r="AQ528">
        <f t="shared" ca="1" si="249"/>
        <v>0.99999999999999978</v>
      </c>
      <c r="AR528" t="str">
        <f t="shared" ca="1" si="250"/>
        <v>Supercritical</v>
      </c>
      <c r="AS528">
        <f t="shared" ca="1" si="251"/>
        <v>3.8148159832266538E-3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191</v>
      </c>
      <c r="I529">
        <v>2.7E-2</v>
      </c>
      <c r="J529">
        <f t="shared" si="252"/>
        <v>1</v>
      </c>
      <c r="K529">
        <f t="shared" si="253"/>
        <v>51</v>
      </c>
      <c r="L529">
        <f t="shared" ca="1" si="254"/>
        <v>0.05</v>
      </c>
      <c r="M529">
        <f t="shared" ca="1" si="227"/>
        <v>0.26</v>
      </c>
      <c r="N529">
        <f t="shared" ca="1" si="228"/>
        <v>4.9056603773584909E-2</v>
      </c>
      <c r="O529">
        <f t="shared" ca="1" si="229"/>
        <v>196.15384615384616</v>
      </c>
      <c r="P529">
        <f t="shared" ca="1" si="230"/>
        <v>632.4224999999999</v>
      </c>
      <c r="Q529">
        <f t="shared" ca="1" si="231"/>
        <v>2593.499531648662</v>
      </c>
      <c r="R529">
        <f t="shared" ca="1" si="232"/>
        <v>482.07306851378365</v>
      </c>
      <c r="S529">
        <f t="shared" ca="1" si="233"/>
        <v>280.07692026646265</v>
      </c>
      <c r="T529">
        <f t="shared" ca="1" si="234"/>
        <v>1019.7665564573041</v>
      </c>
      <c r="U529">
        <f t="shared" ca="1" si="255"/>
        <v>-482.16081698020798</v>
      </c>
      <c r="V529">
        <f t="shared" ca="1" si="256"/>
        <v>0</v>
      </c>
      <c r="W529">
        <f t="shared" ca="1" si="235"/>
        <v>0.05</v>
      </c>
      <c r="X529">
        <f t="shared" ca="1" si="236"/>
        <v>0.26</v>
      </c>
      <c r="Y529">
        <f t="shared" ca="1" si="237"/>
        <v>4.9056603773584909E-2</v>
      </c>
      <c r="Z529">
        <f t="shared" ca="1" si="238"/>
        <v>196.15384615384616</v>
      </c>
      <c r="AA529">
        <f t="shared" ca="1" si="239"/>
        <v>632.4224999999999</v>
      </c>
      <c r="AB529">
        <f t="shared" ca="1" si="240"/>
        <v>2593.499531648662</v>
      </c>
      <c r="AC529">
        <f t="shared" ca="1" si="241"/>
        <v>482.07306851378365</v>
      </c>
      <c r="AD529">
        <f t="shared" ca="1" si="242"/>
        <v>280.07692026646265</v>
      </c>
      <c r="AE529">
        <f t="shared" ca="1" si="243"/>
        <v>1019.7665564573041</v>
      </c>
      <c r="AF529">
        <f t="shared" ca="1" si="244"/>
        <v>482.16081698020798</v>
      </c>
      <c r="AG529">
        <f t="shared" ca="1" si="245"/>
        <v>0</v>
      </c>
      <c r="AH529">
        <f ca="1">IF(V32="Supercritical",L529,IF(V32="Subcritical",W529,IF(AND(V529=1,AG529=1),IF(T529&gt;=AE529,L529,W529),IF(V529=1,L529,IF(AG529=1,W529,MAX($D$16,POWER((ABS(K529)^2)/($I$5*MAX(F529,0.1)^2),1/3)))))))</f>
        <v>2.1403668656741068</v>
      </c>
      <c r="AI529">
        <f t="shared" ca="1" si="246"/>
        <v>634.51286686567403</v>
      </c>
      <c r="AJ529">
        <f t="shared" ca="1" si="247"/>
        <v>635.58305029851113</v>
      </c>
      <c r="AM529">
        <v>0</v>
      </c>
      <c r="AN529">
        <v>0</v>
      </c>
      <c r="AO529">
        <f t="shared" si="248"/>
        <v>0</v>
      </c>
      <c r="AP529">
        <f t="shared" si="257"/>
        <v>0</v>
      </c>
      <c r="AQ529">
        <f t="shared" ca="1" si="249"/>
        <v>0.99999999999999978</v>
      </c>
      <c r="AR529" t="str">
        <f t="shared" ca="1" si="250"/>
        <v>Supercritical</v>
      </c>
      <c r="AS529">
        <f t="shared" ca="1" si="251"/>
        <v>3.8148159832266538E-3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191</v>
      </c>
      <c r="I530">
        <v>2.7E-2</v>
      </c>
      <c r="J530">
        <f t="shared" si="252"/>
        <v>1</v>
      </c>
      <c r="K530">
        <f t="shared" si="253"/>
        <v>51</v>
      </c>
      <c r="L530">
        <f t="shared" ca="1" si="254"/>
        <v>0.05</v>
      </c>
      <c r="M530">
        <f t="shared" ca="1" si="227"/>
        <v>0.26</v>
      </c>
      <c r="N530">
        <f t="shared" ca="1" si="228"/>
        <v>4.9056603773584909E-2</v>
      </c>
      <c r="O530">
        <f t="shared" ca="1" si="229"/>
        <v>196.15384615384616</v>
      </c>
      <c r="P530">
        <f t="shared" ca="1" si="230"/>
        <v>632.42199999999991</v>
      </c>
      <c r="Q530">
        <f t="shared" ca="1" si="231"/>
        <v>2593.4990316486619</v>
      </c>
      <c r="R530">
        <f t="shared" ca="1" si="232"/>
        <v>482.07306851378365</v>
      </c>
      <c r="S530">
        <f t="shared" ca="1" si="233"/>
        <v>280.07692026646265</v>
      </c>
      <c r="T530">
        <f t="shared" ca="1" si="234"/>
        <v>1019.7665564573041</v>
      </c>
      <c r="U530">
        <f t="shared" ca="1" si="255"/>
        <v>-482.16081698020798</v>
      </c>
      <c r="V530">
        <f t="shared" ca="1" si="256"/>
        <v>0</v>
      </c>
      <c r="W530">
        <f t="shared" ca="1" si="235"/>
        <v>0.05</v>
      </c>
      <c r="X530">
        <f t="shared" ca="1" si="236"/>
        <v>0.26</v>
      </c>
      <c r="Y530">
        <f t="shared" ca="1" si="237"/>
        <v>4.9056603773584909E-2</v>
      </c>
      <c r="Z530">
        <f t="shared" ca="1" si="238"/>
        <v>196.15384615384616</v>
      </c>
      <c r="AA530">
        <f t="shared" ca="1" si="239"/>
        <v>632.42199999999991</v>
      </c>
      <c r="AB530">
        <f t="shared" ca="1" si="240"/>
        <v>2593.4990316486619</v>
      </c>
      <c r="AC530">
        <f t="shared" ca="1" si="241"/>
        <v>482.07306851378365</v>
      </c>
      <c r="AD530">
        <f t="shared" ca="1" si="242"/>
        <v>280.07692026646265</v>
      </c>
      <c r="AE530">
        <f t="shared" ca="1" si="243"/>
        <v>1019.7665564573041</v>
      </c>
      <c r="AF530">
        <f t="shared" ca="1" si="244"/>
        <v>482.1477431333301</v>
      </c>
      <c r="AG530">
        <f t="shared" ca="1" si="245"/>
        <v>0</v>
      </c>
      <c r="AH530">
        <f ca="1">IF(V32="Supercritical",L530,IF(V32="Subcritical",W530,IF(AND(V530=1,AG530=1),IF(T530&gt;=AE530,L530,W530),IF(V530=1,L530,IF(AG530=1,W530,MAX($D$16,POWER((ABS(K530)^2)/($I$5*MAX(F530,0.1)^2),1/3)))))))</f>
        <v>2.1403668656741068</v>
      </c>
      <c r="AI530">
        <f t="shared" ca="1" si="246"/>
        <v>634.51236686567404</v>
      </c>
      <c r="AJ530">
        <f t="shared" ca="1" si="247"/>
        <v>635.58255029851114</v>
      </c>
      <c r="AM530">
        <v>0</v>
      </c>
      <c r="AN530">
        <v>0</v>
      </c>
      <c r="AO530">
        <f t="shared" si="248"/>
        <v>0</v>
      </c>
      <c r="AP530">
        <f t="shared" si="257"/>
        <v>0</v>
      </c>
      <c r="AQ530">
        <f t="shared" ca="1" si="249"/>
        <v>0.99999999999999978</v>
      </c>
      <c r="AR530" t="str">
        <f t="shared" ca="1" si="250"/>
        <v>Supercritical</v>
      </c>
      <c r="AS530">
        <f t="shared" ca="1" si="251"/>
        <v>3.8148159832266538E-3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191</v>
      </c>
      <c r="I531">
        <v>2.3E-2</v>
      </c>
      <c r="J531">
        <f t="shared" si="252"/>
        <v>1</v>
      </c>
      <c r="K531">
        <f t="shared" si="253"/>
        <v>51</v>
      </c>
      <c r="L531">
        <f t="shared" ca="1" si="254"/>
        <v>0.05</v>
      </c>
      <c r="M531">
        <f t="shared" ca="1" si="227"/>
        <v>0.26</v>
      </c>
      <c r="N531">
        <f t="shared" ca="1" si="228"/>
        <v>4.9056603773584909E-2</v>
      </c>
      <c r="O531">
        <f t="shared" ca="1" si="229"/>
        <v>196.15384615384616</v>
      </c>
      <c r="P531">
        <f t="shared" ca="1" si="230"/>
        <v>632.42149999999992</v>
      </c>
      <c r="Q531">
        <f t="shared" ca="1" si="231"/>
        <v>2593.4985316486618</v>
      </c>
      <c r="R531">
        <f t="shared" ca="1" si="232"/>
        <v>482.07306851378365</v>
      </c>
      <c r="S531">
        <f t="shared" ca="1" si="233"/>
        <v>280.07692026646265</v>
      </c>
      <c r="T531">
        <f t="shared" ca="1" si="234"/>
        <v>1019.7665564573041</v>
      </c>
      <c r="U531">
        <f t="shared" ca="1" si="255"/>
        <v>-482.1477431333301</v>
      </c>
      <c r="V531">
        <f t="shared" ca="1" si="256"/>
        <v>0</v>
      </c>
      <c r="W531">
        <f t="shared" ca="1" si="235"/>
        <v>0.05</v>
      </c>
      <c r="X531">
        <f t="shared" ca="1" si="236"/>
        <v>0.26</v>
      </c>
      <c r="Y531">
        <f t="shared" ca="1" si="237"/>
        <v>4.9056603773584909E-2</v>
      </c>
      <c r="Z531">
        <f t="shared" ca="1" si="238"/>
        <v>196.15384615384616</v>
      </c>
      <c r="AA531">
        <f t="shared" ca="1" si="239"/>
        <v>632.42149999999992</v>
      </c>
      <c r="AB531">
        <f t="shared" ca="1" si="240"/>
        <v>2593.4985316486618</v>
      </c>
      <c r="AC531">
        <f t="shared" ca="1" si="241"/>
        <v>482.07306851378365</v>
      </c>
      <c r="AD531">
        <f t="shared" ca="1" si="242"/>
        <v>280.07692026646265</v>
      </c>
      <c r="AE531">
        <f t="shared" ca="1" si="243"/>
        <v>1019.7665564573041</v>
      </c>
      <c r="AF531">
        <f t="shared" ca="1" si="244"/>
        <v>482.62981620186019</v>
      </c>
      <c r="AG531">
        <f t="shared" ca="1" si="245"/>
        <v>0</v>
      </c>
      <c r="AH531">
        <f ca="1">IF(V32="Supercritical",L531,IF(V32="Subcritical",W531,IF(AND(V531=1,AG531=1),IF(T531&gt;=AE531,L531,W531),IF(V531=1,L531,IF(AG531=1,W531,MAX($D$16,POWER((ABS(K531)^2)/($I$5*MAX(F531,0.1)^2),1/3)))))))</f>
        <v>2.1403668656741068</v>
      </c>
      <c r="AI531">
        <f t="shared" ca="1" si="246"/>
        <v>634.51186686567405</v>
      </c>
      <c r="AJ531">
        <f t="shared" ca="1" si="247"/>
        <v>635.58205029851115</v>
      </c>
      <c r="AM531">
        <v>0</v>
      </c>
      <c r="AN531">
        <v>0</v>
      </c>
      <c r="AO531">
        <f t="shared" si="248"/>
        <v>0</v>
      </c>
      <c r="AP531">
        <f t="shared" si="257"/>
        <v>0</v>
      </c>
      <c r="AQ531">
        <f t="shared" ca="1" si="249"/>
        <v>0.99999999999999978</v>
      </c>
      <c r="AR531" t="str">
        <f t="shared" ca="1" si="250"/>
        <v>Supercritical</v>
      </c>
      <c r="AS531">
        <f t="shared" ca="1" si="251"/>
        <v>3.8148159832266538E-3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191</v>
      </c>
      <c r="I532">
        <v>2.3E-2</v>
      </c>
      <c r="J532">
        <f t="shared" si="252"/>
        <v>1.0010000000000332</v>
      </c>
      <c r="K532">
        <f t="shared" si="253"/>
        <v>51</v>
      </c>
      <c r="L532">
        <f t="shared" ca="1" si="254"/>
        <v>0.05</v>
      </c>
      <c r="M532">
        <f t="shared" ca="1" si="227"/>
        <v>0.26</v>
      </c>
      <c r="N532">
        <f t="shared" ca="1" si="228"/>
        <v>4.9056603773584909E-2</v>
      </c>
      <c r="O532">
        <f t="shared" ca="1" si="229"/>
        <v>196.15384615384616</v>
      </c>
      <c r="P532">
        <f t="shared" ca="1" si="230"/>
        <v>632.42099999999994</v>
      </c>
      <c r="Q532">
        <f t="shared" ca="1" si="231"/>
        <v>2593.4980316486622</v>
      </c>
      <c r="R532">
        <f t="shared" ca="1" si="232"/>
        <v>482.07306851378365</v>
      </c>
      <c r="S532">
        <f t="shared" ca="1" si="233"/>
        <v>280.07692026646265</v>
      </c>
      <c r="T532">
        <f t="shared" ca="1" si="234"/>
        <v>1019.7665564573041</v>
      </c>
      <c r="U532">
        <f t="shared" ca="1" si="255"/>
        <v>-482.62981620186019</v>
      </c>
      <c r="V532">
        <f t="shared" ca="1" si="256"/>
        <v>0</v>
      </c>
      <c r="W532">
        <f t="shared" ca="1" si="235"/>
        <v>0.05</v>
      </c>
      <c r="X532">
        <f t="shared" ca="1" si="236"/>
        <v>0.26</v>
      </c>
      <c r="Y532">
        <f t="shared" ca="1" si="237"/>
        <v>4.9056603773584909E-2</v>
      </c>
      <c r="Z532">
        <f t="shared" ca="1" si="238"/>
        <v>196.15384615384616</v>
      </c>
      <c r="AA532">
        <f t="shared" ca="1" si="239"/>
        <v>632.42099999999994</v>
      </c>
      <c r="AB532">
        <f t="shared" ca="1" si="240"/>
        <v>2593.4980316486622</v>
      </c>
      <c r="AC532">
        <f t="shared" ca="1" si="241"/>
        <v>482.07306851378365</v>
      </c>
      <c r="AD532">
        <f t="shared" ca="1" si="242"/>
        <v>280.07692026646265</v>
      </c>
      <c r="AE532">
        <f t="shared" ca="1" si="243"/>
        <v>1019.7665564573041</v>
      </c>
      <c r="AF532">
        <f t="shared" ca="1" si="244"/>
        <v>481.59049544525396</v>
      </c>
      <c r="AG532">
        <f t="shared" ca="1" si="245"/>
        <v>0</v>
      </c>
      <c r="AH532">
        <f ca="1">IF(V32="Supercritical",L532,IF(V32="Subcritical",W532,IF(AND(V532=1,AG532=1),IF(T532&gt;=AE532,L532,W532),IF(V532=1,L532,IF(AG532=1,W532,MAX($D$16,POWER((ABS(K532)^2)/($I$5*MAX(F532,0.1)^2),1/3)))))))</f>
        <v>2.1403668656741068</v>
      </c>
      <c r="AI532">
        <f t="shared" ca="1" si="246"/>
        <v>634.51136686567406</v>
      </c>
      <c r="AJ532">
        <f t="shared" ca="1" si="247"/>
        <v>635.58155029851116</v>
      </c>
      <c r="AM532">
        <v>0</v>
      </c>
      <c r="AN532">
        <v>0</v>
      </c>
      <c r="AO532">
        <f t="shared" si="248"/>
        <v>0</v>
      </c>
      <c r="AP532">
        <f t="shared" si="257"/>
        <v>0</v>
      </c>
      <c r="AQ532">
        <f t="shared" ca="1" si="249"/>
        <v>0.99999999999999978</v>
      </c>
      <c r="AR532" t="str">
        <f t="shared" ca="1" si="250"/>
        <v>Supercritical</v>
      </c>
      <c r="AS532">
        <f t="shared" ca="1" si="251"/>
        <v>3.8148159832266538E-3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191</v>
      </c>
      <c r="I533">
        <v>0</v>
      </c>
      <c r="J533">
        <f t="shared" si="252"/>
        <v>0.9989999999999668</v>
      </c>
      <c r="K533">
        <f t="shared" si="253"/>
        <v>51</v>
      </c>
      <c r="L533">
        <f t="shared" ca="1" si="254"/>
        <v>0.05</v>
      </c>
      <c r="M533">
        <f t="shared" ca="1" si="227"/>
        <v>0.26</v>
      </c>
      <c r="N533">
        <f t="shared" ca="1" si="228"/>
        <v>4.9056603773584909E-2</v>
      </c>
      <c r="O533">
        <f t="shared" ca="1" si="229"/>
        <v>196.15384615384616</v>
      </c>
      <c r="P533">
        <f t="shared" ca="1" si="230"/>
        <v>632.42049999999995</v>
      </c>
      <c r="Q533">
        <f t="shared" ca="1" si="231"/>
        <v>2593.4975316486621</v>
      </c>
      <c r="R533">
        <f t="shared" ca="1" si="232"/>
        <v>482.07306851378365</v>
      </c>
      <c r="S533">
        <f t="shared" ca="1" si="233"/>
        <v>280.07692026646265</v>
      </c>
      <c r="T533">
        <f t="shared" ca="1" si="234"/>
        <v>1019.7665564573041</v>
      </c>
      <c r="U533">
        <f t="shared" ca="1" si="255"/>
        <v>-481.59049544525396</v>
      </c>
      <c r="V533">
        <f t="shared" ca="1" si="256"/>
        <v>0</v>
      </c>
      <c r="W533">
        <f t="shared" ca="1" si="235"/>
        <v>0.05</v>
      </c>
      <c r="X533">
        <f t="shared" ca="1" si="236"/>
        <v>0.26</v>
      </c>
      <c r="Y533">
        <f t="shared" ca="1" si="237"/>
        <v>4.9056603773584909E-2</v>
      </c>
      <c r="Z533">
        <f t="shared" ca="1" si="238"/>
        <v>196.15384615384616</v>
      </c>
      <c r="AA533">
        <f t="shared" ca="1" si="239"/>
        <v>632.42049999999995</v>
      </c>
      <c r="AB533">
        <f t="shared" ca="1" si="240"/>
        <v>2593.4975316486621</v>
      </c>
      <c r="AC533">
        <f t="shared" ca="1" si="241"/>
        <v>482.07306851378365</v>
      </c>
      <c r="AD533">
        <f t="shared" ca="1" si="242"/>
        <v>280.07692026646265</v>
      </c>
      <c r="AE533">
        <f t="shared" ca="1" si="243"/>
        <v>1019.7665564573041</v>
      </c>
      <c r="AF533">
        <f t="shared" ca="1" si="244"/>
        <v>482.16081698020798</v>
      </c>
      <c r="AG533">
        <f t="shared" ca="1" si="245"/>
        <v>0</v>
      </c>
      <c r="AH533">
        <f ca="1">IF(V32="Supercritical",L533,IF(V32="Subcritical",W533,IF(AND(V533=1,AG533=1),IF(T533&gt;=AE533,L533,W533),IF(V533=1,L533,IF(AG533=1,W533,MAX($D$16,POWER((ABS(K533)^2)/($I$5*MAX(F533,0.1)^2),1/3)))))))</f>
        <v>2.1403668656741068</v>
      </c>
      <c r="AI533">
        <f t="shared" ca="1" si="246"/>
        <v>634.51086686567407</v>
      </c>
      <c r="AJ533">
        <f t="shared" ca="1" si="247"/>
        <v>635.58105029851117</v>
      </c>
      <c r="AM533">
        <v>0</v>
      </c>
      <c r="AN533">
        <v>0</v>
      </c>
      <c r="AO533">
        <f t="shared" si="248"/>
        <v>0</v>
      </c>
      <c r="AP533">
        <f t="shared" si="257"/>
        <v>0</v>
      </c>
      <c r="AQ533">
        <f t="shared" ca="1" si="249"/>
        <v>0.99999999999999978</v>
      </c>
      <c r="AR533" t="str">
        <f t="shared" ca="1" si="250"/>
        <v>Supercritical</v>
      </c>
      <c r="AS533">
        <f t="shared" ca="1" si="251"/>
        <v>3.8148159832266538E-3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191</v>
      </c>
      <c r="I534">
        <v>2.7E-2</v>
      </c>
      <c r="J534">
        <f t="shared" si="252"/>
        <v>1</v>
      </c>
      <c r="K534">
        <f t="shared" si="253"/>
        <v>51</v>
      </c>
      <c r="L534">
        <f t="shared" ca="1" si="254"/>
        <v>0.05</v>
      </c>
      <c r="M534">
        <f t="shared" ref="M534:M597" ca="1" si="258">((F534)+(G534)*(L534))*(L534)</f>
        <v>0.26</v>
      </c>
      <c r="N534">
        <f t="shared" ref="N534:N597" ca="1" si="259">(((F534)+(G534)*(L534))*(L534))/MAX((F534)+2*(L534)*SQRT(1+(G534)^2),0.000001)</f>
        <v>4.9056603773584909E-2</v>
      </c>
      <c r="O534">
        <f t="shared" ref="O534:O597" ca="1" si="260">ABS(K534)/MAX(((F534)+(G534)*(L534))*(L534),0.000001)</f>
        <v>196.15384615384616</v>
      </c>
      <c r="P534">
        <f t="shared" ref="P534:P597" ca="1" si="261">E534+L534</f>
        <v>632.41999999999996</v>
      </c>
      <c r="Q534">
        <f t="shared" ref="Q534:Q597" ca="1" si="262">P534+((ABS(K534)/MAX(((F534)+(G534)*(L534))*(L534),0.000001))^2)/(2*$I$5)</f>
        <v>2593.497031648662</v>
      </c>
      <c r="R534">
        <f t="shared" ref="R534:R597" ca="1" si="263">((ABS(K534)*$D$6)/(MAX(((F534)+(G534)*(L534))*(L534),0.000001)*MAX(((((F534)+(G534)*(L534))*(L534))/MAX((F534)+2*(L534)*SQRT(1+(G534)^2),0.000001))^(2/3),0.000001)))^2</f>
        <v>482.07306851378365</v>
      </c>
      <c r="S534">
        <f t="shared" ref="S534:S597" ca="1" si="264">ABS(ABS(K534)/MAX(((F534)+(G534)*(L534))*(L534),0.000001))/SQRT($I$5*MAX((((F534)+(G534)*(L534))*(L534))/MAX((F534)+2*(G534)*(L534),0.000001),0.000001))</f>
        <v>280.07692026646265</v>
      </c>
      <c r="T534">
        <f t="shared" ref="T534:T597" ca="1" si="265">((F534)*(L534)^2)/2+(G534)*(L534)^3/3+(ABS(K534)^2)/($I$5*MAX(((F534)+(G534)*(L534))*(L534),0.000001))</f>
        <v>1019.7665564573041</v>
      </c>
      <c r="U534">
        <f t="shared" ca="1" si="255"/>
        <v>-482.16081698020798</v>
      </c>
      <c r="V534">
        <f t="shared" ca="1" si="256"/>
        <v>0</v>
      </c>
      <c r="W534">
        <f t="shared" ref="W534:W597" ca="1" si="266">IF(OR($D$20=0,AG535=0),W535,IF(OR(W534=0,AD535&gt;1),MAX($D$16,POWER((ABS(K534)^2)/($I$5*MAX(F534,0.1)^2),1/3)),IF(AF534&gt;0,MAX($D$16,W534+((AF534)*$D$18*IF((AD534)&lt;1,1,-1))),IF(AF534&lt;0,IF(ABS((MAX($D$16,POWER((ABS(K534)^2)/($I$5*MAX(F534,0.1)^2),1/3)))-W534)&gt;$D$19,MAX($D$16,W534+($D$18*((MAX($D$16,POWER((ABS(K534)^2)/($I$5*MAX(F534,0.1)^2),1/3)))-W534))),MAX($D$16,POWER((ABS(K534)^2)/($I$5*MAX(F534,0.1)^2),1/3))),W534))))</f>
        <v>0.05</v>
      </c>
      <c r="X534">
        <f t="shared" ref="X534:X597" ca="1" si="267">((F534)+(G534)*(W534))*(W534)</f>
        <v>0.26</v>
      </c>
      <c r="Y534">
        <f t="shared" ref="Y534:Y597" ca="1" si="268">(((F534)+(G534)*(W534))*(W534))/MAX((F534)+2*(W534)*SQRT(1+(G534)^2),0.000001)</f>
        <v>4.9056603773584909E-2</v>
      </c>
      <c r="Z534">
        <f t="shared" ref="Z534:Z597" ca="1" si="269">ABS(K534)/MAX(((F534)+(G534)*(W534))*(W534),0.000001)</f>
        <v>196.15384615384616</v>
      </c>
      <c r="AA534">
        <f t="shared" ref="AA534:AA597" ca="1" si="270">E534+W534</f>
        <v>632.41999999999996</v>
      </c>
      <c r="AB534">
        <f t="shared" ref="AB534:AB597" ca="1" si="271">AA534+((ABS(K534)/MAX(((F534)+(G534)*(W534))*(W534),0.000001))^2)/(2*$I$5)</f>
        <v>2593.497031648662</v>
      </c>
      <c r="AC534">
        <f t="shared" ref="AC534:AC597" ca="1" si="272">((ABS(K534)*$D$6)/(MAX(((F534)+(G534)*(W534))*(W534),0.000001)*MAX(((((F534)+(G534)*(W534))*(W534))/MAX((F534)+2*(W534)*SQRT(1+(G534)^2),0.000001))^(2/3),0.000001)))^2</f>
        <v>482.07306851378365</v>
      </c>
      <c r="AD534">
        <f t="shared" ref="AD534:AD597" ca="1" si="273">ABS(ABS(K534)/MAX(((F534)+(G534)*(W534))*(W534),0.000001))/SQRT($I$5*MAX((((F534)+(G534)*(W534))*(W534))/MAX((F534)+2*(G534)*(W534),0.000001),0.000001))</f>
        <v>280.07692026646265</v>
      </c>
      <c r="AE534">
        <f t="shared" ref="AE534:AE597" ca="1" si="274">((F534)*(W534)^2)/2+(G534)*(W534)^3/3+(ABS(K534)^2)/($I$5*MAX(((F534)+(G534)*(W534))*(W534),0.000001))</f>
        <v>1019.7665564573041</v>
      </c>
      <c r="AF534">
        <f t="shared" ref="AF534:AF597" ca="1" si="275">AB535+(((AC534+AC535)/2)*J535)+(IF(Z534&gt;Z535,$D$8*((Z534^2-Z535^2)/(2*$I$5)),$D$9*((Z535^2-Z534^2)/(2*$I$5)))+($D$10*(ABS(I535)/90)*(MAX(Z534^2,Z535^2)/(2*$I$5))))-AB534</f>
        <v>482.32750852789832</v>
      </c>
      <c r="AG534">
        <f t="shared" ref="AG534:AG597" ca="1" si="276">IF(ROUND(AD534,3)=1,1,IF(AND(ABS(AF534)&lt;$D$19,AD534&lt;1),1,0))</f>
        <v>0</v>
      </c>
      <c r="AH534">
        <f ca="1">IF(V32="Supercritical",L534,IF(V32="Subcritical",W534,IF(AND(V534=1,AG534=1),IF(T534&gt;=AE534,L534,W534),IF(V534=1,L534,IF(AG534=1,W534,MAX($D$16,POWER((ABS(K534)^2)/($I$5*MAX(F534,0.1)^2),1/3)))))))</f>
        <v>2.1403668656741068</v>
      </c>
      <c r="AI534">
        <f t="shared" ref="AI534:AI597" ca="1" si="277">E534+AH534</f>
        <v>634.51036686567409</v>
      </c>
      <c r="AJ534">
        <f t="shared" ref="AJ534:AJ597" ca="1" si="278">AI534+((ABS(K534)/MAX(((F534)+(G534)*(AH534))*(AH534),0.000001))^2)/(2*$I$5)</f>
        <v>635.58055029851118</v>
      </c>
      <c r="AM534">
        <v>0</v>
      </c>
      <c r="AN534">
        <v>0</v>
      </c>
      <c r="AO534">
        <f t="shared" ref="AO534:AO597" si="279">AM534+AN534</f>
        <v>0</v>
      </c>
      <c r="AP534">
        <f t="shared" si="257"/>
        <v>0</v>
      </c>
      <c r="AQ534">
        <f t="shared" ref="AQ534:AQ597" ca="1" si="280">ABS(ABS(K534)/MAX(((F534)+(G534)*(AH534))*(AH534),0.000001))/SQRT($I$5*MAX((((F534)+(G534)*(AH534))*(AH534))/MAX((F534)+2*(G534)*(AH534),0.000001),0.000001))</f>
        <v>0.99999999999999978</v>
      </c>
      <c r="AR534" t="str">
        <f t="shared" ref="AR534:AR597" ca="1" si="281">IF(AQ534&lt;1,"Subcritical","Supercritical")</f>
        <v>Supercritical</v>
      </c>
      <c r="AS534">
        <f t="shared" ref="AS534:AS597" ca="1" si="282">((ABS(K534)*$D$6)/(MAX(((F534)+(G534)*(AH534))*(AH534),0.000001)*MAX(((((F534)+(G534)*(AH534))*(AH534))/MAX((F534)+2*(AH534)*SQRT(1+(G534)^2),0.000001))^(2/3),0.000001)))^2</f>
        <v>3.8148159832266538E-3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191</v>
      </c>
      <c r="I535">
        <v>7.8E-2</v>
      </c>
      <c r="J535">
        <f t="shared" ref="J535:J598" si="283">B535-B534</f>
        <v>1</v>
      </c>
      <c r="K535">
        <f t="shared" ref="K535:K598" si="284">MAX(0,K534-AO534)</f>
        <v>51</v>
      </c>
      <c r="L535">
        <f t="shared" ref="L535:L598" ca="1" si="285">IF(OR($D$20=0,V534=0),L534,IF(OR(L535=0,S534&lt;1,S535&lt;1),MAX($D$16,POWER((ABS(K535)^2)/($I$5*MAX(F535,0.1)^2),1/3)),IF(U535&gt;0,MAX($D$16,L535+((U535)*$D$18*IF((S535)&lt;1,1,-1))),IF(U535&lt;0,IF(ABS((MAX($D$16,POWER((ABS(K535)^2)/($I$5*MAX(F535,0.1)^2),1/3)))-L535)&gt;$D$19,MAX($D$16,L535+($D$18*((MAX($D$16,POWER((ABS(K535)^2)/($I$5*MAX(F535,0.1)^2),1/3)))-L535))),MAX($D$16,POWER((ABS(K535)^2)/($I$5*MAX(F535,0.1)^2),1/3))),L535))))</f>
        <v>0.05</v>
      </c>
      <c r="M535">
        <f t="shared" ca="1" si="258"/>
        <v>0.26</v>
      </c>
      <c r="N535">
        <f t="shared" ca="1" si="259"/>
        <v>4.9056603773584909E-2</v>
      </c>
      <c r="O535">
        <f t="shared" ca="1" si="260"/>
        <v>196.15384615384616</v>
      </c>
      <c r="P535">
        <f t="shared" ca="1" si="261"/>
        <v>632.41949999999997</v>
      </c>
      <c r="Q535">
        <f t="shared" ca="1" si="262"/>
        <v>2593.4965316486623</v>
      </c>
      <c r="R535">
        <f t="shared" ca="1" si="263"/>
        <v>482.07306851378365</v>
      </c>
      <c r="S535">
        <f t="shared" ca="1" si="264"/>
        <v>280.07692026646265</v>
      </c>
      <c r="T535">
        <f t="shared" ca="1" si="265"/>
        <v>1019.7665564573041</v>
      </c>
      <c r="U535">
        <f t="shared" ref="U535:U598" ca="1" si="286">Q534-(((R534+R535)/2)*J535)-(IF(O534&gt;O535,$D$8*((O534^2-O535^2)/(2*$I$5)),$D$9*((O535^2-O534^2)/(2*$I$5)))+($D$10*(ABS(I535)/90)*(MAX(O534^2,O535^2)/(2*$I$5))))-Q535</f>
        <v>-482.32750852789832</v>
      </c>
      <c r="V535">
        <f t="shared" ref="V535:V598" ca="1" si="287">IF(ROUND(S535,3)=1,1,IF(AND(ABS(U535)&lt;$D$19,S535&gt;1),1,0))</f>
        <v>0</v>
      </c>
      <c r="W535">
        <f t="shared" ca="1" si="266"/>
        <v>0.05</v>
      </c>
      <c r="X535">
        <f t="shared" ca="1" si="267"/>
        <v>0.26</v>
      </c>
      <c r="Y535">
        <f t="shared" ca="1" si="268"/>
        <v>4.9056603773584909E-2</v>
      </c>
      <c r="Z535">
        <f t="shared" ca="1" si="269"/>
        <v>196.15384615384616</v>
      </c>
      <c r="AA535">
        <f t="shared" ca="1" si="270"/>
        <v>632.41949999999997</v>
      </c>
      <c r="AB535">
        <f t="shared" ca="1" si="271"/>
        <v>2593.4965316486623</v>
      </c>
      <c r="AC535">
        <f t="shared" ca="1" si="272"/>
        <v>482.07306851378365</v>
      </c>
      <c r="AD535">
        <f t="shared" ca="1" si="273"/>
        <v>280.07692026646265</v>
      </c>
      <c r="AE535">
        <f t="shared" ca="1" si="274"/>
        <v>1019.7665564573041</v>
      </c>
      <c r="AF535">
        <f t="shared" ca="1" si="275"/>
        <v>482.32750852789786</v>
      </c>
      <c r="AG535">
        <f t="shared" ca="1" si="276"/>
        <v>0</v>
      </c>
      <c r="AH535">
        <f ca="1">IF(V32="Supercritical",L535,IF(V32="Subcritical",W535,IF(AND(V535=1,AG535=1),IF(T535&gt;=AE535,L535,W535),IF(V535=1,L535,IF(AG535=1,W535,MAX($D$16,POWER((ABS(K535)^2)/($I$5*MAX(F535,0.1)^2),1/3)))))))</f>
        <v>2.1403668656741068</v>
      </c>
      <c r="AI535">
        <f t="shared" ca="1" si="277"/>
        <v>634.5098668656741</v>
      </c>
      <c r="AJ535">
        <f t="shared" ca="1" si="278"/>
        <v>635.5800502985112</v>
      </c>
      <c r="AM535">
        <v>0</v>
      </c>
      <c r="AN535">
        <v>0</v>
      </c>
      <c r="AO535">
        <f t="shared" si="279"/>
        <v>0</v>
      </c>
      <c r="AP535">
        <f t="shared" ref="AP535:AP598" si="288">AP534+AO535</f>
        <v>0</v>
      </c>
      <c r="AQ535">
        <f t="shared" ca="1" si="280"/>
        <v>0.99999999999999978</v>
      </c>
      <c r="AR535" t="str">
        <f t="shared" ca="1" si="281"/>
        <v>Supercritical</v>
      </c>
      <c r="AS535">
        <f t="shared" ca="1" si="282"/>
        <v>3.8148159832266538E-3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191</v>
      </c>
      <c r="I536">
        <v>7.8E-2</v>
      </c>
      <c r="J536">
        <f t="shared" si="283"/>
        <v>1</v>
      </c>
      <c r="K536">
        <f t="shared" si="284"/>
        <v>51</v>
      </c>
      <c r="L536">
        <f t="shared" ca="1" si="285"/>
        <v>0.05</v>
      </c>
      <c r="M536">
        <f t="shared" ca="1" si="258"/>
        <v>0.26</v>
      </c>
      <c r="N536">
        <f t="shared" ca="1" si="259"/>
        <v>4.9056603773584909E-2</v>
      </c>
      <c r="O536">
        <f t="shared" ca="1" si="260"/>
        <v>196.15384615384616</v>
      </c>
      <c r="P536">
        <f t="shared" ca="1" si="261"/>
        <v>632.41899999999998</v>
      </c>
      <c r="Q536">
        <f t="shared" ca="1" si="262"/>
        <v>2593.4960316486622</v>
      </c>
      <c r="R536">
        <f t="shared" ca="1" si="263"/>
        <v>482.07306851378365</v>
      </c>
      <c r="S536">
        <f t="shared" ca="1" si="264"/>
        <v>280.07692026646265</v>
      </c>
      <c r="T536">
        <f t="shared" ca="1" si="265"/>
        <v>1019.7665564573041</v>
      </c>
      <c r="U536">
        <f t="shared" ca="1" si="286"/>
        <v>-482.32750852789786</v>
      </c>
      <c r="V536">
        <f t="shared" ca="1" si="287"/>
        <v>0</v>
      </c>
      <c r="W536">
        <f t="shared" ca="1" si="266"/>
        <v>0.05</v>
      </c>
      <c r="X536">
        <f t="shared" ca="1" si="267"/>
        <v>0.26</v>
      </c>
      <c r="Y536">
        <f t="shared" ca="1" si="268"/>
        <v>4.9056603773584909E-2</v>
      </c>
      <c r="Z536">
        <f t="shared" ca="1" si="269"/>
        <v>196.15384615384616</v>
      </c>
      <c r="AA536">
        <f t="shared" ca="1" si="270"/>
        <v>632.41899999999998</v>
      </c>
      <c r="AB536">
        <f t="shared" ca="1" si="271"/>
        <v>2593.4960316486622</v>
      </c>
      <c r="AC536">
        <f t="shared" ca="1" si="272"/>
        <v>482.07306851378365</v>
      </c>
      <c r="AD536">
        <f t="shared" ca="1" si="273"/>
        <v>280.07692026646265</v>
      </c>
      <c r="AE536">
        <f t="shared" ca="1" si="274"/>
        <v>1019.7665564573041</v>
      </c>
      <c r="AF536">
        <f t="shared" ca="1" si="275"/>
        <v>482.64289004873763</v>
      </c>
      <c r="AG536">
        <f t="shared" ca="1" si="276"/>
        <v>0</v>
      </c>
      <c r="AH536">
        <f ca="1">IF(V32="Supercritical",L536,IF(V32="Subcritical",W536,IF(AND(V536=1,AG536=1),IF(T536&gt;=AE536,L536,W536),IF(V536=1,L536,IF(AG536=1,W536,MAX($D$16,POWER((ABS(K536)^2)/($I$5*MAX(F536,0.1)^2),1/3)))))))</f>
        <v>2.1403668656741068</v>
      </c>
      <c r="AI536">
        <f t="shared" ca="1" si="277"/>
        <v>634.50936686567411</v>
      </c>
      <c r="AJ536">
        <f t="shared" ca="1" si="278"/>
        <v>635.57955029851121</v>
      </c>
      <c r="AM536">
        <v>0</v>
      </c>
      <c r="AN536">
        <v>0</v>
      </c>
      <c r="AO536">
        <f t="shared" si="279"/>
        <v>0</v>
      </c>
      <c r="AP536">
        <f t="shared" si="288"/>
        <v>0</v>
      </c>
      <c r="AQ536">
        <f t="shared" ca="1" si="280"/>
        <v>0.99999999999999978</v>
      </c>
      <c r="AR536" t="str">
        <f t="shared" ca="1" si="281"/>
        <v>Supercritical</v>
      </c>
      <c r="AS536">
        <f t="shared" ca="1" si="282"/>
        <v>3.8148159832266538E-3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191</v>
      </c>
      <c r="I537">
        <v>2.7E-2</v>
      </c>
      <c r="J537">
        <f t="shared" si="283"/>
        <v>1.0010000000000332</v>
      </c>
      <c r="K537">
        <f t="shared" si="284"/>
        <v>51</v>
      </c>
      <c r="L537">
        <f t="shared" ca="1" si="285"/>
        <v>0.05</v>
      </c>
      <c r="M537">
        <f t="shared" ca="1" si="258"/>
        <v>0.26</v>
      </c>
      <c r="N537">
        <f t="shared" ca="1" si="259"/>
        <v>4.9056603773584909E-2</v>
      </c>
      <c r="O537">
        <f t="shared" ca="1" si="260"/>
        <v>196.15384615384616</v>
      </c>
      <c r="P537">
        <f t="shared" ca="1" si="261"/>
        <v>632.41849999999999</v>
      </c>
      <c r="Q537">
        <f t="shared" ca="1" si="262"/>
        <v>2593.4955316486621</v>
      </c>
      <c r="R537">
        <f t="shared" ca="1" si="263"/>
        <v>482.07306851378365</v>
      </c>
      <c r="S537">
        <f t="shared" ca="1" si="264"/>
        <v>280.07692026646265</v>
      </c>
      <c r="T537">
        <f t="shared" ca="1" si="265"/>
        <v>1019.7665564573041</v>
      </c>
      <c r="U537">
        <f t="shared" ca="1" si="286"/>
        <v>-482.64289004873763</v>
      </c>
      <c r="V537">
        <f t="shared" ca="1" si="287"/>
        <v>0</v>
      </c>
      <c r="W537">
        <f t="shared" ca="1" si="266"/>
        <v>0.05</v>
      </c>
      <c r="X537">
        <f t="shared" ca="1" si="267"/>
        <v>0.26</v>
      </c>
      <c r="Y537">
        <f t="shared" ca="1" si="268"/>
        <v>4.9056603773584909E-2</v>
      </c>
      <c r="Z537">
        <f t="shared" ca="1" si="269"/>
        <v>196.15384615384616</v>
      </c>
      <c r="AA537">
        <f t="shared" ca="1" si="270"/>
        <v>632.41849999999999</v>
      </c>
      <c r="AB537">
        <f t="shared" ca="1" si="271"/>
        <v>2593.4955316486621</v>
      </c>
      <c r="AC537">
        <f t="shared" ca="1" si="272"/>
        <v>482.07306851378365</v>
      </c>
      <c r="AD537">
        <f t="shared" ca="1" si="273"/>
        <v>280.07692026646265</v>
      </c>
      <c r="AE537">
        <f t="shared" ca="1" si="274"/>
        <v>1019.7665564573041</v>
      </c>
      <c r="AF537">
        <f t="shared" ca="1" si="275"/>
        <v>481.59049544525351</v>
      </c>
      <c r="AG537">
        <f t="shared" ca="1" si="276"/>
        <v>0</v>
      </c>
      <c r="AH537">
        <f ca="1">IF(V32="Supercritical",L537,IF(V32="Subcritical",W537,IF(AND(V537=1,AG537=1),IF(T537&gt;=AE537,L537,W537),IF(V537=1,L537,IF(AG537=1,W537,MAX($D$16,POWER((ABS(K537)^2)/($I$5*MAX(F537,0.1)^2),1/3)))))))</f>
        <v>2.1403668656741068</v>
      </c>
      <c r="AI537">
        <f t="shared" ca="1" si="277"/>
        <v>634.50886686567412</v>
      </c>
      <c r="AJ537">
        <f t="shared" ca="1" si="278"/>
        <v>635.57905029851122</v>
      </c>
      <c r="AM537">
        <v>0</v>
      </c>
      <c r="AN537">
        <v>0</v>
      </c>
      <c r="AO537">
        <f t="shared" si="279"/>
        <v>0</v>
      </c>
      <c r="AP537">
        <f t="shared" si="288"/>
        <v>0</v>
      </c>
      <c r="AQ537">
        <f t="shared" ca="1" si="280"/>
        <v>0.99999999999999978</v>
      </c>
      <c r="AR537" t="str">
        <f t="shared" ca="1" si="281"/>
        <v>Supercritical</v>
      </c>
      <c r="AS537">
        <f t="shared" ca="1" si="282"/>
        <v>3.8148159832266538E-3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191</v>
      </c>
      <c r="I538">
        <v>0</v>
      </c>
      <c r="J538">
        <f t="shared" si="283"/>
        <v>0.9989999999999668</v>
      </c>
      <c r="K538">
        <f t="shared" si="284"/>
        <v>51</v>
      </c>
      <c r="L538">
        <f t="shared" ca="1" si="285"/>
        <v>0.05</v>
      </c>
      <c r="M538">
        <f t="shared" ca="1" si="258"/>
        <v>0.26</v>
      </c>
      <c r="N538">
        <f t="shared" ca="1" si="259"/>
        <v>4.9056603773584909E-2</v>
      </c>
      <c r="O538">
        <f t="shared" ca="1" si="260"/>
        <v>196.15384615384616</v>
      </c>
      <c r="P538">
        <f t="shared" ca="1" si="261"/>
        <v>632.41800000000001</v>
      </c>
      <c r="Q538">
        <f t="shared" ca="1" si="262"/>
        <v>2593.495031648662</v>
      </c>
      <c r="R538">
        <f t="shared" ca="1" si="263"/>
        <v>482.07306851378365</v>
      </c>
      <c r="S538">
        <f t="shared" ca="1" si="264"/>
        <v>280.07692026646265</v>
      </c>
      <c r="T538">
        <f t="shared" ca="1" si="265"/>
        <v>1019.7665564573041</v>
      </c>
      <c r="U538">
        <f t="shared" ca="1" si="286"/>
        <v>-481.59049544525351</v>
      </c>
      <c r="V538">
        <f t="shared" ca="1" si="287"/>
        <v>0</v>
      </c>
      <c r="W538">
        <f t="shared" ca="1" si="266"/>
        <v>0.05</v>
      </c>
      <c r="X538">
        <f t="shared" ca="1" si="267"/>
        <v>0.26</v>
      </c>
      <c r="Y538">
        <f t="shared" ca="1" si="268"/>
        <v>4.9056603773584909E-2</v>
      </c>
      <c r="Z538">
        <f t="shared" ca="1" si="269"/>
        <v>196.15384615384616</v>
      </c>
      <c r="AA538">
        <f t="shared" ca="1" si="270"/>
        <v>632.41800000000001</v>
      </c>
      <c r="AB538">
        <f t="shared" ca="1" si="271"/>
        <v>2593.495031648662</v>
      </c>
      <c r="AC538">
        <f t="shared" ca="1" si="272"/>
        <v>482.07306851378365</v>
      </c>
      <c r="AD538">
        <f t="shared" ca="1" si="273"/>
        <v>280.07692026646265</v>
      </c>
      <c r="AE538">
        <f t="shared" ca="1" si="274"/>
        <v>1019.7665564573041</v>
      </c>
      <c r="AF538">
        <f t="shared" ca="1" si="275"/>
        <v>482.16081698020798</v>
      </c>
      <c r="AG538">
        <f t="shared" ca="1" si="276"/>
        <v>0</v>
      </c>
      <c r="AH538">
        <f ca="1">IF(V32="Supercritical",L538,IF(V32="Subcritical",W538,IF(AND(V538=1,AG538=1),IF(T538&gt;=AE538,L538,W538),IF(V538=1,L538,IF(AG538=1,W538,MAX($D$16,POWER((ABS(K538)^2)/($I$5*MAX(F538,0.1)^2),1/3)))))))</f>
        <v>2.1403668656741068</v>
      </c>
      <c r="AI538">
        <f t="shared" ca="1" si="277"/>
        <v>634.50836686567413</v>
      </c>
      <c r="AJ538">
        <f t="shared" ca="1" si="278"/>
        <v>635.57855029851123</v>
      </c>
      <c r="AM538">
        <v>0</v>
      </c>
      <c r="AN538">
        <v>0</v>
      </c>
      <c r="AO538">
        <f t="shared" si="279"/>
        <v>0</v>
      </c>
      <c r="AP538">
        <f t="shared" si="288"/>
        <v>0</v>
      </c>
      <c r="AQ538">
        <f t="shared" ca="1" si="280"/>
        <v>0.99999999999999978</v>
      </c>
      <c r="AR538" t="str">
        <f t="shared" ca="1" si="281"/>
        <v>Supercritical</v>
      </c>
      <c r="AS538">
        <f t="shared" ca="1" si="282"/>
        <v>3.8148159832266538E-3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191</v>
      </c>
      <c r="I539">
        <v>2.7E-2</v>
      </c>
      <c r="J539">
        <f t="shared" si="283"/>
        <v>1</v>
      </c>
      <c r="K539">
        <f t="shared" si="284"/>
        <v>51</v>
      </c>
      <c r="L539">
        <f t="shared" ca="1" si="285"/>
        <v>0.05</v>
      </c>
      <c r="M539">
        <f t="shared" ca="1" si="258"/>
        <v>0.26</v>
      </c>
      <c r="N539">
        <f t="shared" ca="1" si="259"/>
        <v>4.9056603773584909E-2</v>
      </c>
      <c r="O539">
        <f t="shared" ca="1" si="260"/>
        <v>196.15384615384616</v>
      </c>
      <c r="P539">
        <f t="shared" ca="1" si="261"/>
        <v>632.4174999999999</v>
      </c>
      <c r="Q539">
        <f t="shared" ca="1" si="262"/>
        <v>2593.4945316486619</v>
      </c>
      <c r="R539">
        <f t="shared" ca="1" si="263"/>
        <v>482.07306851378365</v>
      </c>
      <c r="S539">
        <f t="shared" ca="1" si="264"/>
        <v>280.07692026646265</v>
      </c>
      <c r="T539">
        <f t="shared" ca="1" si="265"/>
        <v>1019.7665564573041</v>
      </c>
      <c r="U539">
        <f t="shared" ca="1" si="286"/>
        <v>-482.16081698020798</v>
      </c>
      <c r="V539">
        <f t="shared" ca="1" si="287"/>
        <v>0</v>
      </c>
      <c r="W539">
        <f t="shared" ca="1" si="266"/>
        <v>0.05</v>
      </c>
      <c r="X539">
        <f t="shared" ca="1" si="267"/>
        <v>0.26</v>
      </c>
      <c r="Y539">
        <f t="shared" ca="1" si="268"/>
        <v>4.9056603773584909E-2</v>
      </c>
      <c r="Z539">
        <f t="shared" ca="1" si="269"/>
        <v>196.15384615384616</v>
      </c>
      <c r="AA539">
        <f t="shared" ca="1" si="270"/>
        <v>632.4174999999999</v>
      </c>
      <c r="AB539">
        <f t="shared" ca="1" si="271"/>
        <v>2593.4945316486619</v>
      </c>
      <c r="AC539">
        <f t="shared" ca="1" si="272"/>
        <v>482.07306851378365</v>
      </c>
      <c r="AD539">
        <f t="shared" ca="1" si="273"/>
        <v>280.07692026646265</v>
      </c>
      <c r="AE539">
        <f t="shared" ca="1" si="274"/>
        <v>1019.7665564573041</v>
      </c>
      <c r="AF539">
        <f t="shared" ca="1" si="275"/>
        <v>482.32750852789786</v>
      </c>
      <c r="AG539">
        <f t="shared" ca="1" si="276"/>
        <v>0</v>
      </c>
      <c r="AH539">
        <f ca="1">IF(V32="Supercritical",L539,IF(V32="Subcritical",W539,IF(AND(V539=1,AG539=1),IF(T539&gt;=AE539,L539,W539),IF(V539=1,L539,IF(AG539=1,W539,MAX($D$16,POWER((ABS(K539)^2)/($I$5*MAX(F539,0.1)^2),1/3)))))))</f>
        <v>2.1403668656741068</v>
      </c>
      <c r="AI539">
        <f t="shared" ca="1" si="277"/>
        <v>634.50786686567403</v>
      </c>
      <c r="AJ539">
        <f t="shared" ca="1" si="278"/>
        <v>635.57805029851113</v>
      </c>
      <c r="AM539">
        <v>0</v>
      </c>
      <c r="AN539">
        <v>0</v>
      </c>
      <c r="AO539">
        <f t="shared" si="279"/>
        <v>0</v>
      </c>
      <c r="AP539">
        <f t="shared" si="288"/>
        <v>0</v>
      </c>
      <c r="AQ539">
        <f t="shared" ca="1" si="280"/>
        <v>0.99999999999999978</v>
      </c>
      <c r="AR539" t="str">
        <f t="shared" ca="1" si="281"/>
        <v>Supercritical</v>
      </c>
      <c r="AS539">
        <f t="shared" ca="1" si="282"/>
        <v>3.8148159832266538E-3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191</v>
      </c>
      <c r="I540">
        <v>7.8E-2</v>
      </c>
      <c r="J540">
        <f t="shared" si="283"/>
        <v>1</v>
      </c>
      <c r="K540">
        <f t="shared" si="284"/>
        <v>51</v>
      </c>
      <c r="L540">
        <f t="shared" ca="1" si="285"/>
        <v>0.05</v>
      </c>
      <c r="M540">
        <f t="shared" ca="1" si="258"/>
        <v>0.26</v>
      </c>
      <c r="N540">
        <f t="shared" ca="1" si="259"/>
        <v>4.9056603773584909E-2</v>
      </c>
      <c r="O540">
        <f t="shared" ca="1" si="260"/>
        <v>196.15384615384616</v>
      </c>
      <c r="P540">
        <f t="shared" ca="1" si="261"/>
        <v>632.41699999999992</v>
      </c>
      <c r="Q540">
        <f t="shared" ca="1" si="262"/>
        <v>2593.4940316486618</v>
      </c>
      <c r="R540">
        <f t="shared" ca="1" si="263"/>
        <v>482.07306851378365</v>
      </c>
      <c r="S540">
        <f t="shared" ca="1" si="264"/>
        <v>280.07692026646265</v>
      </c>
      <c r="T540">
        <f t="shared" ca="1" si="265"/>
        <v>1019.7665564573041</v>
      </c>
      <c r="U540">
        <f t="shared" ca="1" si="286"/>
        <v>-482.32750852789786</v>
      </c>
      <c r="V540">
        <f t="shared" ca="1" si="287"/>
        <v>0</v>
      </c>
      <c r="W540">
        <f t="shared" ca="1" si="266"/>
        <v>0.05</v>
      </c>
      <c r="X540">
        <f t="shared" ca="1" si="267"/>
        <v>0.26</v>
      </c>
      <c r="Y540">
        <f t="shared" ca="1" si="268"/>
        <v>4.9056603773584909E-2</v>
      </c>
      <c r="Z540">
        <f t="shared" ca="1" si="269"/>
        <v>196.15384615384616</v>
      </c>
      <c r="AA540">
        <f t="shared" ca="1" si="270"/>
        <v>632.41699999999992</v>
      </c>
      <c r="AB540">
        <f t="shared" ca="1" si="271"/>
        <v>2593.4940316486618</v>
      </c>
      <c r="AC540">
        <f t="shared" ca="1" si="272"/>
        <v>482.07306851378365</v>
      </c>
      <c r="AD540">
        <f t="shared" ca="1" si="273"/>
        <v>280.07692026646265</v>
      </c>
      <c r="AE540">
        <f t="shared" ca="1" si="274"/>
        <v>1019.7665564573041</v>
      </c>
      <c r="AF540">
        <f t="shared" ca="1" si="275"/>
        <v>482.32750852789832</v>
      </c>
      <c r="AG540">
        <f t="shared" ca="1" si="276"/>
        <v>0</v>
      </c>
      <c r="AH540">
        <f ca="1">IF(V32="Supercritical",L540,IF(V32="Subcritical",W540,IF(AND(V540=1,AG540=1),IF(T540&gt;=AE540,L540,W540),IF(V540=1,L540,IF(AG540=1,W540,MAX($D$16,POWER((ABS(K540)^2)/($I$5*MAX(F540,0.1)^2),1/3)))))))</f>
        <v>2.1403668656741068</v>
      </c>
      <c r="AI540">
        <f t="shared" ca="1" si="277"/>
        <v>634.50736686567404</v>
      </c>
      <c r="AJ540">
        <f t="shared" ca="1" si="278"/>
        <v>635.57755029851114</v>
      </c>
      <c r="AM540">
        <v>0</v>
      </c>
      <c r="AN540">
        <v>0</v>
      </c>
      <c r="AO540">
        <f t="shared" si="279"/>
        <v>0</v>
      </c>
      <c r="AP540">
        <f t="shared" si="288"/>
        <v>0</v>
      </c>
      <c r="AQ540">
        <f t="shared" ca="1" si="280"/>
        <v>0.99999999999999978</v>
      </c>
      <c r="AR540" t="str">
        <f t="shared" ca="1" si="281"/>
        <v>Supercritical</v>
      </c>
      <c r="AS540">
        <f t="shared" ca="1" si="282"/>
        <v>3.8148159832266538E-3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191</v>
      </c>
      <c r="I541">
        <v>7.8E-2</v>
      </c>
      <c r="J541">
        <f t="shared" si="283"/>
        <v>1</v>
      </c>
      <c r="K541">
        <f t="shared" si="284"/>
        <v>51</v>
      </c>
      <c r="L541">
        <f t="shared" ca="1" si="285"/>
        <v>0.05</v>
      </c>
      <c r="M541">
        <f t="shared" ca="1" si="258"/>
        <v>0.26</v>
      </c>
      <c r="N541">
        <f t="shared" ca="1" si="259"/>
        <v>4.9056603773584909E-2</v>
      </c>
      <c r="O541">
        <f t="shared" ca="1" si="260"/>
        <v>196.15384615384616</v>
      </c>
      <c r="P541">
        <f t="shared" ca="1" si="261"/>
        <v>632.41649999999993</v>
      </c>
      <c r="Q541">
        <f t="shared" ca="1" si="262"/>
        <v>2593.4935316486622</v>
      </c>
      <c r="R541">
        <f t="shared" ca="1" si="263"/>
        <v>482.07306851378365</v>
      </c>
      <c r="S541">
        <f t="shared" ca="1" si="264"/>
        <v>280.07692026646265</v>
      </c>
      <c r="T541">
        <f t="shared" ca="1" si="265"/>
        <v>1019.7665564573041</v>
      </c>
      <c r="U541">
        <f t="shared" ca="1" si="286"/>
        <v>-482.32750852789832</v>
      </c>
      <c r="V541">
        <f t="shared" ca="1" si="287"/>
        <v>0</v>
      </c>
      <c r="W541">
        <f t="shared" ca="1" si="266"/>
        <v>0.05</v>
      </c>
      <c r="X541">
        <f t="shared" ca="1" si="267"/>
        <v>0.26</v>
      </c>
      <c r="Y541">
        <f t="shared" ca="1" si="268"/>
        <v>4.9056603773584909E-2</v>
      </c>
      <c r="Z541">
        <f t="shared" ca="1" si="269"/>
        <v>196.15384615384616</v>
      </c>
      <c r="AA541">
        <f t="shared" ca="1" si="270"/>
        <v>632.41649999999993</v>
      </c>
      <c r="AB541">
        <f t="shared" ca="1" si="271"/>
        <v>2593.4935316486622</v>
      </c>
      <c r="AC541">
        <f t="shared" ca="1" si="272"/>
        <v>482.07306851378365</v>
      </c>
      <c r="AD541">
        <f t="shared" ca="1" si="273"/>
        <v>280.07692026646265</v>
      </c>
      <c r="AE541">
        <f t="shared" ca="1" si="274"/>
        <v>1019.7665564573041</v>
      </c>
      <c r="AF541">
        <f t="shared" ca="1" si="275"/>
        <v>482.64289004873763</v>
      </c>
      <c r="AG541">
        <f t="shared" ca="1" si="276"/>
        <v>0</v>
      </c>
      <c r="AH541">
        <f ca="1">IF(V32="Supercritical",L541,IF(V32="Subcritical",W541,IF(AND(V541=1,AG541=1),IF(T541&gt;=AE541,L541,W541),IF(V541=1,L541,IF(AG541=1,W541,MAX($D$16,POWER((ABS(K541)^2)/($I$5*MAX(F541,0.1)^2),1/3)))))))</f>
        <v>2.1403668656741068</v>
      </c>
      <c r="AI541">
        <f t="shared" ca="1" si="277"/>
        <v>634.50686686567406</v>
      </c>
      <c r="AJ541">
        <f t="shared" ca="1" si="278"/>
        <v>635.57705029851115</v>
      </c>
      <c r="AM541">
        <v>0</v>
      </c>
      <c r="AN541">
        <v>0</v>
      </c>
      <c r="AO541">
        <f t="shared" si="279"/>
        <v>0</v>
      </c>
      <c r="AP541">
        <f t="shared" si="288"/>
        <v>0</v>
      </c>
      <c r="AQ541">
        <f t="shared" ca="1" si="280"/>
        <v>0.99999999999999978</v>
      </c>
      <c r="AR541" t="str">
        <f t="shared" ca="1" si="281"/>
        <v>Supercritical</v>
      </c>
      <c r="AS541">
        <f t="shared" ca="1" si="282"/>
        <v>3.8148159832266538E-3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191</v>
      </c>
      <c r="I542">
        <v>2.7E-2</v>
      </c>
      <c r="J542">
        <f t="shared" si="283"/>
        <v>1.0010000000000332</v>
      </c>
      <c r="K542">
        <f t="shared" si="284"/>
        <v>51</v>
      </c>
      <c r="L542">
        <f t="shared" ca="1" si="285"/>
        <v>0.05</v>
      </c>
      <c r="M542">
        <f t="shared" ca="1" si="258"/>
        <v>0.26</v>
      </c>
      <c r="N542">
        <f t="shared" ca="1" si="259"/>
        <v>4.9056603773584909E-2</v>
      </c>
      <c r="O542">
        <f t="shared" ca="1" si="260"/>
        <v>196.15384615384616</v>
      </c>
      <c r="P542">
        <f t="shared" ca="1" si="261"/>
        <v>632.41599999999994</v>
      </c>
      <c r="Q542">
        <f t="shared" ca="1" si="262"/>
        <v>2593.4930316486621</v>
      </c>
      <c r="R542">
        <f t="shared" ca="1" si="263"/>
        <v>482.07306851378365</v>
      </c>
      <c r="S542">
        <f t="shared" ca="1" si="264"/>
        <v>280.07692026646265</v>
      </c>
      <c r="T542">
        <f t="shared" ca="1" si="265"/>
        <v>1019.7665564573041</v>
      </c>
      <c r="U542">
        <f t="shared" ca="1" si="286"/>
        <v>-482.64289004873763</v>
      </c>
      <c r="V542">
        <f t="shared" ca="1" si="287"/>
        <v>0</v>
      </c>
      <c r="W542">
        <f t="shared" ca="1" si="266"/>
        <v>0.05</v>
      </c>
      <c r="X542">
        <f t="shared" ca="1" si="267"/>
        <v>0.26</v>
      </c>
      <c r="Y542">
        <f t="shared" ca="1" si="268"/>
        <v>4.9056603773584909E-2</v>
      </c>
      <c r="Z542">
        <f t="shared" ca="1" si="269"/>
        <v>196.15384615384616</v>
      </c>
      <c r="AA542">
        <f t="shared" ca="1" si="270"/>
        <v>632.41599999999994</v>
      </c>
      <c r="AB542">
        <f t="shared" ca="1" si="271"/>
        <v>2593.4930316486621</v>
      </c>
      <c r="AC542">
        <f t="shared" ca="1" si="272"/>
        <v>482.07306851378365</v>
      </c>
      <c r="AD542">
        <f t="shared" ca="1" si="273"/>
        <v>280.07692026646265</v>
      </c>
      <c r="AE542">
        <f t="shared" ca="1" si="274"/>
        <v>1019.7665564573041</v>
      </c>
      <c r="AF542">
        <f t="shared" ca="1" si="275"/>
        <v>481.59049544525396</v>
      </c>
      <c r="AG542">
        <f t="shared" ca="1" si="276"/>
        <v>0</v>
      </c>
      <c r="AH542">
        <f ca="1">IF(V32="Supercritical",L542,IF(V32="Subcritical",W542,IF(AND(V542=1,AG542=1),IF(T542&gt;=AE542,L542,W542),IF(V542=1,L542,IF(AG542=1,W542,MAX($D$16,POWER((ABS(K542)^2)/($I$5*MAX(F542,0.1)^2),1/3)))))))</f>
        <v>2.1403668656741068</v>
      </c>
      <c r="AI542">
        <f t="shared" ca="1" si="277"/>
        <v>634.50636686567407</v>
      </c>
      <c r="AJ542">
        <f t="shared" ca="1" si="278"/>
        <v>635.57655029851117</v>
      </c>
      <c r="AM542">
        <v>0</v>
      </c>
      <c r="AN542">
        <v>0</v>
      </c>
      <c r="AO542">
        <f t="shared" si="279"/>
        <v>0</v>
      </c>
      <c r="AP542">
        <f t="shared" si="288"/>
        <v>0</v>
      </c>
      <c r="AQ542">
        <f t="shared" ca="1" si="280"/>
        <v>0.99999999999999978</v>
      </c>
      <c r="AR542" t="str">
        <f t="shared" ca="1" si="281"/>
        <v>Supercritical</v>
      </c>
      <c r="AS542">
        <f t="shared" ca="1" si="282"/>
        <v>3.8148159832266538E-3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191</v>
      </c>
      <c r="I543">
        <v>0</v>
      </c>
      <c r="J543">
        <f t="shared" si="283"/>
        <v>0.9989999999999668</v>
      </c>
      <c r="K543">
        <f t="shared" si="284"/>
        <v>51</v>
      </c>
      <c r="L543">
        <f t="shared" ca="1" si="285"/>
        <v>0.05</v>
      </c>
      <c r="M543">
        <f t="shared" ca="1" si="258"/>
        <v>0.26</v>
      </c>
      <c r="N543">
        <f t="shared" ca="1" si="259"/>
        <v>4.9056603773584909E-2</v>
      </c>
      <c r="O543">
        <f t="shared" ca="1" si="260"/>
        <v>196.15384615384616</v>
      </c>
      <c r="P543">
        <f t="shared" ca="1" si="261"/>
        <v>632.41549999999995</v>
      </c>
      <c r="Q543">
        <f t="shared" ca="1" si="262"/>
        <v>2593.492531648662</v>
      </c>
      <c r="R543">
        <f t="shared" ca="1" si="263"/>
        <v>482.07306851378365</v>
      </c>
      <c r="S543">
        <f t="shared" ca="1" si="264"/>
        <v>280.07692026646265</v>
      </c>
      <c r="T543">
        <f t="shared" ca="1" si="265"/>
        <v>1019.7665564573041</v>
      </c>
      <c r="U543">
        <f t="shared" ca="1" si="286"/>
        <v>-481.59049544525396</v>
      </c>
      <c r="V543">
        <f t="shared" ca="1" si="287"/>
        <v>0</v>
      </c>
      <c r="W543">
        <f t="shared" ca="1" si="266"/>
        <v>0.05</v>
      </c>
      <c r="X543">
        <f t="shared" ca="1" si="267"/>
        <v>0.26</v>
      </c>
      <c r="Y543">
        <f t="shared" ca="1" si="268"/>
        <v>4.9056603773584909E-2</v>
      </c>
      <c r="Z543">
        <f t="shared" ca="1" si="269"/>
        <v>196.15384615384616</v>
      </c>
      <c r="AA543">
        <f t="shared" ca="1" si="270"/>
        <v>632.41549999999995</v>
      </c>
      <c r="AB543">
        <f t="shared" ca="1" si="271"/>
        <v>2593.492531648662</v>
      </c>
      <c r="AC543">
        <f t="shared" ca="1" si="272"/>
        <v>482.07306851378365</v>
      </c>
      <c r="AD543">
        <f t="shared" ca="1" si="273"/>
        <v>280.07692026646265</v>
      </c>
      <c r="AE543">
        <f t="shared" ca="1" si="274"/>
        <v>1019.7665564573041</v>
      </c>
      <c r="AF543">
        <f t="shared" ca="1" si="275"/>
        <v>482.14774313333055</v>
      </c>
      <c r="AG543">
        <f t="shared" ca="1" si="276"/>
        <v>0</v>
      </c>
      <c r="AH543">
        <f ca="1">IF(V32="Supercritical",L543,IF(V32="Subcritical",W543,IF(AND(V543=1,AG543=1),IF(T543&gt;=AE543,L543,W543),IF(V543=1,L543,IF(AG543=1,W543,MAX($D$16,POWER((ABS(K543)^2)/($I$5*MAX(F543,0.1)^2),1/3)))))))</f>
        <v>2.1403668656741068</v>
      </c>
      <c r="AI543">
        <f t="shared" ca="1" si="277"/>
        <v>634.50586686567408</v>
      </c>
      <c r="AJ543">
        <f t="shared" ca="1" si="278"/>
        <v>635.57605029851118</v>
      </c>
      <c r="AM543">
        <v>0</v>
      </c>
      <c r="AN543">
        <v>0</v>
      </c>
      <c r="AO543">
        <f t="shared" si="279"/>
        <v>0</v>
      </c>
      <c r="AP543">
        <f t="shared" si="288"/>
        <v>0</v>
      </c>
      <c r="AQ543">
        <f t="shared" ca="1" si="280"/>
        <v>0.99999999999999978</v>
      </c>
      <c r="AR543" t="str">
        <f t="shared" ca="1" si="281"/>
        <v>Supercritical</v>
      </c>
      <c r="AS543">
        <f t="shared" ca="1" si="282"/>
        <v>3.8148159832266538E-3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191</v>
      </c>
      <c r="I544">
        <v>2.3E-2</v>
      </c>
      <c r="J544">
        <f t="shared" si="283"/>
        <v>1</v>
      </c>
      <c r="K544">
        <f t="shared" si="284"/>
        <v>51</v>
      </c>
      <c r="L544">
        <f t="shared" ca="1" si="285"/>
        <v>0.05</v>
      </c>
      <c r="M544">
        <f t="shared" ca="1" si="258"/>
        <v>0.26</v>
      </c>
      <c r="N544">
        <f t="shared" ca="1" si="259"/>
        <v>4.9056603773584909E-2</v>
      </c>
      <c r="O544">
        <f t="shared" ca="1" si="260"/>
        <v>196.15384615384616</v>
      </c>
      <c r="P544">
        <f t="shared" ca="1" si="261"/>
        <v>632.41499999999996</v>
      </c>
      <c r="Q544">
        <f t="shared" ca="1" si="262"/>
        <v>2593.4920316486623</v>
      </c>
      <c r="R544">
        <f t="shared" ca="1" si="263"/>
        <v>482.07306851378365</v>
      </c>
      <c r="S544">
        <f t="shared" ca="1" si="264"/>
        <v>280.07692026646265</v>
      </c>
      <c r="T544">
        <f t="shared" ca="1" si="265"/>
        <v>1019.7665564573041</v>
      </c>
      <c r="U544">
        <f t="shared" ca="1" si="286"/>
        <v>-482.14774313333055</v>
      </c>
      <c r="V544">
        <f t="shared" ca="1" si="287"/>
        <v>0</v>
      </c>
      <c r="W544">
        <f t="shared" ca="1" si="266"/>
        <v>0.05</v>
      </c>
      <c r="X544">
        <f t="shared" ca="1" si="267"/>
        <v>0.26</v>
      </c>
      <c r="Y544">
        <f t="shared" ca="1" si="268"/>
        <v>4.9056603773584909E-2</v>
      </c>
      <c r="Z544">
        <f t="shared" ca="1" si="269"/>
        <v>196.15384615384616</v>
      </c>
      <c r="AA544">
        <f t="shared" ca="1" si="270"/>
        <v>632.41499999999996</v>
      </c>
      <c r="AB544">
        <f t="shared" ca="1" si="271"/>
        <v>2593.4920316486623</v>
      </c>
      <c r="AC544">
        <f t="shared" ca="1" si="272"/>
        <v>482.07306851378365</v>
      </c>
      <c r="AD544">
        <f t="shared" ca="1" si="273"/>
        <v>280.07692026646265</v>
      </c>
      <c r="AE544">
        <f t="shared" ca="1" si="274"/>
        <v>1019.7665564573041</v>
      </c>
      <c r="AF544">
        <f t="shared" ca="1" si="275"/>
        <v>482.62981620185974</v>
      </c>
      <c r="AG544">
        <f t="shared" ca="1" si="276"/>
        <v>0</v>
      </c>
      <c r="AH544">
        <f ca="1">IF(V32="Supercritical",L544,IF(V32="Subcritical",W544,IF(AND(V544=1,AG544=1),IF(T544&gt;=AE544,L544,W544),IF(V544=1,L544,IF(AG544=1,W544,MAX($D$16,POWER((ABS(K544)^2)/($I$5*MAX(F544,0.1)^2),1/3)))))))</f>
        <v>2.1403668656741068</v>
      </c>
      <c r="AI544">
        <f t="shared" ca="1" si="277"/>
        <v>634.50536686567409</v>
      </c>
      <c r="AJ544">
        <f t="shared" ca="1" si="278"/>
        <v>635.57555029851119</v>
      </c>
      <c r="AM544">
        <v>0</v>
      </c>
      <c r="AN544">
        <v>0</v>
      </c>
      <c r="AO544">
        <f t="shared" si="279"/>
        <v>0</v>
      </c>
      <c r="AP544">
        <f t="shared" si="288"/>
        <v>0</v>
      </c>
      <c r="AQ544">
        <f t="shared" ca="1" si="280"/>
        <v>0.99999999999999978</v>
      </c>
      <c r="AR544" t="str">
        <f t="shared" ca="1" si="281"/>
        <v>Supercritical</v>
      </c>
      <c r="AS544">
        <f t="shared" ca="1" si="282"/>
        <v>3.8148159832266538E-3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191</v>
      </c>
      <c r="I545">
        <v>2.3E-2</v>
      </c>
      <c r="J545">
        <f t="shared" si="283"/>
        <v>1.0010000000000332</v>
      </c>
      <c r="K545">
        <f t="shared" si="284"/>
        <v>51</v>
      </c>
      <c r="L545">
        <f t="shared" ca="1" si="285"/>
        <v>0.05</v>
      </c>
      <c r="M545">
        <f t="shared" ca="1" si="258"/>
        <v>0.26</v>
      </c>
      <c r="N545">
        <f t="shared" ca="1" si="259"/>
        <v>4.9056603773584909E-2</v>
      </c>
      <c r="O545">
        <f t="shared" ca="1" si="260"/>
        <v>196.15384615384616</v>
      </c>
      <c r="P545">
        <f t="shared" ca="1" si="261"/>
        <v>632.41449999999998</v>
      </c>
      <c r="Q545">
        <f t="shared" ca="1" si="262"/>
        <v>2593.4915316486622</v>
      </c>
      <c r="R545">
        <f t="shared" ca="1" si="263"/>
        <v>482.07306851378365</v>
      </c>
      <c r="S545">
        <f t="shared" ca="1" si="264"/>
        <v>280.07692026646265</v>
      </c>
      <c r="T545">
        <f t="shared" ca="1" si="265"/>
        <v>1019.7665564573041</v>
      </c>
      <c r="U545">
        <f t="shared" ca="1" si="286"/>
        <v>-482.62981620185974</v>
      </c>
      <c r="V545">
        <f t="shared" ca="1" si="287"/>
        <v>0</v>
      </c>
      <c r="W545">
        <f t="shared" ca="1" si="266"/>
        <v>0.05</v>
      </c>
      <c r="X545">
        <f t="shared" ca="1" si="267"/>
        <v>0.26</v>
      </c>
      <c r="Y545">
        <f t="shared" ca="1" si="268"/>
        <v>4.9056603773584909E-2</v>
      </c>
      <c r="Z545">
        <f t="shared" ca="1" si="269"/>
        <v>196.15384615384616</v>
      </c>
      <c r="AA545">
        <f t="shared" ca="1" si="270"/>
        <v>632.41449999999998</v>
      </c>
      <c r="AB545">
        <f t="shared" ca="1" si="271"/>
        <v>2593.4915316486622</v>
      </c>
      <c r="AC545">
        <f t="shared" ca="1" si="272"/>
        <v>482.07306851378365</v>
      </c>
      <c r="AD545">
        <f t="shared" ca="1" si="273"/>
        <v>280.07692026646265</v>
      </c>
      <c r="AE545">
        <f t="shared" ca="1" si="274"/>
        <v>1019.7665564573041</v>
      </c>
      <c r="AF545">
        <f t="shared" ca="1" si="275"/>
        <v>481.67874391167788</v>
      </c>
      <c r="AG545">
        <f t="shared" ca="1" si="276"/>
        <v>0</v>
      </c>
      <c r="AH545">
        <f ca="1">IF(V32="Supercritical",L545,IF(V32="Subcritical",W545,IF(AND(V545=1,AG545=1),IF(T545&gt;=AE545,L545,W545),IF(V545=1,L545,IF(AG545=1,W545,MAX($D$16,POWER((ABS(K545)^2)/($I$5*MAX(F545,0.1)^2),1/3)))))))</f>
        <v>2.1403668656741068</v>
      </c>
      <c r="AI545">
        <f t="shared" ca="1" si="277"/>
        <v>634.5048668656741</v>
      </c>
      <c r="AJ545">
        <f t="shared" ca="1" si="278"/>
        <v>635.5750502985112</v>
      </c>
      <c r="AM545">
        <v>0</v>
      </c>
      <c r="AN545">
        <v>0</v>
      </c>
      <c r="AO545">
        <f t="shared" si="279"/>
        <v>0</v>
      </c>
      <c r="AP545">
        <f t="shared" si="288"/>
        <v>0</v>
      </c>
      <c r="AQ545">
        <f t="shared" ca="1" si="280"/>
        <v>0.99999999999999978</v>
      </c>
      <c r="AR545" t="str">
        <f t="shared" ca="1" si="281"/>
        <v>Supercritical</v>
      </c>
      <c r="AS545">
        <f t="shared" ca="1" si="282"/>
        <v>3.8148159832266538E-3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191</v>
      </c>
      <c r="I546">
        <v>2.7E-2</v>
      </c>
      <c r="J546">
        <f t="shared" si="283"/>
        <v>0.9989999999999668</v>
      </c>
      <c r="K546">
        <f t="shared" si="284"/>
        <v>51</v>
      </c>
      <c r="L546">
        <f t="shared" ca="1" si="285"/>
        <v>0.05</v>
      </c>
      <c r="M546">
        <f t="shared" ca="1" si="258"/>
        <v>0.26</v>
      </c>
      <c r="N546">
        <f t="shared" ca="1" si="259"/>
        <v>4.9056603773584909E-2</v>
      </c>
      <c r="O546">
        <f t="shared" ca="1" si="260"/>
        <v>196.15384615384616</v>
      </c>
      <c r="P546">
        <f t="shared" ca="1" si="261"/>
        <v>632.41399999999999</v>
      </c>
      <c r="Q546">
        <f t="shared" ca="1" si="262"/>
        <v>2593.4910316486621</v>
      </c>
      <c r="R546">
        <f t="shared" ca="1" si="263"/>
        <v>482.07306851378365</v>
      </c>
      <c r="S546">
        <f t="shared" ca="1" si="264"/>
        <v>280.07692026646265</v>
      </c>
      <c r="T546">
        <f t="shared" ca="1" si="265"/>
        <v>1019.7665564573041</v>
      </c>
      <c r="U546">
        <f t="shared" ca="1" si="286"/>
        <v>-481.67874391167788</v>
      </c>
      <c r="V546">
        <f t="shared" ca="1" si="287"/>
        <v>0</v>
      </c>
      <c r="W546">
        <f t="shared" ca="1" si="266"/>
        <v>0.05</v>
      </c>
      <c r="X546">
        <f t="shared" ca="1" si="267"/>
        <v>0.26</v>
      </c>
      <c r="Y546">
        <f t="shared" ca="1" si="268"/>
        <v>4.9056603773584909E-2</v>
      </c>
      <c r="Z546">
        <f t="shared" ca="1" si="269"/>
        <v>196.15384615384616</v>
      </c>
      <c r="AA546">
        <f t="shared" ca="1" si="270"/>
        <v>632.41399999999999</v>
      </c>
      <c r="AB546">
        <f t="shared" ca="1" si="271"/>
        <v>2593.4910316486621</v>
      </c>
      <c r="AC546">
        <f t="shared" ca="1" si="272"/>
        <v>482.07306851378365</v>
      </c>
      <c r="AD546">
        <f t="shared" ca="1" si="273"/>
        <v>280.07692026646265</v>
      </c>
      <c r="AE546">
        <f t="shared" ca="1" si="274"/>
        <v>1019.7665564573041</v>
      </c>
      <c r="AF546">
        <f t="shared" ca="1" si="275"/>
        <v>482.64289004873763</v>
      </c>
      <c r="AG546">
        <f t="shared" ca="1" si="276"/>
        <v>0</v>
      </c>
      <c r="AH546">
        <f ca="1">IF(V32="Supercritical",L546,IF(V32="Subcritical",W546,IF(AND(V546=1,AG546=1),IF(T546&gt;=AE546,L546,W546),IF(V546=1,L546,IF(AG546=1,W546,MAX($D$16,POWER((ABS(K546)^2)/($I$5*MAX(F546,0.1)^2),1/3)))))))</f>
        <v>2.1403668656741068</v>
      </c>
      <c r="AI546">
        <f t="shared" ca="1" si="277"/>
        <v>634.50436686567411</v>
      </c>
      <c r="AJ546">
        <f t="shared" ca="1" si="278"/>
        <v>635.57455029851121</v>
      </c>
      <c r="AM546">
        <v>0</v>
      </c>
      <c r="AN546">
        <v>0</v>
      </c>
      <c r="AO546">
        <f t="shared" si="279"/>
        <v>0</v>
      </c>
      <c r="AP546">
        <f t="shared" si="288"/>
        <v>0</v>
      </c>
      <c r="AQ546">
        <f t="shared" ca="1" si="280"/>
        <v>0.99999999999999978</v>
      </c>
      <c r="AR546" t="str">
        <f t="shared" ca="1" si="281"/>
        <v>Supercritical</v>
      </c>
      <c r="AS546">
        <f t="shared" ca="1" si="282"/>
        <v>3.8148159832266538E-3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191</v>
      </c>
      <c r="I547">
        <v>2.7E-2</v>
      </c>
      <c r="J547">
        <f t="shared" si="283"/>
        <v>1.0010000000000332</v>
      </c>
      <c r="K547">
        <f t="shared" si="284"/>
        <v>51</v>
      </c>
      <c r="L547">
        <f t="shared" ca="1" si="285"/>
        <v>0.05</v>
      </c>
      <c r="M547">
        <f t="shared" ca="1" si="258"/>
        <v>0.26</v>
      </c>
      <c r="N547">
        <f t="shared" ca="1" si="259"/>
        <v>4.9056603773584909E-2</v>
      </c>
      <c r="O547">
        <f t="shared" ca="1" si="260"/>
        <v>196.15384615384616</v>
      </c>
      <c r="P547">
        <f t="shared" ca="1" si="261"/>
        <v>632.4135</v>
      </c>
      <c r="Q547">
        <f t="shared" ca="1" si="262"/>
        <v>2593.490531648662</v>
      </c>
      <c r="R547">
        <f t="shared" ca="1" si="263"/>
        <v>482.07306851378365</v>
      </c>
      <c r="S547">
        <f t="shared" ca="1" si="264"/>
        <v>280.07692026646265</v>
      </c>
      <c r="T547">
        <f t="shared" ca="1" si="265"/>
        <v>1019.7665564573041</v>
      </c>
      <c r="U547">
        <f t="shared" ca="1" si="286"/>
        <v>-482.64289004873763</v>
      </c>
      <c r="V547">
        <f t="shared" ca="1" si="287"/>
        <v>0</v>
      </c>
      <c r="W547">
        <f t="shared" ca="1" si="266"/>
        <v>0.05</v>
      </c>
      <c r="X547">
        <f t="shared" ca="1" si="267"/>
        <v>0.26</v>
      </c>
      <c r="Y547">
        <f t="shared" ca="1" si="268"/>
        <v>4.9056603773584909E-2</v>
      </c>
      <c r="Z547">
        <f t="shared" ca="1" si="269"/>
        <v>196.15384615384616</v>
      </c>
      <c r="AA547">
        <f t="shared" ca="1" si="270"/>
        <v>632.4135</v>
      </c>
      <c r="AB547">
        <f t="shared" ca="1" si="271"/>
        <v>2593.490531648662</v>
      </c>
      <c r="AC547">
        <f t="shared" ca="1" si="272"/>
        <v>482.07306851378365</v>
      </c>
      <c r="AD547">
        <f t="shared" ca="1" si="273"/>
        <v>280.07692026646265</v>
      </c>
      <c r="AE547">
        <f t="shared" ca="1" si="274"/>
        <v>1019.7665564573041</v>
      </c>
      <c r="AF547">
        <f t="shared" ca="1" si="275"/>
        <v>481.75391853122437</v>
      </c>
      <c r="AG547">
        <f t="shared" ca="1" si="276"/>
        <v>0</v>
      </c>
      <c r="AH547">
        <f ca="1">IF(V32="Supercritical",L547,IF(V32="Subcritical",W547,IF(AND(V547=1,AG547=1),IF(T547&gt;=AE547,L547,W547),IF(V547=1,L547,IF(AG547=1,W547,MAX($D$16,POWER((ABS(K547)^2)/($I$5*MAX(F547,0.1)^2),1/3)))))))</f>
        <v>2.1403668656741068</v>
      </c>
      <c r="AI547">
        <f t="shared" ca="1" si="277"/>
        <v>634.50386686567413</v>
      </c>
      <c r="AJ547">
        <f t="shared" ca="1" si="278"/>
        <v>635.57405029851122</v>
      </c>
      <c r="AM547">
        <v>0</v>
      </c>
      <c r="AN547">
        <v>0</v>
      </c>
      <c r="AO547">
        <f t="shared" si="279"/>
        <v>0</v>
      </c>
      <c r="AP547">
        <f t="shared" si="288"/>
        <v>0</v>
      </c>
      <c r="AQ547">
        <f t="shared" ca="1" si="280"/>
        <v>0.99999999999999978</v>
      </c>
      <c r="AR547" t="str">
        <f t="shared" ca="1" si="281"/>
        <v>Supercritical</v>
      </c>
      <c r="AS547">
        <f t="shared" ca="1" si="282"/>
        <v>3.8148159832266538E-3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191</v>
      </c>
      <c r="I548">
        <v>0.05</v>
      </c>
      <c r="J548">
        <f t="shared" si="283"/>
        <v>0.9989999999999668</v>
      </c>
      <c r="K548">
        <f t="shared" si="284"/>
        <v>51</v>
      </c>
      <c r="L548">
        <f t="shared" ca="1" si="285"/>
        <v>0.05</v>
      </c>
      <c r="M548">
        <f t="shared" ca="1" si="258"/>
        <v>0.26</v>
      </c>
      <c r="N548">
        <f t="shared" ca="1" si="259"/>
        <v>4.9056603773584909E-2</v>
      </c>
      <c r="O548">
        <f t="shared" ca="1" si="260"/>
        <v>196.15384615384616</v>
      </c>
      <c r="P548">
        <f t="shared" ca="1" si="261"/>
        <v>632.41300000000001</v>
      </c>
      <c r="Q548">
        <f t="shared" ca="1" si="262"/>
        <v>2593.4900316486619</v>
      </c>
      <c r="R548">
        <f t="shared" ca="1" si="263"/>
        <v>482.07306851378365</v>
      </c>
      <c r="S548">
        <f t="shared" ca="1" si="264"/>
        <v>280.07692026646265</v>
      </c>
      <c r="T548">
        <f t="shared" ca="1" si="265"/>
        <v>1019.7665564573041</v>
      </c>
      <c r="U548">
        <f t="shared" ca="1" si="286"/>
        <v>-481.75391853122437</v>
      </c>
      <c r="V548">
        <f t="shared" ca="1" si="287"/>
        <v>0</v>
      </c>
      <c r="W548">
        <f t="shared" ca="1" si="266"/>
        <v>0.05</v>
      </c>
      <c r="X548">
        <f t="shared" ca="1" si="267"/>
        <v>0.26</v>
      </c>
      <c r="Y548">
        <f t="shared" ca="1" si="268"/>
        <v>4.9056603773584909E-2</v>
      </c>
      <c r="Z548">
        <f t="shared" ca="1" si="269"/>
        <v>196.15384615384616</v>
      </c>
      <c r="AA548">
        <f t="shared" ca="1" si="270"/>
        <v>632.41300000000001</v>
      </c>
      <c r="AB548">
        <f t="shared" ca="1" si="271"/>
        <v>2593.4900316486619</v>
      </c>
      <c r="AC548">
        <f t="shared" ca="1" si="272"/>
        <v>482.07306851378365</v>
      </c>
      <c r="AD548">
        <f t="shared" ca="1" si="273"/>
        <v>280.07692026646265</v>
      </c>
      <c r="AE548">
        <f t="shared" ca="1" si="274"/>
        <v>1019.7665564573041</v>
      </c>
      <c r="AF548">
        <f t="shared" ca="1" si="275"/>
        <v>482.32750852789786</v>
      </c>
      <c r="AG548">
        <f t="shared" ca="1" si="276"/>
        <v>0</v>
      </c>
      <c r="AH548">
        <f ca="1">IF(V32="Supercritical",L548,IF(V32="Subcritical",W548,IF(AND(V548=1,AG548=1),IF(T548&gt;=AE548,L548,W548),IF(V548=1,L548,IF(AG548=1,W548,MAX($D$16,POWER((ABS(K548)^2)/($I$5*MAX(F548,0.1)^2),1/3)))))))</f>
        <v>2.1403668656741068</v>
      </c>
      <c r="AI548">
        <f t="shared" ca="1" si="277"/>
        <v>634.50336686567414</v>
      </c>
      <c r="AJ548">
        <f t="shared" ca="1" si="278"/>
        <v>635.57355029851124</v>
      </c>
      <c r="AM548">
        <v>0</v>
      </c>
      <c r="AN548">
        <v>0</v>
      </c>
      <c r="AO548">
        <f t="shared" si="279"/>
        <v>0</v>
      </c>
      <c r="AP548">
        <f t="shared" si="288"/>
        <v>0</v>
      </c>
      <c r="AQ548">
        <f t="shared" ca="1" si="280"/>
        <v>0.99999999999999978</v>
      </c>
      <c r="AR548" t="str">
        <f t="shared" ca="1" si="281"/>
        <v>Supercritical</v>
      </c>
      <c r="AS548">
        <f t="shared" ca="1" si="282"/>
        <v>3.8148159832266538E-3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191</v>
      </c>
      <c r="I549">
        <v>7.8E-2</v>
      </c>
      <c r="J549">
        <f t="shared" si="283"/>
        <v>1</v>
      </c>
      <c r="K549">
        <f t="shared" si="284"/>
        <v>51</v>
      </c>
      <c r="L549">
        <f t="shared" ca="1" si="285"/>
        <v>0.05</v>
      </c>
      <c r="M549">
        <f t="shared" ca="1" si="258"/>
        <v>0.26</v>
      </c>
      <c r="N549">
        <f t="shared" ca="1" si="259"/>
        <v>4.9056603773584909E-2</v>
      </c>
      <c r="O549">
        <f t="shared" ca="1" si="260"/>
        <v>196.15384615384616</v>
      </c>
      <c r="P549">
        <f t="shared" ca="1" si="261"/>
        <v>632.41249999999991</v>
      </c>
      <c r="Q549">
        <f t="shared" ca="1" si="262"/>
        <v>2593.4895316486618</v>
      </c>
      <c r="R549">
        <f t="shared" ca="1" si="263"/>
        <v>482.07306851378365</v>
      </c>
      <c r="S549">
        <f t="shared" ca="1" si="264"/>
        <v>280.07692026646265</v>
      </c>
      <c r="T549">
        <f t="shared" ca="1" si="265"/>
        <v>1019.7665564573041</v>
      </c>
      <c r="U549">
        <f t="shared" ca="1" si="286"/>
        <v>-482.32750852789786</v>
      </c>
      <c r="V549">
        <f t="shared" ca="1" si="287"/>
        <v>0</v>
      </c>
      <c r="W549">
        <f t="shared" ca="1" si="266"/>
        <v>0.05</v>
      </c>
      <c r="X549">
        <f t="shared" ca="1" si="267"/>
        <v>0.26</v>
      </c>
      <c r="Y549">
        <f t="shared" ca="1" si="268"/>
        <v>4.9056603773584909E-2</v>
      </c>
      <c r="Z549">
        <f t="shared" ca="1" si="269"/>
        <v>196.15384615384616</v>
      </c>
      <c r="AA549">
        <f t="shared" ca="1" si="270"/>
        <v>632.41249999999991</v>
      </c>
      <c r="AB549">
        <f t="shared" ca="1" si="271"/>
        <v>2593.4895316486618</v>
      </c>
      <c r="AC549">
        <f t="shared" ca="1" si="272"/>
        <v>482.07306851378365</v>
      </c>
      <c r="AD549">
        <f t="shared" ca="1" si="273"/>
        <v>280.07692026646265</v>
      </c>
      <c r="AE549">
        <f t="shared" ca="1" si="274"/>
        <v>1019.7665564573041</v>
      </c>
      <c r="AF549">
        <f t="shared" ca="1" si="275"/>
        <v>482.64289004873808</v>
      </c>
      <c r="AG549">
        <f t="shared" ca="1" si="276"/>
        <v>0</v>
      </c>
      <c r="AH549">
        <f ca="1">IF(V32="Supercritical",L549,IF(V32="Subcritical",W549,IF(AND(V549=1,AG549=1),IF(T549&gt;=AE549,L549,W549),IF(V549=1,L549,IF(AG549=1,W549,MAX($D$16,POWER((ABS(K549)^2)/($I$5*MAX(F549,0.1)^2),1/3)))))))</f>
        <v>2.1403668656741068</v>
      </c>
      <c r="AI549">
        <f t="shared" ca="1" si="277"/>
        <v>634.50286686567404</v>
      </c>
      <c r="AJ549">
        <f t="shared" ca="1" si="278"/>
        <v>635.57305029851113</v>
      </c>
      <c r="AM549">
        <v>0</v>
      </c>
      <c r="AN549">
        <v>0</v>
      </c>
      <c r="AO549">
        <f t="shared" si="279"/>
        <v>0</v>
      </c>
      <c r="AP549">
        <f t="shared" si="288"/>
        <v>0</v>
      </c>
      <c r="AQ549">
        <f t="shared" ca="1" si="280"/>
        <v>0.99999999999999978</v>
      </c>
      <c r="AR549" t="str">
        <f t="shared" ca="1" si="281"/>
        <v>Supercritical</v>
      </c>
      <c r="AS549">
        <f t="shared" ca="1" si="282"/>
        <v>3.8148159832266538E-3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191</v>
      </c>
      <c r="I550">
        <v>2.7E-2</v>
      </c>
      <c r="J550">
        <f t="shared" si="283"/>
        <v>1.0010000000000332</v>
      </c>
      <c r="K550">
        <f t="shared" si="284"/>
        <v>51</v>
      </c>
      <c r="L550">
        <f t="shared" ca="1" si="285"/>
        <v>0.05</v>
      </c>
      <c r="M550">
        <f t="shared" ca="1" si="258"/>
        <v>0.26</v>
      </c>
      <c r="N550">
        <f t="shared" ca="1" si="259"/>
        <v>4.9056603773584909E-2</v>
      </c>
      <c r="O550">
        <f t="shared" ca="1" si="260"/>
        <v>196.15384615384616</v>
      </c>
      <c r="P550">
        <f t="shared" ca="1" si="261"/>
        <v>632.41199999999992</v>
      </c>
      <c r="Q550">
        <f t="shared" ca="1" si="262"/>
        <v>2593.4890316486621</v>
      </c>
      <c r="R550">
        <f t="shared" ca="1" si="263"/>
        <v>482.07306851378365</v>
      </c>
      <c r="S550">
        <f t="shared" ca="1" si="264"/>
        <v>280.07692026646265</v>
      </c>
      <c r="T550">
        <f t="shared" ca="1" si="265"/>
        <v>1019.7665564573041</v>
      </c>
      <c r="U550">
        <f t="shared" ca="1" si="286"/>
        <v>-482.64289004873808</v>
      </c>
      <c r="V550">
        <f t="shared" ca="1" si="287"/>
        <v>0</v>
      </c>
      <c r="W550">
        <f t="shared" ca="1" si="266"/>
        <v>0.05</v>
      </c>
      <c r="X550">
        <f t="shared" ca="1" si="267"/>
        <v>0.26</v>
      </c>
      <c r="Y550">
        <f t="shared" ca="1" si="268"/>
        <v>4.9056603773584909E-2</v>
      </c>
      <c r="Z550">
        <f t="shared" ca="1" si="269"/>
        <v>196.15384615384616</v>
      </c>
      <c r="AA550">
        <f t="shared" ca="1" si="270"/>
        <v>632.41199999999992</v>
      </c>
      <c r="AB550">
        <f t="shared" ca="1" si="271"/>
        <v>2593.4890316486621</v>
      </c>
      <c r="AC550">
        <f t="shared" ca="1" si="272"/>
        <v>482.07306851378365</v>
      </c>
      <c r="AD550">
        <f t="shared" ca="1" si="273"/>
        <v>280.07692026646265</v>
      </c>
      <c r="AE550">
        <f t="shared" ca="1" si="274"/>
        <v>1019.7665564573041</v>
      </c>
      <c r="AF550">
        <f t="shared" ca="1" si="275"/>
        <v>481.67874391167834</v>
      </c>
      <c r="AG550">
        <f t="shared" ca="1" si="276"/>
        <v>0</v>
      </c>
      <c r="AH550">
        <f ca="1">IF(V32="Supercritical",L550,IF(V32="Subcritical",W550,IF(AND(V550=1,AG550=1),IF(T550&gt;=AE550,L550,W550),IF(V550=1,L550,IF(AG550=1,W550,MAX($D$16,POWER((ABS(K550)^2)/($I$5*MAX(F550,0.1)^2),1/3)))))))</f>
        <v>2.1403668656741068</v>
      </c>
      <c r="AI550">
        <f t="shared" ca="1" si="277"/>
        <v>634.50236686567405</v>
      </c>
      <c r="AJ550">
        <f t="shared" ca="1" si="278"/>
        <v>635.57255029851115</v>
      </c>
      <c r="AM550">
        <v>0</v>
      </c>
      <c r="AN550">
        <v>0</v>
      </c>
      <c r="AO550">
        <f t="shared" si="279"/>
        <v>0</v>
      </c>
      <c r="AP550">
        <f t="shared" si="288"/>
        <v>0</v>
      </c>
      <c r="AQ550">
        <f t="shared" ca="1" si="280"/>
        <v>0.99999999999999978</v>
      </c>
      <c r="AR550" t="str">
        <f t="shared" ca="1" si="281"/>
        <v>Supercritical</v>
      </c>
      <c r="AS550">
        <f t="shared" ca="1" si="282"/>
        <v>3.8148159832266538E-3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191</v>
      </c>
      <c r="I551">
        <v>2.7E-2</v>
      </c>
      <c r="J551">
        <f t="shared" si="283"/>
        <v>0.9989999999999668</v>
      </c>
      <c r="K551">
        <f t="shared" si="284"/>
        <v>51</v>
      </c>
      <c r="L551">
        <f t="shared" ca="1" si="285"/>
        <v>0.05</v>
      </c>
      <c r="M551">
        <f t="shared" ca="1" si="258"/>
        <v>0.26</v>
      </c>
      <c r="N551">
        <f t="shared" ca="1" si="259"/>
        <v>4.9056603773584909E-2</v>
      </c>
      <c r="O551">
        <f t="shared" ca="1" si="260"/>
        <v>196.15384615384616</v>
      </c>
      <c r="P551">
        <f t="shared" ca="1" si="261"/>
        <v>632.41149999999993</v>
      </c>
      <c r="Q551">
        <f t="shared" ca="1" si="262"/>
        <v>2593.488531648662</v>
      </c>
      <c r="R551">
        <f t="shared" ca="1" si="263"/>
        <v>482.07306851378365</v>
      </c>
      <c r="S551">
        <f t="shared" ca="1" si="264"/>
        <v>280.07692026646265</v>
      </c>
      <c r="T551">
        <f t="shared" ca="1" si="265"/>
        <v>1019.7665564573041</v>
      </c>
      <c r="U551">
        <f t="shared" ca="1" si="286"/>
        <v>-481.67874391167834</v>
      </c>
      <c r="V551">
        <f t="shared" ca="1" si="287"/>
        <v>0</v>
      </c>
      <c r="W551">
        <f t="shared" ca="1" si="266"/>
        <v>0.05</v>
      </c>
      <c r="X551">
        <f t="shared" ca="1" si="267"/>
        <v>0.26</v>
      </c>
      <c r="Y551">
        <f t="shared" ca="1" si="268"/>
        <v>4.9056603773584909E-2</v>
      </c>
      <c r="Z551">
        <f t="shared" ca="1" si="269"/>
        <v>196.15384615384616</v>
      </c>
      <c r="AA551">
        <f t="shared" ca="1" si="270"/>
        <v>632.41149999999993</v>
      </c>
      <c r="AB551">
        <f t="shared" ca="1" si="271"/>
        <v>2593.488531648662</v>
      </c>
      <c r="AC551">
        <f t="shared" ca="1" si="272"/>
        <v>482.07306851378365</v>
      </c>
      <c r="AD551">
        <f t="shared" ca="1" si="273"/>
        <v>280.07692026646265</v>
      </c>
      <c r="AE551">
        <f t="shared" ca="1" si="274"/>
        <v>1019.7665564573041</v>
      </c>
      <c r="AF551">
        <f t="shared" ca="1" si="275"/>
        <v>482.64289004873763</v>
      </c>
      <c r="AG551">
        <f t="shared" ca="1" si="276"/>
        <v>0</v>
      </c>
      <c r="AH551">
        <f ca="1">IF(V32="Supercritical",L551,IF(V32="Subcritical",W551,IF(AND(V551=1,AG551=1),IF(T551&gt;=AE551,L551,W551),IF(V551=1,L551,IF(AG551=1,W551,MAX($D$16,POWER((ABS(K551)^2)/($I$5*MAX(F551,0.1)^2),1/3)))))))</f>
        <v>2.1403668656741068</v>
      </c>
      <c r="AI551">
        <f t="shared" ca="1" si="277"/>
        <v>634.50186686567406</v>
      </c>
      <c r="AJ551">
        <f t="shared" ca="1" si="278"/>
        <v>635.57205029851116</v>
      </c>
      <c r="AM551">
        <v>0</v>
      </c>
      <c r="AN551">
        <v>0</v>
      </c>
      <c r="AO551">
        <f t="shared" si="279"/>
        <v>0</v>
      </c>
      <c r="AP551">
        <f t="shared" si="288"/>
        <v>0</v>
      </c>
      <c r="AQ551">
        <f t="shared" ca="1" si="280"/>
        <v>0.99999999999999978</v>
      </c>
      <c r="AR551" t="str">
        <f t="shared" ca="1" si="281"/>
        <v>Supercritical</v>
      </c>
      <c r="AS551">
        <f t="shared" ca="1" si="282"/>
        <v>3.8148159832266538E-3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191</v>
      </c>
      <c r="I552">
        <v>2.7E-2</v>
      </c>
      <c r="J552">
        <f t="shared" si="283"/>
        <v>1.0010000000000332</v>
      </c>
      <c r="K552">
        <f t="shared" si="284"/>
        <v>51</v>
      </c>
      <c r="L552">
        <f t="shared" ca="1" si="285"/>
        <v>0.05</v>
      </c>
      <c r="M552">
        <f t="shared" ca="1" si="258"/>
        <v>0.26</v>
      </c>
      <c r="N552">
        <f t="shared" ca="1" si="259"/>
        <v>4.9056603773584909E-2</v>
      </c>
      <c r="O552">
        <f t="shared" ca="1" si="260"/>
        <v>196.15384615384616</v>
      </c>
      <c r="P552">
        <f t="shared" ca="1" si="261"/>
        <v>632.41099999999994</v>
      </c>
      <c r="Q552">
        <f t="shared" ca="1" si="262"/>
        <v>2593.4880316486619</v>
      </c>
      <c r="R552">
        <f t="shared" ca="1" si="263"/>
        <v>482.07306851378365</v>
      </c>
      <c r="S552">
        <f t="shared" ca="1" si="264"/>
        <v>280.07692026646265</v>
      </c>
      <c r="T552">
        <f t="shared" ca="1" si="265"/>
        <v>1019.7665564573041</v>
      </c>
      <c r="U552">
        <f t="shared" ca="1" si="286"/>
        <v>-482.64289004873763</v>
      </c>
      <c r="V552">
        <f t="shared" ca="1" si="287"/>
        <v>0</v>
      </c>
      <c r="W552">
        <f t="shared" ca="1" si="266"/>
        <v>0.05</v>
      </c>
      <c r="X552">
        <f t="shared" ca="1" si="267"/>
        <v>0.26</v>
      </c>
      <c r="Y552">
        <f t="shared" ca="1" si="268"/>
        <v>4.9056603773584909E-2</v>
      </c>
      <c r="Z552">
        <f t="shared" ca="1" si="269"/>
        <v>196.15384615384616</v>
      </c>
      <c r="AA552">
        <f t="shared" ca="1" si="270"/>
        <v>632.41099999999994</v>
      </c>
      <c r="AB552">
        <f t="shared" ca="1" si="271"/>
        <v>2593.4880316486619</v>
      </c>
      <c r="AC552">
        <f t="shared" ca="1" si="272"/>
        <v>482.07306851378365</v>
      </c>
      <c r="AD552">
        <f t="shared" ca="1" si="273"/>
        <v>280.07692026646265</v>
      </c>
      <c r="AE552">
        <f t="shared" ca="1" si="274"/>
        <v>1019.7665564573041</v>
      </c>
      <c r="AF552">
        <f t="shared" ca="1" si="275"/>
        <v>481.75391853122483</v>
      </c>
      <c r="AG552">
        <f t="shared" ca="1" si="276"/>
        <v>0</v>
      </c>
      <c r="AH552">
        <f ca="1">IF(V32="Supercritical",L552,IF(V32="Subcritical",W552,IF(AND(V552=1,AG552=1),IF(T552&gt;=AE552,L552,W552),IF(V552=1,L552,IF(AG552=1,W552,MAX($D$16,POWER((ABS(K552)^2)/($I$5*MAX(F552,0.1)^2),1/3)))))))</f>
        <v>2.1403668656741068</v>
      </c>
      <c r="AI552">
        <f t="shared" ca="1" si="277"/>
        <v>634.50136686567407</v>
      </c>
      <c r="AJ552">
        <f t="shared" ca="1" si="278"/>
        <v>635.57155029851117</v>
      </c>
      <c r="AM552">
        <v>0</v>
      </c>
      <c r="AN552">
        <v>0</v>
      </c>
      <c r="AO552">
        <f t="shared" si="279"/>
        <v>0</v>
      </c>
      <c r="AP552">
        <f t="shared" si="288"/>
        <v>0</v>
      </c>
      <c r="AQ552">
        <f t="shared" ca="1" si="280"/>
        <v>0.99999999999999978</v>
      </c>
      <c r="AR552" t="str">
        <f t="shared" ca="1" si="281"/>
        <v>Supercritical</v>
      </c>
      <c r="AS552">
        <f t="shared" ca="1" si="282"/>
        <v>3.8148159832266538E-3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191</v>
      </c>
      <c r="I553">
        <v>0.05</v>
      </c>
      <c r="J553">
        <f t="shared" si="283"/>
        <v>0.9989999999999668</v>
      </c>
      <c r="K553">
        <f t="shared" si="284"/>
        <v>51</v>
      </c>
      <c r="L553">
        <f t="shared" ca="1" si="285"/>
        <v>0.05</v>
      </c>
      <c r="M553">
        <f t="shared" ca="1" si="258"/>
        <v>0.26</v>
      </c>
      <c r="N553">
        <f t="shared" ca="1" si="259"/>
        <v>4.9056603773584909E-2</v>
      </c>
      <c r="O553">
        <f t="shared" ca="1" si="260"/>
        <v>196.15384615384616</v>
      </c>
      <c r="P553">
        <f t="shared" ca="1" si="261"/>
        <v>632.41049999999996</v>
      </c>
      <c r="Q553">
        <f t="shared" ca="1" si="262"/>
        <v>2593.4875316486623</v>
      </c>
      <c r="R553">
        <f t="shared" ca="1" si="263"/>
        <v>482.07306851378365</v>
      </c>
      <c r="S553">
        <f t="shared" ca="1" si="264"/>
        <v>280.07692026646265</v>
      </c>
      <c r="T553">
        <f t="shared" ca="1" si="265"/>
        <v>1019.7665564573041</v>
      </c>
      <c r="U553">
        <f t="shared" ca="1" si="286"/>
        <v>-481.75391853122528</v>
      </c>
      <c r="V553">
        <f t="shared" ca="1" si="287"/>
        <v>0</v>
      </c>
      <c r="W553">
        <f t="shared" ca="1" si="266"/>
        <v>0.05</v>
      </c>
      <c r="X553">
        <f t="shared" ca="1" si="267"/>
        <v>0.26</v>
      </c>
      <c r="Y553">
        <f t="shared" ca="1" si="268"/>
        <v>4.9056603773584909E-2</v>
      </c>
      <c r="Z553">
        <f t="shared" ca="1" si="269"/>
        <v>196.15384615384616</v>
      </c>
      <c r="AA553">
        <f t="shared" ca="1" si="270"/>
        <v>632.41049999999996</v>
      </c>
      <c r="AB553">
        <f t="shared" ca="1" si="271"/>
        <v>2593.4875316486623</v>
      </c>
      <c r="AC553">
        <f t="shared" ca="1" si="272"/>
        <v>482.07306851378365</v>
      </c>
      <c r="AD553">
        <f t="shared" ca="1" si="273"/>
        <v>280.07692026646265</v>
      </c>
      <c r="AE553">
        <f t="shared" ca="1" si="274"/>
        <v>1019.7665564573041</v>
      </c>
      <c r="AF553">
        <f t="shared" ca="1" si="275"/>
        <v>482.32750852789786</v>
      </c>
      <c r="AG553">
        <f t="shared" ca="1" si="276"/>
        <v>0</v>
      </c>
      <c r="AH553">
        <f ca="1">IF(V32="Supercritical",L553,IF(V32="Subcritical",W553,IF(AND(V553=1,AG553=1),IF(T553&gt;=AE553,L553,W553),IF(V553=1,L553,IF(AG553=1,W553,MAX($D$16,POWER((ABS(K553)^2)/($I$5*MAX(F553,0.1)^2),1/3)))))))</f>
        <v>2.1403668656741068</v>
      </c>
      <c r="AI553">
        <f t="shared" ca="1" si="277"/>
        <v>634.50086686567408</v>
      </c>
      <c r="AJ553">
        <f t="shared" ca="1" si="278"/>
        <v>635.57105029851118</v>
      </c>
      <c r="AM553">
        <v>0</v>
      </c>
      <c r="AN553">
        <v>0</v>
      </c>
      <c r="AO553">
        <f t="shared" si="279"/>
        <v>0</v>
      </c>
      <c r="AP553">
        <f t="shared" si="288"/>
        <v>0</v>
      </c>
      <c r="AQ553">
        <f t="shared" ca="1" si="280"/>
        <v>0.99999999999999978</v>
      </c>
      <c r="AR553" t="str">
        <f t="shared" ca="1" si="281"/>
        <v>Supercritical</v>
      </c>
      <c r="AS553">
        <f t="shared" ca="1" si="282"/>
        <v>3.8148159832266538E-3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191</v>
      </c>
      <c r="I554">
        <v>7.8E-2</v>
      </c>
      <c r="J554">
        <f t="shared" si="283"/>
        <v>1</v>
      </c>
      <c r="K554">
        <f t="shared" si="284"/>
        <v>51</v>
      </c>
      <c r="L554">
        <f t="shared" ca="1" si="285"/>
        <v>0.05</v>
      </c>
      <c r="M554">
        <f t="shared" ca="1" si="258"/>
        <v>0.26</v>
      </c>
      <c r="N554">
        <f t="shared" ca="1" si="259"/>
        <v>4.9056603773584909E-2</v>
      </c>
      <c r="O554">
        <f t="shared" ca="1" si="260"/>
        <v>196.15384615384616</v>
      </c>
      <c r="P554">
        <f t="shared" ca="1" si="261"/>
        <v>632.41</v>
      </c>
      <c r="Q554">
        <f t="shared" ca="1" si="262"/>
        <v>2593.4870316486622</v>
      </c>
      <c r="R554">
        <f t="shared" ca="1" si="263"/>
        <v>482.07306851378365</v>
      </c>
      <c r="S554">
        <f t="shared" ca="1" si="264"/>
        <v>280.07692026646265</v>
      </c>
      <c r="T554">
        <f t="shared" ca="1" si="265"/>
        <v>1019.7665564573041</v>
      </c>
      <c r="U554">
        <f t="shared" ca="1" si="286"/>
        <v>-482.32750852789786</v>
      </c>
      <c r="V554">
        <f t="shared" ca="1" si="287"/>
        <v>0</v>
      </c>
      <c r="W554">
        <f t="shared" ca="1" si="266"/>
        <v>0.05</v>
      </c>
      <c r="X554">
        <f t="shared" ca="1" si="267"/>
        <v>0.26</v>
      </c>
      <c r="Y554">
        <f t="shared" ca="1" si="268"/>
        <v>4.9056603773584909E-2</v>
      </c>
      <c r="Z554">
        <f t="shared" ca="1" si="269"/>
        <v>196.15384615384616</v>
      </c>
      <c r="AA554">
        <f t="shared" ca="1" si="270"/>
        <v>632.41</v>
      </c>
      <c r="AB554">
        <f t="shared" ca="1" si="271"/>
        <v>2593.4870316486622</v>
      </c>
      <c r="AC554">
        <f t="shared" ca="1" si="272"/>
        <v>482.07306851378365</v>
      </c>
      <c r="AD554">
        <f t="shared" ca="1" si="273"/>
        <v>280.07692026646265</v>
      </c>
      <c r="AE554">
        <f t="shared" ca="1" si="274"/>
        <v>1019.7665564573041</v>
      </c>
      <c r="AF554">
        <f t="shared" ca="1" si="275"/>
        <v>482.64289004873763</v>
      </c>
      <c r="AG554">
        <f t="shared" ca="1" si="276"/>
        <v>0</v>
      </c>
      <c r="AH554">
        <f ca="1">IF(V32="Supercritical",L554,IF(V32="Subcritical",W554,IF(AND(V554=1,AG554=1),IF(T554&gt;=AE554,L554,W554),IF(V554=1,L554,IF(AG554=1,W554,MAX($D$16,POWER((ABS(K554)^2)/($I$5*MAX(F554,0.1)^2),1/3)))))))</f>
        <v>2.1403668656741068</v>
      </c>
      <c r="AI554">
        <f t="shared" ca="1" si="277"/>
        <v>634.5003668656741</v>
      </c>
      <c r="AJ554">
        <f t="shared" ca="1" si="278"/>
        <v>635.57055029851119</v>
      </c>
      <c r="AM554">
        <v>0</v>
      </c>
      <c r="AN554">
        <v>0</v>
      </c>
      <c r="AO554">
        <f t="shared" si="279"/>
        <v>0</v>
      </c>
      <c r="AP554">
        <f t="shared" si="288"/>
        <v>0</v>
      </c>
      <c r="AQ554">
        <f t="shared" ca="1" si="280"/>
        <v>0.99999999999999978</v>
      </c>
      <c r="AR554" t="str">
        <f t="shared" ca="1" si="281"/>
        <v>Supercritical</v>
      </c>
      <c r="AS554">
        <f t="shared" ca="1" si="282"/>
        <v>3.8148159832266538E-3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191</v>
      </c>
      <c r="I555">
        <v>2.7E-2</v>
      </c>
      <c r="J555">
        <f t="shared" si="283"/>
        <v>1.0010000000000332</v>
      </c>
      <c r="K555">
        <f t="shared" si="284"/>
        <v>51</v>
      </c>
      <c r="L555">
        <f t="shared" ca="1" si="285"/>
        <v>0.05</v>
      </c>
      <c r="M555">
        <f t="shared" ca="1" si="258"/>
        <v>0.26</v>
      </c>
      <c r="N555">
        <f t="shared" ca="1" si="259"/>
        <v>4.9056603773584909E-2</v>
      </c>
      <c r="O555">
        <f t="shared" ca="1" si="260"/>
        <v>196.15384615384616</v>
      </c>
      <c r="P555">
        <f t="shared" ca="1" si="261"/>
        <v>632.40949999999998</v>
      </c>
      <c r="Q555">
        <f t="shared" ca="1" si="262"/>
        <v>2593.4865316486621</v>
      </c>
      <c r="R555">
        <f t="shared" ca="1" si="263"/>
        <v>482.07306851378365</v>
      </c>
      <c r="S555">
        <f t="shared" ca="1" si="264"/>
        <v>280.07692026646265</v>
      </c>
      <c r="T555">
        <f t="shared" ca="1" si="265"/>
        <v>1019.7665564573041</v>
      </c>
      <c r="U555">
        <f t="shared" ca="1" si="286"/>
        <v>-482.64289004873763</v>
      </c>
      <c r="V555">
        <f t="shared" ca="1" si="287"/>
        <v>0</v>
      </c>
      <c r="W555">
        <f t="shared" ca="1" si="266"/>
        <v>0.05</v>
      </c>
      <c r="X555">
        <f t="shared" ca="1" si="267"/>
        <v>0.26</v>
      </c>
      <c r="Y555">
        <f t="shared" ca="1" si="268"/>
        <v>4.9056603773584909E-2</v>
      </c>
      <c r="Z555">
        <f t="shared" ca="1" si="269"/>
        <v>196.15384615384616</v>
      </c>
      <c r="AA555">
        <f t="shared" ca="1" si="270"/>
        <v>632.40949999999998</v>
      </c>
      <c r="AB555">
        <f t="shared" ca="1" si="271"/>
        <v>2593.4865316486621</v>
      </c>
      <c r="AC555">
        <f t="shared" ca="1" si="272"/>
        <v>482.07306851378365</v>
      </c>
      <c r="AD555">
        <f t="shared" ca="1" si="273"/>
        <v>280.07692026646265</v>
      </c>
      <c r="AE555">
        <f t="shared" ca="1" si="274"/>
        <v>1019.7665564573041</v>
      </c>
      <c r="AF555">
        <f t="shared" ca="1" si="275"/>
        <v>481.67874391167788</v>
      </c>
      <c r="AG555">
        <f t="shared" ca="1" si="276"/>
        <v>0</v>
      </c>
      <c r="AH555">
        <f ca="1">IF(V32="Supercritical",L555,IF(V32="Subcritical",W555,IF(AND(V555=1,AG555=1),IF(T555&gt;=AE555,L555,W555),IF(V555=1,L555,IF(AG555=1,W555,MAX($D$16,POWER((ABS(K555)^2)/($I$5*MAX(F555,0.1)^2),1/3)))))))</f>
        <v>2.1403668656741068</v>
      </c>
      <c r="AI555">
        <f t="shared" ca="1" si="277"/>
        <v>634.49986686567411</v>
      </c>
      <c r="AJ555">
        <f t="shared" ca="1" si="278"/>
        <v>635.57005029851121</v>
      </c>
      <c r="AM555">
        <v>0</v>
      </c>
      <c r="AN555">
        <v>0</v>
      </c>
      <c r="AO555">
        <f t="shared" si="279"/>
        <v>0</v>
      </c>
      <c r="AP555">
        <f t="shared" si="288"/>
        <v>0</v>
      </c>
      <c r="AQ555">
        <f t="shared" ca="1" si="280"/>
        <v>0.99999999999999978</v>
      </c>
      <c r="AR555" t="str">
        <f t="shared" ca="1" si="281"/>
        <v>Supercritical</v>
      </c>
      <c r="AS555">
        <f t="shared" ca="1" si="282"/>
        <v>3.8148159832266538E-3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191</v>
      </c>
      <c r="I556">
        <v>2.7E-2</v>
      </c>
      <c r="J556">
        <f t="shared" si="283"/>
        <v>0.9989999999999668</v>
      </c>
      <c r="K556">
        <f t="shared" si="284"/>
        <v>51</v>
      </c>
      <c r="L556">
        <f t="shared" ca="1" si="285"/>
        <v>0.05</v>
      </c>
      <c r="M556">
        <f t="shared" ca="1" si="258"/>
        <v>0.26</v>
      </c>
      <c r="N556">
        <f t="shared" ca="1" si="259"/>
        <v>4.9056603773584909E-2</v>
      </c>
      <c r="O556">
        <f t="shared" ca="1" si="260"/>
        <v>196.15384615384616</v>
      </c>
      <c r="P556">
        <f t="shared" ca="1" si="261"/>
        <v>632.40899999999999</v>
      </c>
      <c r="Q556">
        <f t="shared" ca="1" si="262"/>
        <v>2593.486031648662</v>
      </c>
      <c r="R556">
        <f t="shared" ca="1" si="263"/>
        <v>482.07306851378365</v>
      </c>
      <c r="S556">
        <f t="shared" ca="1" si="264"/>
        <v>280.07692026646265</v>
      </c>
      <c r="T556">
        <f t="shared" ca="1" si="265"/>
        <v>1019.7665564573041</v>
      </c>
      <c r="U556">
        <f t="shared" ca="1" si="286"/>
        <v>-481.67874391167788</v>
      </c>
      <c r="V556">
        <f t="shared" ca="1" si="287"/>
        <v>0</v>
      </c>
      <c r="W556">
        <f t="shared" ca="1" si="266"/>
        <v>0.05</v>
      </c>
      <c r="X556">
        <f t="shared" ca="1" si="267"/>
        <v>0.26</v>
      </c>
      <c r="Y556">
        <f t="shared" ca="1" si="268"/>
        <v>4.9056603773584909E-2</v>
      </c>
      <c r="Z556">
        <f t="shared" ca="1" si="269"/>
        <v>196.15384615384616</v>
      </c>
      <c r="AA556">
        <f t="shared" ca="1" si="270"/>
        <v>632.40899999999999</v>
      </c>
      <c r="AB556">
        <f t="shared" ca="1" si="271"/>
        <v>2593.486031648662</v>
      </c>
      <c r="AC556">
        <f t="shared" ca="1" si="272"/>
        <v>482.07306851378365</v>
      </c>
      <c r="AD556">
        <f t="shared" ca="1" si="273"/>
        <v>280.07692026646265</v>
      </c>
      <c r="AE556">
        <f t="shared" ca="1" si="274"/>
        <v>1019.7665564573041</v>
      </c>
      <c r="AF556">
        <f t="shared" ca="1" si="275"/>
        <v>482.80958159642751</v>
      </c>
      <c r="AG556">
        <f t="shared" ca="1" si="276"/>
        <v>0</v>
      </c>
      <c r="AH556">
        <f ca="1">IF(V32="Supercritical",L556,IF(V32="Subcritical",W556,IF(AND(V556=1,AG556=1),IF(T556&gt;=AE556,L556,W556),IF(V556=1,L556,IF(AG556=1,W556,MAX($D$16,POWER((ABS(K556)^2)/($I$5*MAX(F556,0.1)^2),1/3)))))))</f>
        <v>2.1403668656741068</v>
      </c>
      <c r="AI556">
        <f t="shared" ca="1" si="277"/>
        <v>634.49936686567412</v>
      </c>
      <c r="AJ556">
        <f t="shared" ca="1" si="278"/>
        <v>635.56955029851122</v>
      </c>
      <c r="AM556">
        <v>0</v>
      </c>
      <c r="AN556">
        <v>0</v>
      </c>
      <c r="AO556">
        <f t="shared" si="279"/>
        <v>0</v>
      </c>
      <c r="AP556">
        <f t="shared" si="288"/>
        <v>0</v>
      </c>
      <c r="AQ556">
        <f t="shared" ca="1" si="280"/>
        <v>0.99999999999999978</v>
      </c>
      <c r="AR556" t="str">
        <f t="shared" ca="1" si="281"/>
        <v>Supercritical</v>
      </c>
      <c r="AS556">
        <f t="shared" ca="1" si="282"/>
        <v>3.8148159832266538E-3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191</v>
      </c>
      <c r="I557">
        <v>7.8E-2</v>
      </c>
      <c r="J557">
        <f t="shared" si="283"/>
        <v>1.0010000000000332</v>
      </c>
      <c r="K557">
        <f t="shared" si="284"/>
        <v>51</v>
      </c>
      <c r="L557">
        <f t="shared" ca="1" si="285"/>
        <v>0.05</v>
      </c>
      <c r="M557">
        <f t="shared" ca="1" si="258"/>
        <v>0.26</v>
      </c>
      <c r="N557">
        <f t="shared" ca="1" si="259"/>
        <v>4.9056603773584909E-2</v>
      </c>
      <c r="O557">
        <f t="shared" ca="1" si="260"/>
        <v>196.15384615384616</v>
      </c>
      <c r="P557">
        <f t="shared" ca="1" si="261"/>
        <v>632.4085</v>
      </c>
      <c r="Q557">
        <f t="shared" ca="1" si="262"/>
        <v>2593.4855316486619</v>
      </c>
      <c r="R557">
        <f t="shared" ca="1" si="263"/>
        <v>482.07306851378365</v>
      </c>
      <c r="S557">
        <f t="shared" ca="1" si="264"/>
        <v>280.07692026646265</v>
      </c>
      <c r="T557">
        <f t="shared" ca="1" si="265"/>
        <v>1019.7665564573041</v>
      </c>
      <c r="U557">
        <f t="shared" ca="1" si="286"/>
        <v>-482.80958159642751</v>
      </c>
      <c r="V557">
        <f t="shared" ca="1" si="287"/>
        <v>0</v>
      </c>
      <c r="W557">
        <f t="shared" ca="1" si="266"/>
        <v>0.05</v>
      </c>
      <c r="X557">
        <f t="shared" ca="1" si="267"/>
        <v>0.26</v>
      </c>
      <c r="Y557">
        <f t="shared" ca="1" si="268"/>
        <v>4.9056603773584909E-2</v>
      </c>
      <c r="Z557">
        <f t="shared" ca="1" si="269"/>
        <v>196.15384615384616</v>
      </c>
      <c r="AA557">
        <f t="shared" ca="1" si="270"/>
        <v>632.4085</v>
      </c>
      <c r="AB557">
        <f t="shared" ca="1" si="271"/>
        <v>2593.4855316486619</v>
      </c>
      <c r="AC557">
        <f t="shared" ca="1" si="272"/>
        <v>482.07306851378365</v>
      </c>
      <c r="AD557">
        <f t="shared" ca="1" si="273"/>
        <v>280.07692026646265</v>
      </c>
      <c r="AE557">
        <f t="shared" ca="1" si="274"/>
        <v>1019.7665564573041</v>
      </c>
      <c r="AF557">
        <f t="shared" ca="1" si="275"/>
        <v>482.23599159975447</v>
      </c>
      <c r="AG557">
        <f t="shared" ca="1" si="276"/>
        <v>0</v>
      </c>
      <c r="AH557">
        <f ca="1">IF(V32="Supercritical",L557,IF(V32="Subcritical",W557,IF(AND(V557=1,AG557=1),IF(T557&gt;=AE557,L557,W557),IF(V557=1,L557,IF(AG557=1,W557,MAX($D$16,POWER((ABS(K557)^2)/($I$5*MAX(F557,0.1)^2),1/3)))))))</f>
        <v>2.1403668656741068</v>
      </c>
      <c r="AI557">
        <f t="shared" ca="1" si="277"/>
        <v>634.49886686567413</v>
      </c>
      <c r="AJ557">
        <f t="shared" ca="1" si="278"/>
        <v>635.56905029851123</v>
      </c>
      <c r="AM557">
        <v>0</v>
      </c>
      <c r="AN557">
        <v>0</v>
      </c>
      <c r="AO557">
        <f t="shared" si="279"/>
        <v>0</v>
      </c>
      <c r="AP557">
        <f t="shared" si="288"/>
        <v>0</v>
      </c>
      <c r="AQ557">
        <f t="shared" ca="1" si="280"/>
        <v>0.99999999999999978</v>
      </c>
      <c r="AR557" t="str">
        <f t="shared" ca="1" si="281"/>
        <v>Supercritical</v>
      </c>
      <c r="AS557">
        <f t="shared" ca="1" si="282"/>
        <v>3.8148159832266538E-3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191</v>
      </c>
      <c r="I558">
        <v>0.05</v>
      </c>
      <c r="J558">
        <f t="shared" si="283"/>
        <v>1</v>
      </c>
      <c r="K558">
        <f t="shared" si="284"/>
        <v>51</v>
      </c>
      <c r="L558">
        <f t="shared" ca="1" si="285"/>
        <v>0.05</v>
      </c>
      <c r="M558">
        <f t="shared" ca="1" si="258"/>
        <v>0.26</v>
      </c>
      <c r="N558">
        <f t="shared" ca="1" si="259"/>
        <v>4.9056603773584909E-2</v>
      </c>
      <c r="O558">
        <f t="shared" ca="1" si="260"/>
        <v>196.15384615384616</v>
      </c>
      <c r="P558">
        <f t="shared" ca="1" si="261"/>
        <v>632.4079999999999</v>
      </c>
      <c r="Q558">
        <f t="shared" ca="1" si="262"/>
        <v>2593.4850316486618</v>
      </c>
      <c r="R558">
        <f t="shared" ca="1" si="263"/>
        <v>482.07306851378365</v>
      </c>
      <c r="S558">
        <f t="shared" ca="1" si="264"/>
        <v>280.07692026646265</v>
      </c>
      <c r="T558">
        <f t="shared" ca="1" si="265"/>
        <v>1019.7665564573041</v>
      </c>
      <c r="U558">
        <f t="shared" ca="1" si="286"/>
        <v>-482.23599159975447</v>
      </c>
      <c r="V558">
        <f t="shared" ca="1" si="287"/>
        <v>0</v>
      </c>
      <c r="W558">
        <f t="shared" ca="1" si="266"/>
        <v>0.05</v>
      </c>
      <c r="X558">
        <f t="shared" ca="1" si="267"/>
        <v>0.26</v>
      </c>
      <c r="Y558">
        <f t="shared" ca="1" si="268"/>
        <v>4.9056603773584909E-2</v>
      </c>
      <c r="Z558">
        <f t="shared" ca="1" si="269"/>
        <v>196.15384615384616</v>
      </c>
      <c r="AA558">
        <f t="shared" ca="1" si="270"/>
        <v>632.4079999999999</v>
      </c>
      <c r="AB558">
        <f t="shared" ca="1" si="271"/>
        <v>2593.4850316486618</v>
      </c>
      <c r="AC558">
        <f t="shared" ca="1" si="272"/>
        <v>482.07306851378365</v>
      </c>
      <c r="AD558">
        <f t="shared" ca="1" si="273"/>
        <v>280.07692026646265</v>
      </c>
      <c r="AE558">
        <f t="shared" ca="1" si="274"/>
        <v>1019.7665564573041</v>
      </c>
      <c r="AF558">
        <f t="shared" ca="1" si="275"/>
        <v>481.67874391167879</v>
      </c>
      <c r="AG558">
        <f t="shared" ca="1" si="276"/>
        <v>0</v>
      </c>
      <c r="AH558">
        <f ca="1">IF(V32="Supercritical",L558,IF(V32="Subcritical",W558,IF(AND(V558=1,AG558=1),IF(T558&gt;=AE558,L558,W558),IF(V558=1,L558,IF(AG558=1,W558,MAX($D$16,POWER((ABS(K558)^2)/($I$5*MAX(F558,0.1)^2),1/3)))))))</f>
        <v>2.1403668656741068</v>
      </c>
      <c r="AI558">
        <f t="shared" ca="1" si="277"/>
        <v>634.49836686567403</v>
      </c>
      <c r="AJ558">
        <f t="shared" ca="1" si="278"/>
        <v>635.56855029851113</v>
      </c>
      <c r="AM558">
        <v>0</v>
      </c>
      <c r="AN558">
        <v>0</v>
      </c>
      <c r="AO558">
        <f t="shared" si="279"/>
        <v>0</v>
      </c>
      <c r="AP558">
        <f t="shared" si="288"/>
        <v>0</v>
      </c>
      <c r="AQ558">
        <f t="shared" ca="1" si="280"/>
        <v>0.99999999999999978</v>
      </c>
      <c r="AR558" t="str">
        <f t="shared" ca="1" si="281"/>
        <v>Supercritical</v>
      </c>
      <c r="AS558">
        <f t="shared" ca="1" si="282"/>
        <v>3.8148159832266538E-3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191</v>
      </c>
      <c r="I559">
        <v>2.7E-2</v>
      </c>
      <c r="J559">
        <f t="shared" si="283"/>
        <v>0.9989999999999668</v>
      </c>
      <c r="K559">
        <f t="shared" si="284"/>
        <v>51</v>
      </c>
      <c r="L559">
        <f t="shared" ca="1" si="285"/>
        <v>0.05</v>
      </c>
      <c r="M559">
        <f t="shared" ca="1" si="258"/>
        <v>0.26</v>
      </c>
      <c r="N559">
        <f t="shared" ca="1" si="259"/>
        <v>4.9056603773584909E-2</v>
      </c>
      <c r="O559">
        <f t="shared" ca="1" si="260"/>
        <v>196.15384615384616</v>
      </c>
      <c r="P559">
        <f t="shared" ca="1" si="261"/>
        <v>632.40749999999991</v>
      </c>
      <c r="Q559">
        <f t="shared" ca="1" si="262"/>
        <v>2593.4845316486621</v>
      </c>
      <c r="R559">
        <f t="shared" ca="1" si="263"/>
        <v>482.07306851378365</v>
      </c>
      <c r="S559">
        <f t="shared" ca="1" si="264"/>
        <v>280.07692026646265</v>
      </c>
      <c r="T559">
        <f t="shared" ca="1" si="265"/>
        <v>1019.7665564573041</v>
      </c>
      <c r="U559">
        <f t="shared" ca="1" si="286"/>
        <v>-481.67874391167834</v>
      </c>
      <c r="V559">
        <f t="shared" ca="1" si="287"/>
        <v>0</v>
      </c>
      <c r="W559">
        <f t="shared" ca="1" si="266"/>
        <v>0.05</v>
      </c>
      <c r="X559">
        <f t="shared" ca="1" si="267"/>
        <v>0.26</v>
      </c>
      <c r="Y559">
        <f t="shared" ca="1" si="268"/>
        <v>4.9056603773584909E-2</v>
      </c>
      <c r="Z559">
        <f t="shared" ca="1" si="269"/>
        <v>196.15384615384616</v>
      </c>
      <c r="AA559">
        <f t="shared" ca="1" si="270"/>
        <v>632.40749999999991</v>
      </c>
      <c r="AB559">
        <f t="shared" ca="1" si="271"/>
        <v>2593.4845316486621</v>
      </c>
      <c r="AC559">
        <f t="shared" ca="1" si="272"/>
        <v>482.07306851378365</v>
      </c>
      <c r="AD559">
        <f t="shared" ca="1" si="273"/>
        <v>280.07692026646265</v>
      </c>
      <c r="AE559">
        <f t="shared" ca="1" si="274"/>
        <v>1019.7665564573041</v>
      </c>
      <c r="AF559">
        <f t="shared" ca="1" si="275"/>
        <v>482.16081698020798</v>
      </c>
      <c r="AG559">
        <f t="shared" ca="1" si="276"/>
        <v>0</v>
      </c>
      <c r="AH559">
        <f ca="1">IF(V32="Supercritical",L559,IF(V32="Subcritical",W559,IF(AND(V559=1,AG559=1),IF(T559&gt;=AE559,L559,W559),IF(V559=1,L559,IF(AG559=1,W559,MAX($D$16,POWER((ABS(K559)^2)/($I$5*MAX(F559,0.1)^2),1/3)))))))</f>
        <v>2.1403668656741068</v>
      </c>
      <c r="AI559">
        <f t="shared" ca="1" si="277"/>
        <v>634.49786686567404</v>
      </c>
      <c r="AJ559">
        <f t="shared" ca="1" si="278"/>
        <v>635.56805029851114</v>
      </c>
      <c r="AM559">
        <v>0</v>
      </c>
      <c r="AN559">
        <v>0</v>
      </c>
      <c r="AO559">
        <f t="shared" si="279"/>
        <v>0</v>
      </c>
      <c r="AP559">
        <f t="shared" si="288"/>
        <v>0</v>
      </c>
      <c r="AQ559">
        <f t="shared" ca="1" si="280"/>
        <v>0.99999999999999978</v>
      </c>
      <c r="AR559" t="str">
        <f t="shared" ca="1" si="281"/>
        <v>Supercritical</v>
      </c>
      <c r="AS559">
        <f t="shared" ca="1" si="282"/>
        <v>3.8148159832266538E-3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191</v>
      </c>
      <c r="I560">
        <v>2.7E-2</v>
      </c>
      <c r="J560">
        <f t="shared" si="283"/>
        <v>1</v>
      </c>
      <c r="K560">
        <f t="shared" si="284"/>
        <v>51</v>
      </c>
      <c r="L560">
        <f t="shared" ca="1" si="285"/>
        <v>0.05</v>
      </c>
      <c r="M560">
        <f t="shared" ca="1" si="258"/>
        <v>0.26</v>
      </c>
      <c r="N560">
        <f t="shared" ca="1" si="259"/>
        <v>4.9056603773584909E-2</v>
      </c>
      <c r="O560">
        <f t="shared" ca="1" si="260"/>
        <v>196.15384615384616</v>
      </c>
      <c r="P560">
        <f t="shared" ca="1" si="261"/>
        <v>632.40699999999993</v>
      </c>
      <c r="Q560">
        <f t="shared" ca="1" si="262"/>
        <v>2593.484031648662</v>
      </c>
      <c r="R560">
        <f t="shared" ca="1" si="263"/>
        <v>482.07306851378365</v>
      </c>
      <c r="S560">
        <f t="shared" ca="1" si="264"/>
        <v>280.07692026646265</v>
      </c>
      <c r="T560">
        <f t="shared" ca="1" si="265"/>
        <v>1019.7665564573041</v>
      </c>
      <c r="U560">
        <f t="shared" ca="1" si="286"/>
        <v>-482.16081698020798</v>
      </c>
      <c r="V560">
        <f t="shared" ca="1" si="287"/>
        <v>0</v>
      </c>
      <c r="W560">
        <f t="shared" ca="1" si="266"/>
        <v>0.05</v>
      </c>
      <c r="X560">
        <f t="shared" ca="1" si="267"/>
        <v>0.26</v>
      </c>
      <c r="Y560">
        <f t="shared" ca="1" si="268"/>
        <v>4.9056603773584909E-2</v>
      </c>
      <c r="Z560">
        <f t="shared" ca="1" si="269"/>
        <v>196.15384615384616</v>
      </c>
      <c r="AA560">
        <f t="shared" ca="1" si="270"/>
        <v>632.40699999999993</v>
      </c>
      <c r="AB560">
        <f t="shared" ca="1" si="271"/>
        <v>2593.484031648662</v>
      </c>
      <c r="AC560">
        <f t="shared" ca="1" si="272"/>
        <v>482.07306851378365</v>
      </c>
      <c r="AD560">
        <f t="shared" ca="1" si="273"/>
        <v>280.07692026646265</v>
      </c>
      <c r="AE560">
        <f t="shared" ca="1" si="274"/>
        <v>1019.7665564573041</v>
      </c>
      <c r="AF560">
        <f t="shared" ca="1" si="275"/>
        <v>482.1477431333301</v>
      </c>
      <c r="AG560">
        <f t="shared" ca="1" si="276"/>
        <v>0</v>
      </c>
      <c r="AH560">
        <f ca="1">IF(V32="Supercritical",L560,IF(V32="Subcritical",W560,IF(AND(V560=1,AG560=1),IF(T560&gt;=AE560,L560,W560),IF(V560=1,L560,IF(AG560=1,W560,MAX($D$16,POWER((ABS(K560)^2)/($I$5*MAX(F560,0.1)^2),1/3)))))))</f>
        <v>2.1403668656741068</v>
      </c>
      <c r="AI560">
        <f t="shared" ca="1" si="277"/>
        <v>634.49736686567405</v>
      </c>
      <c r="AJ560">
        <f t="shared" ca="1" si="278"/>
        <v>635.56755029851115</v>
      </c>
      <c r="AM560">
        <v>0</v>
      </c>
      <c r="AN560">
        <v>0</v>
      </c>
      <c r="AO560">
        <f t="shared" si="279"/>
        <v>0</v>
      </c>
      <c r="AP560">
        <f t="shared" si="288"/>
        <v>0</v>
      </c>
      <c r="AQ560">
        <f t="shared" ca="1" si="280"/>
        <v>0.99999999999999978</v>
      </c>
      <c r="AR560" t="str">
        <f t="shared" ca="1" si="281"/>
        <v>Supercritical</v>
      </c>
      <c r="AS560">
        <f t="shared" ca="1" si="282"/>
        <v>3.8148159832266538E-3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191</v>
      </c>
      <c r="I561">
        <v>2.3E-2</v>
      </c>
      <c r="J561">
        <f t="shared" si="283"/>
        <v>1</v>
      </c>
      <c r="K561">
        <f t="shared" si="284"/>
        <v>51</v>
      </c>
      <c r="L561">
        <f t="shared" ca="1" si="285"/>
        <v>0.05</v>
      </c>
      <c r="M561">
        <f t="shared" ca="1" si="258"/>
        <v>0.26</v>
      </c>
      <c r="N561">
        <f t="shared" ca="1" si="259"/>
        <v>4.9056603773584909E-2</v>
      </c>
      <c r="O561">
        <f t="shared" ca="1" si="260"/>
        <v>196.15384615384616</v>
      </c>
      <c r="P561">
        <f t="shared" ca="1" si="261"/>
        <v>632.40649999999994</v>
      </c>
      <c r="Q561">
        <f t="shared" ca="1" si="262"/>
        <v>2593.4835316486619</v>
      </c>
      <c r="R561">
        <f t="shared" ca="1" si="263"/>
        <v>482.07306851378365</v>
      </c>
      <c r="S561">
        <f t="shared" ca="1" si="264"/>
        <v>280.07692026646265</v>
      </c>
      <c r="T561">
        <f t="shared" ca="1" si="265"/>
        <v>1019.7665564573041</v>
      </c>
      <c r="U561">
        <f t="shared" ca="1" si="286"/>
        <v>-482.1477431333301</v>
      </c>
      <c r="V561">
        <f t="shared" ca="1" si="287"/>
        <v>0</v>
      </c>
      <c r="W561">
        <f t="shared" ca="1" si="266"/>
        <v>0.05</v>
      </c>
      <c r="X561">
        <f t="shared" ca="1" si="267"/>
        <v>0.26</v>
      </c>
      <c r="Y561">
        <f t="shared" ca="1" si="268"/>
        <v>4.9056603773584909E-2</v>
      </c>
      <c r="Z561">
        <f t="shared" ca="1" si="269"/>
        <v>196.15384615384616</v>
      </c>
      <c r="AA561">
        <f t="shared" ca="1" si="270"/>
        <v>632.40649999999994</v>
      </c>
      <c r="AB561">
        <f t="shared" ca="1" si="271"/>
        <v>2593.4835316486619</v>
      </c>
      <c r="AC561">
        <f t="shared" ca="1" si="272"/>
        <v>482.07306851378365</v>
      </c>
      <c r="AD561">
        <f t="shared" ca="1" si="273"/>
        <v>280.07692026646265</v>
      </c>
      <c r="AE561">
        <f t="shared" ca="1" si="274"/>
        <v>1019.7665564573041</v>
      </c>
      <c r="AF561">
        <f t="shared" ca="1" si="275"/>
        <v>482.62981620186019</v>
      </c>
      <c r="AG561">
        <f t="shared" ca="1" si="276"/>
        <v>0</v>
      </c>
      <c r="AH561">
        <f ca="1">IF(V32="Supercritical",L561,IF(V32="Subcritical",W561,IF(AND(V561=1,AG561=1),IF(T561&gt;=AE561,L561,W561),IF(V561=1,L561,IF(AG561=1,W561,MAX($D$16,POWER((ABS(K561)^2)/($I$5*MAX(F561,0.1)^2),1/3)))))))</f>
        <v>2.1403668656741068</v>
      </c>
      <c r="AI561">
        <f t="shared" ca="1" si="277"/>
        <v>634.49686686567406</v>
      </c>
      <c r="AJ561">
        <f t="shared" ca="1" si="278"/>
        <v>635.56705029851116</v>
      </c>
      <c r="AM561">
        <v>0</v>
      </c>
      <c r="AN561">
        <v>0</v>
      </c>
      <c r="AO561">
        <f t="shared" si="279"/>
        <v>0</v>
      </c>
      <c r="AP561">
        <f t="shared" si="288"/>
        <v>0</v>
      </c>
      <c r="AQ561">
        <f t="shared" ca="1" si="280"/>
        <v>0.99999999999999978</v>
      </c>
      <c r="AR561" t="str">
        <f t="shared" ca="1" si="281"/>
        <v>Supercritical</v>
      </c>
      <c r="AS561">
        <f t="shared" ca="1" si="282"/>
        <v>3.8148159832266538E-3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191</v>
      </c>
      <c r="I562">
        <v>2.3E-2</v>
      </c>
      <c r="J562">
        <f t="shared" si="283"/>
        <v>1.0010000000000332</v>
      </c>
      <c r="K562">
        <f t="shared" si="284"/>
        <v>51</v>
      </c>
      <c r="L562">
        <f t="shared" ca="1" si="285"/>
        <v>0.05</v>
      </c>
      <c r="M562">
        <f t="shared" ca="1" si="258"/>
        <v>0.26</v>
      </c>
      <c r="N562">
        <f t="shared" ca="1" si="259"/>
        <v>4.9056603773584909E-2</v>
      </c>
      <c r="O562">
        <f t="shared" ca="1" si="260"/>
        <v>196.15384615384616</v>
      </c>
      <c r="P562">
        <f t="shared" ca="1" si="261"/>
        <v>632.40599999999995</v>
      </c>
      <c r="Q562">
        <f t="shared" ca="1" si="262"/>
        <v>2593.4830316486623</v>
      </c>
      <c r="R562">
        <f t="shared" ca="1" si="263"/>
        <v>482.07306851378365</v>
      </c>
      <c r="S562">
        <f t="shared" ca="1" si="264"/>
        <v>280.07692026646265</v>
      </c>
      <c r="T562">
        <f t="shared" ca="1" si="265"/>
        <v>1019.7665564573041</v>
      </c>
      <c r="U562">
        <f t="shared" ca="1" si="286"/>
        <v>-482.62981620186019</v>
      </c>
      <c r="V562">
        <f t="shared" ca="1" si="287"/>
        <v>0</v>
      </c>
      <c r="W562">
        <f t="shared" ca="1" si="266"/>
        <v>0.05</v>
      </c>
      <c r="X562">
        <f t="shared" ca="1" si="267"/>
        <v>0.26</v>
      </c>
      <c r="Y562">
        <f t="shared" ca="1" si="268"/>
        <v>4.9056603773584909E-2</v>
      </c>
      <c r="Z562">
        <f t="shared" ca="1" si="269"/>
        <v>196.15384615384616</v>
      </c>
      <c r="AA562">
        <f t="shared" ca="1" si="270"/>
        <v>632.40599999999995</v>
      </c>
      <c r="AB562">
        <f t="shared" ca="1" si="271"/>
        <v>2593.4830316486623</v>
      </c>
      <c r="AC562">
        <f t="shared" ca="1" si="272"/>
        <v>482.07306851378365</v>
      </c>
      <c r="AD562">
        <f t="shared" ca="1" si="273"/>
        <v>280.07692026646265</v>
      </c>
      <c r="AE562">
        <f t="shared" ca="1" si="274"/>
        <v>1019.7665564573041</v>
      </c>
      <c r="AF562">
        <f t="shared" ca="1" si="275"/>
        <v>481.59049544525351</v>
      </c>
      <c r="AG562">
        <f t="shared" ca="1" si="276"/>
        <v>0</v>
      </c>
      <c r="AH562">
        <f ca="1">IF(V32="Supercritical",L562,IF(V32="Subcritical",W562,IF(AND(V562=1,AG562=1),IF(T562&gt;=AE562,L562,W562),IF(V562=1,L562,IF(AG562=1,W562,MAX($D$16,POWER((ABS(K562)^2)/($I$5*MAX(F562,0.1)^2),1/3)))))))</f>
        <v>2.1403668656741068</v>
      </c>
      <c r="AI562">
        <f t="shared" ca="1" si="277"/>
        <v>634.49636686567408</v>
      </c>
      <c r="AJ562">
        <f t="shared" ca="1" si="278"/>
        <v>635.56655029851117</v>
      </c>
      <c r="AM562">
        <v>0</v>
      </c>
      <c r="AN562">
        <v>0</v>
      </c>
      <c r="AO562">
        <f t="shared" si="279"/>
        <v>0</v>
      </c>
      <c r="AP562">
        <f t="shared" si="288"/>
        <v>0</v>
      </c>
      <c r="AQ562">
        <f t="shared" ca="1" si="280"/>
        <v>0.99999999999999978</v>
      </c>
      <c r="AR562" t="str">
        <f t="shared" ca="1" si="281"/>
        <v>Supercritical</v>
      </c>
      <c r="AS562">
        <f t="shared" ca="1" si="282"/>
        <v>3.8148159832266538E-3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191</v>
      </c>
      <c r="I563">
        <v>0</v>
      </c>
      <c r="J563">
        <f t="shared" si="283"/>
        <v>0.9989999999999668</v>
      </c>
      <c r="K563">
        <f t="shared" si="284"/>
        <v>51</v>
      </c>
      <c r="L563">
        <f t="shared" ca="1" si="285"/>
        <v>0.05</v>
      </c>
      <c r="M563">
        <f t="shared" ca="1" si="258"/>
        <v>0.26</v>
      </c>
      <c r="N563">
        <f t="shared" ca="1" si="259"/>
        <v>4.9056603773584909E-2</v>
      </c>
      <c r="O563">
        <f t="shared" ca="1" si="260"/>
        <v>196.15384615384616</v>
      </c>
      <c r="P563">
        <f t="shared" ca="1" si="261"/>
        <v>632.40549999999996</v>
      </c>
      <c r="Q563">
        <f t="shared" ca="1" si="262"/>
        <v>2593.4825316486622</v>
      </c>
      <c r="R563">
        <f t="shared" ca="1" si="263"/>
        <v>482.07306851378365</v>
      </c>
      <c r="S563">
        <f t="shared" ca="1" si="264"/>
        <v>280.07692026646265</v>
      </c>
      <c r="T563">
        <f t="shared" ca="1" si="265"/>
        <v>1019.7665564573041</v>
      </c>
      <c r="U563">
        <f t="shared" ca="1" si="286"/>
        <v>-481.59049544525351</v>
      </c>
      <c r="V563">
        <f t="shared" ca="1" si="287"/>
        <v>0</v>
      </c>
      <c r="W563">
        <f t="shared" ca="1" si="266"/>
        <v>0.05</v>
      </c>
      <c r="X563">
        <f t="shared" ca="1" si="267"/>
        <v>0.26</v>
      </c>
      <c r="Y563">
        <f t="shared" ca="1" si="268"/>
        <v>4.9056603773584909E-2</v>
      </c>
      <c r="Z563">
        <f t="shared" ca="1" si="269"/>
        <v>196.15384615384616</v>
      </c>
      <c r="AA563">
        <f t="shared" ca="1" si="270"/>
        <v>632.40549999999996</v>
      </c>
      <c r="AB563">
        <f t="shared" ca="1" si="271"/>
        <v>2593.4825316486622</v>
      </c>
      <c r="AC563">
        <f t="shared" ca="1" si="272"/>
        <v>482.07306851378365</v>
      </c>
      <c r="AD563">
        <f t="shared" ca="1" si="273"/>
        <v>280.07692026646265</v>
      </c>
      <c r="AE563">
        <f t="shared" ca="1" si="274"/>
        <v>1019.7665564573041</v>
      </c>
      <c r="AF563">
        <f t="shared" ca="1" si="275"/>
        <v>482.16081698020798</v>
      </c>
      <c r="AG563">
        <f t="shared" ca="1" si="276"/>
        <v>0</v>
      </c>
      <c r="AH563">
        <f ca="1">IF(V32="Supercritical",L563,IF(V32="Subcritical",W563,IF(AND(V563=1,AG563=1),IF(T563&gt;=AE563,L563,W563),IF(V563=1,L563,IF(AG563=1,W563,MAX($D$16,POWER((ABS(K563)^2)/($I$5*MAX(F563,0.1)^2),1/3)))))))</f>
        <v>2.1403668656741068</v>
      </c>
      <c r="AI563">
        <f t="shared" ca="1" si="277"/>
        <v>634.49586686567409</v>
      </c>
      <c r="AJ563">
        <f t="shared" ca="1" si="278"/>
        <v>635.56605029851119</v>
      </c>
      <c r="AM563">
        <v>0</v>
      </c>
      <c r="AN563">
        <v>0</v>
      </c>
      <c r="AO563">
        <f t="shared" si="279"/>
        <v>0</v>
      </c>
      <c r="AP563">
        <f t="shared" si="288"/>
        <v>0</v>
      </c>
      <c r="AQ563">
        <f t="shared" ca="1" si="280"/>
        <v>0.99999999999999978</v>
      </c>
      <c r="AR563" t="str">
        <f t="shared" ca="1" si="281"/>
        <v>Supercritical</v>
      </c>
      <c r="AS563">
        <f t="shared" ca="1" si="282"/>
        <v>3.8148159832266538E-3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191</v>
      </c>
      <c r="I564">
        <v>2.7E-2</v>
      </c>
      <c r="J564">
        <f t="shared" si="283"/>
        <v>1</v>
      </c>
      <c r="K564">
        <f t="shared" si="284"/>
        <v>51</v>
      </c>
      <c r="L564">
        <f t="shared" ca="1" si="285"/>
        <v>0.05</v>
      </c>
      <c r="M564">
        <f t="shared" ca="1" si="258"/>
        <v>0.26</v>
      </c>
      <c r="N564">
        <f t="shared" ca="1" si="259"/>
        <v>4.9056603773584909E-2</v>
      </c>
      <c r="O564">
        <f t="shared" ca="1" si="260"/>
        <v>196.15384615384616</v>
      </c>
      <c r="P564">
        <f t="shared" ca="1" si="261"/>
        <v>632.40499999999997</v>
      </c>
      <c r="Q564">
        <f t="shared" ca="1" si="262"/>
        <v>2593.4820316486621</v>
      </c>
      <c r="R564">
        <f t="shared" ca="1" si="263"/>
        <v>482.07306851378365</v>
      </c>
      <c r="S564">
        <f t="shared" ca="1" si="264"/>
        <v>280.07692026646265</v>
      </c>
      <c r="T564">
        <f t="shared" ca="1" si="265"/>
        <v>1019.7665564573041</v>
      </c>
      <c r="U564">
        <f t="shared" ca="1" si="286"/>
        <v>-482.16081698020798</v>
      </c>
      <c r="V564">
        <f t="shared" ca="1" si="287"/>
        <v>0</v>
      </c>
      <c r="W564">
        <f t="shared" ca="1" si="266"/>
        <v>0.05</v>
      </c>
      <c r="X564">
        <f t="shared" ca="1" si="267"/>
        <v>0.26</v>
      </c>
      <c r="Y564">
        <f t="shared" ca="1" si="268"/>
        <v>4.9056603773584909E-2</v>
      </c>
      <c r="Z564">
        <f t="shared" ca="1" si="269"/>
        <v>196.15384615384616</v>
      </c>
      <c r="AA564">
        <f t="shared" ca="1" si="270"/>
        <v>632.40499999999997</v>
      </c>
      <c r="AB564">
        <f t="shared" ca="1" si="271"/>
        <v>2593.4820316486621</v>
      </c>
      <c r="AC564">
        <f t="shared" ca="1" si="272"/>
        <v>482.07306851378365</v>
      </c>
      <c r="AD564">
        <f t="shared" ca="1" si="273"/>
        <v>280.07692026646265</v>
      </c>
      <c r="AE564">
        <f t="shared" ca="1" si="274"/>
        <v>1019.7665564573041</v>
      </c>
      <c r="AF564">
        <f t="shared" ca="1" si="275"/>
        <v>482.16081698020798</v>
      </c>
      <c r="AG564">
        <f t="shared" ca="1" si="276"/>
        <v>0</v>
      </c>
      <c r="AH564">
        <f ca="1">IF(V32="Supercritical",L564,IF(V32="Subcritical",W564,IF(AND(V564=1,AG564=1),IF(T564&gt;=AE564,L564,W564),IF(V564=1,L564,IF(AG564=1,W564,MAX($D$16,POWER((ABS(K564)^2)/($I$5*MAX(F564,0.1)^2),1/3)))))))</f>
        <v>2.1403668656741068</v>
      </c>
      <c r="AI564">
        <f t="shared" ca="1" si="277"/>
        <v>634.4953668656741</v>
      </c>
      <c r="AJ564">
        <f t="shared" ca="1" si="278"/>
        <v>635.5655502985112</v>
      </c>
      <c r="AM564">
        <v>0</v>
      </c>
      <c r="AN564">
        <v>0</v>
      </c>
      <c r="AO564">
        <f t="shared" si="279"/>
        <v>0</v>
      </c>
      <c r="AP564">
        <f t="shared" si="288"/>
        <v>0</v>
      </c>
      <c r="AQ564">
        <f t="shared" ca="1" si="280"/>
        <v>0.99999999999999978</v>
      </c>
      <c r="AR564" t="str">
        <f t="shared" ca="1" si="281"/>
        <v>Supercritical</v>
      </c>
      <c r="AS564">
        <f t="shared" ca="1" si="282"/>
        <v>3.8148159832266538E-3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191</v>
      </c>
      <c r="I565">
        <v>2.7E-2</v>
      </c>
      <c r="J565">
        <f t="shared" si="283"/>
        <v>1</v>
      </c>
      <c r="K565">
        <f t="shared" si="284"/>
        <v>51</v>
      </c>
      <c r="L565">
        <f t="shared" ca="1" si="285"/>
        <v>0.05</v>
      </c>
      <c r="M565">
        <f t="shared" ca="1" si="258"/>
        <v>0.26</v>
      </c>
      <c r="N565">
        <f t="shared" ca="1" si="259"/>
        <v>4.9056603773584909E-2</v>
      </c>
      <c r="O565">
        <f t="shared" ca="1" si="260"/>
        <v>196.15384615384616</v>
      </c>
      <c r="P565">
        <f t="shared" ca="1" si="261"/>
        <v>632.40449999999998</v>
      </c>
      <c r="Q565">
        <f t="shared" ca="1" si="262"/>
        <v>2593.481531648662</v>
      </c>
      <c r="R565">
        <f t="shared" ca="1" si="263"/>
        <v>482.07306851378365</v>
      </c>
      <c r="S565">
        <f t="shared" ca="1" si="264"/>
        <v>280.07692026646265</v>
      </c>
      <c r="T565">
        <f t="shared" ca="1" si="265"/>
        <v>1019.7665564573041</v>
      </c>
      <c r="U565">
        <f t="shared" ca="1" si="286"/>
        <v>-482.16081698020798</v>
      </c>
      <c r="V565">
        <f t="shared" ca="1" si="287"/>
        <v>0</v>
      </c>
      <c r="W565">
        <f t="shared" ca="1" si="266"/>
        <v>0.05</v>
      </c>
      <c r="X565">
        <f t="shared" ca="1" si="267"/>
        <v>0.26</v>
      </c>
      <c r="Y565">
        <f t="shared" ca="1" si="268"/>
        <v>4.9056603773584909E-2</v>
      </c>
      <c r="Z565">
        <f t="shared" ca="1" si="269"/>
        <v>196.15384615384616</v>
      </c>
      <c r="AA565">
        <f t="shared" ca="1" si="270"/>
        <v>632.40449999999998</v>
      </c>
      <c r="AB565">
        <f t="shared" ca="1" si="271"/>
        <v>2593.481531648662</v>
      </c>
      <c r="AC565">
        <f t="shared" ca="1" si="272"/>
        <v>482.07306851378365</v>
      </c>
      <c r="AD565">
        <f t="shared" ca="1" si="273"/>
        <v>280.07692026646265</v>
      </c>
      <c r="AE565">
        <f t="shared" ca="1" si="274"/>
        <v>1019.7665564573041</v>
      </c>
      <c r="AF565">
        <f t="shared" ca="1" si="275"/>
        <v>482.1477431333301</v>
      </c>
      <c r="AG565">
        <f t="shared" ca="1" si="276"/>
        <v>0</v>
      </c>
      <c r="AH565">
        <f ca="1">IF(V32="Supercritical",L565,IF(V32="Subcritical",W565,IF(AND(V565=1,AG565=1),IF(T565&gt;=AE565,L565,W565),IF(V565=1,L565,IF(AG565=1,W565,MAX($D$16,POWER((ABS(K565)^2)/($I$5*MAX(F565,0.1)^2),1/3)))))))</f>
        <v>2.1403668656741068</v>
      </c>
      <c r="AI565">
        <f t="shared" ca="1" si="277"/>
        <v>634.49486686567411</v>
      </c>
      <c r="AJ565">
        <f t="shared" ca="1" si="278"/>
        <v>635.56505029851121</v>
      </c>
      <c r="AM565">
        <v>0</v>
      </c>
      <c r="AN565">
        <v>0</v>
      </c>
      <c r="AO565">
        <f t="shared" si="279"/>
        <v>0</v>
      </c>
      <c r="AP565">
        <f t="shared" si="288"/>
        <v>0</v>
      </c>
      <c r="AQ565">
        <f t="shared" ca="1" si="280"/>
        <v>0.99999999999999978</v>
      </c>
      <c r="AR565" t="str">
        <f t="shared" ca="1" si="281"/>
        <v>Supercritical</v>
      </c>
      <c r="AS565">
        <f t="shared" ca="1" si="282"/>
        <v>3.8148159832266538E-3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191</v>
      </c>
      <c r="I566">
        <v>2.3E-2</v>
      </c>
      <c r="J566">
        <f t="shared" si="283"/>
        <v>1</v>
      </c>
      <c r="K566">
        <f t="shared" si="284"/>
        <v>51</v>
      </c>
      <c r="L566">
        <f t="shared" ca="1" si="285"/>
        <v>0.05</v>
      </c>
      <c r="M566">
        <f t="shared" ca="1" si="258"/>
        <v>0.26</v>
      </c>
      <c r="N566">
        <f t="shared" ca="1" si="259"/>
        <v>4.9056603773584909E-2</v>
      </c>
      <c r="O566">
        <f t="shared" ca="1" si="260"/>
        <v>196.15384615384616</v>
      </c>
      <c r="P566">
        <f t="shared" ca="1" si="261"/>
        <v>632.404</v>
      </c>
      <c r="Q566">
        <f t="shared" ca="1" si="262"/>
        <v>2593.4810316486619</v>
      </c>
      <c r="R566">
        <f t="shared" ca="1" si="263"/>
        <v>482.07306851378365</v>
      </c>
      <c r="S566">
        <f t="shared" ca="1" si="264"/>
        <v>280.07692026646265</v>
      </c>
      <c r="T566">
        <f t="shared" ca="1" si="265"/>
        <v>1019.7665564573041</v>
      </c>
      <c r="U566">
        <f t="shared" ca="1" si="286"/>
        <v>-482.1477431333301</v>
      </c>
      <c r="V566">
        <f t="shared" ca="1" si="287"/>
        <v>0</v>
      </c>
      <c r="W566">
        <f t="shared" ca="1" si="266"/>
        <v>0.05</v>
      </c>
      <c r="X566">
        <f t="shared" ca="1" si="267"/>
        <v>0.26</v>
      </c>
      <c r="Y566">
        <f t="shared" ca="1" si="268"/>
        <v>4.9056603773584909E-2</v>
      </c>
      <c r="Z566">
        <f t="shared" ca="1" si="269"/>
        <v>196.15384615384616</v>
      </c>
      <c r="AA566">
        <f t="shared" ca="1" si="270"/>
        <v>632.404</v>
      </c>
      <c r="AB566">
        <f t="shared" ca="1" si="271"/>
        <v>2593.4810316486619</v>
      </c>
      <c r="AC566">
        <f t="shared" ca="1" si="272"/>
        <v>482.07306851378365</v>
      </c>
      <c r="AD566">
        <f t="shared" ca="1" si="273"/>
        <v>280.07692026646265</v>
      </c>
      <c r="AE566">
        <f t="shared" ca="1" si="274"/>
        <v>1019.7665564573041</v>
      </c>
      <c r="AF566">
        <f t="shared" ca="1" si="275"/>
        <v>482.62981620186019</v>
      </c>
      <c r="AG566">
        <f t="shared" ca="1" si="276"/>
        <v>0</v>
      </c>
      <c r="AH566">
        <f ca="1">IF(V32="Supercritical",L566,IF(V32="Subcritical",W566,IF(AND(V566=1,AG566=1),IF(T566&gt;=AE566,L566,W566),IF(V566=1,L566,IF(AG566=1,W566,MAX($D$16,POWER((ABS(K566)^2)/($I$5*MAX(F566,0.1)^2),1/3)))))))</f>
        <v>2.1403668656741068</v>
      </c>
      <c r="AI566">
        <f t="shared" ca="1" si="277"/>
        <v>634.49436686567412</v>
      </c>
      <c r="AJ566">
        <f t="shared" ca="1" si="278"/>
        <v>635.56455029851122</v>
      </c>
      <c r="AM566">
        <v>0</v>
      </c>
      <c r="AN566">
        <v>0</v>
      </c>
      <c r="AO566">
        <f t="shared" si="279"/>
        <v>0</v>
      </c>
      <c r="AP566">
        <f t="shared" si="288"/>
        <v>0</v>
      </c>
      <c r="AQ566">
        <f t="shared" ca="1" si="280"/>
        <v>0.99999999999999978</v>
      </c>
      <c r="AR566" t="str">
        <f t="shared" ca="1" si="281"/>
        <v>Supercritical</v>
      </c>
      <c r="AS566">
        <f t="shared" ca="1" si="282"/>
        <v>3.8148159832266538E-3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191</v>
      </c>
      <c r="I567">
        <v>2.3E-2</v>
      </c>
      <c r="J567">
        <f t="shared" si="283"/>
        <v>1.0010000000000332</v>
      </c>
      <c r="K567">
        <f t="shared" si="284"/>
        <v>51</v>
      </c>
      <c r="L567">
        <f t="shared" ca="1" si="285"/>
        <v>0.05</v>
      </c>
      <c r="M567">
        <f t="shared" ca="1" si="258"/>
        <v>0.26</v>
      </c>
      <c r="N567">
        <f t="shared" ca="1" si="259"/>
        <v>4.9056603773584909E-2</v>
      </c>
      <c r="O567">
        <f t="shared" ca="1" si="260"/>
        <v>196.15384615384616</v>
      </c>
      <c r="P567">
        <f t="shared" ca="1" si="261"/>
        <v>632.40350000000001</v>
      </c>
      <c r="Q567">
        <f t="shared" ca="1" si="262"/>
        <v>2593.4805316486622</v>
      </c>
      <c r="R567">
        <f t="shared" ca="1" si="263"/>
        <v>482.07306851378365</v>
      </c>
      <c r="S567">
        <f t="shared" ca="1" si="264"/>
        <v>280.07692026646265</v>
      </c>
      <c r="T567">
        <f t="shared" ca="1" si="265"/>
        <v>1019.7665564573041</v>
      </c>
      <c r="U567">
        <f t="shared" ca="1" si="286"/>
        <v>-482.62981620186019</v>
      </c>
      <c r="V567">
        <f t="shared" ca="1" si="287"/>
        <v>0</v>
      </c>
      <c r="W567">
        <f t="shared" ca="1" si="266"/>
        <v>0.05</v>
      </c>
      <c r="X567">
        <f t="shared" ca="1" si="267"/>
        <v>0.26</v>
      </c>
      <c r="Y567">
        <f t="shared" ca="1" si="268"/>
        <v>4.9056603773584909E-2</v>
      </c>
      <c r="Z567">
        <f t="shared" ca="1" si="269"/>
        <v>196.15384615384616</v>
      </c>
      <c r="AA567">
        <f t="shared" ca="1" si="270"/>
        <v>632.40350000000001</v>
      </c>
      <c r="AB567">
        <f t="shared" ca="1" si="271"/>
        <v>2593.4805316486622</v>
      </c>
      <c r="AC567">
        <f t="shared" ca="1" si="272"/>
        <v>482.07306851378365</v>
      </c>
      <c r="AD567">
        <f t="shared" ca="1" si="273"/>
        <v>280.07692026646265</v>
      </c>
      <c r="AE567">
        <f t="shared" ca="1" si="274"/>
        <v>1019.7665564573041</v>
      </c>
      <c r="AF567">
        <f t="shared" ca="1" si="275"/>
        <v>481.59049544525396</v>
      </c>
      <c r="AG567">
        <f t="shared" ca="1" si="276"/>
        <v>0</v>
      </c>
      <c r="AH567">
        <f ca="1">IF(V32="Supercritical",L567,IF(V32="Subcritical",W567,IF(AND(V567=1,AG567=1),IF(T567&gt;=AE567,L567,W567),IF(V567=1,L567,IF(AG567=1,W567,MAX($D$16,POWER((ABS(K567)^2)/($I$5*MAX(F567,0.1)^2),1/3)))))))</f>
        <v>2.1403668656741068</v>
      </c>
      <c r="AI567">
        <f t="shared" ca="1" si="277"/>
        <v>634.49386686567414</v>
      </c>
      <c r="AJ567">
        <f t="shared" ca="1" si="278"/>
        <v>635.56405029851123</v>
      </c>
      <c r="AM567">
        <v>0</v>
      </c>
      <c r="AN567">
        <v>0</v>
      </c>
      <c r="AO567">
        <f t="shared" si="279"/>
        <v>0</v>
      </c>
      <c r="AP567">
        <f t="shared" si="288"/>
        <v>0</v>
      </c>
      <c r="AQ567">
        <f t="shared" ca="1" si="280"/>
        <v>0.99999999999999978</v>
      </c>
      <c r="AR567" t="str">
        <f t="shared" ca="1" si="281"/>
        <v>Supercritical</v>
      </c>
      <c r="AS567">
        <f t="shared" ca="1" si="282"/>
        <v>3.8148159832266538E-3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191</v>
      </c>
      <c r="I568">
        <v>0</v>
      </c>
      <c r="J568">
        <f t="shared" si="283"/>
        <v>0.9989999999999668</v>
      </c>
      <c r="K568">
        <f t="shared" si="284"/>
        <v>51</v>
      </c>
      <c r="L568">
        <f t="shared" ca="1" si="285"/>
        <v>0.05</v>
      </c>
      <c r="M568">
        <f t="shared" ca="1" si="258"/>
        <v>0.26</v>
      </c>
      <c r="N568">
        <f t="shared" ca="1" si="259"/>
        <v>4.9056603773584909E-2</v>
      </c>
      <c r="O568">
        <f t="shared" ca="1" si="260"/>
        <v>196.15384615384616</v>
      </c>
      <c r="P568">
        <f t="shared" ca="1" si="261"/>
        <v>632.40299999999991</v>
      </c>
      <c r="Q568">
        <f t="shared" ca="1" si="262"/>
        <v>2593.4800316486621</v>
      </c>
      <c r="R568">
        <f t="shared" ca="1" si="263"/>
        <v>482.07306851378365</v>
      </c>
      <c r="S568">
        <f t="shared" ca="1" si="264"/>
        <v>280.07692026646265</v>
      </c>
      <c r="T568">
        <f t="shared" ca="1" si="265"/>
        <v>1019.7665564573041</v>
      </c>
      <c r="U568">
        <f t="shared" ca="1" si="286"/>
        <v>-481.59049544525396</v>
      </c>
      <c r="V568">
        <f t="shared" ca="1" si="287"/>
        <v>0</v>
      </c>
      <c r="W568">
        <f t="shared" ca="1" si="266"/>
        <v>0.05</v>
      </c>
      <c r="X568">
        <f t="shared" ca="1" si="267"/>
        <v>0.26</v>
      </c>
      <c r="Y568">
        <f t="shared" ca="1" si="268"/>
        <v>4.9056603773584909E-2</v>
      </c>
      <c r="Z568">
        <f t="shared" ca="1" si="269"/>
        <v>196.15384615384616</v>
      </c>
      <c r="AA568">
        <f t="shared" ca="1" si="270"/>
        <v>632.40299999999991</v>
      </c>
      <c r="AB568">
        <f t="shared" ca="1" si="271"/>
        <v>2593.4800316486621</v>
      </c>
      <c r="AC568">
        <f t="shared" ca="1" si="272"/>
        <v>482.07306851378365</v>
      </c>
      <c r="AD568">
        <f t="shared" ca="1" si="273"/>
        <v>280.07692026646265</v>
      </c>
      <c r="AE568">
        <f t="shared" ca="1" si="274"/>
        <v>1019.7665564573041</v>
      </c>
      <c r="AF568">
        <f t="shared" ca="1" si="275"/>
        <v>482.16081698020798</v>
      </c>
      <c r="AG568">
        <f t="shared" ca="1" si="276"/>
        <v>0</v>
      </c>
      <c r="AH568">
        <f ca="1">IF(V32="Supercritical",L568,IF(V32="Subcritical",W568,IF(AND(V568=1,AG568=1),IF(T568&gt;=AE568,L568,W568),IF(V568=1,L568,IF(AG568=1,W568,MAX($D$16,POWER((ABS(K568)^2)/($I$5*MAX(F568,0.1)^2),1/3)))))))</f>
        <v>2.1403668656741068</v>
      </c>
      <c r="AI568">
        <f t="shared" ca="1" si="277"/>
        <v>634.49336686567403</v>
      </c>
      <c r="AJ568">
        <f t="shared" ca="1" si="278"/>
        <v>635.56355029851113</v>
      </c>
      <c r="AM568">
        <v>0</v>
      </c>
      <c r="AN568">
        <v>0</v>
      </c>
      <c r="AO568">
        <f t="shared" si="279"/>
        <v>0</v>
      </c>
      <c r="AP568">
        <f t="shared" si="288"/>
        <v>0</v>
      </c>
      <c r="AQ568">
        <f t="shared" ca="1" si="280"/>
        <v>0.99999999999999978</v>
      </c>
      <c r="AR568" t="str">
        <f t="shared" ca="1" si="281"/>
        <v>Supercritical</v>
      </c>
      <c r="AS568">
        <f t="shared" ca="1" si="282"/>
        <v>3.8148159832266538E-3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191</v>
      </c>
      <c r="I569">
        <v>2.7E-2</v>
      </c>
      <c r="J569">
        <f t="shared" si="283"/>
        <v>1</v>
      </c>
      <c r="K569">
        <f t="shared" si="284"/>
        <v>51</v>
      </c>
      <c r="L569">
        <f t="shared" ca="1" si="285"/>
        <v>0.05</v>
      </c>
      <c r="M569">
        <f t="shared" ca="1" si="258"/>
        <v>0.26</v>
      </c>
      <c r="N569">
        <f t="shared" ca="1" si="259"/>
        <v>4.9056603773584909E-2</v>
      </c>
      <c r="O569">
        <f t="shared" ca="1" si="260"/>
        <v>196.15384615384616</v>
      </c>
      <c r="P569">
        <f t="shared" ca="1" si="261"/>
        <v>632.40249999999992</v>
      </c>
      <c r="Q569">
        <f t="shared" ca="1" si="262"/>
        <v>2593.479531648662</v>
      </c>
      <c r="R569">
        <f t="shared" ca="1" si="263"/>
        <v>482.07306851378365</v>
      </c>
      <c r="S569">
        <f t="shared" ca="1" si="264"/>
        <v>280.07692026646265</v>
      </c>
      <c r="T569">
        <f t="shared" ca="1" si="265"/>
        <v>1019.7665564573041</v>
      </c>
      <c r="U569">
        <f t="shared" ca="1" si="286"/>
        <v>-482.16081698020798</v>
      </c>
      <c r="V569">
        <f t="shared" ca="1" si="287"/>
        <v>0</v>
      </c>
      <c r="W569">
        <f t="shared" ca="1" si="266"/>
        <v>0.05</v>
      </c>
      <c r="X569">
        <f t="shared" ca="1" si="267"/>
        <v>0.26</v>
      </c>
      <c r="Y569">
        <f t="shared" ca="1" si="268"/>
        <v>4.9056603773584909E-2</v>
      </c>
      <c r="Z569">
        <f t="shared" ca="1" si="269"/>
        <v>196.15384615384616</v>
      </c>
      <c r="AA569">
        <f t="shared" ca="1" si="270"/>
        <v>632.40249999999992</v>
      </c>
      <c r="AB569">
        <f t="shared" ca="1" si="271"/>
        <v>2593.479531648662</v>
      </c>
      <c r="AC569">
        <f t="shared" ca="1" si="272"/>
        <v>482.07306851378365</v>
      </c>
      <c r="AD569">
        <f t="shared" ca="1" si="273"/>
        <v>280.07692026646265</v>
      </c>
      <c r="AE569">
        <f t="shared" ca="1" si="274"/>
        <v>1019.7665564573041</v>
      </c>
      <c r="AF569">
        <f t="shared" ca="1" si="275"/>
        <v>482.32750852789786</v>
      </c>
      <c r="AG569">
        <f t="shared" ca="1" si="276"/>
        <v>0</v>
      </c>
      <c r="AH569">
        <f ca="1">IF(V32="Supercritical",L569,IF(V32="Subcritical",W569,IF(AND(V569=1,AG569=1),IF(T569&gt;=AE569,L569,W569),IF(V569=1,L569,IF(AG569=1,W569,MAX($D$16,POWER((ABS(K569)^2)/($I$5*MAX(F569,0.1)^2),1/3)))))))</f>
        <v>2.1403668656741068</v>
      </c>
      <c r="AI569">
        <f t="shared" ca="1" si="277"/>
        <v>634.49286686567405</v>
      </c>
      <c r="AJ569">
        <f t="shared" ca="1" si="278"/>
        <v>635.56305029851114</v>
      </c>
      <c r="AM569">
        <v>0</v>
      </c>
      <c r="AN569">
        <v>0</v>
      </c>
      <c r="AO569">
        <f t="shared" si="279"/>
        <v>0</v>
      </c>
      <c r="AP569">
        <f t="shared" si="288"/>
        <v>0</v>
      </c>
      <c r="AQ569">
        <f t="shared" ca="1" si="280"/>
        <v>0.99999999999999978</v>
      </c>
      <c r="AR569" t="str">
        <f t="shared" ca="1" si="281"/>
        <v>Supercritical</v>
      </c>
      <c r="AS569">
        <f t="shared" ca="1" si="282"/>
        <v>3.8148159832266538E-3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191</v>
      </c>
      <c r="I570">
        <v>7.8E-2</v>
      </c>
      <c r="J570">
        <f t="shared" si="283"/>
        <v>1</v>
      </c>
      <c r="K570">
        <f t="shared" si="284"/>
        <v>51</v>
      </c>
      <c r="L570">
        <f t="shared" ca="1" si="285"/>
        <v>0.05</v>
      </c>
      <c r="M570">
        <f t="shared" ca="1" si="258"/>
        <v>0.26</v>
      </c>
      <c r="N570">
        <f t="shared" ca="1" si="259"/>
        <v>4.9056603773584909E-2</v>
      </c>
      <c r="O570">
        <f t="shared" ca="1" si="260"/>
        <v>196.15384615384616</v>
      </c>
      <c r="P570">
        <f t="shared" ca="1" si="261"/>
        <v>632.40199999999993</v>
      </c>
      <c r="Q570">
        <f t="shared" ca="1" si="262"/>
        <v>2593.4790316486619</v>
      </c>
      <c r="R570">
        <f t="shared" ca="1" si="263"/>
        <v>482.07306851378365</v>
      </c>
      <c r="S570">
        <f t="shared" ca="1" si="264"/>
        <v>280.07692026646265</v>
      </c>
      <c r="T570">
        <f t="shared" ca="1" si="265"/>
        <v>1019.7665564573041</v>
      </c>
      <c r="U570">
        <f t="shared" ca="1" si="286"/>
        <v>-482.32750852789786</v>
      </c>
      <c r="V570">
        <f t="shared" ca="1" si="287"/>
        <v>0</v>
      </c>
      <c r="W570">
        <f t="shared" ca="1" si="266"/>
        <v>0.05</v>
      </c>
      <c r="X570">
        <f t="shared" ca="1" si="267"/>
        <v>0.26</v>
      </c>
      <c r="Y570">
        <f t="shared" ca="1" si="268"/>
        <v>4.9056603773584909E-2</v>
      </c>
      <c r="Z570">
        <f t="shared" ca="1" si="269"/>
        <v>196.15384615384616</v>
      </c>
      <c r="AA570">
        <f t="shared" ca="1" si="270"/>
        <v>632.40199999999993</v>
      </c>
      <c r="AB570">
        <f t="shared" ca="1" si="271"/>
        <v>2593.4790316486619</v>
      </c>
      <c r="AC570">
        <f t="shared" ca="1" si="272"/>
        <v>482.07306851378365</v>
      </c>
      <c r="AD570">
        <f t="shared" ca="1" si="273"/>
        <v>280.07692026646265</v>
      </c>
      <c r="AE570">
        <f t="shared" ca="1" si="274"/>
        <v>1019.7665564573041</v>
      </c>
      <c r="AF570">
        <f t="shared" ca="1" si="275"/>
        <v>482.32750852789832</v>
      </c>
      <c r="AG570">
        <f t="shared" ca="1" si="276"/>
        <v>0</v>
      </c>
      <c r="AH570">
        <f ca="1">IF(V32="Supercritical",L570,IF(V32="Subcritical",W570,IF(AND(V570=1,AG570=1),IF(T570&gt;=AE570,L570,W570),IF(V570=1,L570,IF(AG570=1,W570,MAX($D$16,POWER((ABS(K570)^2)/($I$5*MAX(F570,0.1)^2),1/3)))))))</f>
        <v>2.1403668656741068</v>
      </c>
      <c r="AI570">
        <f t="shared" ca="1" si="277"/>
        <v>634.49236686567406</v>
      </c>
      <c r="AJ570">
        <f t="shared" ca="1" si="278"/>
        <v>635.56255029851116</v>
      </c>
      <c r="AM570">
        <v>0</v>
      </c>
      <c r="AN570">
        <v>0</v>
      </c>
      <c r="AO570">
        <f t="shared" si="279"/>
        <v>0</v>
      </c>
      <c r="AP570">
        <f t="shared" si="288"/>
        <v>0</v>
      </c>
      <c r="AQ570">
        <f t="shared" ca="1" si="280"/>
        <v>0.99999999999999978</v>
      </c>
      <c r="AR570" t="str">
        <f t="shared" ca="1" si="281"/>
        <v>Supercritical</v>
      </c>
      <c r="AS570">
        <f t="shared" ca="1" si="282"/>
        <v>3.8148159832266538E-3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191</v>
      </c>
      <c r="I571">
        <v>7.8E-2</v>
      </c>
      <c r="J571">
        <f t="shared" si="283"/>
        <v>1</v>
      </c>
      <c r="K571">
        <f t="shared" si="284"/>
        <v>51</v>
      </c>
      <c r="L571">
        <f t="shared" ca="1" si="285"/>
        <v>0.05</v>
      </c>
      <c r="M571">
        <f t="shared" ca="1" si="258"/>
        <v>0.26</v>
      </c>
      <c r="N571">
        <f t="shared" ca="1" si="259"/>
        <v>4.9056603773584909E-2</v>
      </c>
      <c r="O571">
        <f t="shared" ca="1" si="260"/>
        <v>196.15384615384616</v>
      </c>
      <c r="P571">
        <f t="shared" ca="1" si="261"/>
        <v>632.40149999999994</v>
      </c>
      <c r="Q571">
        <f t="shared" ca="1" si="262"/>
        <v>2593.4785316486623</v>
      </c>
      <c r="R571">
        <f t="shared" ca="1" si="263"/>
        <v>482.07306851378365</v>
      </c>
      <c r="S571">
        <f t="shared" ca="1" si="264"/>
        <v>280.07692026646265</v>
      </c>
      <c r="T571">
        <f t="shared" ca="1" si="265"/>
        <v>1019.7665564573041</v>
      </c>
      <c r="U571">
        <f t="shared" ca="1" si="286"/>
        <v>-482.32750852789832</v>
      </c>
      <c r="V571">
        <f t="shared" ca="1" si="287"/>
        <v>0</v>
      </c>
      <c r="W571">
        <f t="shared" ca="1" si="266"/>
        <v>0.05</v>
      </c>
      <c r="X571">
        <f t="shared" ca="1" si="267"/>
        <v>0.26</v>
      </c>
      <c r="Y571">
        <f t="shared" ca="1" si="268"/>
        <v>4.9056603773584909E-2</v>
      </c>
      <c r="Z571">
        <f t="shared" ca="1" si="269"/>
        <v>196.15384615384616</v>
      </c>
      <c r="AA571">
        <f t="shared" ca="1" si="270"/>
        <v>632.40149999999994</v>
      </c>
      <c r="AB571">
        <f t="shared" ca="1" si="271"/>
        <v>2593.4785316486623</v>
      </c>
      <c r="AC571">
        <f t="shared" ca="1" si="272"/>
        <v>482.07306851378365</v>
      </c>
      <c r="AD571">
        <f t="shared" ca="1" si="273"/>
        <v>280.07692026646265</v>
      </c>
      <c r="AE571">
        <f t="shared" ca="1" si="274"/>
        <v>1019.7665564573041</v>
      </c>
      <c r="AF571">
        <f t="shared" ca="1" si="275"/>
        <v>482.64289004873763</v>
      </c>
      <c r="AG571">
        <f t="shared" ca="1" si="276"/>
        <v>0</v>
      </c>
      <c r="AH571">
        <f ca="1">IF(V32="Supercritical",L571,IF(V32="Subcritical",W571,IF(AND(V571=1,AG571=1),IF(T571&gt;=AE571,L571,W571),IF(V571=1,L571,IF(AG571=1,W571,MAX($D$16,POWER((ABS(K571)^2)/($I$5*MAX(F571,0.1)^2),1/3)))))))</f>
        <v>2.1403668656741068</v>
      </c>
      <c r="AI571">
        <f t="shared" ca="1" si="277"/>
        <v>634.49186686567407</v>
      </c>
      <c r="AJ571">
        <f t="shared" ca="1" si="278"/>
        <v>635.56205029851117</v>
      </c>
      <c r="AM571">
        <v>0</v>
      </c>
      <c r="AN571">
        <v>0</v>
      </c>
      <c r="AO571">
        <f t="shared" si="279"/>
        <v>0</v>
      </c>
      <c r="AP571">
        <f t="shared" si="288"/>
        <v>0</v>
      </c>
      <c r="AQ571">
        <f t="shared" ca="1" si="280"/>
        <v>0.99999999999999978</v>
      </c>
      <c r="AR571" t="str">
        <f t="shared" ca="1" si="281"/>
        <v>Supercritical</v>
      </c>
      <c r="AS571">
        <f t="shared" ca="1" si="282"/>
        <v>3.8148159832266538E-3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191</v>
      </c>
      <c r="I572">
        <v>2.7E-2</v>
      </c>
      <c r="J572">
        <f t="shared" si="283"/>
        <v>1.0010000000000332</v>
      </c>
      <c r="K572">
        <f t="shared" si="284"/>
        <v>51</v>
      </c>
      <c r="L572">
        <f t="shared" ca="1" si="285"/>
        <v>0.05</v>
      </c>
      <c r="M572">
        <f t="shared" ca="1" si="258"/>
        <v>0.26</v>
      </c>
      <c r="N572">
        <f t="shared" ca="1" si="259"/>
        <v>4.9056603773584909E-2</v>
      </c>
      <c r="O572">
        <f t="shared" ca="1" si="260"/>
        <v>196.15384615384616</v>
      </c>
      <c r="P572">
        <f t="shared" ca="1" si="261"/>
        <v>632.40099999999995</v>
      </c>
      <c r="Q572">
        <f t="shared" ca="1" si="262"/>
        <v>2593.4780316486622</v>
      </c>
      <c r="R572">
        <f t="shared" ca="1" si="263"/>
        <v>482.07306851378365</v>
      </c>
      <c r="S572">
        <f t="shared" ca="1" si="264"/>
        <v>280.07692026646265</v>
      </c>
      <c r="T572">
        <f t="shared" ca="1" si="265"/>
        <v>1019.7665564573041</v>
      </c>
      <c r="U572">
        <f t="shared" ca="1" si="286"/>
        <v>-482.64289004873763</v>
      </c>
      <c r="V572">
        <f t="shared" ca="1" si="287"/>
        <v>0</v>
      </c>
      <c r="W572">
        <f t="shared" ca="1" si="266"/>
        <v>0.05</v>
      </c>
      <c r="X572">
        <f t="shared" ca="1" si="267"/>
        <v>0.26</v>
      </c>
      <c r="Y572">
        <f t="shared" ca="1" si="268"/>
        <v>4.9056603773584909E-2</v>
      </c>
      <c r="Z572">
        <f t="shared" ca="1" si="269"/>
        <v>196.15384615384616</v>
      </c>
      <c r="AA572">
        <f t="shared" ca="1" si="270"/>
        <v>632.40099999999995</v>
      </c>
      <c r="AB572">
        <f t="shared" ca="1" si="271"/>
        <v>2593.4780316486622</v>
      </c>
      <c r="AC572">
        <f t="shared" ca="1" si="272"/>
        <v>482.07306851378365</v>
      </c>
      <c r="AD572">
        <f t="shared" ca="1" si="273"/>
        <v>280.07692026646265</v>
      </c>
      <c r="AE572">
        <f t="shared" ca="1" si="274"/>
        <v>1019.7665564573041</v>
      </c>
      <c r="AF572">
        <f t="shared" ca="1" si="275"/>
        <v>481.59049544525351</v>
      </c>
      <c r="AG572">
        <f t="shared" ca="1" si="276"/>
        <v>0</v>
      </c>
      <c r="AH572">
        <f ca="1">IF(V32="Supercritical",L572,IF(V32="Subcritical",W572,IF(AND(V572=1,AG572=1),IF(T572&gt;=AE572,L572,W572),IF(V572=1,L572,IF(AG572=1,W572,MAX($D$16,POWER((ABS(K572)^2)/($I$5*MAX(F572,0.1)^2),1/3)))))))</f>
        <v>2.1403668656741068</v>
      </c>
      <c r="AI572">
        <f t="shared" ca="1" si="277"/>
        <v>634.49136686567408</v>
      </c>
      <c r="AJ572">
        <f t="shared" ca="1" si="278"/>
        <v>635.56155029851118</v>
      </c>
      <c r="AM572">
        <v>0</v>
      </c>
      <c r="AN572">
        <v>0</v>
      </c>
      <c r="AO572">
        <f t="shared" si="279"/>
        <v>0</v>
      </c>
      <c r="AP572">
        <f t="shared" si="288"/>
        <v>0</v>
      </c>
      <c r="AQ572">
        <f t="shared" ca="1" si="280"/>
        <v>0.99999999999999978</v>
      </c>
      <c r="AR572" t="str">
        <f t="shared" ca="1" si="281"/>
        <v>Supercritical</v>
      </c>
      <c r="AS572">
        <f t="shared" ca="1" si="282"/>
        <v>3.8148159832266538E-3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191</v>
      </c>
      <c r="I573">
        <v>0</v>
      </c>
      <c r="J573">
        <f t="shared" si="283"/>
        <v>0.9989999999999668</v>
      </c>
      <c r="K573">
        <f t="shared" si="284"/>
        <v>51</v>
      </c>
      <c r="L573">
        <f t="shared" ca="1" si="285"/>
        <v>0.05</v>
      </c>
      <c r="M573">
        <f t="shared" ca="1" si="258"/>
        <v>0.26</v>
      </c>
      <c r="N573">
        <f t="shared" ca="1" si="259"/>
        <v>4.9056603773584909E-2</v>
      </c>
      <c r="O573">
        <f t="shared" ca="1" si="260"/>
        <v>196.15384615384616</v>
      </c>
      <c r="P573">
        <f t="shared" ca="1" si="261"/>
        <v>632.40049999999997</v>
      </c>
      <c r="Q573">
        <f t="shared" ca="1" si="262"/>
        <v>2593.4775316486621</v>
      </c>
      <c r="R573">
        <f t="shared" ca="1" si="263"/>
        <v>482.07306851378365</v>
      </c>
      <c r="S573">
        <f t="shared" ca="1" si="264"/>
        <v>280.07692026646265</v>
      </c>
      <c r="T573">
        <f t="shared" ca="1" si="265"/>
        <v>1019.7665564573041</v>
      </c>
      <c r="U573">
        <f t="shared" ca="1" si="286"/>
        <v>-481.59049544525351</v>
      </c>
      <c r="V573">
        <f t="shared" ca="1" si="287"/>
        <v>0</v>
      </c>
      <c r="W573">
        <f t="shared" ca="1" si="266"/>
        <v>0.05</v>
      </c>
      <c r="X573">
        <f t="shared" ca="1" si="267"/>
        <v>0.26</v>
      </c>
      <c r="Y573">
        <f t="shared" ca="1" si="268"/>
        <v>4.9056603773584909E-2</v>
      </c>
      <c r="Z573">
        <f t="shared" ca="1" si="269"/>
        <v>196.15384615384616</v>
      </c>
      <c r="AA573">
        <f t="shared" ca="1" si="270"/>
        <v>632.40049999999997</v>
      </c>
      <c r="AB573">
        <f t="shared" ca="1" si="271"/>
        <v>2593.4775316486621</v>
      </c>
      <c r="AC573">
        <f t="shared" ca="1" si="272"/>
        <v>482.07306851378365</v>
      </c>
      <c r="AD573">
        <f t="shared" ca="1" si="273"/>
        <v>280.07692026646265</v>
      </c>
      <c r="AE573">
        <f t="shared" ca="1" si="274"/>
        <v>1019.7665564573041</v>
      </c>
      <c r="AF573">
        <f t="shared" ca="1" si="275"/>
        <v>482.1477431333301</v>
      </c>
      <c r="AG573">
        <f t="shared" ca="1" si="276"/>
        <v>0</v>
      </c>
      <c r="AH573">
        <f ca="1">IF(V32="Supercritical",L573,IF(V32="Subcritical",W573,IF(AND(V573=1,AG573=1),IF(T573&gt;=AE573,L573,W573),IF(V573=1,L573,IF(AG573=1,W573,MAX($D$16,POWER((ABS(K573)^2)/($I$5*MAX(F573,0.1)^2),1/3)))))))</f>
        <v>2.1403668656741068</v>
      </c>
      <c r="AI573">
        <f t="shared" ca="1" si="277"/>
        <v>634.49086686567409</v>
      </c>
      <c r="AJ573">
        <f t="shared" ca="1" si="278"/>
        <v>635.56105029851119</v>
      </c>
      <c r="AM573">
        <v>0</v>
      </c>
      <c r="AN573">
        <v>0</v>
      </c>
      <c r="AO573">
        <f t="shared" si="279"/>
        <v>0</v>
      </c>
      <c r="AP573">
        <f t="shared" si="288"/>
        <v>0</v>
      </c>
      <c r="AQ573">
        <f t="shared" ca="1" si="280"/>
        <v>0.99999999999999978</v>
      </c>
      <c r="AR573" t="str">
        <f t="shared" ca="1" si="281"/>
        <v>Supercritical</v>
      </c>
      <c r="AS573">
        <f t="shared" ca="1" si="282"/>
        <v>3.8148159832266538E-3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191</v>
      </c>
      <c r="I574">
        <v>2.3E-2</v>
      </c>
      <c r="J574">
        <f t="shared" si="283"/>
        <v>1</v>
      </c>
      <c r="K574">
        <f t="shared" si="284"/>
        <v>51</v>
      </c>
      <c r="L574">
        <f t="shared" ca="1" si="285"/>
        <v>0.05</v>
      </c>
      <c r="M574">
        <f t="shared" ca="1" si="258"/>
        <v>0.26</v>
      </c>
      <c r="N574">
        <f t="shared" ca="1" si="259"/>
        <v>4.9056603773584909E-2</v>
      </c>
      <c r="O574">
        <f t="shared" ca="1" si="260"/>
        <v>196.15384615384616</v>
      </c>
      <c r="P574">
        <f t="shared" ca="1" si="261"/>
        <v>632.4</v>
      </c>
      <c r="Q574">
        <f t="shared" ca="1" si="262"/>
        <v>2593.477031648662</v>
      </c>
      <c r="R574">
        <f t="shared" ca="1" si="263"/>
        <v>482.07306851378365</v>
      </c>
      <c r="S574">
        <f t="shared" ca="1" si="264"/>
        <v>280.07692026646265</v>
      </c>
      <c r="T574">
        <f t="shared" ca="1" si="265"/>
        <v>1019.7665564573041</v>
      </c>
      <c r="U574">
        <f t="shared" ca="1" si="286"/>
        <v>-482.1477431333301</v>
      </c>
      <c r="V574">
        <f t="shared" ca="1" si="287"/>
        <v>0</v>
      </c>
      <c r="W574">
        <f t="shared" ca="1" si="266"/>
        <v>0.05</v>
      </c>
      <c r="X574">
        <f t="shared" ca="1" si="267"/>
        <v>0.26</v>
      </c>
      <c r="Y574">
        <f t="shared" ca="1" si="268"/>
        <v>4.9056603773584909E-2</v>
      </c>
      <c r="Z574">
        <f t="shared" ca="1" si="269"/>
        <v>196.15384615384616</v>
      </c>
      <c r="AA574">
        <f t="shared" ca="1" si="270"/>
        <v>632.4</v>
      </c>
      <c r="AB574">
        <f t="shared" ca="1" si="271"/>
        <v>2593.477031648662</v>
      </c>
      <c r="AC574">
        <f t="shared" ca="1" si="272"/>
        <v>482.07306851378365</v>
      </c>
      <c r="AD574">
        <f t="shared" ca="1" si="273"/>
        <v>280.07692026646265</v>
      </c>
      <c r="AE574">
        <f t="shared" ca="1" si="274"/>
        <v>1019.7665564573041</v>
      </c>
      <c r="AF574">
        <f t="shared" ca="1" si="275"/>
        <v>482.62981620185974</v>
      </c>
      <c r="AG574">
        <f t="shared" ca="1" si="276"/>
        <v>0</v>
      </c>
      <c r="AH574">
        <f ca="1">IF(V32="Supercritical",L574,IF(V32="Subcritical",W574,IF(AND(V574=1,AG574=1),IF(T574&gt;=AE574,L574,W574),IF(V574=1,L574,IF(AG574=1,W574,MAX($D$16,POWER((ABS(K574)^2)/($I$5*MAX(F574,0.1)^2),1/3)))))))</f>
        <v>2.1403668656741068</v>
      </c>
      <c r="AI574">
        <f t="shared" ca="1" si="277"/>
        <v>634.4903668656741</v>
      </c>
      <c r="AJ574">
        <f t="shared" ca="1" si="278"/>
        <v>635.5605502985112</v>
      </c>
      <c r="AM574">
        <v>0</v>
      </c>
      <c r="AN574">
        <v>0</v>
      </c>
      <c r="AO574">
        <f t="shared" si="279"/>
        <v>0</v>
      </c>
      <c r="AP574">
        <f t="shared" si="288"/>
        <v>0</v>
      </c>
      <c r="AQ574">
        <f t="shared" ca="1" si="280"/>
        <v>0.99999999999999978</v>
      </c>
      <c r="AR574" t="str">
        <f t="shared" ca="1" si="281"/>
        <v>Supercritical</v>
      </c>
      <c r="AS574">
        <f t="shared" ca="1" si="282"/>
        <v>3.8148159832266538E-3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191</v>
      </c>
      <c r="I575">
        <v>2.3E-2</v>
      </c>
      <c r="J575">
        <f t="shared" si="283"/>
        <v>1.0010000000000332</v>
      </c>
      <c r="K575">
        <f t="shared" si="284"/>
        <v>51</v>
      </c>
      <c r="L575">
        <f t="shared" ca="1" si="285"/>
        <v>0.05</v>
      </c>
      <c r="M575">
        <f t="shared" ca="1" si="258"/>
        <v>0.26</v>
      </c>
      <c r="N575">
        <f t="shared" ca="1" si="259"/>
        <v>4.9056603773584909E-2</v>
      </c>
      <c r="O575">
        <f t="shared" ca="1" si="260"/>
        <v>196.15384615384616</v>
      </c>
      <c r="P575">
        <f t="shared" ca="1" si="261"/>
        <v>632.39949999999999</v>
      </c>
      <c r="Q575">
        <f t="shared" ca="1" si="262"/>
        <v>2593.4765316486619</v>
      </c>
      <c r="R575">
        <f t="shared" ca="1" si="263"/>
        <v>482.07306851378365</v>
      </c>
      <c r="S575">
        <f t="shared" ca="1" si="264"/>
        <v>280.07692026646265</v>
      </c>
      <c r="T575">
        <f t="shared" ca="1" si="265"/>
        <v>1019.7665564573041</v>
      </c>
      <c r="U575">
        <f t="shared" ca="1" si="286"/>
        <v>-482.62981620185974</v>
      </c>
      <c r="V575">
        <f t="shared" ca="1" si="287"/>
        <v>0</v>
      </c>
      <c r="W575">
        <f t="shared" ca="1" si="266"/>
        <v>0.05</v>
      </c>
      <c r="X575">
        <f t="shared" ca="1" si="267"/>
        <v>0.26</v>
      </c>
      <c r="Y575">
        <f t="shared" ca="1" si="268"/>
        <v>4.9056603773584909E-2</v>
      </c>
      <c r="Z575">
        <f t="shared" ca="1" si="269"/>
        <v>196.15384615384616</v>
      </c>
      <c r="AA575">
        <f t="shared" ca="1" si="270"/>
        <v>632.39949999999999</v>
      </c>
      <c r="AB575">
        <f t="shared" ca="1" si="271"/>
        <v>2593.4765316486619</v>
      </c>
      <c r="AC575">
        <f t="shared" ca="1" si="272"/>
        <v>482.07306851378365</v>
      </c>
      <c r="AD575">
        <f t="shared" ca="1" si="273"/>
        <v>280.07692026646265</v>
      </c>
      <c r="AE575">
        <f t="shared" ca="1" si="274"/>
        <v>1019.7665564573041</v>
      </c>
      <c r="AF575">
        <f t="shared" ca="1" si="275"/>
        <v>481.67874391167879</v>
      </c>
      <c r="AG575">
        <f t="shared" ca="1" si="276"/>
        <v>0</v>
      </c>
      <c r="AH575">
        <f ca="1">IF(V32="Supercritical",L575,IF(V32="Subcritical",W575,IF(AND(V575=1,AG575=1),IF(T575&gt;=AE575,L575,W575),IF(V575=1,L575,IF(AG575=1,W575,MAX($D$16,POWER((ABS(K575)^2)/($I$5*MAX(F575,0.1)^2),1/3)))))))</f>
        <v>2.1403668656741068</v>
      </c>
      <c r="AI575">
        <f t="shared" ca="1" si="277"/>
        <v>634.48986686567412</v>
      </c>
      <c r="AJ575">
        <f t="shared" ca="1" si="278"/>
        <v>635.56005029851121</v>
      </c>
      <c r="AM575">
        <v>0</v>
      </c>
      <c r="AN575">
        <v>0</v>
      </c>
      <c r="AO575">
        <f t="shared" si="279"/>
        <v>0</v>
      </c>
      <c r="AP575">
        <f t="shared" si="288"/>
        <v>0</v>
      </c>
      <c r="AQ575">
        <f t="shared" ca="1" si="280"/>
        <v>0.99999999999999978</v>
      </c>
      <c r="AR575" t="str">
        <f t="shared" ca="1" si="281"/>
        <v>Supercritical</v>
      </c>
      <c r="AS575">
        <f t="shared" ca="1" si="282"/>
        <v>3.8148159832266538E-3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191</v>
      </c>
      <c r="I576">
        <v>2.7E-2</v>
      </c>
      <c r="J576">
        <f t="shared" si="283"/>
        <v>0.9989999999999668</v>
      </c>
      <c r="K576">
        <f t="shared" si="284"/>
        <v>51</v>
      </c>
      <c r="L576">
        <f t="shared" ca="1" si="285"/>
        <v>0.05</v>
      </c>
      <c r="M576">
        <f t="shared" ca="1" si="258"/>
        <v>0.26</v>
      </c>
      <c r="N576">
        <f t="shared" ca="1" si="259"/>
        <v>4.9056603773584909E-2</v>
      </c>
      <c r="O576">
        <f t="shared" ca="1" si="260"/>
        <v>196.15384615384616</v>
      </c>
      <c r="P576">
        <f t="shared" ca="1" si="261"/>
        <v>632.399</v>
      </c>
      <c r="Q576">
        <f t="shared" ca="1" si="262"/>
        <v>2593.4760316486622</v>
      </c>
      <c r="R576">
        <f t="shared" ca="1" si="263"/>
        <v>482.07306851378365</v>
      </c>
      <c r="S576">
        <f t="shared" ca="1" si="264"/>
        <v>280.07692026646265</v>
      </c>
      <c r="T576">
        <f t="shared" ca="1" si="265"/>
        <v>1019.7665564573041</v>
      </c>
      <c r="U576">
        <f t="shared" ca="1" si="286"/>
        <v>-481.67874391167834</v>
      </c>
      <c r="V576">
        <f t="shared" ca="1" si="287"/>
        <v>0</v>
      </c>
      <c r="W576">
        <f t="shared" ca="1" si="266"/>
        <v>0.05</v>
      </c>
      <c r="X576">
        <f t="shared" ca="1" si="267"/>
        <v>0.26</v>
      </c>
      <c r="Y576">
        <f t="shared" ca="1" si="268"/>
        <v>4.9056603773584909E-2</v>
      </c>
      <c r="Z576">
        <f t="shared" ca="1" si="269"/>
        <v>196.15384615384616</v>
      </c>
      <c r="AA576">
        <f t="shared" ca="1" si="270"/>
        <v>632.399</v>
      </c>
      <c r="AB576">
        <f t="shared" ca="1" si="271"/>
        <v>2593.4760316486622</v>
      </c>
      <c r="AC576">
        <f t="shared" ca="1" si="272"/>
        <v>482.07306851378365</v>
      </c>
      <c r="AD576">
        <f t="shared" ca="1" si="273"/>
        <v>280.07692026646265</v>
      </c>
      <c r="AE576">
        <f t="shared" ca="1" si="274"/>
        <v>1019.7665564573041</v>
      </c>
      <c r="AF576">
        <f t="shared" ca="1" si="275"/>
        <v>482.64289004873763</v>
      </c>
      <c r="AG576">
        <f t="shared" ca="1" si="276"/>
        <v>0</v>
      </c>
      <c r="AH576">
        <f ca="1">IF(V32="Supercritical",L576,IF(V32="Subcritical",W576,IF(AND(V576=1,AG576=1),IF(T576&gt;=AE576,L576,W576),IF(V576=1,L576,IF(AG576=1,W576,MAX($D$16,POWER((ABS(K576)^2)/($I$5*MAX(F576,0.1)^2),1/3)))))))</f>
        <v>2.1403668656741068</v>
      </c>
      <c r="AI576">
        <f t="shared" ca="1" si="277"/>
        <v>634.48936686567413</v>
      </c>
      <c r="AJ576">
        <f t="shared" ca="1" si="278"/>
        <v>635.55955029851123</v>
      </c>
      <c r="AM576">
        <v>0</v>
      </c>
      <c r="AN576">
        <v>0</v>
      </c>
      <c r="AO576">
        <f t="shared" si="279"/>
        <v>0</v>
      </c>
      <c r="AP576">
        <f t="shared" si="288"/>
        <v>0</v>
      </c>
      <c r="AQ576">
        <f t="shared" ca="1" si="280"/>
        <v>0.99999999999999978</v>
      </c>
      <c r="AR576" t="str">
        <f t="shared" ca="1" si="281"/>
        <v>Supercritical</v>
      </c>
      <c r="AS576">
        <f t="shared" ca="1" si="282"/>
        <v>3.8148159832266538E-3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191</v>
      </c>
      <c r="I577">
        <v>2.7E-2</v>
      </c>
      <c r="J577">
        <f t="shared" si="283"/>
        <v>1.0010000000000332</v>
      </c>
      <c r="K577">
        <f t="shared" si="284"/>
        <v>51</v>
      </c>
      <c r="L577">
        <f t="shared" ca="1" si="285"/>
        <v>0.05</v>
      </c>
      <c r="M577">
        <f t="shared" ca="1" si="258"/>
        <v>0.26</v>
      </c>
      <c r="N577">
        <f t="shared" ca="1" si="259"/>
        <v>4.9056603773584909E-2</v>
      </c>
      <c r="O577">
        <f t="shared" ca="1" si="260"/>
        <v>196.15384615384616</v>
      </c>
      <c r="P577">
        <f t="shared" ca="1" si="261"/>
        <v>632.3984999999999</v>
      </c>
      <c r="Q577">
        <f t="shared" ca="1" si="262"/>
        <v>2593.4755316486621</v>
      </c>
      <c r="R577">
        <f t="shared" ca="1" si="263"/>
        <v>482.07306851378365</v>
      </c>
      <c r="S577">
        <f t="shared" ca="1" si="264"/>
        <v>280.07692026646265</v>
      </c>
      <c r="T577">
        <f t="shared" ca="1" si="265"/>
        <v>1019.7665564573041</v>
      </c>
      <c r="U577">
        <f t="shared" ca="1" si="286"/>
        <v>-482.64289004873763</v>
      </c>
      <c r="V577">
        <f t="shared" ca="1" si="287"/>
        <v>0</v>
      </c>
      <c r="W577">
        <f t="shared" ca="1" si="266"/>
        <v>0.05</v>
      </c>
      <c r="X577">
        <f t="shared" ca="1" si="267"/>
        <v>0.26</v>
      </c>
      <c r="Y577">
        <f t="shared" ca="1" si="268"/>
        <v>4.9056603773584909E-2</v>
      </c>
      <c r="Z577">
        <f t="shared" ca="1" si="269"/>
        <v>196.15384615384616</v>
      </c>
      <c r="AA577">
        <f t="shared" ca="1" si="270"/>
        <v>632.3984999999999</v>
      </c>
      <c r="AB577">
        <f t="shared" ca="1" si="271"/>
        <v>2593.4755316486621</v>
      </c>
      <c r="AC577">
        <f t="shared" ca="1" si="272"/>
        <v>482.07306851378365</v>
      </c>
      <c r="AD577">
        <f t="shared" ca="1" si="273"/>
        <v>280.07692026646265</v>
      </c>
      <c r="AE577">
        <f t="shared" ca="1" si="274"/>
        <v>1019.7665564573041</v>
      </c>
      <c r="AF577">
        <f t="shared" ca="1" si="275"/>
        <v>481.59049544525396</v>
      </c>
      <c r="AG577">
        <f t="shared" ca="1" si="276"/>
        <v>0</v>
      </c>
      <c r="AH577">
        <f ca="1">IF(V32="Supercritical",L577,IF(V32="Subcritical",W577,IF(AND(V577=1,AG577=1),IF(T577&gt;=AE577,L577,W577),IF(V577=1,L577,IF(AG577=1,W577,MAX($D$16,POWER((ABS(K577)^2)/($I$5*MAX(F577,0.1)^2),1/3)))))))</f>
        <v>2.1403668656741068</v>
      </c>
      <c r="AI577">
        <f t="shared" ca="1" si="277"/>
        <v>634.48886686567403</v>
      </c>
      <c r="AJ577">
        <f t="shared" ca="1" si="278"/>
        <v>635.55905029851112</v>
      </c>
      <c r="AM577">
        <v>0</v>
      </c>
      <c r="AN577">
        <v>0</v>
      </c>
      <c r="AO577">
        <f t="shared" si="279"/>
        <v>0</v>
      </c>
      <c r="AP577">
        <f t="shared" si="288"/>
        <v>0</v>
      </c>
      <c r="AQ577">
        <f t="shared" ca="1" si="280"/>
        <v>0.99999999999999978</v>
      </c>
      <c r="AR577" t="str">
        <f t="shared" ca="1" si="281"/>
        <v>Supercritical</v>
      </c>
      <c r="AS577">
        <f t="shared" ca="1" si="282"/>
        <v>3.8148159832266538E-3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191</v>
      </c>
      <c r="I578">
        <v>0</v>
      </c>
      <c r="J578">
        <f t="shared" si="283"/>
        <v>0.9989999999999668</v>
      </c>
      <c r="K578">
        <f t="shared" si="284"/>
        <v>51</v>
      </c>
      <c r="L578">
        <f t="shared" ca="1" si="285"/>
        <v>0.05</v>
      </c>
      <c r="M578">
        <f t="shared" ca="1" si="258"/>
        <v>0.26</v>
      </c>
      <c r="N578">
        <f t="shared" ca="1" si="259"/>
        <v>4.9056603773584909E-2</v>
      </c>
      <c r="O578">
        <f t="shared" ca="1" si="260"/>
        <v>196.15384615384616</v>
      </c>
      <c r="P578">
        <f t="shared" ca="1" si="261"/>
        <v>632.39799999999991</v>
      </c>
      <c r="Q578">
        <f t="shared" ca="1" si="262"/>
        <v>2593.475031648662</v>
      </c>
      <c r="R578">
        <f t="shared" ca="1" si="263"/>
        <v>482.07306851378365</v>
      </c>
      <c r="S578">
        <f t="shared" ca="1" si="264"/>
        <v>280.07692026646265</v>
      </c>
      <c r="T578">
        <f t="shared" ca="1" si="265"/>
        <v>1019.7665564573041</v>
      </c>
      <c r="U578">
        <f t="shared" ca="1" si="286"/>
        <v>-481.59049544525396</v>
      </c>
      <c r="V578">
        <f t="shared" ca="1" si="287"/>
        <v>0</v>
      </c>
      <c r="W578">
        <f t="shared" ca="1" si="266"/>
        <v>0.05</v>
      </c>
      <c r="X578">
        <f t="shared" ca="1" si="267"/>
        <v>0.26</v>
      </c>
      <c r="Y578">
        <f t="shared" ca="1" si="268"/>
        <v>4.9056603773584909E-2</v>
      </c>
      <c r="Z578">
        <f t="shared" ca="1" si="269"/>
        <v>196.15384615384616</v>
      </c>
      <c r="AA578">
        <f t="shared" ca="1" si="270"/>
        <v>632.39799999999991</v>
      </c>
      <c r="AB578">
        <f t="shared" ca="1" si="271"/>
        <v>2593.475031648662</v>
      </c>
      <c r="AC578">
        <f t="shared" ca="1" si="272"/>
        <v>482.07306851378365</v>
      </c>
      <c r="AD578">
        <f t="shared" ca="1" si="273"/>
        <v>280.07692026646265</v>
      </c>
      <c r="AE578">
        <f t="shared" ca="1" si="274"/>
        <v>1019.7665564573041</v>
      </c>
      <c r="AF578">
        <f t="shared" ca="1" si="275"/>
        <v>482.1477431333301</v>
      </c>
      <c r="AG578">
        <f t="shared" ca="1" si="276"/>
        <v>0</v>
      </c>
      <c r="AH578">
        <f ca="1">IF(V32="Supercritical",L578,IF(V32="Subcritical",W578,IF(AND(V578=1,AG578=1),IF(T578&gt;=AE578,L578,W578),IF(V578=1,L578,IF(AG578=1,W578,MAX($D$16,POWER((ABS(K578)^2)/($I$5*MAX(F578,0.1)^2),1/3)))))))</f>
        <v>2.1403668656741068</v>
      </c>
      <c r="AI578">
        <f t="shared" ca="1" si="277"/>
        <v>634.48836686567404</v>
      </c>
      <c r="AJ578">
        <f t="shared" ca="1" si="278"/>
        <v>635.55855029851114</v>
      </c>
      <c r="AM578">
        <v>0</v>
      </c>
      <c r="AN578">
        <v>0</v>
      </c>
      <c r="AO578">
        <f t="shared" si="279"/>
        <v>0</v>
      </c>
      <c r="AP578">
        <f t="shared" si="288"/>
        <v>0</v>
      </c>
      <c r="AQ578">
        <f t="shared" ca="1" si="280"/>
        <v>0.99999999999999978</v>
      </c>
      <c r="AR578" t="str">
        <f t="shared" ca="1" si="281"/>
        <v>Supercritical</v>
      </c>
      <c r="AS578">
        <f t="shared" ca="1" si="282"/>
        <v>3.8148159832266538E-3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191</v>
      </c>
      <c r="I579">
        <v>2.3E-2</v>
      </c>
      <c r="J579">
        <f t="shared" si="283"/>
        <v>1</v>
      </c>
      <c r="K579">
        <f t="shared" si="284"/>
        <v>51</v>
      </c>
      <c r="L579">
        <f t="shared" ca="1" si="285"/>
        <v>0.05</v>
      </c>
      <c r="M579">
        <f t="shared" ca="1" si="258"/>
        <v>0.26</v>
      </c>
      <c r="N579">
        <f t="shared" ca="1" si="259"/>
        <v>4.9056603773584909E-2</v>
      </c>
      <c r="O579">
        <f t="shared" ca="1" si="260"/>
        <v>196.15384615384616</v>
      </c>
      <c r="P579">
        <f t="shared" ca="1" si="261"/>
        <v>632.39749999999992</v>
      </c>
      <c r="Q579">
        <f t="shared" ca="1" si="262"/>
        <v>2593.4745316486619</v>
      </c>
      <c r="R579">
        <f t="shared" ca="1" si="263"/>
        <v>482.07306851378365</v>
      </c>
      <c r="S579">
        <f t="shared" ca="1" si="264"/>
        <v>280.07692026646265</v>
      </c>
      <c r="T579">
        <f t="shared" ca="1" si="265"/>
        <v>1019.7665564573041</v>
      </c>
      <c r="U579">
        <f t="shared" ca="1" si="286"/>
        <v>-482.1477431333301</v>
      </c>
      <c r="V579">
        <f t="shared" ca="1" si="287"/>
        <v>0</v>
      </c>
      <c r="W579">
        <f t="shared" ca="1" si="266"/>
        <v>0.05</v>
      </c>
      <c r="X579">
        <f t="shared" ca="1" si="267"/>
        <v>0.26</v>
      </c>
      <c r="Y579">
        <f t="shared" ca="1" si="268"/>
        <v>4.9056603773584909E-2</v>
      </c>
      <c r="Z579">
        <f t="shared" ca="1" si="269"/>
        <v>196.15384615384616</v>
      </c>
      <c r="AA579">
        <f t="shared" ca="1" si="270"/>
        <v>632.39749999999992</v>
      </c>
      <c r="AB579">
        <f t="shared" ca="1" si="271"/>
        <v>2593.4745316486619</v>
      </c>
      <c r="AC579">
        <f t="shared" ca="1" si="272"/>
        <v>482.07306851378365</v>
      </c>
      <c r="AD579">
        <f t="shared" ca="1" si="273"/>
        <v>280.07692026646265</v>
      </c>
      <c r="AE579">
        <f t="shared" ca="1" si="274"/>
        <v>1019.7665564573041</v>
      </c>
      <c r="AF579">
        <f t="shared" ca="1" si="275"/>
        <v>482.62981620186019</v>
      </c>
      <c r="AG579">
        <f t="shared" ca="1" si="276"/>
        <v>0</v>
      </c>
      <c r="AH579">
        <f ca="1">IF(V32="Supercritical",L579,IF(V32="Subcritical",W579,IF(AND(V579=1,AG579=1),IF(T579&gt;=AE579,L579,W579),IF(V579=1,L579,IF(AG579=1,W579,MAX($D$16,POWER((ABS(K579)^2)/($I$5*MAX(F579,0.1)^2),1/3)))))))</f>
        <v>2.1403668656741068</v>
      </c>
      <c r="AI579">
        <f t="shared" ca="1" si="277"/>
        <v>634.48786686567405</v>
      </c>
      <c r="AJ579">
        <f t="shared" ca="1" si="278"/>
        <v>635.55805029851115</v>
      </c>
      <c r="AM579">
        <v>0</v>
      </c>
      <c r="AN579">
        <v>0</v>
      </c>
      <c r="AO579">
        <f t="shared" si="279"/>
        <v>0</v>
      </c>
      <c r="AP579">
        <f t="shared" si="288"/>
        <v>0</v>
      </c>
      <c r="AQ579">
        <f t="shared" ca="1" si="280"/>
        <v>0.99999999999999978</v>
      </c>
      <c r="AR579" t="str">
        <f t="shared" ca="1" si="281"/>
        <v>Supercritical</v>
      </c>
      <c r="AS579">
        <f t="shared" ca="1" si="282"/>
        <v>3.8148159832266538E-3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191</v>
      </c>
      <c r="I580">
        <v>2.3E-2</v>
      </c>
      <c r="J580">
        <f t="shared" si="283"/>
        <v>1.0010000000000332</v>
      </c>
      <c r="K580">
        <f t="shared" si="284"/>
        <v>51</v>
      </c>
      <c r="L580">
        <f t="shared" ca="1" si="285"/>
        <v>0.05</v>
      </c>
      <c r="M580">
        <f t="shared" ca="1" si="258"/>
        <v>0.26</v>
      </c>
      <c r="N580">
        <f t="shared" ca="1" si="259"/>
        <v>4.9056603773584909E-2</v>
      </c>
      <c r="O580">
        <f t="shared" ca="1" si="260"/>
        <v>196.15384615384616</v>
      </c>
      <c r="P580">
        <f t="shared" ca="1" si="261"/>
        <v>632.39699999999993</v>
      </c>
      <c r="Q580">
        <f t="shared" ca="1" si="262"/>
        <v>2593.4740316486623</v>
      </c>
      <c r="R580">
        <f t="shared" ca="1" si="263"/>
        <v>482.07306851378365</v>
      </c>
      <c r="S580">
        <f t="shared" ca="1" si="264"/>
        <v>280.07692026646265</v>
      </c>
      <c r="T580">
        <f t="shared" ca="1" si="265"/>
        <v>1019.7665564573041</v>
      </c>
      <c r="U580">
        <f t="shared" ca="1" si="286"/>
        <v>-482.62981620186019</v>
      </c>
      <c r="V580">
        <f t="shared" ca="1" si="287"/>
        <v>0</v>
      </c>
      <c r="W580">
        <f t="shared" ca="1" si="266"/>
        <v>0.05</v>
      </c>
      <c r="X580">
        <f t="shared" ca="1" si="267"/>
        <v>0.26</v>
      </c>
      <c r="Y580">
        <f t="shared" ca="1" si="268"/>
        <v>4.9056603773584909E-2</v>
      </c>
      <c r="Z580">
        <f t="shared" ca="1" si="269"/>
        <v>196.15384615384616</v>
      </c>
      <c r="AA580">
        <f t="shared" ca="1" si="270"/>
        <v>632.39699999999993</v>
      </c>
      <c r="AB580">
        <f t="shared" ca="1" si="271"/>
        <v>2593.4740316486623</v>
      </c>
      <c r="AC580">
        <f t="shared" ca="1" si="272"/>
        <v>482.07306851378365</v>
      </c>
      <c r="AD580">
        <f t="shared" ca="1" si="273"/>
        <v>280.07692026646265</v>
      </c>
      <c r="AE580">
        <f t="shared" ca="1" si="274"/>
        <v>1019.7665564573041</v>
      </c>
      <c r="AF580">
        <f t="shared" ca="1" si="275"/>
        <v>481.67874391167788</v>
      </c>
      <c r="AG580">
        <f t="shared" ca="1" si="276"/>
        <v>0</v>
      </c>
      <c r="AH580">
        <f ca="1">IF(V32="Supercritical",L580,IF(V32="Subcritical",W580,IF(AND(V580=1,AG580=1),IF(T580&gt;=AE580,L580,W580),IF(V580=1,L580,IF(AG580=1,W580,MAX($D$16,POWER((ABS(K580)^2)/($I$5*MAX(F580,0.1)^2),1/3)))))))</f>
        <v>2.1403668656741068</v>
      </c>
      <c r="AI580">
        <f t="shared" ca="1" si="277"/>
        <v>634.48736686567406</v>
      </c>
      <c r="AJ580">
        <f t="shared" ca="1" si="278"/>
        <v>635.55755029851116</v>
      </c>
      <c r="AM580">
        <v>0</v>
      </c>
      <c r="AN580">
        <v>0</v>
      </c>
      <c r="AO580">
        <f t="shared" si="279"/>
        <v>0</v>
      </c>
      <c r="AP580">
        <f t="shared" si="288"/>
        <v>0</v>
      </c>
      <c r="AQ580">
        <f t="shared" ca="1" si="280"/>
        <v>0.99999999999999978</v>
      </c>
      <c r="AR580" t="str">
        <f t="shared" ca="1" si="281"/>
        <v>Supercritical</v>
      </c>
      <c r="AS580">
        <f t="shared" ca="1" si="282"/>
        <v>3.8148159832266538E-3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191</v>
      </c>
      <c r="I581">
        <v>2.7E-2</v>
      </c>
      <c r="J581">
        <f t="shared" si="283"/>
        <v>0.9989999999999668</v>
      </c>
      <c r="K581">
        <f t="shared" si="284"/>
        <v>51</v>
      </c>
      <c r="L581">
        <f t="shared" ca="1" si="285"/>
        <v>0.05</v>
      </c>
      <c r="M581">
        <f t="shared" ca="1" si="258"/>
        <v>0.26</v>
      </c>
      <c r="N581">
        <f t="shared" ca="1" si="259"/>
        <v>4.9056603773584909E-2</v>
      </c>
      <c r="O581">
        <f t="shared" ca="1" si="260"/>
        <v>196.15384615384616</v>
      </c>
      <c r="P581">
        <f t="shared" ca="1" si="261"/>
        <v>632.39649999999995</v>
      </c>
      <c r="Q581">
        <f t="shared" ca="1" si="262"/>
        <v>2593.4735316486622</v>
      </c>
      <c r="R581">
        <f t="shared" ca="1" si="263"/>
        <v>482.07306851378365</v>
      </c>
      <c r="S581">
        <f t="shared" ca="1" si="264"/>
        <v>280.07692026646265</v>
      </c>
      <c r="T581">
        <f t="shared" ca="1" si="265"/>
        <v>1019.7665564573041</v>
      </c>
      <c r="U581">
        <f t="shared" ca="1" si="286"/>
        <v>-481.67874391167788</v>
      </c>
      <c r="V581">
        <f t="shared" ca="1" si="287"/>
        <v>0</v>
      </c>
      <c r="W581">
        <f t="shared" ca="1" si="266"/>
        <v>0.05</v>
      </c>
      <c r="X581">
        <f t="shared" ca="1" si="267"/>
        <v>0.26</v>
      </c>
      <c r="Y581">
        <f t="shared" ca="1" si="268"/>
        <v>4.9056603773584909E-2</v>
      </c>
      <c r="Z581">
        <f t="shared" ca="1" si="269"/>
        <v>196.15384615384616</v>
      </c>
      <c r="AA581">
        <f t="shared" ca="1" si="270"/>
        <v>632.39649999999995</v>
      </c>
      <c r="AB581">
        <f t="shared" ca="1" si="271"/>
        <v>2593.4735316486622</v>
      </c>
      <c r="AC581">
        <f t="shared" ca="1" si="272"/>
        <v>482.07306851378365</v>
      </c>
      <c r="AD581">
        <f t="shared" ca="1" si="273"/>
        <v>280.07692026646265</v>
      </c>
      <c r="AE581">
        <f t="shared" ca="1" si="274"/>
        <v>1019.7665564573041</v>
      </c>
      <c r="AF581">
        <f t="shared" ca="1" si="275"/>
        <v>482.64289004873763</v>
      </c>
      <c r="AG581">
        <f t="shared" ca="1" si="276"/>
        <v>0</v>
      </c>
      <c r="AH581">
        <f ca="1">IF(V32="Supercritical",L581,IF(V32="Subcritical",W581,IF(AND(V581=1,AG581=1),IF(T581&gt;=AE581,L581,W581),IF(V581=1,L581,IF(AG581=1,W581,MAX($D$16,POWER((ABS(K581)^2)/($I$5*MAX(F581,0.1)^2),1/3)))))))</f>
        <v>2.1403668656741068</v>
      </c>
      <c r="AI581">
        <f t="shared" ca="1" si="277"/>
        <v>634.48686686567407</v>
      </c>
      <c r="AJ581">
        <f t="shared" ca="1" si="278"/>
        <v>635.55705029851117</v>
      </c>
      <c r="AM581">
        <v>0</v>
      </c>
      <c r="AN581">
        <v>0</v>
      </c>
      <c r="AO581">
        <f t="shared" si="279"/>
        <v>0</v>
      </c>
      <c r="AP581">
        <f t="shared" si="288"/>
        <v>0</v>
      </c>
      <c r="AQ581">
        <f t="shared" ca="1" si="280"/>
        <v>0.99999999999999978</v>
      </c>
      <c r="AR581" t="str">
        <f t="shared" ca="1" si="281"/>
        <v>Supercritical</v>
      </c>
      <c r="AS581">
        <f t="shared" ca="1" si="282"/>
        <v>3.8148159832266538E-3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191</v>
      </c>
      <c r="I582">
        <v>2.7E-2</v>
      </c>
      <c r="J582">
        <f t="shared" si="283"/>
        <v>1.0010000000000332</v>
      </c>
      <c r="K582">
        <f t="shared" si="284"/>
        <v>51</v>
      </c>
      <c r="L582">
        <f t="shared" ca="1" si="285"/>
        <v>0.05</v>
      </c>
      <c r="M582">
        <f t="shared" ca="1" si="258"/>
        <v>0.26</v>
      </c>
      <c r="N582">
        <f t="shared" ca="1" si="259"/>
        <v>4.9056603773584909E-2</v>
      </c>
      <c r="O582">
        <f t="shared" ca="1" si="260"/>
        <v>196.15384615384616</v>
      </c>
      <c r="P582">
        <f t="shared" ca="1" si="261"/>
        <v>632.39599999999996</v>
      </c>
      <c r="Q582">
        <f t="shared" ca="1" si="262"/>
        <v>2593.4730316486621</v>
      </c>
      <c r="R582">
        <f t="shared" ca="1" si="263"/>
        <v>482.07306851378365</v>
      </c>
      <c r="S582">
        <f t="shared" ca="1" si="264"/>
        <v>280.07692026646265</v>
      </c>
      <c r="T582">
        <f t="shared" ca="1" si="265"/>
        <v>1019.7665564573041</v>
      </c>
      <c r="U582">
        <f t="shared" ca="1" si="286"/>
        <v>-482.64289004873763</v>
      </c>
      <c r="V582">
        <f t="shared" ca="1" si="287"/>
        <v>0</v>
      </c>
      <c r="W582">
        <f t="shared" ca="1" si="266"/>
        <v>0.05</v>
      </c>
      <c r="X582">
        <f t="shared" ca="1" si="267"/>
        <v>0.26</v>
      </c>
      <c r="Y582">
        <f t="shared" ca="1" si="268"/>
        <v>4.9056603773584909E-2</v>
      </c>
      <c r="Z582">
        <f t="shared" ca="1" si="269"/>
        <v>196.15384615384616</v>
      </c>
      <c r="AA582">
        <f t="shared" ca="1" si="270"/>
        <v>632.39599999999996</v>
      </c>
      <c r="AB582">
        <f t="shared" ca="1" si="271"/>
        <v>2593.4730316486621</v>
      </c>
      <c r="AC582">
        <f t="shared" ca="1" si="272"/>
        <v>482.07306851378365</v>
      </c>
      <c r="AD582">
        <f t="shared" ca="1" si="273"/>
        <v>280.07692026646265</v>
      </c>
      <c r="AE582">
        <f t="shared" ca="1" si="274"/>
        <v>1019.7665564573041</v>
      </c>
      <c r="AF582">
        <f t="shared" ca="1" si="275"/>
        <v>481.75391853122437</v>
      </c>
      <c r="AG582">
        <f t="shared" ca="1" si="276"/>
        <v>0</v>
      </c>
      <c r="AH582">
        <f ca="1">IF(V32="Supercritical",L582,IF(V32="Subcritical",W582,IF(AND(V582=1,AG582=1),IF(T582&gt;=AE582,L582,W582),IF(V582=1,L582,IF(AG582=1,W582,MAX($D$16,POWER((ABS(K582)^2)/($I$5*MAX(F582,0.1)^2),1/3)))))))</f>
        <v>2.1403668656741068</v>
      </c>
      <c r="AI582">
        <f t="shared" ca="1" si="277"/>
        <v>634.48636686567409</v>
      </c>
      <c r="AJ582">
        <f t="shared" ca="1" si="278"/>
        <v>635.55655029851118</v>
      </c>
      <c r="AM582">
        <v>0</v>
      </c>
      <c r="AN582">
        <v>0</v>
      </c>
      <c r="AO582">
        <f t="shared" si="279"/>
        <v>0</v>
      </c>
      <c r="AP582">
        <f t="shared" si="288"/>
        <v>0</v>
      </c>
      <c r="AQ582">
        <f t="shared" ca="1" si="280"/>
        <v>0.99999999999999978</v>
      </c>
      <c r="AR582" t="str">
        <f t="shared" ca="1" si="281"/>
        <v>Supercritical</v>
      </c>
      <c r="AS582">
        <f t="shared" ca="1" si="282"/>
        <v>3.8148159832266538E-3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191</v>
      </c>
      <c r="I583">
        <v>0.05</v>
      </c>
      <c r="J583">
        <f t="shared" si="283"/>
        <v>0.9989999999999668</v>
      </c>
      <c r="K583">
        <f t="shared" si="284"/>
        <v>51</v>
      </c>
      <c r="L583">
        <f t="shared" ca="1" si="285"/>
        <v>0.05</v>
      </c>
      <c r="M583">
        <f t="shared" ca="1" si="258"/>
        <v>0.26</v>
      </c>
      <c r="N583">
        <f t="shared" ca="1" si="259"/>
        <v>4.9056603773584909E-2</v>
      </c>
      <c r="O583">
        <f t="shared" ca="1" si="260"/>
        <v>196.15384615384616</v>
      </c>
      <c r="P583">
        <f t="shared" ca="1" si="261"/>
        <v>632.39549999999997</v>
      </c>
      <c r="Q583">
        <f t="shared" ca="1" si="262"/>
        <v>2593.472531648662</v>
      </c>
      <c r="R583">
        <f t="shared" ca="1" si="263"/>
        <v>482.07306851378365</v>
      </c>
      <c r="S583">
        <f t="shared" ca="1" si="264"/>
        <v>280.07692026646265</v>
      </c>
      <c r="T583">
        <f t="shared" ca="1" si="265"/>
        <v>1019.7665564573041</v>
      </c>
      <c r="U583">
        <f t="shared" ca="1" si="286"/>
        <v>-481.75391853122437</v>
      </c>
      <c r="V583">
        <f t="shared" ca="1" si="287"/>
        <v>0</v>
      </c>
      <c r="W583">
        <f t="shared" ca="1" si="266"/>
        <v>0.05</v>
      </c>
      <c r="X583">
        <f t="shared" ca="1" si="267"/>
        <v>0.26</v>
      </c>
      <c r="Y583">
        <f t="shared" ca="1" si="268"/>
        <v>4.9056603773584909E-2</v>
      </c>
      <c r="Z583">
        <f t="shared" ca="1" si="269"/>
        <v>196.15384615384616</v>
      </c>
      <c r="AA583">
        <f t="shared" ca="1" si="270"/>
        <v>632.39549999999997</v>
      </c>
      <c r="AB583">
        <f t="shared" ca="1" si="271"/>
        <v>2593.472531648662</v>
      </c>
      <c r="AC583">
        <f t="shared" ca="1" si="272"/>
        <v>482.07306851378365</v>
      </c>
      <c r="AD583">
        <f t="shared" ca="1" si="273"/>
        <v>280.07692026646265</v>
      </c>
      <c r="AE583">
        <f t="shared" ca="1" si="274"/>
        <v>1019.7665564573041</v>
      </c>
      <c r="AF583">
        <f t="shared" ca="1" si="275"/>
        <v>482.32750852789786</v>
      </c>
      <c r="AG583">
        <f t="shared" ca="1" si="276"/>
        <v>0</v>
      </c>
      <c r="AH583">
        <f ca="1">IF(V32="Supercritical",L583,IF(V32="Subcritical",W583,IF(AND(V583=1,AG583=1),IF(T583&gt;=AE583,L583,W583),IF(V583=1,L583,IF(AG583=1,W583,MAX($D$16,POWER((ABS(K583)^2)/($I$5*MAX(F583,0.1)^2),1/3)))))))</f>
        <v>2.1403668656741068</v>
      </c>
      <c r="AI583">
        <f t="shared" ca="1" si="277"/>
        <v>634.4858668656741</v>
      </c>
      <c r="AJ583">
        <f t="shared" ca="1" si="278"/>
        <v>635.5560502985112</v>
      </c>
      <c r="AM583">
        <v>0</v>
      </c>
      <c r="AN583">
        <v>0</v>
      </c>
      <c r="AO583">
        <f t="shared" si="279"/>
        <v>0</v>
      </c>
      <c r="AP583">
        <f t="shared" si="288"/>
        <v>0</v>
      </c>
      <c r="AQ583">
        <f t="shared" ca="1" si="280"/>
        <v>0.99999999999999978</v>
      </c>
      <c r="AR583" t="str">
        <f t="shared" ca="1" si="281"/>
        <v>Supercritical</v>
      </c>
      <c r="AS583">
        <f t="shared" ca="1" si="282"/>
        <v>3.8148159832266538E-3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191</v>
      </c>
      <c r="I584">
        <v>7.8E-2</v>
      </c>
      <c r="J584">
        <f t="shared" si="283"/>
        <v>1</v>
      </c>
      <c r="K584">
        <f t="shared" si="284"/>
        <v>51</v>
      </c>
      <c r="L584">
        <f t="shared" ca="1" si="285"/>
        <v>0.05</v>
      </c>
      <c r="M584">
        <f t="shared" ca="1" si="258"/>
        <v>0.26</v>
      </c>
      <c r="N584">
        <f t="shared" ca="1" si="259"/>
        <v>4.9056603773584909E-2</v>
      </c>
      <c r="O584">
        <f t="shared" ca="1" si="260"/>
        <v>196.15384615384616</v>
      </c>
      <c r="P584">
        <f t="shared" ca="1" si="261"/>
        <v>632.39499999999998</v>
      </c>
      <c r="Q584">
        <f t="shared" ca="1" si="262"/>
        <v>2593.4720316486619</v>
      </c>
      <c r="R584">
        <f t="shared" ca="1" si="263"/>
        <v>482.07306851378365</v>
      </c>
      <c r="S584">
        <f t="shared" ca="1" si="264"/>
        <v>280.07692026646265</v>
      </c>
      <c r="T584">
        <f t="shared" ca="1" si="265"/>
        <v>1019.7665564573041</v>
      </c>
      <c r="U584">
        <f t="shared" ca="1" si="286"/>
        <v>-482.32750852789786</v>
      </c>
      <c r="V584">
        <f t="shared" ca="1" si="287"/>
        <v>0</v>
      </c>
      <c r="W584">
        <f t="shared" ca="1" si="266"/>
        <v>0.05</v>
      </c>
      <c r="X584">
        <f t="shared" ca="1" si="267"/>
        <v>0.26</v>
      </c>
      <c r="Y584">
        <f t="shared" ca="1" si="268"/>
        <v>4.9056603773584909E-2</v>
      </c>
      <c r="Z584">
        <f t="shared" ca="1" si="269"/>
        <v>196.15384615384616</v>
      </c>
      <c r="AA584">
        <f t="shared" ca="1" si="270"/>
        <v>632.39499999999998</v>
      </c>
      <c r="AB584">
        <f t="shared" ca="1" si="271"/>
        <v>2593.4720316486619</v>
      </c>
      <c r="AC584">
        <f t="shared" ca="1" si="272"/>
        <v>482.07306851378365</v>
      </c>
      <c r="AD584">
        <f t="shared" ca="1" si="273"/>
        <v>280.07692026646265</v>
      </c>
      <c r="AE584">
        <f t="shared" ca="1" si="274"/>
        <v>1019.7665564573041</v>
      </c>
      <c r="AF584">
        <f t="shared" ca="1" si="275"/>
        <v>482.64289004873808</v>
      </c>
      <c r="AG584">
        <f t="shared" ca="1" si="276"/>
        <v>0</v>
      </c>
      <c r="AH584">
        <f ca="1">IF(V32="Supercritical",L584,IF(V32="Subcritical",W584,IF(AND(V584=1,AG584=1),IF(T584&gt;=AE584,L584,W584),IF(V584=1,L584,IF(AG584=1,W584,MAX($D$16,POWER((ABS(K584)^2)/($I$5*MAX(F584,0.1)^2),1/3)))))))</f>
        <v>2.1403668656741068</v>
      </c>
      <c r="AI584">
        <f t="shared" ca="1" si="277"/>
        <v>634.48536686567411</v>
      </c>
      <c r="AJ584">
        <f t="shared" ca="1" si="278"/>
        <v>635.55555029851121</v>
      </c>
      <c r="AM584">
        <v>0</v>
      </c>
      <c r="AN584">
        <v>0</v>
      </c>
      <c r="AO584">
        <f t="shared" si="279"/>
        <v>0</v>
      </c>
      <c r="AP584">
        <f t="shared" si="288"/>
        <v>0</v>
      </c>
      <c r="AQ584">
        <f t="shared" ca="1" si="280"/>
        <v>0.99999999999999978</v>
      </c>
      <c r="AR584" t="str">
        <f t="shared" ca="1" si="281"/>
        <v>Supercritical</v>
      </c>
      <c r="AS584">
        <f t="shared" ca="1" si="282"/>
        <v>3.8148159832266538E-3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191</v>
      </c>
      <c r="I585">
        <v>2.7E-2</v>
      </c>
      <c r="J585">
        <f t="shared" si="283"/>
        <v>1.0010000000000332</v>
      </c>
      <c r="K585">
        <f t="shared" si="284"/>
        <v>51</v>
      </c>
      <c r="L585">
        <f t="shared" ca="1" si="285"/>
        <v>0.05</v>
      </c>
      <c r="M585">
        <f t="shared" ca="1" si="258"/>
        <v>0.26</v>
      </c>
      <c r="N585">
        <f t="shared" ca="1" si="259"/>
        <v>4.9056603773584909E-2</v>
      </c>
      <c r="O585">
        <f t="shared" ca="1" si="260"/>
        <v>196.15384615384616</v>
      </c>
      <c r="P585">
        <f t="shared" ca="1" si="261"/>
        <v>632.39449999999999</v>
      </c>
      <c r="Q585">
        <f t="shared" ca="1" si="262"/>
        <v>2593.4715316486622</v>
      </c>
      <c r="R585">
        <f t="shared" ca="1" si="263"/>
        <v>482.07306851378365</v>
      </c>
      <c r="S585">
        <f t="shared" ca="1" si="264"/>
        <v>280.07692026646265</v>
      </c>
      <c r="T585">
        <f t="shared" ca="1" si="265"/>
        <v>1019.7665564573041</v>
      </c>
      <c r="U585">
        <f t="shared" ca="1" si="286"/>
        <v>-482.64289004873808</v>
      </c>
      <c r="V585">
        <f t="shared" ca="1" si="287"/>
        <v>0</v>
      </c>
      <c r="W585">
        <f t="shared" ca="1" si="266"/>
        <v>0.05</v>
      </c>
      <c r="X585">
        <f t="shared" ca="1" si="267"/>
        <v>0.26</v>
      </c>
      <c r="Y585">
        <f t="shared" ca="1" si="268"/>
        <v>4.9056603773584909E-2</v>
      </c>
      <c r="Z585">
        <f t="shared" ca="1" si="269"/>
        <v>196.15384615384616</v>
      </c>
      <c r="AA585">
        <f t="shared" ca="1" si="270"/>
        <v>632.39449999999999</v>
      </c>
      <c r="AB585">
        <f t="shared" ca="1" si="271"/>
        <v>2593.4715316486622</v>
      </c>
      <c r="AC585">
        <f t="shared" ca="1" si="272"/>
        <v>482.07306851378365</v>
      </c>
      <c r="AD585">
        <f t="shared" ca="1" si="273"/>
        <v>280.07692026646265</v>
      </c>
      <c r="AE585">
        <f t="shared" ca="1" si="274"/>
        <v>1019.7665564573041</v>
      </c>
      <c r="AF585">
        <f t="shared" ca="1" si="275"/>
        <v>481.67874391167834</v>
      </c>
      <c r="AG585">
        <f t="shared" ca="1" si="276"/>
        <v>0</v>
      </c>
      <c r="AH585">
        <f ca="1">IF(V32="Supercritical",L585,IF(V32="Subcritical",W585,IF(AND(V585=1,AG585=1),IF(T585&gt;=AE585,L585,W585),IF(V585=1,L585,IF(AG585=1,W585,MAX($D$16,POWER((ABS(K585)^2)/($I$5*MAX(F585,0.1)^2),1/3)))))))</f>
        <v>2.1403668656741068</v>
      </c>
      <c r="AI585">
        <f t="shared" ca="1" si="277"/>
        <v>634.48486686567412</v>
      </c>
      <c r="AJ585">
        <f t="shared" ca="1" si="278"/>
        <v>635.55505029851122</v>
      </c>
      <c r="AM585">
        <v>0</v>
      </c>
      <c r="AN585">
        <v>0</v>
      </c>
      <c r="AO585">
        <f t="shared" si="279"/>
        <v>0</v>
      </c>
      <c r="AP585">
        <f t="shared" si="288"/>
        <v>0</v>
      </c>
      <c r="AQ585">
        <f t="shared" ca="1" si="280"/>
        <v>0.99999999999999978</v>
      </c>
      <c r="AR585" t="str">
        <f t="shared" ca="1" si="281"/>
        <v>Supercritical</v>
      </c>
      <c r="AS585">
        <f t="shared" ca="1" si="282"/>
        <v>3.8148159832266538E-3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191</v>
      </c>
      <c r="I586">
        <v>2.7E-2</v>
      </c>
      <c r="J586">
        <f t="shared" si="283"/>
        <v>0.9989999999999668</v>
      </c>
      <c r="K586">
        <f t="shared" si="284"/>
        <v>51</v>
      </c>
      <c r="L586">
        <f t="shared" ca="1" si="285"/>
        <v>0.05</v>
      </c>
      <c r="M586">
        <f t="shared" ca="1" si="258"/>
        <v>0.26</v>
      </c>
      <c r="N586">
        <f t="shared" ca="1" si="259"/>
        <v>4.9056603773584909E-2</v>
      </c>
      <c r="O586">
        <f t="shared" ca="1" si="260"/>
        <v>196.15384615384616</v>
      </c>
      <c r="P586">
        <f t="shared" ca="1" si="261"/>
        <v>632.39400000000001</v>
      </c>
      <c r="Q586">
        <f t="shared" ca="1" si="262"/>
        <v>2593.4710316486621</v>
      </c>
      <c r="R586">
        <f t="shared" ca="1" si="263"/>
        <v>482.07306851378365</v>
      </c>
      <c r="S586">
        <f t="shared" ca="1" si="264"/>
        <v>280.07692026646265</v>
      </c>
      <c r="T586">
        <f t="shared" ca="1" si="265"/>
        <v>1019.7665564573041</v>
      </c>
      <c r="U586">
        <f t="shared" ca="1" si="286"/>
        <v>-481.67874391167834</v>
      </c>
      <c r="V586">
        <f t="shared" ca="1" si="287"/>
        <v>0</v>
      </c>
      <c r="W586">
        <f t="shared" ca="1" si="266"/>
        <v>0.05</v>
      </c>
      <c r="X586">
        <f t="shared" ca="1" si="267"/>
        <v>0.26</v>
      </c>
      <c r="Y586">
        <f t="shared" ca="1" si="268"/>
        <v>4.9056603773584909E-2</v>
      </c>
      <c r="Z586">
        <f t="shared" ca="1" si="269"/>
        <v>196.15384615384616</v>
      </c>
      <c r="AA586">
        <f t="shared" ca="1" si="270"/>
        <v>632.39400000000001</v>
      </c>
      <c r="AB586">
        <f t="shared" ca="1" si="271"/>
        <v>2593.4710316486621</v>
      </c>
      <c r="AC586">
        <f t="shared" ca="1" si="272"/>
        <v>482.07306851378365</v>
      </c>
      <c r="AD586">
        <f t="shared" ca="1" si="273"/>
        <v>280.07692026646265</v>
      </c>
      <c r="AE586">
        <f t="shared" ca="1" si="274"/>
        <v>1019.7665564573041</v>
      </c>
      <c r="AF586">
        <f t="shared" ca="1" si="275"/>
        <v>482.80958159642751</v>
      </c>
      <c r="AG586">
        <f t="shared" ca="1" si="276"/>
        <v>0</v>
      </c>
      <c r="AH586">
        <f ca="1">IF(V32="Supercritical",L586,IF(V32="Subcritical",W586,IF(AND(V586=1,AG586=1),IF(T586&gt;=AE586,L586,W586),IF(V586=1,L586,IF(AG586=1,W586,MAX($D$16,POWER((ABS(K586)^2)/($I$5*MAX(F586,0.1)^2),1/3)))))))</f>
        <v>2.1403668656741068</v>
      </c>
      <c r="AI586">
        <f t="shared" ca="1" si="277"/>
        <v>634.48436686567413</v>
      </c>
      <c r="AJ586">
        <f t="shared" ca="1" si="278"/>
        <v>635.55455029851123</v>
      </c>
      <c r="AM586">
        <v>0</v>
      </c>
      <c r="AN586">
        <v>0</v>
      </c>
      <c r="AO586">
        <f t="shared" si="279"/>
        <v>0</v>
      </c>
      <c r="AP586">
        <f t="shared" si="288"/>
        <v>0</v>
      </c>
      <c r="AQ586">
        <f t="shared" ca="1" si="280"/>
        <v>0.99999999999999978</v>
      </c>
      <c r="AR586" t="str">
        <f t="shared" ca="1" si="281"/>
        <v>Supercritical</v>
      </c>
      <c r="AS586">
        <f t="shared" ca="1" si="282"/>
        <v>3.8148159832266538E-3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191</v>
      </c>
      <c r="I587">
        <v>7.8E-2</v>
      </c>
      <c r="J587">
        <f t="shared" si="283"/>
        <v>1.0010000000000332</v>
      </c>
      <c r="K587">
        <f t="shared" si="284"/>
        <v>51</v>
      </c>
      <c r="L587">
        <f t="shared" ca="1" si="285"/>
        <v>0.05</v>
      </c>
      <c r="M587">
        <f t="shared" ca="1" si="258"/>
        <v>0.26</v>
      </c>
      <c r="N587">
        <f t="shared" ca="1" si="259"/>
        <v>4.9056603773584909E-2</v>
      </c>
      <c r="O587">
        <f t="shared" ca="1" si="260"/>
        <v>196.15384615384616</v>
      </c>
      <c r="P587">
        <f t="shared" ca="1" si="261"/>
        <v>632.3934999999999</v>
      </c>
      <c r="Q587">
        <f t="shared" ca="1" si="262"/>
        <v>2593.470531648662</v>
      </c>
      <c r="R587">
        <f t="shared" ca="1" si="263"/>
        <v>482.07306851378365</v>
      </c>
      <c r="S587">
        <f t="shared" ca="1" si="264"/>
        <v>280.07692026646265</v>
      </c>
      <c r="T587">
        <f t="shared" ca="1" si="265"/>
        <v>1019.7665564573041</v>
      </c>
      <c r="U587">
        <f t="shared" ca="1" si="286"/>
        <v>-482.80958159642751</v>
      </c>
      <c r="V587">
        <f t="shared" ca="1" si="287"/>
        <v>0</v>
      </c>
      <c r="W587">
        <f t="shared" ca="1" si="266"/>
        <v>0.05</v>
      </c>
      <c r="X587">
        <f t="shared" ca="1" si="267"/>
        <v>0.26</v>
      </c>
      <c r="Y587">
        <f t="shared" ca="1" si="268"/>
        <v>4.9056603773584909E-2</v>
      </c>
      <c r="Z587">
        <f t="shared" ca="1" si="269"/>
        <v>196.15384615384616</v>
      </c>
      <c r="AA587">
        <f t="shared" ca="1" si="270"/>
        <v>632.3934999999999</v>
      </c>
      <c r="AB587">
        <f t="shared" ca="1" si="271"/>
        <v>2593.470531648662</v>
      </c>
      <c r="AC587">
        <f t="shared" ca="1" si="272"/>
        <v>482.07306851378365</v>
      </c>
      <c r="AD587">
        <f t="shared" ca="1" si="273"/>
        <v>280.07692026646265</v>
      </c>
      <c r="AE587">
        <f t="shared" ca="1" si="274"/>
        <v>1019.7665564573041</v>
      </c>
      <c r="AF587">
        <f t="shared" ca="1" si="275"/>
        <v>482.23599159975447</v>
      </c>
      <c r="AG587">
        <f t="shared" ca="1" si="276"/>
        <v>0</v>
      </c>
      <c r="AH587">
        <f ca="1">IF(V32="Supercritical",L587,IF(V32="Subcritical",W587,IF(AND(V587=1,AG587=1),IF(T587&gt;=AE587,L587,W587),IF(V587=1,L587,IF(AG587=1,W587,MAX($D$16,POWER((ABS(K587)^2)/($I$5*MAX(F587,0.1)^2),1/3)))))))</f>
        <v>2.1403668656741068</v>
      </c>
      <c r="AI587">
        <f t="shared" ca="1" si="277"/>
        <v>634.48386686567403</v>
      </c>
      <c r="AJ587">
        <f t="shared" ca="1" si="278"/>
        <v>635.55405029851113</v>
      </c>
      <c r="AM587">
        <v>0</v>
      </c>
      <c r="AN587">
        <v>0</v>
      </c>
      <c r="AO587">
        <f t="shared" si="279"/>
        <v>0</v>
      </c>
      <c r="AP587">
        <f t="shared" si="288"/>
        <v>0</v>
      </c>
      <c r="AQ587">
        <f t="shared" ca="1" si="280"/>
        <v>0.99999999999999978</v>
      </c>
      <c r="AR587" t="str">
        <f t="shared" ca="1" si="281"/>
        <v>Supercritical</v>
      </c>
      <c r="AS587">
        <f t="shared" ca="1" si="282"/>
        <v>3.8148159832266538E-3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191</v>
      </c>
      <c r="I588">
        <v>0.05</v>
      </c>
      <c r="J588">
        <f t="shared" si="283"/>
        <v>1</v>
      </c>
      <c r="K588">
        <f t="shared" si="284"/>
        <v>51</v>
      </c>
      <c r="L588">
        <f t="shared" ca="1" si="285"/>
        <v>0.05</v>
      </c>
      <c r="M588">
        <f t="shared" ca="1" si="258"/>
        <v>0.26</v>
      </c>
      <c r="N588">
        <f t="shared" ca="1" si="259"/>
        <v>4.9056603773584909E-2</v>
      </c>
      <c r="O588">
        <f t="shared" ca="1" si="260"/>
        <v>196.15384615384616</v>
      </c>
      <c r="P588">
        <f t="shared" ca="1" si="261"/>
        <v>632.39299999999992</v>
      </c>
      <c r="Q588">
        <f t="shared" ca="1" si="262"/>
        <v>2593.4700316486619</v>
      </c>
      <c r="R588">
        <f t="shared" ca="1" si="263"/>
        <v>482.07306851378365</v>
      </c>
      <c r="S588">
        <f t="shared" ca="1" si="264"/>
        <v>280.07692026646265</v>
      </c>
      <c r="T588">
        <f t="shared" ca="1" si="265"/>
        <v>1019.7665564573041</v>
      </c>
      <c r="U588">
        <f t="shared" ca="1" si="286"/>
        <v>-482.23599159975447</v>
      </c>
      <c r="V588">
        <f t="shared" ca="1" si="287"/>
        <v>0</v>
      </c>
      <c r="W588">
        <f t="shared" ca="1" si="266"/>
        <v>0.05</v>
      </c>
      <c r="X588">
        <f t="shared" ca="1" si="267"/>
        <v>0.26</v>
      </c>
      <c r="Y588">
        <f t="shared" ca="1" si="268"/>
        <v>4.9056603773584909E-2</v>
      </c>
      <c r="Z588">
        <f t="shared" ca="1" si="269"/>
        <v>196.15384615384616</v>
      </c>
      <c r="AA588">
        <f t="shared" ca="1" si="270"/>
        <v>632.39299999999992</v>
      </c>
      <c r="AB588">
        <f t="shared" ca="1" si="271"/>
        <v>2593.4700316486619</v>
      </c>
      <c r="AC588">
        <f t="shared" ca="1" si="272"/>
        <v>482.07306851378365</v>
      </c>
      <c r="AD588">
        <f t="shared" ca="1" si="273"/>
        <v>280.07692026646265</v>
      </c>
      <c r="AE588">
        <f t="shared" ca="1" si="274"/>
        <v>1019.7665564573041</v>
      </c>
      <c r="AF588">
        <f t="shared" ca="1" si="275"/>
        <v>481.67874391167834</v>
      </c>
      <c r="AG588">
        <f t="shared" ca="1" si="276"/>
        <v>0</v>
      </c>
      <c r="AH588">
        <f ca="1">IF(V32="Supercritical",L588,IF(V32="Subcritical",W588,IF(AND(V588=1,AG588=1),IF(T588&gt;=AE588,L588,W588),IF(V588=1,L588,IF(AG588=1,W588,MAX($D$16,POWER((ABS(K588)^2)/($I$5*MAX(F588,0.1)^2),1/3)))))))</f>
        <v>2.1403668656741068</v>
      </c>
      <c r="AI588">
        <f t="shared" ca="1" si="277"/>
        <v>634.48336686567404</v>
      </c>
      <c r="AJ588">
        <f t="shared" ca="1" si="278"/>
        <v>635.55355029851114</v>
      </c>
      <c r="AM588">
        <v>0</v>
      </c>
      <c r="AN588">
        <v>0</v>
      </c>
      <c r="AO588">
        <f t="shared" si="279"/>
        <v>0</v>
      </c>
      <c r="AP588">
        <f t="shared" si="288"/>
        <v>0</v>
      </c>
      <c r="AQ588">
        <f t="shared" ca="1" si="280"/>
        <v>0.99999999999999978</v>
      </c>
      <c r="AR588" t="str">
        <f t="shared" ca="1" si="281"/>
        <v>Supercritical</v>
      </c>
      <c r="AS588">
        <f t="shared" ca="1" si="282"/>
        <v>3.8148159832266538E-3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191</v>
      </c>
      <c r="I589">
        <v>2.7E-2</v>
      </c>
      <c r="J589">
        <f t="shared" si="283"/>
        <v>0.9989999999999668</v>
      </c>
      <c r="K589">
        <f t="shared" si="284"/>
        <v>51</v>
      </c>
      <c r="L589">
        <f t="shared" ca="1" si="285"/>
        <v>0.05</v>
      </c>
      <c r="M589">
        <f t="shared" ca="1" si="258"/>
        <v>0.26</v>
      </c>
      <c r="N589">
        <f t="shared" ca="1" si="259"/>
        <v>4.9056603773584909E-2</v>
      </c>
      <c r="O589">
        <f t="shared" ca="1" si="260"/>
        <v>196.15384615384616</v>
      </c>
      <c r="P589">
        <f t="shared" ca="1" si="261"/>
        <v>632.39249999999993</v>
      </c>
      <c r="Q589">
        <f t="shared" ca="1" si="262"/>
        <v>2593.4695316486623</v>
      </c>
      <c r="R589">
        <f t="shared" ca="1" si="263"/>
        <v>482.07306851378365</v>
      </c>
      <c r="S589">
        <f t="shared" ca="1" si="264"/>
        <v>280.07692026646265</v>
      </c>
      <c r="T589">
        <f t="shared" ca="1" si="265"/>
        <v>1019.7665564573041</v>
      </c>
      <c r="U589">
        <f t="shared" ca="1" si="286"/>
        <v>-481.67874391167879</v>
      </c>
      <c r="V589">
        <f t="shared" ca="1" si="287"/>
        <v>0</v>
      </c>
      <c r="W589">
        <f t="shared" ca="1" si="266"/>
        <v>0.05</v>
      </c>
      <c r="X589">
        <f t="shared" ca="1" si="267"/>
        <v>0.26</v>
      </c>
      <c r="Y589">
        <f t="shared" ca="1" si="268"/>
        <v>4.9056603773584909E-2</v>
      </c>
      <c r="Z589">
        <f t="shared" ca="1" si="269"/>
        <v>196.15384615384616</v>
      </c>
      <c r="AA589">
        <f t="shared" ca="1" si="270"/>
        <v>632.39249999999993</v>
      </c>
      <c r="AB589">
        <f t="shared" ca="1" si="271"/>
        <v>2593.4695316486623</v>
      </c>
      <c r="AC589">
        <f t="shared" ca="1" si="272"/>
        <v>482.07306851378365</v>
      </c>
      <c r="AD589">
        <f t="shared" ca="1" si="273"/>
        <v>280.07692026646265</v>
      </c>
      <c r="AE589">
        <f t="shared" ca="1" si="274"/>
        <v>1019.7665564573041</v>
      </c>
      <c r="AF589">
        <f t="shared" ca="1" si="275"/>
        <v>482.16081698020798</v>
      </c>
      <c r="AG589">
        <f t="shared" ca="1" si="276"/>
        <v>0</v>
      </c>
      <c r="AH589">
        <f ca="1">IF(V32="Supercritical",L589,IF(V32="Subcritical",W589,IF(AND(V589=1,AG589=1),IF(T589&gt;=AE589,L589,W589),IF(V589=1,L589,IF(AG589=1,W589,MAX($D$16,POWER((ABS(K589)^2)/($I$5*MAX(F589,0.1)^2),1/3)))))))</f>
        <v>2.1403668656741068</v>
      </c>
      <c r="AI589">
        <f t="shared" ca="1" si="277"/>
        <v>634.48286686567405</v>
      </c>
      <c r="AJ589">
        <f t="shared" ca="1" si="278"/>
        <v>635.55305029851115</v>
      </c>
      <c r="AM589">
        <v>0</v>
      </c>
      <c r="AN589">
        <v>0</v>
      </c>
      <c r="AO589">
        <f t="shared" si="279"/>
        <v>0</v>
      </c>
      <c r="AP589">
        <f t="shared" si="288"/>
        <v>0</v>
      </c>
      <c r="AQ589">
        <f t="shared" ca="1" si="280"/>
        <v>0.99999999999999978</v>
      </c>
      <c r="AR589" t="str">
        <f t="shared" ca="1" si="281"/>
        <v>Supercritical</v>
      </c>
      <c r="AS589">
        <f t="shared" ca="1" si="282"/>
        <v>3.8148159832266538E-3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191</v>
      </c>
      <c r="I590">
        <v>2.7E-2</v>
      </c>
      <c r="J590">
        <f t="shared" si="283"/>
        <v>1</v>
      </c>
      <c r="K590">
        <f t="shared" si="284"/>
        <v>51</v>
      </c>
      <c r="L590">
        <f t="shared" ca="1" si="285"/>
        <v>0.05</v>
      </c>
      <c r="M590">
        <f t="shared" ca="1" si="258"/>
        <v>0.26</v>
      </c>
      <c r="N590">
        <f t="shared" ca="1" si="259"/>
        <v>4.9056603773584909E-2</v>
      </c>
      <c r="O590">
        <f t="shared" ca="1" si="260"/>
        <v>196.15384615384616</v>
      </c>
      <c r="P590">
        <f t="shared" ca="1" si="261"/>
        <v>632.39199999999994</v>
      </c>
      <c r="Q590">
        <f t="shared" ca="1" si="262"/>
        <v>2593.4690316486622</v>
      </c>
      <c r="R590">
        <f t="shared" ca="1" si="263"/>
        <v>482.07306851378365</v>
      </c>
      <c r="S590">
        <f t="shared" ca="1" si="264"/>
        <v>280.07692026646265</v>
      </c>
      <c r="T590">
        <f t="shared" ca="1" si="265"/>
        <v>1019.7665564573041</v>
      </c>
      <c r="U590">
        <f t="shared" ca="1" si="286"/>
        <v>-482.16081698020798</v>
      </c>
      <c r="V590">
        <f t="shared" ca="1" si="287"/>
        <v>0</v>
      </c>
      <c r="W590">
        <f t="shared" ca="1" si="266"/>
        <v>0.05</v>
      </c>
      <c r="X590">
        <f t="shared" ca="1" si="267"/>
        <v>0.26</v>
      </c>
      <c r="Y590">
        <f t="shared" ca="1" si="268"/>
        <v>4.9056603773584909E-2</v>
      </c>
      <c r="Z590">
        <f t="shared" ca="1" si="269"/>
        <v>196.15384615384616</v>
      </c>
      <c r="AA590">
        <f t="shared" ca="1" si="270"/>
        <v>632.39199999999994</v>
      </c>
      <c r="AB590">
        <f t="shared" ca="1" si="271"/>
        <v>2593.4690316486622</v>
      </c>
      <c r="AC590">
        <f t="shared" ca="1" si="272"/>
        <v>482.07306851378365</v>
      </c>
      <c r="AD590">
        <f t="shared" ca="1" si="273"/>
        <v>280.07692026646265</v>
      </c>
      <c r="AE590">
        <f t="shared" ca="1" si="274"/>
        <v>1019.7665564573041</v>
      </c>
      <c r="AF590">
        <f t="shared" ca="1" si="275"/>
        <v>482.16081698020798</v>
      </c>
      <c r="AG590">
        <f t="shared" ca="1" si="276"/>
        <v>0</v>
      </c>
      <c r="AH590">
        <f ca="1">IF(V32="Supercritical",L590,IF(V32="Subcritical",W590,IF(AND(V590=1,AG590=1),IF(T590&gt;=AE590,L590,W590),IF(V590=1,L590,IF(AG590=1,W590,MAX($D$16,POWER((ABS(K590)^2)/($I$5*MAX(F590,0.1)^2),1/3)))))))</f>
        <v>2.1403668656741068</v>
      </c>
      <c r="AI590">
        <f t="shared" ca="1" si="277"/>
        <v>634.48236686567407</v>
      </c>
      <c r="AJ590">
        <f t="shared" ca="1" si="278"/>
        <v>635.55255029851116</v>
      </c>
      <c r="AM590">
        <v>0</v>
      </c>
      <c r="AN590">
        <v>0</v>
      </c>
      <c r="AO590">
        <f t="shared" si="279"/>
        <v>0</v>
      </c>
      <c r="AP590">
        <f t="shared" si="288"/>
        <v>0</v>
      </c>
      <c r="AQ590">
        <f t="shared" ca="1" si="280"/>
        <v>0.99999999999999978</v>
      </c>
      <c r="AR590" t="str">
        <f t="shared" ca="1" si="281"/>
        <v>Supercritical</v>
      </c>
      <c r="AS590">
        <f t="shared" ca="1" si="282"/>
        <v>3.8148159832266538E-3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191</v>
      </c>
      <c r="I591">
        <v>2.7E-2</v>
      </c>
      <c r="J591">
        <f t="shared" si="283"/>
        <v>1</v>
      </c>
      <c r="K591">
        <f t="shared" si="284"/>
        <v>51</v>
      </c>
      <c r="L591">
        <f t="shared" ca="1" si="285"/>
        <v>0.05</v>
      </c>
      <c r="M591">
        <f t="shared" ca="1" si="258"/>
        <v>0.26</v>
      </c>
      <c r="N591">
        <f t="shared" ca="1" si="259"/>
        <v>4.9056603773584909E-2</v>
      </c>
      <c r="O591">
        <f t="shared" ca="1" si="260"/>
        <v>196.15384615384616</v>
      </c>
      <c r="P591">
        <f t="shared" ca="1" si="261"/>
        <v>632.39149999999995</v>
      </c>
      <c r="Q591">
        <f t="shared" ca="1" si="262"/>
        <v>2593.4685316486621</v>
      </c>
      <c r="R591">
        <f t="shared" ca="1" si="263"/>
        <v>482.07306851378365</v>
      </c>
      <c r="S591">
        <f t="shared" ca="1" si="264"/>
        <v>280.07692026646265</v>
      </c>
      <c r="T591">
        <f t="shared" ca="1" si="265"/>
        <v>1019.7665564573041</v>
      </c>
      <c r="U591">
        <f t="shared" ca="1" si="286"/>
        <v>-482.16081698020798</v>
      </c>
      <c r="V591">
        <f t="shared" ca="1" si="287"/>
        <v>0</v>
      </c>
      <c r="W591">
        <f t="shared" ca="1" si="266"/>
        <v>0.05</v>
      </c>
      <c r="X591">
        <f t="shared" ca="1" si="267"/>
        <v>0.26</v>
      </c>
      <c r="Y591">
        <f t="shared" ca="1" si="268"/>
        <v>4.9056603773584909E-2</v>
      </c>
      <c r="Z591">
        <f t="shared" ca="1" si="269"/>
        <v>196.15384615384616</v>
      </c>
      <c r="AA591">
        <f t="shared" ca="1" si="270"/>
        <v>632.39149999999995</v>
      </c>
      <c r="AB591">
        <f t="shared" ca="1" si="271"/>
        <v>2593.4685316486621</v>
      </c>
      <c r="AC591">
        <f t="shared" ca="1" si="272"/>
        <v>482.07306851378365</v>
      </c>
      <c r="AD591">
        <f t="shared" ca="1" si="273"/>
        <v>280.07692026646265</v>
      </c>
      <c r="AE591">
        <f t="shared" ca="1" si="274"/>
        <v>1019.7665564573041</v>
      </c>
      <c r="AF591">
        <f t="shared" ca="1" si="275"/>
        <v>482.32750852789786</v>
      </c>
      <c r="AG591">
        <f t="shared" ca="1" si="276"/>
        <v>0</v>
      </c>
      <c r="AH591">
        <f ca="1">IF(V32="Supercritical",L591,IF(V32="Subcritical",W591,IF(AND(V591=1,AG591=1),IF(T591&gt;=AE591,L591,W591),IF(V591=1,L591,IF(AG591=1,W591,MAX($D$16,POWER((ABS(K591)^2)/($I$5*MAX(F591,0.1)^2),1/3)))))))</f>
        <v>2.1403668656741068</v>
      </c>
      <c r="AI591">
        <f t="shared" ca="1" si="277"/>
        <v>634.48186686567408</v>
      </c>
      <c r="AJ591">
        <f t="shared" ca="1" si="278"/>
        <v>635.55205029851118</v>
      </c>
      <c r="AM591">
        <v>0</v>
      </c>
      <c r="AN591">
        <v>0</v>
      </c>
      <c r="AO591">
        <f t="shared" si="279"/>
        <v>0</v>
      </c>
      <c r="AP591">
        <f t="shared" si="288"/>
        <v>0</v>
      </c>
      <c r="AQ591">
        <f t="shared" ca="1" si="280"/>
        <v>0.99999999999999978</v>
      </c>
      <c r="AR591" t="str">
        <f t="shared" ca="1" si="281"/>
        <v>Supercritical</v>
      </c>
      <c r="AS591">
        <f t="shared" ca="1" si="282"/>
        <v>3.8148159832266538E-3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191</v>
      </c>
      <c r="I592">
        <v>7.8E-2</v>
      </c>
      <c r="J592">
        <f t="shared" si="283"/>
        <v>1</v>
      </c>
      <c r="K592">
        <f t="shared" si="284"/>
        <v>51</v>
      </c>
      <c r="L592">
        <f t="shared" ca="1" si="285"/>
        <v>0.05</v>
      </c>
      <c r="M592">
        <f t="shared" ca="1" si="258"/>
        <v>0.26</v>
      </c>
      <c r="N592">
        <f t="shared" ca="1" si="259"/>
        <v>4.9056603773584909E-2</v>
      </c>
      <c r="O592">
        <f t="shared" ca="1" si="260"/>
        <v>196.15384615384616</v>
      </c>
      <c r="P592">
        <f t="shared" ca="1" si="261"/>
        <v>632.39099999999996</v>
      </c>
      <c r="Q592">
        <f t="shared" ca="1" si="262"/>
        <v>2593.468031648662</v>
      </c>
      <c r="R592">
        <f t="shared" ca="1" si="263"/>
        <v>482.07306851378365</v>
      </c>
      <c r="S592">
        <f t="shared" ca="1" si="264"/>
        <v>280.07692026646265</v>
      </c>
      <c r="T592">
        <f t="shared" ca="1" si="265"/>
        <v>1019.7665564573041</v>
      </c>
      <c r="U592">
        <f t="shared" ca="1" si="286"/>
        <v>-482.32750852789786</v>
      </c>
      <c r="V592">
        <f t="shared" ca="1" si="287"/>
        <v>0</v>
      </c>
      <c r="W592">
        <f t="shared" ca="1" si="266"/>
        <v>0.05</v>
      </c>
      <c r="X592">
        <f t="shared" ca="1" si="267"/>
        <v>0.26</v>
      </c>
      <c r="Y592">
        <f t="shared" ca="1" si="268"/>
        <v>4.9056603773584909E-2</v>
      </c>
      <c r="Z592">
        <f t="shared" ca="1" si="269"/>
        <v>196.15384615384616</v>
      </c>
      <c r="AA592">
        <f t="shared" ca="1" si="270"/>
        <v>632.39099999999996</v>
      </c>
      <c r="AB592">
        <f t="shared" ca="1" si="271"/>
        <v>2593.468031648662</v>
      </c>
      <c r="AC592">
        <f t="shared" ca="1" si="272"/>
        <v>482.07306851378365</v>
      </c>
      <c r="AD592">
        <f t="shared" ca="1" si="273"/>
        <v>280.07692026646265</v>
      </c>
      <c r="AE592">
        <f t="shared" ca="1" si="274"/>
        <v>1019.7665564573041</v>
      </c>
      <c r="AF592">
        <f t="shared" ca="1" si="275"/>
        <v>482.23599159975447</v>
      </c>
      <c r="AG592">
        <f t="shared" ca="1" si="276"/>
        <v>0</v>
      </c>
      <c r="AH592">
        <f ca="1">IF(V32="Supercritical",L592,IF(V32="Subcritical",W592,IF(AND(V592=1,AG592=1),IF(T592&gt;=AE592,L592,W592),IF(V592=1,L592,IF(AG592=1,W592,MAX($D$16,POWER((ABS(K592)^2)/($I$5*MAX(F592,0.1)^2),1/3)))))))</f>
        <v>2.1403668656741068</v>
      </c>
      <c r="AI592">
        <f t="shared" ca="1" si="277"/>
        <v>634.48136686567409</v>
      </c>
      <c r="AJ592">
        <f t="shared" ca="1" si="278"/>
        <v>635.55155029851119</v>
      </c>
      <c r="AM592">
        <v>0</v>
      </c>
      <c r="AN592">
        <v>0</v>
      </c>
      <c r="AO592">
        <f t="shared" si="279"/>
        <v>0</v>
      </c>
      <c r="AP592">
        <f t="shared" si="288"/>
        <v>0</v>
      </c>
      <c r="AQ592">
        <f t="shared" ca="1" si="280"/>
        <v>0.99999999999999978</v>
      </c>
      <c r="AR592" t="str">
        <f t="shared" ca="1" si="281"/>
        <v>Supercritical</v>
      </c>
      <c r="AS592">
        <f t="shared" ca="1" si="282"/>
        <v>3.8148159832266538E-3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191</v>
      </c>
      <c r="I593">
        <v>0.05</v>
      </c>
      <c r="J593">
        <f t="shared" si="283"/>
        <v>1</v>
      </c>
      <c r="K593">
        <f t="shared" si="284"/>
        <v>51</v>
      </c>
      <c r="L593">
        <f t="shared" ca="1" si="285"/>
        <v>0.05</v>
      </c>
      <c r="M593">
        <f t="shared" ca="1" si="258"/>
        <v>0.26</v>
      </c>
      <c r="N593">
        <f t="shared" ca="1" si="259"/>
        <v>4.9056603773584909E-2</v>
      </c>
      <c r="O593">
        <f t="shared" ca="1" si="260"/>
        <v>196.15384615384616</v>
      </c>
      <c r="P593">
        <f t="shared" ca="1" si="261"/>
        <v>632.39049999999997</v>
      </c>
      <c r="Q593">
        <f t="shared" ca="1" si="262"/>
        <v>2593.4675316486619</v>
      </c>
      <c r="R593">
        <f t="shared" ca="1" si="263"/>
        <v>482.07306851378365</v>
      </c>
      <c r="S593">
        <f t="shared" ca="1" si="264"/>
        <v>280.07692026646265</v>
      </c>
      <c r="T593">
        <f t="shared" ca="1" si="265"/>
        <v>1019.7665564573041</v>
      </c>
      <c r="U593">
        <f t="shared" ca="1" si="286"/>
        <v>-482.23599159975447</v>
      </c>
      <c r="V593">
        <f t="shared" ca="1" si="287"/>
        <v>0</v>
      </c>
      <c r="W593">
        <f t="shared" ca="1" si="266"/>
        <v>0.05</v>
      </c>
      <c r="X593">
        <f t="shared" ca="1" si="267"/>
        <v>0.26</v>
      </c>
      <c r="Y593">
        <f t="shared" ca="1" si="268"/>
        <v>4.9056603773584909E-2</v>
      </c>
      <c r="Z593">
        <f t="shared" ca="1" si="269"/>
        <v>196.15384615384616</v>
      </c>
      <c r="AA593">
        <f t="shared" ca="1" si="270"/>
        <v>632.39049999999997</v>
      </c>
      <c r="AB593">
        <f t="shared" ca="1" si="271"/>
        <v>2593.4675316486619</v>
      </c>
      <c r="AC593">
        <f t="shared" ca="1" si="272"/>
        <v>482.07306851378365</v>
      </c>
      <c r="AD593">
        <f t="shared" ca="1" si="273"/>
        <v>280.07692026646265</v>
      </c>
      <c r="AE593">
        <f t="shared" ca="1" si="274"/>
        <v>1019.7665564573041</v>
      </c>
      <c r="AF593">
        <f t="shared" ca="1" si="275"/>
        <v>482.16081698020844</v>
      </c>
      <c r="AG593">
        <f t="shared" ca="1" si="276"/>
        <v>0</v>
      </c>
      <c r="AH593">
        <f ca="1">IF(V32="Supercritical",L593,IF(V32="Subcritical",W593,IF(AND(V593=1,AG593=1),IF(T593&gt;=AE593,L593,W593),IF(V593=1,L593,IF(AG593=1,W593,MAX($D$16,POWER((ABS(K593)^2)/($I$5*MAX(F593,0.1)^2),1/3)))))))</f>
        <v>2.1403668656741068</v>
      </c>
      <c r="AI593">
        <f t="shared" ca="1" si="277"/>
        <v>634.4808668656741</v>
      </c>
      <c r="AJ593">
        <f t="shared" ca="1" si="278"/>
        <v>635.5510502985112</v>
      </c>
      <c r="AM593">
        <v>0</v>
      </c>
      <c r="AN593">
        <v>0</v>
      </c>
      <c r="AO593">
        <f t="shared" si="279"/>
        <v>0</v>
      </c>
      <c r="AP593">
        <f t="shared" si="288"/>
        <v>0</v>
      </c>
      <c r="AQ593">
        <f t="shared" ca="1" si="280"/>
        <v>0.99999999999999978</v>
      </c>
      <c r="AR593" t="str">
        <f t="shared" ca="1" si="281"/>
        <v>Supercritical</v>
      </c>
      <c r="AS593">
        <f t="shared" ca="1" si="282"/>
        <v>3.8148159832266538E-3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191</v>
      </c>
      <c r="I594">
        <v>2.7E-2</v>
      </c>
      <c r="J594">
        <f t="shared" si="283"/>
        <v>1</v>
      </c>
      <c r="K594">
        <f t="shared" si="284"/>
        <v>51</v>
      </c>
      <c r="L594">
        <f t="shared" ca="1" si="285"/>
        <v>0.05</v>
      </c>
      <c r="M594">
        <f t="shared" ca="1" si="258"/>
        <v>0.26</v>
      </c>
      <c r="N594">
        <f t="shared" ca="1" si="259"/>
        <v>4.9056603773584909E-2</v>
      </c>
      <c r="O594">
        <f t="shared" ca="1" si="260"/>
        <v>196.15384615384616</v>
      </c>
      <c r="P594">
        <f t="shared" ca="1" si="261"/>
        <v>632.39</v>
      </c>
      <c r="Q594">
        <f t="shared" ca="1" si="262"/>
        <v>2593.4670316486622</v>
      </c>
      <c r="R594">
        <f t="shared" ca="1" si="263"/>
        <v>482.07306851378365</v>
      </c>
      <c r="S594">
        <f t="shared" ca="1" si="264"/>
        <v>280.07692026646265</v>
      </c>
      <c r="T594">
        <f t="shared" ca="1" si="265"/>
        <v>1019.7665564573041</v>
      </c>
      <c r="U594">
        <f t="shared" ca="1" si="286"/>
        <v>-482.16081698020844</v>
      </c>
      <c r="V594">
        <f t="shared" ca="1" si="287"/>
        <v>0</v>
      </c>
      <c r="W594">
        <f t="shared" ca="1" si="266"/>
        <v>0.05</v>
      </c>
      <c r="X594">
        <f t="shared" ca="1" si="267"/>
        <v>0.26</v>
      </c>
      <c r="Y594">
        <f t="shared" ca="1" si="268"/>
        <v>4.9056603773584909E-2</v>
      </c>
      <c r="Z594">
        <f t="shared" ca="1" si="269"/>
        <v>196.15384615384616</v>
      </c>
      <c r="AA594">
        <f t="shared" ca="1" si="270"/>
        <v>632.39</v>
      </c>
      <c r="AB594">
        <f t="shared" ca="1" si="271"/>
        <v>2593.4670316486622</v>
      </c>
      <c r="AC594">
        <f t="shared" ca="1" si="272"/>
        <v>482.07306851378365</v>
      </c>
      <c r="AD594">
        <f t="shared" ca="1" si="273"/>
        <v>280.07692026646265</v>
      </c>
      <c r="AE594">
        <f t="shared" ca="1" si="274"/>
        <v>1019.7665564573041</v>
      </c>
      <c r="AF594">
        <f t="shared" ca="1" si="275"/>
        <v>482.16081698020798</v>
      </c>
      <c r="AG594">
        <f t="shared" ca="1" si="276"/>
        <v>0</v>
      </c>
      <c r="AH594">
        <f ca="1">IF(V32="Supercritical",L594,IF(V32="Subcritical",W594,IF(AND(V594=1,AG594=1),IF(T594&gt;=AE594,L594,W594),IF(V594=1,L594,IF(AG594=1,W594,MAX($D$16,POWER((ABS(K594)^2)/($I$5*MAX(F594,0.1)^2),1/3)))))))</f>
        <v>2.1403668656741068</v>
      </c>
      <c r="AI594">
        <f t="shared" ca="1" si="277"/>
        <v>634.48036686567411</v>
      </c>
      <c r="AJ594">
        <f t="shared" ca="1" si="278"/>
        <v>635.55055029851121</v>
      </c>
      <c r="AM594">
        <v>0</v>
      </c>
      <c r="AN594">
        <v>0</v>
      </c>
      <c r="AO594">
        <f t="shared" si="279"/>
        <v>0</v>
      </c>
      <c r="AP594">
        <f t="shared" si="288"/>
        <v>0</v>
      </c>
      <c r="AQ594">
        <f t="shared" ca="1" si="280"/>
        <v>0.99999999999999978</v>
      </c>
      <c r="AR594" t="str">
        <f t="shared" ca="1" si="281"/>
        <v>Supercritical</v>
      </c>
      <c r="AS594">
        <f t="shared" ca="1" si="282"/>
        <v>3.8148159832266538E-3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191</v>
      </c>
      <c r="I595">
        <v>2.7E-2</v>
      </c>
      <c r="J595">
        <f t="shared" si="283"/>
        <v>1</v>
      </c>
      <c r="K595">
        <f t="shared" si="284"/>
        <v>51</v>
      </c>
      <c r="L595">
        <f t="shared" ca="1" si="285"/>
        <v>0.05</v>
      </c>
      <c r="M595">
        <f t="shared" ca="1" si="258"/>
        <v>0.26</v>
      </c>
      <c r="N595">
        <f t="shared" ca="1" si="259"/>
        <v>4.9056603773584909E-2</v>
      </c>
      <c r="O595">
        <f t="shared" ca="1" si="260"/>
        <v>196.15384615384616</v>
      </c>
      <c r="P595">
        <f t="shared" ca="1" si="261"/>
        <v>632.3895</v>
      </c>
      <c r="Q595">
        <f t="shared" ca="1" si="262"/>
        <v>2593.4665316486621</v>
      </c>
      <c r="R595">
        <f t="shared" ca="1" si="263"/>
        <v>482.07306851378365</v>
      </c>
      <c r="S595">
        <f t="shared" ca="1" si="264"/>
        <v>280.07692026646265</v>
      </c>
      <c r="T595">
        <f t="shared" ca="1" si="265"/>
        <v>1019.7665564573041</v>
      </c>
      <c r="U595">
        <f t="shared" ca="1" si="286"/>
        <v>-482.16081698020798</v>
      </c>
      <c r="V595">
        <f t="shared" ca="1" si="287"/>
        <v>0</v>
      </c>
      <c r="W595">
        <f t="shared" ca="1" si="266"/>
        <v>0.05</v>
      </c>
      <c r="X595">
        <f t="shared" ca="1" si="267"/>
        <v>0.26</v>
      </c>
      <c r="Y595">
        <f t="shared" ca="1" si="268"/>
        <v>4.9056603773584909E-2</v>
      </c>
      <c r="Z595">
        <f t="shared" ca="1" si="269"/>
        <v>196.15384615384616</v>
      </c>
      <c r="AA595">
        <f t="shared" ca="1" si="270"/>
        <v>632.3895</v>
      </c>
      <c r="AB595">
        <f t="shared" ca="1" si="271"/>
        <v>2593.4665316486621</v>
      </c>
      <c r="AC595">
        <f t="shared" ca="1" si="272"/>
        <v>482.07306851378365</v>
      </c>
      <c r="AD595">
        <f t="shared" ca="1" si="273"/>
        <v>280.07692026646265</v>
      </c>
      <c r="AE595">
        <f t="shared" ca="1" si="274"/>
        <v>1019.7665564573041</v>
      </c>
      <c r="AF595">
        <f t="shared" ca="1" si="275"/>
        <v>482.1477431333301</v>
      </c>
      <c r="AG595">
        <f t="shared" ca="1" si="276"/>
        <v>0</v>
      </c>
      <c r="AH595">
        <f ca="1">IF(V32="Supercritical",L595,IF(V32="Subcritical",W595,IF(AND(V595=1,AG595=1),IF(T595&gt;=AE595,L595,W595),IF(V595=1,L595,IF(AG595=1,W595,MAX($D$16,POWER((ABS(K595)^2)/($I$5*MAX(F595,0.1)^2),1/3)))))))</f>
        <v>2.1403668656741068</v>
      </c>
      <c r="AI595">
        <f t="shared" ca="1" si="277"/>
        <v>634.47986686567413</v>
      </c>
      <c r="AJ595">
        <f t="shared" ca="1" si="278"/>
        <v>635.55005029851122</v>
      </c>
      <c r="AM595">
        <v>0</v>
      </c>
      <c r="AN595">
        <v>0</v>
      </c>
      <c r="AO595">
        <f t="shared" si="279"/>
        <v>0</v>
      </c>
      <c r="AP595">
        <f t="shared" si="288"/>
        <v>0</v>
      </c>
      <c r="AQ595">
        <f t="shared" ca="1" si="280"/>
        <v>0.99999999999999978</v>
      </c>
      <c r="AR595" t="str">
        <f t="shared" ca="1" si="281"/>
        <v>Supercritical</v>
      </c>
      <c r="AS595">
        <f t="shared" ca="1" si="282"/>
        <v>3.8148159832266538E-3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191</v>
      </c>
      <c r="I596">
        <v>2.3E-2</v>
      </c>
      <c r="J596">
        <f t="shared" si="283"/>
        <v>1</v>
      </c>
      <c r="K596">
        <f t="shared" si="284"/>
        <v>51</v>
      </c>
      <c r="L596">
        <f t="shared" ca="1" si="285"/>
        <v>0.05</v>
      </c>
      <c r="M596">
        <f t="shared" ca="1" si="258"/>
        <v>0.26</v>
      </c>
      <c r="N596">
        <f t="shared" ca="1" si="259"/>
        <v>4.9056603773584909E-2</v>
      </c>
      <c r="O596">
        <f t="shared" ca="1" si="260"/>
        <v>196.15384615384616</v>
      </c>
      <c r="P596">
        <f t="shared" ca="1" si="261"/>
        <v>632.38900000000001</v>
      </c>
      <c r="Q596">
        <f t="shared" ca="1" si="262"/>
        <v>2593.466031648662</v>
      </c>
      <c r="R596">
        <f t="shared" ca="1" si="263"/>
        <v>482.07306851378365</v>
      </c>
      <c r="S596">
        <f t="shared" ca="1" si="264"/>
        <v>280.07692026646265</v>
      </c>
      <c r="T596">
        <f t="shared" ca="1" si="265"/>
        <v>1019.7665564573041</v>
      </c>
      <c r="U596">
        <f t="shared" ca="1" si="286"/>
        <v>-482.1477431333301</v>
      </c>
      <c r="V596">
        <f t="shared" ca="1" si="287"/>
        <v>0</v>
      </c>
      <c r="W596">
        <f t="shared" ca="1" si="266"/>
        <v>0.05</v>
      </c>
      <c r="X596">
        <f t="shared" ca="1" si="267"/>
        <v>0.26</v>
      </c>
      <c r="Y596">
        <f t="shared" ca="1" si="268"/>
        <v>4.9056603773584909E-2</v>
      </c>
      <c r="Z596">
        <f t="shared" ca="1" si="269"/>
        <v>196.15384615384616</v>
      </c>
      <c r="AA596">
        <f t="shared" ca="1" si="270"/>
        <v>632.38900000000001</v>
      </c>
      <c r="AB596">
        <f t="shared" ca="1" si="271"/>
        <v>2593.466031648662</v>
      </c>
      <c r="AC596">
        <f t="shared" ca="1" si="272"/>
        <v>482.07306851378365</v>
      </c>
      <c r="AD596">
        <f t="shared" ca="1" si="273"/>
        <v>280.07692026646265</v>
      </c>
      <c r="AE596">
        <f t="shared" ca="1" si="274"/>
        <v>1019.7665564573041</v>
      </c>
      <c r="AF596">
        <f t="shared" ca="1" si="275"/>
        <v>482.62981620185974</v>
      </c>
      <c r="AG596">
        <f t="shared" ca="1" si="276"/>
        <v>0</v>
      </c>
      <c r="AH596">
        <f ca="1">IF(V32="Supercritical",L596,IF(V32="Subcritical",W596,IF(AND(V596=1,AG596=1),IF(T596&gt;=AE596,L596,W596),IF(V596=1,L596,IF(AG596=1,W596,MAX($D$16,POWER((ABS(K596)^2)/($I$5*MAX(F596,0.1)^2),1/3)))))))</f>
        <v>2.1403668656741068</v>
      </c>
      <c r="AI596">
        <f t="shared" ca="1" si="277"/>
        <v>634.47936686567414</v>
      </c>
      <c r="AJ596">
        <f t="shared" ca="1" si="278"/>
        <v>635.54955029851124</v>
      </c>
      <c r="AM596">
        <v>0</v>
      </c>
      <c r="AN596">
        <v>0</v>
      </c>
      <c r="AO596">
        <f t="shared" si="279"/>
        <v>0</v>
      </c>
      <c r="AP596">
        <f t="shared" si="288"/>
        <v>0</v>
      </c>
      <c r="AQ596">
        <f t="shared" ca="1" si="280"/>
        <v>0.99999999999999978</v>
      </c>
      <c r="AR596" t="str">
        <f t="shared" ca="1" si="281"/>
        <v>Supercritical</v>
      </c>
      <c r="AS596">
        <f t="shared" ca="1" si="282"/>
        <v>3.8148159832266538E-3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191</v>
      </c>
      <c r="I597">
        <v>2.3E-2</v>
      </c>
      <c r="J597">
        <f t="shared" si="283"/>
        <v>1.0010000000000332</v>
      </c>
      <c r="K597">
        <f t="shared" si="284"/>
        <v>51</v>
      </c>
      <c r="L597">
        <f t="shared" ca="1" si="285"/>
        <v>0.05</v>
      </c>
      <c r="M597">
        <f t="shared" ca="1" si="258"/>
        <v>0.26</v>
      </c>
      <c r="N597">
        <f t="shared" ca="1" si="259"/>
        <v>4.9056603773584909E-2</v>
      </c>
      <c r="O597">
        <f t="shared" ca="1" si="260"/>
        <v>196.15384615384616</v>
      </c>
      <c r="P597">
        <f t="shared" ca="1" si="261"/>
        <v>632.38849999999991</v>
      </c>
      <c r="Q597">
        <f t="shared" ca="1" si="262"/>
        <v>2593.4655316486619</v>
      </c>
      <c r="R597">
        <f t="shared" ca="1" si="263"/>
        <v>482.07306851378365</v>
      </c>
      <c r="S597">
        <f t="shared" ca="1" si="264"/>
        <v>280.07692026646265</v>
      </c>
      <c r="T597">
        <f t="shared" ca="1" si="265"/>
        <v>1019.7665564573041</v>
      </c>
      <c r="U597">
        <f t="shared" ca="1" si="286"/>
        <v>-482.62981620185974</v>
      </c>
      <c r="V597">
        <f t="shared" ca="1" si="287"/>
        <v>0</v>
      </c>
      <c r="W597">
        <f t="shared" ca="1" si="266"/>
        <v>0.05</v>
      </c>
      <c r="X597">
        <f t="shared" ca="1" si="267"/>
        <v>0.26</v>
      </c>
      <c r="Y597">
        <f t="shared" ca="1" si="268"/>
        <v>4.9056603773584909E-2</v>
      </c>
      <c r="Z597">
        <f t="shared" ca="1" si="269"/>
        <v>196.15384615384616</v>
      </c>
      <c r="AA597">
        <f t="shared" ca="1" si="270"/>
        <v>632.38849999999991</v>
      </c>
      <c r="AB597">
        <f t="shared" ca="1" si="271"/>
        <v>2593.4655316486619</v>
      </c>
      <c r="AC597">
        <f t="shared" ca="1" si="272"/>
        <v>482.07306851378365</v>
      </c>
      <c r="AD597">
        <f t="shared" ca="1" si="273"/>
        <v>280.07692026646265</v>
      </c>
      <c r="AE597">
        <f t="shared" ca="1" si="274"/>
        <v>1019.7665564573041</v>
      </c>
      <c r="AF597">
        <f t="shared" ca="1" si="275"/>
        <v>481.59049544525396</v>
      </c>
      <c r="AG597">
        <f t="shared" ca="1" si="276"/>
        <v>0</v>
      </c>
      <c r="AH597">
        <f ca="1">IF(V32="Supercritical",L597,IF(V32="Subcritical",W597,IF(AND(V597=1,AG597=1),IF(T597&gt;=AE597,L597,W597),IF(V597=1,L597,IF(AG597=1,W597,MAX($D$16,POWER((ABS(K597)^2)/($I$5*MAX(F597,0.1)^2),1/3)))))))</f>
        <v>2.1403668656741068</v>
      </c>
      <c r="AI597">
        <f t="shared" ca="1" si="277"/>
        <v>634.47886686567404</v>
      </c>
      <c r="AJ597">
        <f t="shared" ca="1" si="278"/>
        <v>635.54905029851113</v>
      </c>
      <c r="AM597">
        <v>0</v>
      </c>
      <c r="AN597">
        <v>0</v>
      </c>
      <c r="AO597">
        <f t="shared" si="279"/>
        <v>0</v>
      </c>
      <c r="AP597">
        <f t="shared" si="288"/>
        <v>0</v>
      </c>
      <c r="AQ597">
        <f t="shared" ca="1" si="280"/>
        <v>0.99999999999999978</v>
      </c>
      <c r="AR597" t="str">
        <f t="shared" ca="1" si="281"/>
        <v>Supercritical</v>
      </c>
      <c r="AS597">
        <f t="shared" ca="1" si="282"/>
        <v>3.8148159832266538E-3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191</v>
      </c>
      <c r="I598">
        <v>0</v>
      </c>
      <c r="J598">
        <f t="shared" si="283"/>
        <v>0.9989999999999668</v>
      </c>
      <c r="K598">
        <f t="shared" si="284"/>
        <v>51</v>
      </c>
      <c r="L598">
        <f t="shared" ca="1" si="285"/>
        <v>0.05</v>
      </c>
      <c r="M598">
        <f t="shared" ref="M598:M661" ca="1" si="289">((F598)+(G598)*(L598))*(L598)</f>
        <v>0.26</v>
      </c>
      <c r="N598">
        <f t="shared" ref="N598:N661" ca="1" si="290">(((F598)+(G598)*(L598))*(L598))/MAX((F598)+2*(L598)*SQRT(1+(G598)^2),0.000001)</f>
        <v>4.9056603773584909E-2</v>
      </c>
      <c r="O598">
        <f t="shared" ref="O598:O661" ca="1" si="291">ABS(K598)/MAX(((F598)+(G598)*(L598))*(L598),0.000001)</f>
        <v>196.15384615384616</v>
      </c>
      <c r="P598">
        <f t="shared" ref="P598:P661" ca="1" si="292">E598+L598</f>
        <v>632.38799999999992</v>
      </c>
      <c r="Q598">
        <f t="shared" ref="Q598:Q661" ca="1" si="293">P598+((ABS(K598)/MAX(((F598)+(G598)*(L598))*(L598),0.000001))^2)/(2*$I$5)</f>
        <v>2593.4650316486623</v>
      </c>
      <c r="R598">
        <f t="shared" ref="R598:R661" ca="1" si="294">((ABS(K598)*$D$6)/(MAX(((F598)+(G598)*(L598))*(L598),0.000001)*MAX(((((F598)+(G598)*(L598))*(L598))/MAX((F598)+2*(L598)*SQRT(1+(G598)^2),0.000001))^(2/3),0.000001)))^2</f>
        <v>482.07306851378365</v>
      </c>
      <c r="S598">
        <f t="shared" ref="S598:S661" ca="1" si="295">ABS(ABS(K598)/MAX(((F598)+(G598)*(L598))*(L598),0.000001))/SQRT($I$5*MAX((((F598)+(G598)*(L598))*(L598))/MAX((F598)+2*(G598)*(L598),0.000001),0.000001))</f>
        <v>280.07692026646265</v>
      </c>
      <c r="T598">
        <f t="shared" ref="T598:T661" ca="1" si="296">((F598)*(L598)^2)/2+(G598)*(L598)^3/3+(ABS(K598)^2)/($I$5*MAX(((F598)+(G598)*(L598))*(L598),0.000001))</f>
        <v>1019.7665564573041</v>
      </c>
      <c r="U598">
        <f t="shared" ca="1" si="286"/>
        <v>-481.59049544525442</v>
      </c>
      <c r="V598">
        <f t="shared" ca="1" si="287"/>
        <v>0</v>
      </c>
      <c r="W598">
        <f t="shared" ref="W598:W661" ca="1" si="297">IF(OR($D$20=0,AG599=0),W599,IF(OR(W598=0,AD599&gt;1),MAX($D$16,POWER((ABS(K598)^2)/($I$5*MAX(F598,0.1)^2),1/3)),IF(AF598&gt;0,MAX($D$16,W598+((AF598)*$D$18*IF((AD598)&lt;1,1,-1))),IF(AF598&lt;0,IF(ABS((MAX($D$16,POWER((ABS(K598)^2)/($I$5*MAX(F598,0.1)^2),1/3)))-W598)&gt;$D$19,MAX($D$16,W598+($D$18*((MAX($D$16,POWER((ABS(K598)^2)/($I$5*MAX(F598,0.1)^2),1/3)))-W598))),MAX($D$16,POWER((ABS(K598)^2)/($I$5*MAX(F598,0.1)^2),1/3))),W598))))</f>
        <v>0.05</v>
      </c>
      <c r="X598">
        <f t="shared" ref="X598:X661" ca="1" si="298">((F598)+(G598)*(W598))*(W598)</f>
        <v>0.26</v>
      </c>
      <c r="Y598">
        <f t="shared" ref="Y598:Y661" ca="1" si="299">(((F598)+(G598)*(W598))*(W598))/MAX((F598)+2*(W598)*SQRT(1+(G598)^2),0.000001)</f>
        <v>4.9056603773584909E-2</v>
      </c>
      <c r="Z598">
        <f t="shared" ref="Z598:Z661" ca="1" si="300">ABS(K598)/MAX(((F598)+(G598)*(W598))*(W598),0.000001)</f>
        <v>196.15384615384616</v>
      </c>
      <c r="AA598">
        <f t="shared" ref="AA598:AA661" ca="1" si="301">E598+W598</f>
        <v>632.38799999999992</v>
      </c>
      <c r="AB598">
        <f t="shared" ref="AB598:AB661" ca="1" si="302">AA598+((ABS(K598)/MAX(((F598)+(G598)*(W598))*(W598),0.000001))^2)/(2*$I$5)</f>
        <v>2593.4650316486623</v>
      </c>
      <c r="AC598">
        <f t="shared" ref="AC598:AC661" ca="1" si="303">((ABS(K598)*$D$6)/(MAX(((F598)+(G598)*(W598))*(W598),0.000001)*MAX(((((F598)+(G598)*(W598))*(W598))/MAX((F598)+2*(W598)*SQRT(1+(G598)^2),0.000001))^(2/3),0.000001)))^2</f>
        <v>482.07306851378365</v>
      </c>
      <c r="AD598">
        <f t="shared" ref="AD598:AD661" ca="1" si="304">ABS(ABS(K598)/MAX(((F598)+(G598)*(W598))*(W598),0.000001))/SQRT($I$5*MAX((((F598)+(G598)*(W598))*(W598))/MAX((F598)+2*(G598)*(W598),0.000001),0.000001))</f>
        <v>280.07692026646265</v>
      </c>
      <c r="AE598">
        <f t="shared" ref="AE598:AE661" ca="1" si="305">((F598)*(W598)^2)/2+(G598)*(W598)^3/3+(ABS(K598)^2)/($I$5*MAX(((F598)+(G598)*(W598))*(W598),0.000001))</f>
        <v>1019.7665564573041</v>
      </c>
      <c r="AF598">
        <f t="shared" ref="AF598:AF661" ca="1" si="306">AB599+(((AC598+AC599)/2)*J599)+(IF(Z598&gt;Z599,$D$8*((Z598^2-Z599^2)/(2*$I$5)),$D$9*((Z599^2-Z598^2)/(2*$I$5)))+($D$10*(ABS(I599)/90)*(MAX(Z598^2,Z599^2)/(2*$I$5))))-AB598</f>
        <v>482.16081698020798</v>
      </c>
      <c r="AG598">
        <f t="shared" ref="AG598:AG661" ca="1" si="307">IF(ROUND(AD598,3)=1,1,IF(AND(ABS(AF598)&lt;$D$19,AD598&lt;1),1,0))</f>
        <v>0</v>
      </c>
      <c r="AH598">
        <f ca="1">IF(V32="Supercritical",L598,IF(V32="Subcritical",W598,IF(AND(V598=1,AG598=1),IF(T598&gt;=AE598,L598,W598),IF(V598=1,L598,IF(AG598=1,W598,MAX($D$16,POWER((ABS(K598)^2)/($I$5*MAX(F598,0.1)^2),1/3)))))))</f>
        <v>2.1403668656741068</v>
      </c>
      <c r="AI598">
        <f t="shared" ref="AI598:AI661" ca="1" si="308">E598+AH598</f>
        <v>634.47836686567405</v>
      </c>
      <c r="AJ598">
        <f t="shared" ref="AJ598:AJ661" ca="1" si="309">AI598+((ABS(K598)/MAX(((F598)+(G598)*(AH598))*(AH598),0.000001))^2)/(2*$I$5)</f>
        <v>635.54855029851115</v>
      </c>
      <c r="AM598">
        <v>0</v>
      </c>
      <c r="AN598">
        <v>0</v>
      </c>
      <c r="AO598">
        <f t="shared" ref="AO598:AO661" si="310">AM598+AN598</f>
        <v>0</v>
      </c>
      <c r="AP598">
        <f t="shared" si="288"/>
        <v>0</v>
      </c>
      <c r="AQ598">
        <f t="shared" ref="AQ598:AQ661" ca="1" si="311">ABS(ABS(K598)/MAX(((F598)+(G598)*(AH598))*(AH598),0.000001))/SQRT($I$5*MAX((((F598)+(G598)*(AH598))*(AH598))/MAX((F598)+2*(G598)*(AH598),0.000001),0.000001))</f>
        <v>0.99999999999999978</v>
      </c>
      <c r="AR598" t="str">
        <f t="shared" ref="AR598:AR661" ca="1" si="312">IF(AQ598&lt;1,"Subcritical","Supercritical")</f>
        <v>Supercritical</v>
      </c>
      <c r="AS598">
        <f t="shared" ref="AS598:AS661" ca="1" si="313">((ABS(K598)*$D$6)/(MAX(((F598)+(G598)*(AH598))*(AH598),0.000001)*MAX(((((F598)+(G598)*(AH598))*(AH598))/MAX((F598)+2*(AH598)*SQRT(1+(G598)^2),0.000001))^(2/3),0.000001)))^2</f>
        <v>3.8148159832266538E-3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191</v>
      </c>
      <c r="I599">
        <v>2.7E-2</v>
      </c>
      <c r="J599">
        <f t="shared" ref="J599:J662" si="314">B599-B598</f>
        <v>1</v>
      </c>
      <c r="K599">
        <f t="shared" ref="K599:K662" si="315">MAX(0,K598-AO598)</f>
        <v>51</v>
      </c>
      <c r="L599">
        <f t="shared" ref="L599:L662" ca="1" si="316">IF(OR($D$20=0,V598=0),L598,IF(OR(L599=0,S598&lt;1,S599&lt;1),MAX($D$16,POWER((ABS(K599)^2)/($I$5*MAX(F599,0.1)^2),1/3)),IF(U599&gt;0,MAX($D$16,L599+((U599)*$D$18*IF((S599)&lt;1,1,-1))),IF(U599&lt;0,IF(ABS((MAX($D$16,POWER((ABS(K599)^2)/($I$5*MAX(F599,0.1)^2),1/3)))-L599)&gt;$D$19,MAX($D$16,L599+($D$18*((MAX($D$16,POWER((ABS(K599)^2)/($I$5*MAX(F599,0.1)^2),1/3)))-L599))),MAX($D$16,POWER((ABS(K599)^2)/($I$5*MAX(F599,0.1)^2),1/3))),L599))))</f>
        <v>0.05</v>
      </c>
      <c r="M599">
        <f t="shared" ca="1" si="289"/>
        <v>0.26</v>
      </c>
      <c r="N599">
        <f t="shared" ca="1" si="290"/>
        <v>4.9056603773584909E-2</v>
      </c>
      <c r="O599">
        <f t="shared" ca="1" si="291"/>
        <v>196.15384615384616</v>
      </c>
      <c r="P599">
        <f t="shared" ca="1" si="292"/>
        <v>632.38749999999993</v>
      </c>
      <c r="Q599">
        <f t="shared" ca="1" si="293"/>
        <v>2593.4645316486622</v>
      </c>
      <c r="R599">
        <f t="shared" ca="1" si="294"/>
        <v>482.07306851378365</v>
      </c>
      <c r="S599">
        <f t="shared" ca="1" si="295"/>
        <v>280.07692026646265</v>
      </c>
      <c r="T599">
        <f t="shared" ca="1" si="296"/>
        <v>1019.7665564573041</v>
      </c>
      <c r="U599">
        <f t="shared" ref="U599:U662" ca="1" si="317">Q598-(((R598+R599)/2)*J599)-(IF(O598&gt;O599,$D$8*((O598^2-O599^2)/(2*$I$5)),$D$9*((O599^2-O598^2)/(2*$I$5)))+($D$10*(ABS(I599)/90)*(MAX(O598^2,O599^2)/(2*$I$5))))-Q599</f>
        <v>-482.16081698020798</v>
      </c>
      <c r="V599">
        <f t="shared" ref="V599:V662" ca="1" si="318">IF(ROUND(S599,3)=1,1,IF(AND(ABS(U599)&lt;$D$19,S599&gt;1),1,0))</f>
        <v>0</v>
      </c>
      <c r="W599">
        <f t="shared" ca="1" si="297"/>
        <v>0.05</v>
      </c>
      <c r="X599">
        <f t="shared" ca="1" si="298"/>
        <v>0.26</v>
      </c>
      <c r="Y599">
        <f t="shared" ca="1" si="299"/>
        <v>4.9056603773584909E-2</v>
      </c>
      <c r="Z599">
        <f t="shared" ca="1" si="300"/>
        <v>196.15384615384616</v>
      </c>
      <c r="AA599">
        <f t="shared" ca="1" si="301"/>
        <v>632.38749999999993</v>
      </c>
      <c r="AB599">
        <f t="shared" ca="1" si="302"/>
        <v>2593.4645316486622</v>
      </c>
      <c r="AC599">
        <f t="shared" ca="1" si="303"/>
        <v>482.07306851378365</v>
      </c>
      <c r="AD599">
        <f t="shared" ca="1" si="304"/>
        <v>280.07692026646265</v>
      </c>
      <c r="AE599">
        <f t="shared" ca="1" si="305"/>
        <v>1019.7665564573041</v>
      </c>
      <c r="AF599">
        <f t="shared" ca="1" si="306"/>
        <v>482.32750852789786</v>
      </c>
      <c r="AG599">
        <f t="shared" ca="1" si="307"/>
        <v>0</v>
      </c>
      <c r="AH599">
        <f ca="1">IF(V32="Supercritical",L599,IF(V32="Subcritical",W599,IF(AND(V599=1,AG599=1),IF(T599&gt;=AE599,L599,W599),IF(V599=1,L599,IF(AG599=1,W599,MAX($D$16,POWER((ABS(K599)^2)/($I$5*MAX(F599,0.1)^2),1/3)))))))</f>
        <v>2.1403668656741068</v>
      </c>
      <c r="AI599">
        <f t="shared" ca="1" si="308"/>
        <v>634.47786686567406</v>
      </c>
      <c r="AJ599">
        <f t="shared" ca="1" si="309"/>
        <v>635.54805029851116</v>
      </c>
      <c r="AM599">
        <v>0</v>
      </c>
      <c r="AN599">
        <v>0</v>
      </c>
      <c r="AO599">
        <f t="shared" si="310"/>
        <v>0</v>
      </c>
      <c r="AP599">
        <f t="shared" ref="AP599:AP662" si="319">AP598+AO599</f>
        <v>0</v>
      </c>
      <c r="AQ599">
        <f t="shared" ca="1" si="311"/>
        <v>0.99999999999999978</v>
      </c>
      <c r="AR599" t="str">
        <f t="shared" ca="1" si="312"/>
        <v>Supercritical</v>
      </c>
      <c r="AS599">
        <f t="shared" ca="1" si="313"/>
        <v>3.8148159832266538E-3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191</v>
      </c>
      <c r="I600">
        <v>7.8E-2</v>
      </c>
      <c r="J600">
        <f t="shared" si="314"/>
        <v>1</v>
      </c>
      <c r="K600">
        <f t="shared" si="315"/>
        <v>51</v>
      </c>
      <c r="L600">
        <f t="shared" ca="1" si="316"/>
        <v>0.05</v>
      </c>
      <c r="M600">
        <f t="shared" ca="1" si="289"/>
        <v>0.26</v>
      </c>
      <c r="N600">
        <f t="shared" ca="1" si="290"/>
        <v>4.9056603773584909E-2</v>
      </c>
      <c r="O600">
        <f t="shared" ca="1" si="291"/>
        <v>196.15384615384616</v>
      </c>
      <c r="P600">
        <f t="shared" ca="1" si="292"/>
        <v>632.38699999999994</v>
      </c>
      <c r="Q600">
        <f t="shared" ca="1" si="293"/>
        <v>2593.4640316486621</v>
      </c>
      <c r="R600">
        <f t="shared" ca="1" si="294"/>
        <v>482.07306851378365</v>
      </c>
      <c r="S600">
        <f t="shared" ca="1" si="295"/>
        <v>280.07692026646265</v>
      </c>
      <c r="T600">
        <f t="shared" ca="1" si="296"/>
        <v>1019.7665564573041</v>
      </c>
      <c r="U600">
        <f t="shared" ca="1" si="317"/>
        <v>-482.32750852789786</v>
      </c>
      <c r="V600">
        <f t="shared" ca="1" si="318"/>
        <v>0</v>
      </c>
      <c r="W600">
        <f t="shared" ca="1" si="297"/>
        <v>0.05</v>
      </c>
      <c r="X600">
        <f t="shared" ca="1" si="298"/>
        <v>0.26</v>
      </c>
      <c r="Y600">
        <f t="shared" ca="1" si="299"/>
        <v>4.9056603773584909E-2</v>
      </c>
      <c r="Z600">
        <f t="shared" ca="1" si="300"/>
        <v>196.15384615384616</v>
      </c>
      <c r="AA600">
        <f t="shared" ca="1" si="301"/>
        <v>632.38699999999994</v>
      </c>
      <c r="AB600">
        <f t="shared" ca="1" si="302"/>
        <v>2593.4640316486621</v>
      </c>
      <c r="AC600">
        <f t="shared" ca="1" si="303"/>
        <v>482.07306851378365</v>
      </c>
      <c r="AD600">
        <f t="shared" ca="1" si="304"/>
        <v>280.07692026646265</v>
      </c>
      <c r="AE600">
        <f t="shared" ca="1" si="305"/>
        <v>1019.7665564573041</v>
      </c>
      <c r="AF600">
        <f t="shared" ca="1" si="306"/>
        <v>482.32750852789786</v>
      </c>
      <c r="AG600">
        <f t="shared" ca="1" si="307"/>
        <v>0</v>
      </c>
      <c r="AH600">
        <f ca="1">IF(V32="Supercritical",L600,IF(V32="Subcritical",W600,IF(AND(V600=1,AG600=1),IF(T600&gt;=AE600,L600,W600),IF(V600=1,L600,IF(AG600=1,W600,MAX($D$16,POWER((ABS(K600)^2)/($I$5*MAX(F600,0.1)^2),1/3)))))))</f>
        <v>2.1403668656741068</v>
      </c>
      <c r="AI600">
        <f t="shared" ca="1" si="308"/>
        <v>634.47736686567407</v>
      </c>
      <c r="AJ600">
        <f t="shared" ca="1" si="309"/>
        <v>635.54755029851117</v>
      </c>
      <c r="AM600">
        <v>0</v>
      </c>
      <c r="AN600">
        <v>0</v>
      </c>
      <c r="AO600">
        <f t="shared" si="310"/>
        <v>0</v>
      </c>
      <c r="AP600">
        <f t="shared" si="319"/>
        <v>0</v>
      </c>
      <c r="AQ600">
        <f t="shared" ca="1" si="311"/>
        <v>0.99999999999999978</v>
      </c>
      <c r="AR600" t="str">
        <f t="shared" ca="1" si="312"/>
        <v>Supercritical</v>
      </c>
      <c r="AS600">
        <f t="shared" ca="1" si="313"/>
        <v>3.8148159832266538E-3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191</v>
      </c>
      <c r="I601">
        <v>7.8E-2</v>
      </c>
      <c r="J601">
        <f t="shared" si="314"/>
        <v>1</v>
      </c>
      <c r="K601">
        <f t="shared" si="315"/>
        <v>51</v>
      </c>
      <c r="L601">
        <f t="shared" ca="1" si="316"/>
        <v>0.05</v>
      </c>
      <c r="M601">
        <f t="shared" ca="1" si="289"/>
        <v>0.26</v>
      </c>
      <c r="N601">
        <f t="shared" ca="1" si="290"/>
        <v>4.9056603773584909E-2</v>
      </c>
      <c r="O601">
        <f t="shared" ca="1" si="291"/>
        <v>196.15384615384616</v>
      </c>
      <c r="P601">
        <f t="shared" ca="1" si="292"/>
        <v>632.38649999999996</v>
      </c>
      <c r="Q601">
        <f t="shared" ca="1" si="293"/>
        <v>2593.463531648662</v>
      </c>
      <c r="R601">
        <f t="shared" ca="1" si="294"/>
        <v>482.07306851378365</v>
      </c>
      <c r="S601">
        <f t="shared" ca="1" si="295"/>
        <v>280.07692026646265</v>
      </c>
      <c r="T601">
        <f t="shared" ca="1" si="296"/>
        <v>1019.7665564573041</v>
      </c>
      <c r="U601">
        <f t="shared" ca="1" si="317"/>
        <v>-482.32750852789786</v>
      </c>
      <c r="V601">
        <f t="shared" ca="1" si="318"/>
        <v>0</v>
      </c>
      <c r="W601">
        <f t="shared" ca="1" si="297"/>
        <v>0.05</v>
      </c>
      <c r="X601">
        <f t="shared" ca="1" si="298"/>
        <v>0.26</v>
      </c>
      <c r="Y601">
        <f t="shared" ca="1" si="299"/>
        <v>4.9056603773584909E-2</v>
      </c>
      <c r="Z601">
        <f t="shared" ca="1" si="300"/>
        <v>196.15384615384616</v>
      </c>
      <c r="AA601">
        <f t="shared" ca="1" si="301"/>
        <v>632.38649999999996</v>
      </c>
      <c r="AB601">
        <f t="shared" ca="1" si="302"/>
        <v>2593.463531648662</v>
      </c>
      <c r="AC601">
        <f t="shared" ca="1" si="303"/>
        <v>482.07306851378365</v>
      </c>
      <c r="AD601">
        <f t="shared" ca="1" si="304"/>
        <v>280.07692026646265</v>
      </c>
      <c r="AE601">
        <f t="shared" ca="1" si="305"/>
        <v>1019.7665564573041</v>
      </c>
      <c r="AF601">
        <f t="shared" ca="1" si="306"/>
        <v>482.64289004873763</v>
      </c>
      <c r="AG601">
        <f t="shared" ca="1" si="307"/>
        <v>0</v>
      </c>
      <c r="AH601">
        <f ca="1">IF(V32="Supercritical",L601,IF(V32="Subcritical",W601,IF(AND(V601=1,AG601=1),IF(T601&gt;=AE601,L601,W601),IF(V601=1,L601,IF(AG601=1,W601,MAX($D$16,POWER((ABS(K601)^2)/($I$5*MAX(F601,0.1)^2),1/3)))))))</f>
        <v>2.1403668656741068</v>
      </c>
      <c r="AI601">
        <f t="shared" ca="1" si="308"/>
        <v>634.47686686567408</v>
      </c>
      <c r="AJ601">
        <f t="shared" ca="1" si="309"/>
        <v>635.54705029851118</v>
      </c>
      <c r="AM601">
        <v>0</v>
      </c>
      <c r="AN601">
        <v>0</v>
      </c>
      <c r="AO601">
        <f t="shared" si="310"/>
        <v>0</v>
      </c>
      <c r="AP601">
        <f t="shared" si="319"/>
        <v>0</v>
      </c>
      <c r="AQ601">
        <f t="shared" ca="1" si="311"/>
        <v>0.99999999999999978</v>
      </c>
      <c r="AR601" t="str">
        <f t="shared" ca="1" si="312"/>
        <v>Supercritical</v>
      </c>
      <c r="AS601">
        <f t="shared" ca="1" si="313"/>
        <v>3.8148159832266538E-3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191</v>
      </c>
      <c r="I602">
        <v>2.7E-2</v>
      </c>
      <c r="J602">
        <f t="shared" si="314"/>
        <v>1.0010000000000332</v>
      </c>
      <c r="K602">
        <f t="shared" si="315"/>
        <v>51</v>
      </c>
      <c r="L602">
        <f t="shared" ca="1" si="316"/>
        <v>0.05</v>
      </c>
      <c r="M602">
        <f t="shared" ca="1" si="289"/>
        <v>0.26</v>
      </c>
      <c r="N602">
        <f t="shared" ca="1" si="290"/>
        <v>4.9056603773584909E-2</v>
      </c>
      <c r="O602">
        <f t="shared" ca="1" si="291"/>
        <v>196.15384615384616</v>
      </c>
      <c r="P602">
        <f t="shared" ca="1" si="292"/>
        <v>632.38599999999997</v>
      </c>
      <c r="Q602">
        <f t="shared" ca="1" si="293"/>
        <v>2593.4630316486619</v>
      </c>
      <c r="R602">
        <f t="shared" ca="1" si="294"/>
        <v>482.07306851378365</v>
      </c>
      <c r="S602">
        <f t="shared" ca="1" si="295"/>
        <v>280.07692026646265</v>
      </c>
      <c r="T602">
        <f t="shared" ca="1" si="296"/>
        <v>1019.7665564573041</v>
      </c>
      <c r="U602">
        <f t="shared" ca="1" si="317"/>
        <v>-482.64289004873763</v>
      </c>
      <c r="V602">
        <f t="shared" ca="1" si="318"/>
        <v>0</v>
      </c>
      <c r="W602">
        <f t="shared" ca="1" si="297"/>
        <v>0.05</v>
      </c>
      <c r="X602">
        <f t="shared" ca="1" si="298"/>
        <v>0.26</v>
      </c>
      <c r="Y602">
        <f t="shared" ca="1" si="299"/>
        <v>4.9056603773584909E-2</v>
      </c>
      <c r="Z602">
        <f t="shared" ca="1" si="300"/>
        <v>196.15384615384616</v>
      </c>
      <c r="AA602">
        <f t="shared" ca="1" si="301"/>
        <v>632.38599999999997</v>
      </c>
      <c r="AB602">
        <f t="shared" ca="1" si="302"/>
        <v>2593.4630316486619</v>
      </c>
      <c r="AC602">
        <f t="shared" ca="1" si="303"/>
        <v>482.07306851378365</v>
      </c>
      <c r="AD602">
        <f t="shared" ca="1" si="304"/>
        <v>280.07692026646265</v>
      </c>
      <c r="AE602">
        <f t="shared" ca="1" si="305"/>
        <v>1019.7665564573041</v>
      </c>
      <c r="AF602">
        <f t="shared" ca="1" si="306"/>
        <v>481.59049544525442</v>
      </c>
      <c r="AG602">
        <f t="shared" ca="1" si="307"/>
        <v>0</v>
      </c>
      <c r="AH602">
        <f ca="1">IF(V32="Supercritical",L602,IF(V32="Subcritical",W602,IF(AND(V602=1,AG602=1),IF(T602&gt;=AE602,L602,W602),IF(V602=1,L602,IF(AG602=1,W602,MAX($D$16,POWER((ABS(K602)^2)/($I$5*MAX(F602,0.1)^2),1/3)))))))</f>
        <v>2.1403668656741068</v>
      </c>
      <c r="AI602">
        <f t="shared" ca="1" si="308"/>
        <v>634.47636686567409</v>
      </c>
      <c r="AJ602">
        <f t="shared" ca="1" si="309"/>
        <v>635.54655029851119</v>
      </c>
      <c r="AM602">
        <v>0</v>
      </c>
      <c r="AN602">
        <v>0</v>
      </c>
      <c r="AO602">
        <f t="shared" si="310"/>
        <v>0</v>
      </c>
      <c r="AP602">
        <f t="shared" si="319"/>
        <v>0</v>
      </c>
      <c r="AQ602">
        <f t="shared" ca="1" si="311"/>
        <v>0.99999999999999978</v>
      </c>
      <c r="AR602" t="str">
        <f t="shared" ca="1" si="312"/>
        <v>Supercritical</v>
      </c>
      <c r="AS602">
        <f t="shared" ca="1" si="313"/>
        <v>3.8148159832266538E-3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191</v>
      </c>
      <c r="I603">
        <v>0</v>
      </c>
      <c r="J603">
        <f t="shared" si="314"/>
        <v>0.9989999999999668</v>
      </c>
      <c r="K603">
        <f t="shared" si="315"/>
        <v>51</v>
      </c>
      <c r="L603">
        <f t="shared" ca="1" si="316"/>
        <v>0.05</v>
      </c>
      <c r="M603">
        <f t="shared" ca="1" si="289"/>
        <v>0.26</v>
      </c>
      <c r="N603">
        <f t="shared" ca="1" si="290"/>
        <v>4.9056603773584909E-2</v>
      </c>
      <c r="O603">
        <f t="shared" ca="1" si="291"/>
        <v>196.15384615384616</v>
      </c>
      <c r="P603">
        <f t="shared" ca="1" si="292"/>
        <v>632.38549999999998</v>
      </c>
      <c r="Q603">
        <f t="shared" ca="1" si="293"/>
        <v>2593.4625316486622</v>
      </c>
      <c r="R603">
        <f t="shared" ca="1" si="294"/>
        <v>482.07306851378365</v>
      </c>
      <c r="S603">
        <f t="shared" ca="1" si="295"/>
        <v>280.07692026646265</v>
      </c>
      <c r="T603">
        <f t="shared" ca="1" si="296"/>
        <v>1019.7665564573041</v>
      </c>
      <c r="U603">
        <f t="shared" ca="1" si="317"/>
        <v>-481.59049544525396</v>
      </c>
      <c r="V603">
        <f t="shared" ca="1" si="318"/>
        <v>0</v>
      </c>
      <c r="W603">
        <f t="shared" ca="1" si="297"/>
        <v>0.05</v>
      </c>
      <c r="X603">
        <f t="shared" ca="1" si="298"/>
        <v>0.26</v>
      </c>
      <c r="Y603">
        <f t="shared" ca="1" si="299"/>
        <v>4.9056603773584909E-2</v>
      </c>
      <c r="Z603">
        <f t="shared" ca="1" si="300"/>
        <v>196.15384615384616</v>
      </c>
      <c r="AA603">
        <f t="shared" ca="1" si="301"/>
        <v>632.38549999999998</v>
      </c>
      <c r="AB603">
        <f t="shared" ca="1" si="302"/>
        <v>2593.4625316486622</v>
      </c>
      <c r="AC603">
        <f t="shared" ca="1" si="303"/>
        <v>482.07306851378365</v>
      </c>
      <c r="AD603">
        <f t="shared" ca="1" si="304"/>
        <v>280.07692026646265</v>
      </c>
      <c r="AE603">
        <f t="shared" ca="1" si="305"/>
        <v>1019.7665564573041</v>
      </c>
      <c r="AF603">
        <f t="shared" ca="1" si="306"/>
        <v>482.16081698020798</v>
      </c>
      <c r="AG603">
        <f t="shared" ca="1" si="307"/>
        <v>0</v>
      </c>
      <c r="AH603">
        <f ca="1">IF(V32="Supercritical",L603,IF(V32="Subcritical",W603,IF(AND(V603=1,AG603=1),IF(T603&gt;=AE603,L603,W603),IF(V603=1,L603,IF(AG603=1,W603,MAX($D$16,POWER((ABS(K603)^2)/($I$5*MAX(F603,0.1)^2),1/3)))))))</f>
        <v>2.1403668656741068</v>
      </c>
      <c r="AI603">
        <f t="shared" ca="1" si="308"/>
        <v>634.47586686567411</v>
      </c>
      <c r="AJ603">
        <f t="shared" ca="1" si="309"/>
        <v>635.5460502985112</v>
      </c>
      <c r="AM603">
        <v>0</v>
      </c>
      <c r="AN603">
        <v>0</v>
      </c>
      <c r="AO603">
        <f t="shared" si="310"/>
        <v>0</v>
      </c>
      <c r="AP603">
        <f t="shared" si="319"/>
        <v>0</v>
      </c>
      <c r="AQ603">
        <f t="shared" ca="1" si="311"/>
        <v>0.99999999999999978</v>
      </c>
      <c r="AR603" t="str">
        <f t="shared" ca="1" si="312"/>
        <v>Supercritical</v>
      </c>
      <c r="AS603">
        <f t="shared" ca="1" si="313"/>
        <v>3.8148159832266538E-3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191</v>
      </c>
      <c r="I604">
        <v>2.7E-2</v>
      </c>
      <c r="J604">
        <f t="shared" si="314"/>
        <v>1</v>
      </c>
      <c r="K604">
        <f t="shared" si="315"/>
        <v>51</v>
      </c>
      <c r="L604">
        <f t="shared" ca="1" si="316"/>
        <v>0.05</v>
      </c>
      <c r="M604">
        <f t="shared" ca="1" si="289"/>
        <v>0.26</v>
      </c>
      <c r="N604">
        <f t="shared" ca="1" si="290"/>
        <v>4.9056603773584909E-2</v>
      </c>
      <c r="O604">
        <f t="shared" ca="1" si="291"/>
        <v>196.15384615384616</v>
      </c>
      <c r="P604">
        <f t="shared" ca="1" si="292"/>
        <v>632.38499999999999</v>
      </c>
      <c r="Q604">
        <f t="shared" ca="1" si="293"/>
        <v>2593.4620316486621</v>
      </c>
      <c r="R604">
        <f t="shared" ca="1" si="294"/>
        <v>482.07306851378365</v>
      </c>
      <c r="S604">
        <f t="shared" ca="1" si="295"/>
        <v>280.07692026646265</v>
      </c>
      <c r="T604">
        <f t="shared" ca="1" si="296"/>
        <v>1019.7665564573041</v>
      </c>
      <c r="U604">
        <f t="shared" ca="1" si="317"/>
        <v>-482.16081698020798</v>
      </c>
      <c r="V604">
        <f t="shared" ca="1" si="318"/>
        <v>0</v>
      </c>
      <c r="W604">
        <f t="shared" ca="1" si="297"/>
        <v>0.05</v>
      </c>
      <c r="X604">
        <f t="shared" ca="1" si="298"/>
        <v>0.26</v>
      </c>
      <c r="Y604">
        <f t="shared" ca="1" si="299"/>
        <v>4.9056603773584909E-2</v>
      </c>
      <c r="Z604">
        <f t="shared" ca="1" si="300"/>
        <v>196.15384615384616</v>
      </c>
      <c r="AA604">
        <f t="shared" ca="1" si="301"/>
        <v>632.38499999999999</v>
      </c>
      <c r="AB604">
        <f t="shared" ca="1" si="302"/>
        <v>2593.4620316486621</v>
      </c>
      <c r="AC604">
        <f t="shared" ca="1" si="303"/>
        <v>482.07306851378365</v>
      </c>
      <c r="AD604">
        <f t="shared" ca="1" si="304"/>
        <v>280.07692026646265</v>
      </c>
      <c r="AE604">
        <f t="shared" ca="1" si="305"/>
        <v>1019.7665564573041</v>
      </c>
      <c r="AF604">
        <f t="shared" ca="1" si="306"/>
        <v>482.32750852789786</v>
      </c>
      <c r="AG604">
        <f t="shared" ca="1" si="307"/>
        <v>0</v>
      </c>
      <c r="AH604">
        <f ca="1">IF(V32="Supercritical",L604,IF(V32="Subcritical",W604,IF(AND(V604=1,AG604=1),IF(T604&gt;=AE604,L604,W604),IF(V604=1,L604,IF(AG604=1,W604,MAX($D$16,POWER((ABS(K604)^2)/($I$5*MAX(F604,0.1)^2),1/3)))))))</f>
        <v>2.1403668656741068</v>
      </c>
      <c r="AI604">
        <f t="shared" ca="1" si="308"/>
        <v>634.47536686567412</v>
      </c>
      <c r="AJ604">
        <f t="shared" ca="1" si="309"/>
        <v>635.54555029851122</v>
      </c>
      <c r="AM604">
        <v>0</v>
      </c>
      <c r="AN604">
        <v>0</v>
      </c>
      <c r="AO604">
        <f t="shared" si="310"/>
        <v>0</v>
      </c>
      <c r="AP604">
        <f t="shared" si="319"/>
        <v>0</v>
      </c>
      <c r="AQ604">
        <f t="shared" ca="1" si="311"/>
        <v>0.99999999999999978</v>
      </c>
      <c r="AR604" t="str">
        <f t="shared" ca="1" si="312"/>
        <v>Supercritical</v>
      </c>
      <c r="AS604">
        <f t="shared" ca="1" si="313"/>
        <v>3.8148159832266538E-3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191</v>
      </c>
      <c r="I605">
        <v>7.8E-2</v>
      </c>
      <c r="J605">
        <f t="shared" si="314"/>
        <v>1</v>
      </c>
      <c r="K605">
        <f t="shared" si="315"/>
        <v>51</v>
      </c>
      <c r="L605">
        <f t="shared" ca="1" si="316"/>
        <v>0.05</v>
      </c>
      <c r="M605">
        <f t="shared" ca="1" si="289"/>
        <v>0.26</v>
      </c>
      <c r="N605">
        <f t="shared" ca="1" si="290"/>
        <v>4.9056603773584909E-2</v>
      </c>
      <c r="O605">
        <f t="shared" ca="1" si="291"/>
        <v>196.15384615384616</v>
      </c>
      <c r="P605">
        <f t="shared" ca="1" si="292"/>
        <v>632.3845</v>
      </c>
      <c r="Q605">
        <f t="shared" ca="1" si="293"/>
        <v>2593.461531648662</v>
      </c>
      <c r="R605">
        <f t="shared" ca="1" si="294"/>
        <v>482.07306851378365</v>
      </c>
      <c r="S605">
        <f t="shared" ca="1" si="295"/>
        <v>280.07692026646265</v>
      </c>
      <c r="T605">
        <f t="shared" ca="1" si="296"/>
        <v>1019.7665564573041</v>
      </c>
      <c r="U605">
        <f t="shared" ca="1" si="317"/>
        <v>-482.32750852789786</v>
      </c>
      <c r="V605">
        <f t="shared" ca="1" si="318"/>
        <v>0</v>
      </c>
      <c r="W605">
        <f t="shared" ca="1" si="297"/>
        <v>0.05</v>
      </c>
      <c r="X605">
        <f t="shared" ca="1" si="298"/>
        <v>0.26</v>
      </c>
      <c r="Y605">
        <f t="shared" ca="1" si="299"/>
        <v>4.9056603773584909E-2</v>
      </c>
      <c r="Z605">
        <f t="shared" ca="1" si="300"/>
        <v>196.15384615384616</v>
      </c>
      <c r="AA605">
        <f t="shared" ca="1" si="301"/>
        <v>632.3845</v>
      </c>
      <c r="AB605">
        <f t="shared" ca="1" si="302"/>
        <v>2593.461531648662</v>
      </c>
      <c r="AC605">
        <f t="shared" ca="1" si="303"/>
        <v>482.07306851378365</v>
      </c>
      <c r="AD605">
        <f t="shared" ca="1" si="304"/>
        <v>280.07692026646265</v>
      </c>
      <c r="AE605">
        <f t="shared" ca="1" si="305"/>
        <v>1019.7665564573041</v>
      </c>
      <c r="AF605">
        <f t="shared" ca="1" si="306"/>
        <v>482.32750852789786</v>
      </c>
      <c r="AG605">
        <f t="shared" ca="1" si="307"/>
        <v>0</v>
      </c>
      <c r="AH605">
        <f ca="1">IF(V32="Supercritical",L605,IF(V32="Subcritical",W605,IF(AND(V605=1,AG605=1),IF(T605&gt;=AE605,L605,W605),IF(V605=1,L605,IF(AG605=1,W605,MAX($D$16,POWER((ABS(K605)^2)/($I$5*MAX(F605,0.1)^2),1/3)))))))</f>
        <v>2.1403668656741068</v>
      </c>
      <c r="AI605">
        <f t="shared" ca="1" si="308"/>
        <v>634.47486686567413</v>
      </c>
      <c r="AJ605">
        <f t="shared" ca="1" si="309"/>
        <v>635.54505029851123</v>
      </c>
      <c r="AM605">
        <v>0</v>
      </c>
      <c r="AN605">
        <v>0</v>
      </c>
      <c r="AO605">
        <f t="shared" si="310"/>
        <v>0</v>
      </c>
      <c r="AP605">
        <f t="shared" si="319"/>
        <v>0</v>
      </c>
      <c r="AQ605">
        <f t="shared" ca="1" si="311"/>
        <v>0.99999999999999978</v>
      </c>
      <c r="AR605" t="str">
        <f t="shared" ca="1" si="312"/>
        <v>Supercritical</v>
      </c>
      <c r="AS605">
        <f t="shared" ca="1" si="313"/>
        <v>3.8148159832266538E-3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191</v>
      </c>
      <c r="I606">
        <v>7.8E-2</v>
      </c>
      <c r="J606">
        <f t="shared" si="314"/>
        <v>1</v>
      </c>
      <c r="K606">
        <f t="shared" si="315"/>
        <v>51</v>
      </c>
      <c r="L606">
        <f t="shared" ca="1" si="316"/>
        <v>0.05</v>
      </c>
      <c r="M606">
        <f t="shared" ca="1" si="289"/>
        <v>0.26</v>
      </c>
      <c r="N606">
        <f t="shared" ca="1" si="290"/>
        <v>4.9056603773584909E-2</v>
      </c>
      <c r="O606">
        <f t="shared" ca="1" si="291"/>
        <v>196.15384615384616</v>
      </c>
      <c r="P606">
        <f t="shared" ca="1" si="292"/>
        <v>632.3839999999999</v>
      </c>
      <c r="Q606">
        <f t="shared" ca="1" si="293"/>
        <v>2593.4610316486619</v>
      </c>
      <c r="R606">
        <f t="shared" ca="1" si="294"/>
        <v>482.07306851378365</v>
      </c>
      <c r="S606">
        <f t="shared" ca="1" si="295"/>
        <v>280.07692026646265</v>
      </c>
      <c r="T606">
        <f t="shared" ca="1" si="296"/>
        <v>1019.7665564573041</v>
      </c>
      <c r="U606">
        <f t="shared" ca="1" si="317"/>
        <v>-482.32750852789786</v>
      </c>
      <c r="V606">
        <f t="shared" ca="1" si="318"/>
        <v>0</v>
      </c>
      <c r="W606">
        <f t="shared" ca="1" si="297"/>
        <v>0.05</v>
      </c>
      <c r="X606">
        <f t="shared" ca="1" si="298"/>
        <v>0.26</v>
      </c>
      <c r="Y606">
        <f t="shared" ca="1" si="299"/>
        <v>4.9056603773584909E-2</v>
      </c>
      <c r="Z606">
        <f t="shared" ca="1" si="300"/>
        <v>196.15384615384616</v>
      </c>
      <c r="AA606">
        <f t="shared" ca="1" si="301"/>
        <v>632.3839999999999</v>
      </c>
      <c r="AB606">
        <f t="shared" ca="1" si="302"/>
        <v>2593.4610316486619</v>
      </c>
      <c r="AC606">
        <f t="shared" ca="1" si="303"/>
        <v>482.07306851378365</v>
      </c>
      <c r="AD606">
        <f t="shared" ca="1" si="304"/>
        <v>280.07692026646265</v>
      </c>
      <c r="AE606">
        <f t="shared" ca="1" si="305"/>
        <v>1019.7665564573041</v>
      </c>
      <c r="AF606">
        <f t="shared" ca="1" si="306"/>
        <v>482.64289004873808</v>
      </c>
      <c r="AG606">
        <f t="shared" ca="1" si="307"/>
        <v>0</v>
      </c>
      <c r="AH606">
        <f ca="1">IF(V32="Supercritical",L606,IF(V32="Subcritical",W606,IF(AND(V606=1,AG606=1),IF(T606&gt;=AE606,L606,W606),IF(V606=1,L606,IF(AG606=1,W606,MAX($D$16,POWER((ABS(K606)^2)/($I$5*MAX(F606,0.1)^2),1/3)))))))</f>
        <v>2.1403668656741068</v>
      </c>
      <c r="AI606">
        <f t="shared" ca="1" si="308"/>
        <v>634.47436686567403</v>
      </c>
      <c r="AJ606">
        <f t="shared" ca="1" si="309"/>
        <v>635.54455029851113</v>
      </c>
      <c r="AM606">
        <v>0</v>
      </c>
      <c r="AN606">
        <v>0</v>
      </c>
      <c r="AO606">
        <f t="shared" si="310"/>
        <v>0</v>
      </c>
      <c r="AP606">
        <f t="shared" si="319"/>
        <v>0</v>
      </c>
      <c r="AQ606">
        <f t="shared" ca="1" si="311"/>
        <v>0.99999999999999978</v>
      </c>
      <c r="AR606" t="str">
        <f t="shared" ca="1" si="312"/>
        <v>Supercritical</v>
      </c>
      <c r="AS606">
        <f t="shared" ca="1" si="313"/>
        <v>3.8148159832266538E-3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191</v>
      </c>
      <c r="I607">
        <v>2.7E-2</v>
      </c>
      <c r="J607">
        <f t="shared" si="314"/>
        <v>1.0010000000000332</v>
      </c>
      <c r="K607">
        <f t="shared" si="315"/>
        <v>51</v>
      </c>
      <c r="L607">
        <f t="shared" ca="1" si="316"/>
        <v>0.05</v>
      </c>
      <c r="M607">
        <f t="shared" ca="1" si="289"/>
        <v>0.26</v>
      </c>
      <c r="N607">
        <f t="shared" ca="1" si="290"/>
        <v>4.9056603773584909E-2</v>
      </c>
      <c r="O607">
        <f t="shared" ca="1" si="291"/>
        <v>196.15384615384616</v>
      </c>
      <c r="P607">
        <f t="shared" ca="1" si="292"/>
        <v>632.38349999999991</v>
      </c>
      <c r="Q607">
        <f t="shared" ca="1" si="293"/>
        <v>2593.4605316486623</v>
      </c>
      <c r="R607">
        <f t="shared" ca="1" si="294"/>
        <v>482.07306851378365</v>
      </c>
      <c r="S607">
        <f t="shared" ca="1" si="295"/>
        <v>280.07692026646265</v>
      </c>
      <c r="T607">
        <f t="shared" ca="1" si="296"/>
        <v>1019.7665564573041</v>
      </c>
      <c r="U607">
        <f t="shared" ca="1" si="317"/>
        <v>-482.64289004873808</v>
      </c>
      <c r="V607">
        <f t="shared" ca="1" si="318"/>
        <v>0</v>
      </c>
      <c r="W607">
        <f t="shared" ca="1" si="297"/>
        <v>0.05</v>
      </c>
      <c r="X607">
        <f t="shared" ca="1" si="298"/>
        <v>0.26</v>
      </c>
      <c r="Y607">
        <f t="shared" ca="1" si="299"/>
        <v>4.9056603773584909E-2</v>
      </c>
      <c r="Z607">
        <f t="shared" ca="1" si="300"/>
        <v>196.15384615384616</v>
      </c>
      <c r="AA607">
        <f t="shared" ca="1" si="301"/>
        <v>632.38349999999991</v>
      </c>
      <c r="AB607">
        <f t="shared" ca="1" si="302"/>
        <v>2593.4605316486623</v>
      </c>
      <c r="AC607">
        <f t="shared" ca="1" si="303"/>
        <v>482.07306851378365</v>
      </c>
      <c r="AD607">
        <f t="shared" ca="1" si="304"/>
        <v>280.07692026646265</v>
      </c>
      <c r="AE607">
        <f t="shared" ca="1" si="305"/>
        <v>1019.7665564573041</v>
      </c>
      <c r="AF607">
        <f t="shared" ca="1" si="306"/>
        <v>481.59049544525351</v>
      </c>
      <c r="AG607">
        <f t="shared" ca="1" si="307"/>
        <v>0</v>
      </c>
      <c r="AH607">
        <f ca="1">IF(V32="Supercritical",L607,IF(V32="Subcritical",W607,IF(AND(V607=1,AG607=1),IF(T607&gt;=AE607,L607,W607),IF(V607=1,L607,IF(AG607=1,W607,MAX($D$16,POWER((ABS(K607)^2)/($I$5*MAX(F607,0.1)^2),1/3)))))))</f>
        <v>2.1403668656741068</v>
      </c>
      <c r="AI607">
        <f t="shared" ca="1" si="308"/>
        <v>634.47386686567404</v>
      </c>
      <c r="AJ607">
        <f t="shared" ca="1" si="309"/>
        <v>635.54405029851114</v>
      </c>
      <c r="AM607">
        <v>0</v>
      </c>
      <c r="AN607">
        <v>0</v>
      </c>
      <c r="AO607">
        <f t="shared" si="310"/>
        <v>0</v>
      </c>
      <c r="AP607">
        <f t="shared" si="319"/>
        <v>0</v>
      </c>
      <c r="AQ607">
        <f t="shared" ca="1" si="311"/>
        <v>0.99999999999999978</v>
      </c>
      <c r="AR607" t="str">
        <f t="shared" ca="1" si="312"/>
        <v>Supercritical</v>
      </c>
      <c r="AS607">
        <f t="shared" ca="1" si="313"/>
        <v>3.8148159832266538E-3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191</v>
      </c>
      <c r="I608">
        <v>0</v>
      </c>
      <c r="J608">
        <f t="shared" si="314"/>
        <v>0.9989999999999668</v>
      </c>
      <c r="K608">
        <f t="shared" si="315"/>
        <v>51</v>
      </c>
      <c r="L608">
        <f t="shared" ca="1" si="316"/>
        <v>0.05</v>
      </c>
      <c r="M608">
        <f t="shared" ca="1" si="289"/>
        <v>0.26</v>
      </c>
      <c r="N608">
        <f t="shared" ca="1" si="290"/>
        <v>4.9056603773584909E-2</v>
      </c>
      <c r="O608">
        <f t="shared" ca="1" si="291"/>
        <v>196.15384615384616</v>
      </c>
      <c r="P608">
        <f t="shared" ca="1" si="292"/>
        <v>632.38299999999992</v>
      </c>
      <c r="Q608">
        <f t="shared" ca="1" si="293"/>
        <v>2593.4600316486622</v>
      </c>
      <c r="R608">
        <f t="shared" ca="1" si="294"/>
        <v>482.07306851378365</v>
      </c>
      <c r="S608">
        <f t="shared" ca="1" si="295"/>
        <v>280.07692026646265</v>
      </c>
      <c r="T608">
        <f t="shared" ca="1" si="296"/>
        <v>1019.7665564573041</v>
      </c>
      <c r="U608">
        <f t="shared" ca="1" si="317"/>
        <v>-481.59049544525351</v>
      </c>
      <c r="V608">
        <f t="shared" ca="1" si="318"/>
        <v>0</v>
      </c>
      <c r="W608">
        <f t="shared" ca="1" si="297"/>
        <v>0.05</v>
      </c>
      <c r="X608">
        <f t="shared" ca="1" si="298"/>
        <v>0.26</v>
      </c>
      <c r="Y608">
        <f t="shared" ca="1" si="299"/>
        <v>4.9056603773584909E-2</v>
      </c>
      <c r="Z608">
        <f t="shared" ca="1" si="300"/>
        <v>196.15384615384616</v>
      </c>
      <c r="AA608">
        <f t="shared" ca="1" si="301"/>
        <v>632.38299999999992</v>
      </c>
      <c r="AB608">
        <f t="shared" ca="1" si="302"/>
        <v>2593.4600316486622</v>
      </c>
      <c r="AC608">
        <f t="shared" ca="1" si="303"/>
        <v>482.07306851378365</v>
      </c>
      <c r="AD608">
        <f t="shared" ca="1" si="304"/>
        <v>280.07692026646265</v>
      </c>
      <c r="AE608">
        <f t="shared" ca="1" si="305"/>
        <v>1019.7665564573041</v>
      </c>
      <c r="AF608">
        <f t="shared" ca="1" si="306"/>
        <v>482.1477431333301</v>
      </c>
      <c r="AG608">
        <f t="shared" ca="1" si="307"/>
        <v>0</v>
      </c>
      <c r="AH608">
        <f ca="1">IF(V32="Supercritical",L608,IF(V32="Subcritical",W608,IF(AND(V608=1,AG608=1),IF(T608&gt;=AE608,L608,W608),IF(V608=1,L608,IF(AG608=1,W608,MAX($D$16,POWER((ABS(K608)^2)/($I$5*MAX(F608,0.1)^2),1/3)))))))</f>
        <v>2.1403668656741068</v>
      </c>
      <c r="AI608">
        <f t="shared" ca="1" si="308"/>
        <v>634.47336686567405</v>
      </c>
      <c r="AJ608">
        <f t="shared" ca="1" si="309"/>
        <v>635.54355029851115</v>
      </c>
      <c r="AM608">
        <v>0</v>
      </c>
      <c r="AN608">
        <v>0</v>
      </c>
      <c r="AO608">
        <f t="shared" si="310"/>
        <v>0</v>
      </c>
      <c r="AP608">
        <f t="shared" si="319"/>
        <v>0</v>
      </c>
      <c r="AQ608">
        <f t="shared" ca="1" si="311"/>
        <v>0.99999999999999978</v>
      </c>
      <c r="AR608" t="str">
        <f t="shared" ca="1" si="312"/>
        <v>Supercritical</v>
      </c>
      <c r="AS608">
        <f t="shared" ca="1" si="313"/>
        <v>3.8148159832266538E-3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191</v>
      </c>
      <c r="I609">
        <v>2.3E-2</v>
      </c>
      <c r="J609">
        <f t="shared" si="314"/>
        <v>1</v>
      </c>
      <c r="K609">
        <f t="shared" si="315"/>
        <v>51</v>
      </c>
      <c r="L609">
        <f t="shared" ca="1" si="316"/>
        <v>0.05</v>
      </c>
      <c r="M609">
        <f t="shared" ca="1" si="289"/>
        <v>0.26</v>
      </c>
      <c r="N609">
        <f t="shared" ca="1" si="290"/>
        <v>4.9056603773584909E-2</v>
      </c>
      <c r="O609">
        <f t="shared" ca="1" si="291"/>
        <v>196.15384615384616</v>
      </c>
      <c r="P609">
        <f t="shared" ca="1" si="292"/>
        <v>632.38249999999994</v>
      </c>
      <c r="Q609">
        <f t="shared" ca="1" si="293"/>
        <v>2593.4595316486621</v>
      </c>
      <c r="R609">
        <f t="shared" ca="1" si="294"/>
        <v>482.07306851378365</v>
      </c>
      <c r="S609">
        <f t="shared" ca="1" si="295"/>
        <v>280.07692026646265</v>
      </c>
      <c r="T609">
        <f t="shared" ca="1" si="296"/>
        <v>1019.7665564573041</v>
      </c>
      <c r="U609">
        <f t="shared" ca="1" si="317"/>
        <v>-482.1477431333301</v>
      </c>
      <c r="V609">
        <f t="shared" ca="1" si="318"/>
        <v>0</v>
      </c>
      <c r="W609">
        <f t="shared" ca="1" si="297"/>
        <v>0.05</v>
      </c>
      <c r="X609">
        <f t="shared" ca="1" si="298"/>
        <v>0.26</v>
      </c>
      <c r="Y609">
        <f t="shared" ca="1" si="299"/>
        <v>4.9056603773584909E-2</v>
      </c>
      <c r="Z609">
        <f t="shared" ca="1" si="300"/>
        <v>196.15384615384616</v>
      </c>
      <c r="AA609">
        <f t="shared" ca="1" si="301"/>
        <v>632.38249999999994</v>
      </c>
      <c r="AB609">
        <f t="shared" ca="1" si="302"/>
        <v>2593.4595316486621</v>
      </c>
      <c r="AC609">
        <f t="shared" ca="1" si="303"/>
        <v>482.07306851378365</v>
      </c>
      <c r="AD609">
        <f t="shared" ca="1" si="304"/>
        <v>280.07692026646265</v>
      </c>
      <c r="AE609">
        <f t="shared" ca="1" si="305"/>
        <v>1019.7665564573041</v>
      </c>
      <c r="AF609">
        <f t="shared" ca="1" si="306"/>
        <v>482.62981620185974</v>
      </c>
      <c r="AG609">
        <f t="shared" ca="1" si="307"/>
        <v>0</v>
      </c>
      <c r="AH609">
        <f ca="1">IF(V32="Supercritical",L609,IF(V32="Subcritical",W609,IF(AND(V609=1,AG609=1),IF(T609&gt;=AE609,L609,W609),IF(V609=1,L609,IF(AG609=1,W609,MAX($D$16,POWER((ABS(K609)^2)/($I$5*MAX(F609,0.1)^2),1/3)))))))</f>
        <v>2.1403668656741068</v>
      </c>
      <c r="AI609">
        <f t="shared" ca="1" si="308"/>
        <v>634.47286686567406</v>
      </c>
      <c r="AJ609">
        <f t="shared" ca="1" si="309"/>
        <v>635.54305029851116</v>
      </c>
      <c r="AM609">
        <v>0</v>
      </c>
      <c r="AN609">
        <v>0</v>
      </c>
      <c r="AO609">
        <f t="shared" si="310"/>
        <v>0</v>
      </c>
      <c r="AP609">
        <f t="shared" si="319"/>
        <v>0</v>
      </c>
      <c r="AQ609">
        <f t="shared" ca="1" si="311"/>
        <v>0.99999999999999978</v>
      </c>
      <c r="AR609" t="str">
        <f t="shared" ca="1" si="312"/>
        <v>Supercritical</v>
      </c>
      <c r="AS609">
        <f t="shared" ca="1" si="313"/>
        <v>3.8148159832266538E-3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191</v>
      </c>
      <c r="I610">
        <v>2.3E-2</v>
      </c>
      <c r="J610">
        <f t="shared" si="314"/>
        <v>1.0010000000000332</v>
      </c>
      <c r="K610">
        <f t="shared" si="315"/>
        <v>51</v>
      </c>
      <c r="L610">
        <f t="shared" ca="1" si="316"/>
        <v>0.05</v>
      </c>
      <c r="M610">
        <f t="shared" ca="1" si="289"/>
        <v>0.26</v>
      </c>
      <c r="N610">
        <f t="shared" ca="1" si="290"/>
        <v>4.9056603773584909E-2</v>
      </c>
      <c r="O610">
        <f t="shared" ca="1" si="291"/>
        <v>196.15384615384616</v>
      </c>
      <c r="P610">
        <f t="shared" ca="1" si="292"/>
        <v>632.38199999999995</v>
      </c>
      <c r="Q610">
        <f t="shared" ca="1" si="293"/>
        <v>2593.4590316486619</v>
      </c>
      <c r="R610">
        <f t="shared" ca="1" si="294"/>
        <v>482.07306851378365</v>
      </c>
      <c r="S610">
        <f t="shared" ca="1" si="295"/>
        <v>280.07692026646265</v>
      </c>
      <c r="T610">
        <f t="shared" ca="1" si="296"/>
        <v>1019.7665564573041</v>
      </c>
      <c r="U610">
        <f t="shared" ca="1" si="317"/>
        <v>-482.62981620185974</v>
      </c>
      <c r="V610">
        <f t="shared" ca="1" si="318"/>
        <v>0</v>
      </c>
      <c r="W610">
        <f t="shared" ca="1" si="297"/>
        <v>0.05</v>
      </c>
      <c r="X610">
        <f t="shared" ca="1" si="298"/>
        <v>0.26</v>
      </c>
      <c r="Y610">
        <f t="shared" ca="1" si="299"/>
        <v>4.9056603773584909E-2</v>
      </c>
      <c r="Z610">
        <f t="shared" ca="1" si="300"/>
        <v>196.15384615384616</v>
      </c>
      <c r="AA610">
        <f t="shared" ca="1" si="301"/>
        <v>632.38199999999995</v>
      </c>
      <c r="AB610">
        <f t="shared" ca="1" si="302"/>
        <v>2593.4590316486619</v>
      </c>
      <c r="AC610">
        <f t="shared" ca="1" si="303"/>
        <v>482.07306851378365</v>
      </c>
      <c r="AD610">
        <f t="shared" ca="1" si="304"/>
        <v>280.07692026646265</v>
      </c>
      <c r="AE610">
        <f t="shared" ca="1" si="305"/>
        <v>1019.7665564573041</v>
      </c>
      <c r="AF610">
        <f t="shared" ca="1" si="306"/>
        <v>481.67874391167788</v>
      </c>
      <c r="AG610">
        <f t="shared" ca="1" si="307"/>
        <v>0</v>
      </c>
      <c r="AH610">
        <f ca="1">IF(V32="Supercritical",L610,IF(V32="Subcritical",W610,IF(AND(V610=1,AG610=1),IF(T610&gt;=AE610,L610,W610),IF(V610=1,L610,IF(AG610=1,W610,MAX($D$16,POWER((ABS(K610)^2)/($I$5*MAX(F610,0.1)^2),1/3)))))))</f>
        <v>2.1403668656741068</v>
      </c>
      <c r="AI610">
        <f t="shared" ca="1" si="308"/>
        <v>634.47236686567408</v>
      </c>
      <c r="AJ610">
        <f t="shared" ca="1" si="309"/>
        <v>635.54255029851117</v>
      </c>
      <c r="AM610">
        <v>0</v>
      </c>
      <c r="AN610">
        <v>0</v>
      </c>
      <c r="AO610">
        <f t="shared" si="310"/>
        <v>0</v>
      </c>
      <c r="AP610">
        <f t="shared" si="319"/>
        <v>0</v>
      </c>
      <c r="AQ610">
        <f t="shared" ca="1" si="311"/>
        <v>0.99999999999999978</v>
      </c>
      <c r="AR610" t="str">
        <f t="shared" ca="1" si="312"/>
        <v>Supercritical</v>
      </c>
      <c r="AS610">
        <f t="shared" ca="1" si="313"/>
        <v>3.8148159832266538E-3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191</v>
      </c>
      <c r="I611">
        <v>2.7E-2</v>
      </c>
      <c r="J611">
        <f t="shared" si="314"/>
        <v>0.9989999999999668</v>
      </c>
      <c r="K611">
        <f t="shared" si="315"/>
        <v>51</v>
      </c>
      <c r="L611">
        <f t="shared" ca="1" si="316"/>
        <v>0.05</v>
      </c>
      <c r="M611">
        <f t="shared" ca="1" si="289"/>
        <v>0.26</v>
      </c>
      <c r="N611">
        <f t="shared" ca="1" si="290"/>
        <v>4.9056603773584909E-2</v>
      </c>
      <c r="O611">
        <f t="shared" ca="1" si="291"/>
        <v>196.15384615384616</v>
      </c>
      <c r="P611">
        <f t="shared" ca="1" si="292"/>
        <v>632.38149999999996</v>
      </c>
      <c r="Q611">
        <f t="shared" ca="1" si="293"/>
        <v>2593.4585316486618</v>
      </c>
      <c r="R611">
        <f t="shared" ca="1" si="294"/>
        <v>482.07306851378365</v>
      </c>
      <c r="S611">
        <f t="shared" ca="1" si="295"/>
        <v>280.07692026646265</v>
      </c>
      <c r="T611">
        <f t="shared" ca="1" si="296"/>
        <v>1019.7665564573041</v>
      </c>
      <c r="U611">
        <f t="shared" ca="1" si="317"/>
        <v>-481.67874391167788</v>
      </c>
      <c r="V611">
        <f t="shared" ca="1" si="318"/>
        <v>0</v>
      </c>
      <c r="W611">
        <f t="shared" ca="1" si="297"/>
        <v>0.05</v>
      </c>
      <c r="X611">
        <f t="shared" ca="1" si="298"/>
        <v>0.26</v>
      </c>
      <c r="Y611">
        <f t="shared" ca="1" si="299"/>
        <v>4.9056603773584909E-2</v>
      </c>
      <c r="Z611">
        <f t="shared" ca="1" si="300"/>
        <v>196.15384615384616</v>
      </c>
      <c r="AA611">
        <f t="shared" ca="1" si="301"/>
        <v>632.38149999999996</v>
      </c>
      <c r="AB611">
        <f t="shared" ca="1" si="302"/>
        <v>2593.4585316486618</v>
      </c>
      <c r="AC611">
        <f t="shared" ca="1" si="303"/>
        <v>482.07306851378365</v>
      </c>
      <c r="AD611">
        <f t="shared" ca="1" si="304"/>
        <v>280.07692026646265</v>
      </c>
      <c r="AE611">
        <f t="shared" ca="1" si="305"/>
        <v>1019.7665564573041</v>
      </c>
      <c r="AF611">
        <f t="shared" ca="1" si="306"/>
        <v>482.64289004873808</v>
      </c>
      <c r="AG611">
        <f t="shared" ca="1" si="307"/>
        <v>0</v>
      </c>
      <c r="AH611">
        <f ca="1">IF(V32="Supercritical",L611,IF(V32="Subcritical",W611,IF(AND(V611=1,AG611=1),IF(T611&gt;=AE611,L611,W611),IF(V611=1,L611,IF(AG611=1,W611,MAX($D$16,POWER((ABS(K611)^2)/($I$5*MAX(F611,0.1)^2),1/3)))))))</f>
        <v>2.1403668656741068</v>
      </c>
      <c r="AI611">
        <f t="shared" ca="1" si="308"/>
        <v>634.47186686567409</v>
      </c>
      <c r="AJ611">
        <f t="shared" ca="1" si="309"/>
        <v>635.54205029851119</v>
      </c>
      <c r="AM611">
        <v>0</v>
      </c>
      <c r="AN611">
        <v>0</v>
      </c>
      <c r="AO611">
        <f t="shared" si="310"/>
        <v>0</v>
      </c>
      <c r="AP611">
        <f t="shared" si="319"/>
        <v>0</v>
      </c>
      <c r="AQ611">
        <f t="shared" ca="1" si="311"/>
        <v>0.99999999999999978</v>
      </c>
      <c r="AR611" t="str">
        <f t="shared" ca="1" si="312"/>
        <v>Supercritical</v>
      </c>
      <c r="AS611">
        <f t="shared" ca="1" si="313"/>
        <v>3.8148159832266538E-3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191</v>
      </c>
      <c r="I612">
        <v>2.7E-2</v>
      </c>
      <c r="J612">
        <f t="shared" si="314"/>
        <v>1.0010000000000332</v>
      </c>
      <c r="K612">
        <f t="shared" si="315"/>
        <v>51</v>
      </c>
      <c r="L612">
        <f t="shared" ca="1" si="316"/>
        <v>0.05</v>
      </c>
      <c r="M612">
        <f t="shared" ca="1" si="289"/>
        <v>0.26</v>
      </c>
      <c r="N612">
        <f t="shared" ca="1" si="290"/>
        <v>4.9056603773584909E-2</v>
      </c>
      <c r="O612">
        <f t="shared" ca="1" si="291"/>
        <v>196.15384615384616</v>
      </c>
      <c r="P612">
        <f t="shared" ca="1" si="292"/>
        <v>632.38099999999997</v>
      </c>
      <c r="Q612">
        <f t="shared" ca="1" si="293"/>
        <v>2593.4580316486622</v>
      </c>
      <c r="R612">
        <f t="shared" ca="1" si="294"/>
        <v>482.07306851378365</v>
      </c>
      <c r="S612">
        <f t="shared" ca="1" si="295"/>
        <v>280.07692026646265</v>
      </c>
      <c r="T612">
        <f t="shared" ca="1" si="296"/>
        <v>1019.7665564573041</v>
      </c>
      <c r="U612">
        <f t="shared" ca="1" si="317"/>
        <v>-482.64289004873808</v>
      </c>
      <c r="V612">
        <f t="shared" ca="1" si="318"/>
        <v>0</v>
      </c>
      <c r="W612">
        <f t="shared" ca="1" si="297"/>
        <v>0.05</v>
      </c>
      <c r="X612">
        <f t="shared" ca="1" si="298"/>
        <v>0.26</v>
      </c>
      <c r="Y612">
        <f t="shared" ca="1" si="299"/>
        <v>4.9056603773584909E-2</v>
      </c>
      <c r="Z612">
        <f t="shared" ca="1" si="300"/>
        <v>196.15384615384616</v>
      </c>
      <c r="AA612">
        <f t="shared" ca="1" si="301"/>
        <v>632.38099999999997</v>
      </c>
      <c r="AB612">
        <f t="shared" ca="1" si="302"/>
        <v>2593.4580316486622</v>
      </c>
      <c r="AC612">
        <f t="shared" ca="1" si="303"/>
        <v>482.07306851378365</v>
      </c>
      <c r="AD612">
        <f t="shared" ca="1" si="304"/>
        <v>280.07692026646265</v>
      </c>
      <c r="AE612">
        <f t="shared" ca="1" si="305"/>
        <v>1019.7665564573041</v>
      </c>
      <c r="AF612">
        <f t="shared" ca="1" si="306"/>
        <v>481.75391853122483</v>
      </c>
      <c r="AG612">
        <f t="shared" ca="1" si="307"/>
        <v>0</v>
      </c>
      <c r="AH612">
        <f ca="1">IF(V32="Supercritical",L612,IF(V32="Subcritical",W612,IF(AND(V612=1,AG612=1),IF(T612&gt;=AE612,L612,W612),IF(V612=1,L612,IF(AG612=1,W612,MAX($D$16,POWER((ABS(K612)^2)/($I$5*MAX(F612,0.1)^2),1/3)))))))</f>
        <v>2.1403668656741068</v>
      </c>
      <c r="AI612">
        <f t="shared" ca="1" si="308"/>
        <v>634.4713668656741</v>
      </c>
      <c r="AJ612">
        <f t="shared" ca="1" si="309"/>
        <v>635.5415502985112</v>
      </c>
      <c r="AM612">
        <v>0</v>
      </c>
      <c r="AN612">
        <v>0</v>
      </c>
      <c r="AO612">
        <f t="shared" si="310"/>
        <v>0</v>
      </c>
      <c r="AP612">
        <f t="shared" si="319"/>
        <v>0</v>
      </c>
      <c r="AQ612">
        <f t="shared" ca="1" si="311"/>
        <v>0.99999999999999978</v>
      </c>
      <c r="AR612" t="str">
        <f t="shared" ca="1" si="312"/>
        <v>Supercritical</v>
      </c>
      <c r="AS612">
        <f t="shared" ca="1" si="313"/>
        <v>3.8148159832266538E-3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191</v>
      </c>
      <c r="I613">
        <v>0.05</v>
      </c>
      <c r="J613">
        <f t="shared" si="314"/>
        <v>0.9989999999999668</v>
      </c>
      <c r="K613">
        <f t="shared" si="315"/>
        <v>51</v>
      </c>
      <c r="L613">
        <f t="shared" ca="1" si="316"/>
        <v>0.05</v>
      </c>
      <c r="M613">
        <f t="shared" ca="1" si="289"/>
        <v>0.26</v>
      </c>
      <c r="N613">
        <f t="shared" ca="1" si="290"/>
        <v>4.9056603773584909E-2</v>
      </c>
      <c r="O613">
        <f t="shared" ca="1" si="291"/>
        <v>196.15384615384616</v>
      </c>
      <c r="P613">
        <f t="shared" ca="1" si="292"/>
        <v>632.38049999999998</v>
      </c>
      <c r="Q613">
        <f t="shared" ca="1" si="293"/>
        <v>2593.4575316486621</v>
      </c>
      <c r="R613">
        <f t="shared" ca="1" si="294"/>
        <v>482.07306851378365</v>
      </c>
      <c r="S613">
        <f t="shared" ca="1" si="295"/>
        <v>280.07692026646265</v>
      </c>
      <c r="T613">
        <f t="shared" ca="1" si="296"/>
        <v>1019.7665564573041</v>
      </c>
      <c r="U613">
        <f t="shared" ca="1" si="317"/>
        <v>-481.75391853122483</v>
      </c>
      <c r="V613">
        <f t="shared" ca="1" si="318"/>
        <v>0</v>
      </c>
      <c r="W613">
        <f t="shared" ca="1" si="297"/>
        <v>0.05</v>
      </c>
      <c r="X613">
        <f t="shared" ca="1" si="298"/>
        <v>0.26</v>
      </c>
      <c r="Y613">
        <f t="shared" ca="1" si="299"/>
        <v>4.9056603773584909E-2</v>
      </c>
      <c r="Z613">
        <f t="shared" ca="1" si="300"/>
        <v>196.15384615384616</v>
      </c>
      <c r="AA613">
        <f t="shared" ca="1" si="301"/>
        <v>632.38049999999998</v>
      </c>
      <c r="AB613">
        <f t="shared" ca="1" si="302"/>
        <v>2593.4575316486621</v>
      </c>
      <c r="AC613">
        <f t="shared" ca="1" si="303"/>
        <v>482.07306851378365</v>
      </c>
      <c r="AD613">
        <f t="shared" ca="1" si="304"/>
        <v>280.07692026646265</v>
      </c>
      <c r="AE613">
        <f t="shared" ca="1" si="305"/>
        <v>1019.7665564573041</v>
      </c>
      <c r="AF613">
        <f t="shared" ca="1" si="306"/>
        <v>482.32750852789786</v>
      </c>
      <c r="AG613">
        <f t="shared" ca="1" si="307"/>
        <v>0</v>
      </c>
      <c r="AH613">
        <f ca="1">IF(V32="Supercritical",L613,IF(V32="Subcritical",W613,IF(AND(V613=1,AG613=1),IF(T613&gt;=AE613,L613,W613),IF(V613=1,L613,IF(AG613=1,W613,MAX($D$16,POWER((ABS(K613)^2)/($I$5*MAX(F613,0.1)^2),1/3)))))))</f>
        <v>2.1403668656741068</v>
      </c>
      <c r="AI613">
        <f t="shared" ca="1" si="308"/>
        <v>634.47086686567411</v>
      </c>
      <c r="AJ613">
        <f t="shared" ca="1" si="309"/>
        <v>635.54105029851121</v>
      </c>
      <c r="AM613">
        <v>0</v>
      </c>
      <c r="AN613">
        <v>0</v>
      </c>
      <c r="AO613">
        <f t="shared" si="310"/>
        <v>0</v>
      </c>
      <c r="AP613">
        <f t="shared" si="319"/>
        <v>0</v>
      </c>
      <c r="AQ613">
        <f t="shared" ca="1" si="311"/>
        <v>0.99999999999999978</v>
      </c>
      <c r="AR613" t="str">
        <f t="shared" ca="1" si="312"/>
        <v>Supercritical</v>
      </c>
      <c r="AS613">
        <f t="shared" ca="1" si="313"/>
        <v>3.8148159832266538E-3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191</v>
      </c>
      <c r="I614">
        <v>7.8E-2</v>
      </c>
      <c r="J614">
        <f t="shared" si="314"/>
        <v>1</v>
      </c>
      <c r="K614">
        <f t="shared" si="315"/>
        <v>51</v>
      </c>
      <c r="L614">
        <f t="shared" ca="1" si="316"/>
        <v>0.05</v>
      </c>
      <c r="M614">
        <f t="shared" ca="1" si="289"/>
        <v>0.26</v>
      </c>
      <c r="N614">
        <f t="shared" ca="1" si="290"/>
        <v>4.9056603773584909E-2</v>
      </c>
      <c r="O614">
        <f t="shared" ca="1" si="291"/>
        <v>196.15384615384616</v>
      </c>
      <c r="P614">
        <f t="shared" ca="1" si="292"/>
        <v>632.38</v>
      </c>
      <c r="Q614">
        <f t="shared" ca="1" si="293"/>
        <v>2593.457031648662</v>
      </c>
      <c r="R614">
        <f t="shared" ca="1" si="294"/>
        <v>482.07306851378365</v>
      </c>
      <c r="S614">
        <f t="shared" ca="1" si="295"/>
        <v>280.07692026646265</v>
      </c>
      <c r="T614">
        <f t="shared" ca="1" si="296"/>
        <v>1019.7665564573041</v>
      </c>
      <c r="U614">
        <f t="shared" ca="1" si="317"/>
        <v>-482.32750852789786</v>
      </c>
      <c r="V614">
        <f t="shared" ca="1" si="318"/>
        <v>0</v>
      </c>
      <c r="W614">
        <f t="shared" ca="1" si="297"/>
        <v>0.05</v>
      </c>
      <c r="X614">
        <f t="shared" ca="1" si="298"/>
        <v>0.26</v>
      </c>
      <c r="Y614">
        <f t="shared" ca="1" si="299"/>
        <v>4.9056603773584909E-2</v>
      </c>
      <c r="Z614">
        <f t="shared" ca="1" si="300"/>
        <v>196.15384615384616</v>
      </c>
      <c r="AA614">
        <f t="shared" ca="1" si="301"/>
        <v>632.38</v>
      </c>
      <c r="AB614">
        <f t="shared" ca="1" si="302"/>
        <v>2593.457031648662</v>
      </c>
      <c r="AC614">
        <f t="shared" ca="1" si="303"/>
        <v>482.07306851378365</v>
      </c>
      <c r="AD614">
        <f t="shared" ca="1" si="304"/>
        <v>280.07692026646265</v>
      </c>
      <c r="AE614">
        <f t="shared" ca="1" si="305"/>
        <v>1019.7665564573041</v>
      </c>
      <c r="AF614">
        <f t="shared" ca="1" si="306"/>
        <v>482.64289004873808</v>
      </c>
      <c r="AG614">
        <f t="shared" ca="1" si="307"/>
        <v>0</v>
      </c>
      <c r="AH614">
        <f ca="1">IF(V32="Supercritical",L614,IF(V32="Subcritical",W614,IF(AND(V614=1,AG614=1),IF(T614&gt;=AE614,L614,W614),IF(V614=1,L614,IF(AG614=1,W614,MAX($D$16,POWER((ABS(K614)^2)/($I$5*MAX(F614,0.1)^2),1/3)))))))</f>
        <v>2.1403668656741068</v>
      </c>
      <c r="AI614">
        <f t="shared" ca="1" si="308"/>
        <v>634.47036686567412</v>
      </c>
      <c r="AJ614">
        <f t="shared" ca="1" si="309"/>
        <v>635.54055029851122</v>
      </c>
      <c r="AM614">
        <v>0</v>
      </c>
      <c r="AN614">
        <v>0</v>
      </c>
      <c r="AO614">
        <f t="shared" si="310"/>
        <v>0</v>
      </c>
      <c r="AP614">
        <f t="shared" si="319"/>
        <v>0</v>
      </c>
      <c r="AQ614">
        <f t="shared" ca="1" si="311"/>
        <v>0.99999999999999978</v>
      </c>
      <c r="AR614" t="str">
        <f t="shared" ca="1" si="312"/>
        <v>Supercritical</v>
      </c>
      <c r="AS614">
        <f t="shared" ca="1" si="313"/>
        <v>3.8148159832266538E-3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191</v>
      </c>
      <c r="I615">
        <v>2.7E-2</v>
      </c>
      <c r="J615">
        <f t="shared" si="314"/>
        <v>1.0010000000000332</v>
      </c>
      <c r="K615">
        <f t="shared" si="315"/>
        <v>51</v>
      </c>
      <c r="L615">
        <f t="shared" ca="1" si="316"/>
        <v>0.05</v>
      </c>
      <c r="M615">
        <f t="shared" ca="1" si="289"/>
        <v>0.26</v>
      </c>
      <c r="N615">
        <f t="shared" ca="1" si="290"/>
        <v>4.9056603773584909E-2</v>
      </c>
      <c r="O615">
        <f t="shared" ca="1" si="291"/>
        <v>196.15384615384616</v>
      </c>
      <c r="P615">
        <f t="shared" ca="1" si="292"/>
        <v>632.37950000000001</v>
      </c>
      <c r="Q615">
        <f t="shared" ca="1" si="293"/>
        <v>2593.4565316486623</v>
      </c>
      <c r="R615">
        <f t="shared" ca="1" si="294"/>
        <v>482.07306851378365</v>
      </c>
      <c r="S615">
        <f t="shared" ca="1" si="295"/>
        <v>280.07692026646265</v>
      </c>
      <c r="T615">
        <f t="shared" ca="1" si="296"/>
        <v>1019.7665564573041</v>
      </c>
      <c r="U615">
        <f t="shared" ca="1" si="317"/>
        <v>-482.64289004873808</v>
      </c>
      <c r="V615">
        <f t="shared" ca="1" si="318"/>
        <v>0</v>
      </c>
      <c r="W615">
        <f t="shared" ca="1" si="297"/>
        <v>0.05</v>
      </c>
      <c r="X615">
        <f t="shared" ca="1" si="298"/>
        <v>0.26</v>
      </c>
      <c r="Y615">
        <f t="shared" ca="1" si="299"/>
        <v>4.9056603773584909E-2</v>
      </c>
      <c r="Z615">
        <f t="shared" ca="1" si="300"/>
        <v>196.15384615384616</v>
      </c>
      <c r="AA615">
        <f t="shared" ca="1" si="301"/>
        <v>632.37950000000001</v>
      </c>
      <c r="AB615">
        <f t="shared" ca="1" si="302"/>
        <v>2593.4565316486623</v>
      </c>
      <c r="AC615">
        <f t="shared" ca="1" si="303"/>
        <v>482.07306851378365</v>
      </c>
      <c r="AD615">
        <f t="shared" ca="1" si="304"/>
        <v>280.07692026646265</v>
      </c>
      <c r="AE615">
        <f t="shared" ca="1" si="305"/>
        <v>1019.7665564573041</v>
      </c>
      <c r="AF615">
        <f t="shared" ca="1" si="306"/>
        <v>481.67874391167788</v>
      </c>
      <c r="AG615">
        <f t="shared" ca="1" si="307"/>
        <v>0</v>
      </c>
      <c r="AH615">
        <f ca="1">IF(V32="Supercritical",L615,IF(V32="Subcritical",W615,IF(AND(V615=1,AG615=1),IF(T615&gt;=AE615,L615,W615),IF(V615=1,L615,IF(AG615=1,W615,MAX($D$16,POWER((ABS(K615)^2)/($I$5*MAX(F615,0.1)^2),1/3)))))))</f>
        <v>2.1403668656741068</v>
      </c>
      <c r="AI615">
        <f t="shared" ca="1" si="308"/>
        <v>634.46986686567413</v>
      </c>
      <c r="AJ615">
        <f t="shared" ca="1" si="309"/>
        <v>635.54005029851123</v>
      </c>
      <c r="AM615">
        <v>0</v>
      </c>
      <c r="AN615">
        <v>0</v>
      </c>
      <c r="AO615">
        <f t="shared" si="310"/>
        <v>0</v>
      </c>
      <c r="AP615">
        <f t="shared" si="319"/>
        <v>0</v>
      </c>
      <c r="AQ615">
        <f t="shared" ca="1" si="311"/>
        <v>0.99999999999999978</v>
      </c>
      <c r="AR615" t="str">
        <f t="shared" ca="1" si="312"/>
        <v>Supercritical</v>
      </c>
      <c r="AS615">
        <f t="shared" ca="1" si="313"/>
        <v>3.8148159832266538E-3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191</v>
      </c>
      <c r="I616">
        <v>2.7E-2</v>
      </c>
      <c r="J616">
        <f t="shared" si="314"/>
        <v>0.9989999999999668</v>
      </c>
      <c r="K616">
        <f t="shared" si="315"/>
        <v>51</v>
      </c>
      <c r="L616">
        <f t="shared" ca="1" si="316"/>
        <v>0.05</v>
      </c>
      <c r="M616">
        <f t="shared" ca="1" si="289"/>
        <v>0.26</v>
      </c>
      <c r="N616">
        <f t="shared" ca="1" si="290"/>
        <v>4.9056603773584909E-2</v>
      </c>
      <c r="O616">
        <f t="shared" ca="1" si="291"/>
        <v>196.15384615384616</v>
      </c>
      <c r="P616">
        <f t="shared" ca="1" si="292"/>
        <v>632.37899999999991</v>
      </c>
      <c r="Q616">
        <f t="shared" ca="1" si="293"/>
        <v>2593.4560316486622</v>
      </c>
      <c r="R616">
        <f t="shared" ca="1" si="294"/>
        <v>482.07306851378365</v>
      </c>
      <c r="S616">
        <f t="shared" ca="1" si="295"/>
        <v>280.07692026646265</v>
      </c>
      <c r="T616">
        <f t="shared" ca="1" si="296"/>
        <v>1019.7665564573041</v>
      </c>
      <c r="U616">
        <f t="shared" ca="1" si="317"/>
        <v>-481.67874391167788</v>
      </c>
      <c r="V616">
        <f t="shared" ca="1" si="318"/>
        <v>0</v>
      </c>
      <c r="W616">
        <f t="shared" ca="1" si="297"/>
        <v>0.05</v>
      </c>
      <c r="X616">
        <f t="shared" ca="1" si="298"/>
        <v>0.26</v>
      </c>
      <c r="Y616">
        <f t="shared" ca="1" si="299"/>
        <v>4.9056603773584909E-2</v>
      </c>
      <c r="Z616">
        <f t="shared" ca="1" si="300"/>
        <v>196.15384615384616</v>
      </c>
      <c r="AA616">
        <f t="shared" ca="1" si="301"/>
        <v>632.37899999999991</v>
      </c>
      <c r="AB616">
        <f t="shared" ca="1" si="302"/>
        <v>2593.4560316486622</v>
      </c>
      <c r="AC616">
        <f t="shared" ca="1" si="303"/>
        <v>482.07306851378365</v>
      </c>
      <c r="AD616">
        <f t="shared" ca="1" si="304"/>
        <v>280.07692026646265</v>
      </c>
      <c r="AE616">
        <f t="shared" ca="1" si="305"/>
        <v>1019.7665564573041</v>
      </c>
      <c r="AF616">
        <f t="shared" ca="1" si="306"/>
        <v>482.80958159642751</v>
      </c>
      <c r="AG616">
        <f t="shared" ca="1" si="307"/>
        <v>0</v>
      </c>
      <c r="AH616">
        <f ca="1">IF(V32="Supercritical",L616,IF(V32="Subcritical",W616,IF(AND(V616=1,AG616=1),IF(T616&gt;=AE616,L616,W616),IF(V616=1,L616,IF(AG616=1,W616,MAX($D$16,POWER((ABS(K616)^2)/($I$5*MAX(F616,0.1)^2),1/3)))))))</f>
        <v>2.1403668656741068</v>
      </c>
      <c r="AI616">
        <f t="shared" ca="1" si="308"/>
        <v>634.46936686567403</v>
      </c>
      <c r="AJ616">
        <f t="shared" ca="1" si="309"/>
        <v>635.53955029851113</v>
      </c>
      <c r="AM616">
        <v>0</v>
      </c>
      <c r="AN616">
        <v>0</v>
      </c>
      <c r="AO616">
        <f t="shared" si="310"/>
        <v>0</v>
      </c>
      <c r="AP616">
        <f t="shared" si="319"/>
        <v>0</v>
      </c>
      <c r="AQ616">
        <f t="shared" ca="1" si="311"/>
        <v>0.99999999999999978</v>
      </c>
      <c r="AR616" t="str">
        <f t="shared" ca="1" si="312"/>
        <v>Supercritical</v>
      </c>
      <c r="AS616">
        <f t="shared" ca="1" si="313"/>
        <v>3.8148159832266538E-3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191</v>
      </c>
      <c r="I617">
        <v>7.8E-2</v>
      </c>
      <c r="J617">
        <f t="shared" si="314"/>
        <v>1.0010000000000332</v>
      </c>
      <c r="K617">
        <f t="shared" si="315"/>
        <v>51</v>
      </c>
      <c r="L617">
        <f t="shared" ca="1" si="316"/>
        <v>0.05</v>
      </c>
      <c r="M617">
        <f t="shared" ca="1" si="289"/>
        <v>0.26</v>
      </c>
      <c r="N617">
        <f t="shared" ca="1" si="290"/>
        <v>4.9056603773584909E-2</v>
      </c>
      <c r="O617">
        <f t="shared" ca="1" si="291"/>
        <v>196.15384615384616</v>
      </c>
      <c r="P617">
        <f t="shared" ca="1" si="292"/>
        <v>632.37849999999992</v>
      </c>
      <c r="Q617">
        <f t="shared" ca="1" si="293"/>
        <v>2593.4555316486621</v>
      </c>
      <c r="R617">
        <f t="shared" ca="1" si="294"/>
        <v>482.07306851378365</v>
      </c>
      <c r="S617">
        <f t="shared" ca="1" si="295"/>
        <v>280.07692026646265</v>
      </c>
      <c r="T617">
        <f t="shared" ca="1" si="296"/>
        <v>1019.7665564573041</v>
      </c>
      <c r="U617">
        <f t="shared" ca="1" si="317"/>
        <v>-482.80958159642751</v>
      </c>
      <c r="V617">
        <f t="shared" ca="1" si="318"/>
        <v>0</v>
      </c>
      <c r="W617">
        <f t="shared" ca="1" si="297"/>
        <v>0.05</v>
      </c>
      <c r="X617">
        <f t="shared" ca="1" si="298"/>
        <v>0.26</v>
      </c>
      <c r="Y617">
        <f t="shared" ca="1" si="299"/>
        <v>4.9056603773584909E-2</v>
      </c>
      <c r="Z617">
        <f t="shared" ca="1" si="300"/>
        <v>196.15384615384616</v>
      </c>
      <c r="AA617">
        <f t="shared" ca="1" si="301"/>
        <v>632.37849999999992</v>
      </c>
      <c r="AB617">
        <f t="shared" ca="1" si="302"/>
        <v>2593.4555316486621</v>
      </c>
      <c r="AC617">
        <f t="shared" ca="1" si="303"/>
        <v>482.07306851378365</v>
      </c>
      <c r="AD617">
        <f t="shared" ca="1" si="304"/>
        <v>280.07692026646265</v>
      </c>
      <c r="AE617">
        <f t="shared" ca="1" si="305"/>
        <v>1019.7665564573041</v>
      </c>
      <c r="AF617">
        <f t="shared" ca="1" si="306"/>
        <v>482.23599159975447</v>
      </c>
      <c r="AG617">
        <f t="shared" ca="1" si="307"/>
        <v>0</v>
      </c>
      <c r="AH617">
        <f ca="1">IF(V32="Supercritical",L617,IF(V32="Subcritical",W617,IF(AND(V617=1,AG617=1),IF(T617&gt;=AE617,L617,W617),IF(V617=1,L617,IF(AG617=1,W617,MAX($D$16,POWER((ABS(K617)^2)/($I$5*MAX(F617,0.1)^2),1/3)))))))</f>
        <v>2.1403668656741068</v>
      </c>
      <c r="AI617">
        <f t="shared" ca="1" si="308"/>
        <v>634.46886686567404</v>
      </c>
      <c r="AJ617">
        <f t="shared" ca="1" si="309"/>
        <v>635.53905029851114</v>
      </c>
      <c r="AM617">
        <v>0</v>
      </c>
      <c r="AN617">
        <v>0</v>
      </c>
      <c r="AO617">
        <f t="shared" si="310"/>
        <v>0</v>
      </c>
      <c r="AP617">
        <f t="shared" si="319"/>
        <v>0</v>
      </c>
      <c r="AQ617">
        <f t="shared" ca="1" si="311"/>
        <v>0.99999999999999978</v>
      </c>
      <c r="AR617" t="str">
        <f t="shared" ca="1" si="312"/>
        <v>Supercritical</v>
      </c>
      <c r="AS617">
        <f t="shared" ca="1" si="313"/>
        <v>3.8148159832266538E-3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191</v>
      </c>
      <c r="I618">
        <v>0.05</v>
      </c>
      <c r="J618">
        <f t="shared" si="314"/>
        <v>1</v>
      </c>
      <c r="K618">
        <f t="shared" si="315"/>
        <v>51</v>
      </c>
      <c r="L618">
        <f t="shared" ca="1" si="316"/>
        <v>0.05</v>
      </c>
      <c r="M618">
        <f t="shared" ca="1" si="289"/>
        <v>0.26</v>
      </c>
      <c r="N618">
        <f t="shared" ca="1" si="290"/>
        <v>4.9056603773584909E-2</v>
      </c>
      <c r="O618">
        <f t="shared" ca="1" si="291"/>
        <v>196.15384615384616</v>
      </c>
      <c r="P618">
        <f t="shared" ca="1" si="292"/>
        <v>632.37799999999993</v>
      </c>
      <c r="Q618">
        <f t="shared" ca="1" si="293"/>
        <v>2593.455031648662</v>
      </c>
      <c r="R618">
        <f t="shared" ca="1" si="294"/>
        <v>482.07306851378365</v>
      </c>
      <c r="S618">
        <f t="shared" ca="1" si="295"/>
        <v>280.07692026646265</v>
      </c>
      <c r="T618">
        <f t="shared" ca="1" si="296"/>
        <v>1019.7665564573041</v>
      </c>
      <c r="U618">
        <f t="shared" ca="1" si="317"/>
        <v>-482.23599159975447</v>
      </c>
      <c r="V618">
        <f t="shared" ca="1" si="318"/>
        <v>0</v>
      </c>
      <c r="W618">
        <f t="shared" ca="1" si="297"/>
        <v>0.05</v>
      </c>
      <c r="X618">
        <f t="shared" ca="1" si="298"/>
        <v>0.26</v>
      </c>
      <c r="Y618">
        <f t="shared" ca="1" si="299"/>
        <v>4.9056603773584909E-2</v>
      </c>
      <c r="Z618">
        <f t="shared" ca="1" si="300"/>
        <v>196.15384615384616</v>
      </c>
      <c r="AA618">
        <f t="shared" ca="1" si="301"/>
        <v>632.37799999999993</v>
      </c>
      <c r="AB618">
        <f t="shared" ca="1" si="302"/>
        <v>2593.455031648662</v>
      </c>
      <c r="AC618">
        <f t="shared" ca="1" si="303"/>
        <v>482.07306851378365</v>
      </c>
      <c r="AD618">
        <f t="shared" ca="1" si="304"/>
        <v>280.07692026646265</v>
      </c>
      <c r="AE618">
        <f t="shared" ca="1" si="305"/>
        <v>1019.7665564573041</v>
      </c>
      <c r="AF618">
        <f t="shared" ca="1" si="306"/>
        <v>481.67874391167788</v>
      </c>
      <c r="AG618">
        <f t="shared" ca="1" si="307"/>
        <v>0</v>
      </c>
      <c r="AH618">
        <f ca="1">IF(V32="Supercritical",L618,IF(V32="Subcritical",W618,IF(AND(V618=1,AG618=1),IF(T618&gt;=AE618,L618,W618),IF(V618=1,L618,IF(AG618=1,W618,MAX($D$16,POWER((ABS(K618)^2)/($I$5*MAX(F618,0.1)^2),1/3)))))))</f>
        <v>2.1403668656741068</v>
      </c>
      <c r="AI618">
        <f t="shared" ca="1" si="308"/>
        <v>634.46836686567406</v>
      </c>
      <c r="AJ618">
        <f t="shared" ca="1" si="309"/>
        <v>635.53855029851115</v>
      </c>
      <c r="AM618">
        <v>0</v>
      </c>
      <c r="AN618">
        <v>0</v>
      </c>
      <c r="AO618">
        <f t="shared" si="310"/>
        <v>0</v>
      </c>
      <c r="AP618">
        <f t="shared" si="319"/>
        <v>0</v>
      </c>
      <c r="AQ618">
        <f t="shared" ca="1" si="311"/>
        <v>0.99999999999999978</v>
      </c>
      <c r="AR618" t="str">
        <f t="shared" ca="1" si="312"/>
        <v>Supercritical</v>
      </c>
      <c r="AS618">
        <f t="shared" ca="1" si="313"/>
        <v>3.8148159832266538E-3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191</v>
      </c>
      <c r="I619">
        <v>2.7E-2</v>
      </c>
      <c r="J619">
        <f t="shared" si="314"/>
        <v>0.9989999999999668</v>
      </c>
      <c r="K619">
        <f t="shared" si="315"/>
        <v>51</v>
      </c>
      <c r="L619">
        <f t="shared" ca="1" si="316"/>
        <v>0.05</v>
      </c>
      <c r="M619">
        <f t="shared" ca="1" si="289"/>
        <v>0.26</v>
      </c>
      <c r="N619">
        <f t="shared" ca="1" si="290"/>
        <v>4.9056603773584909E-2</v>
      </c>
      <c r="O619">
        <f t="shared" ca="1" si="291"/>
        <v>196.15384615384616</v>
      </c>
      <c r="P619">
        <f t="shared" ca="1" si="292"/>
        <v>632.37749999999994</v>
      </c>
      <c r="Q619">
        <f t="shared" ca="1" si="293"/>
        <v>2593.4545316486619</v>
      </c>
      <c r="R619">
        <f t="shared" ca="1" si="294"/>
        <v>482.07306851378365</v>
      </c>
      <c r="S619">
        <f t="shared" ca="1" si="295"/>
        <v>280.07692026646265</v>
      </c>
      <c r="T619">
        <f t="shared" ca="1" si="296"/>
        <v>1019.7665564573041</v>
      </c>
      <c r="U619">
        <f t="shared" ca="1" si="317"/>
        <v>-481.67874391167788</v>
      </c>
      <c r="V619">
        <f t="shared" ca="1" si="318"/>
        <v>0</v>
      </c>
      <c r="W619">
        <f t="shared" ca="1" si="297"/>
        <v>0.05</v>
      </c>
      <c r="X619">
        <f t="shared" ca="1" si="298"/>
        <v>0.26</v>
      </c>
      <c r="Y619">
        <f t="shared" ca="1" si="299"/>
        <v>4.9056603773584909E-2</v>
      </c>
      <c r="Z619">
        <f t="shared" ca="1" si="300"/>
        <v>196.15384615384616</v>
      </c>
      <c r="AA619">
        <f t="shared" ca="1" si="301"/>
        <v>632.37749999999994</v>
      </c>
      <c r="AB619">
        <f t="shared" ca="1" si="302"/>
        <v>2593.4545316486619</v>
      </c>
      <c r="AC619">
        <f t="shared" ca="1" si="303"/>
        <v>482.07306851378365</v>
      </c>
      <c r="AD619">
        <f t="shared" ca="1" si="304"/>
        <v>280.07692026646265</v>
      </c>
      <c r="AE619">
        <f t="shared" ca="1" si="305"/>
        <v>1019.7665564573041</v>
      </c>
      <c r="AF619">
        <f t="shared" ca="1" si="306"/>
        <v>482.64289004873763</v>
      </c>
      <c r="AG619">
        <f t="shared" ca="1" si="307"/>
        <v>0</v>
      </c>
      <c r="AH619">
        <f ca="1">IF(V32="Supercritical",L619,IF(V32="Subcritical",W619,IF(AND(V619=1,AG619=1),IF(T619&gt;=AE619,L619,W619),IF(V619=1,L619,IF(AG619=1,W619,MAX($D$16,POWER((ABS(K619)^2)/($I$5*MAX(F619,0.1)^2),1/3)))))))</f>
        <v>2.1403668656741068</v>
      </c>
      <c r="AI619">
        <f t="shared" ca="1" si="308"/>
        <v>634.46786686567407</v>
      </c>
      <c r="AJ619">
        <f t="shared" ca="1" si="309"/>
        <v>635.53805029851117</v>
      </c>
      <c r="AM619">
        <v>0</v>
      </c>
      <c r="AN619">
        <v>0</v>
      </c>
      <c r="AO619">
        <f t="shared" si="310"/>
        <v>0</v>
      </c>
      <c r="AP619">
        <f t="shared" si="319"/>
        <v>0</v>
      </c>
      <c r="AQ619">
        <f t="shared" ca="1" si="311"/>
        <v>0.99999999999999978</v>
      </c>
      <c r="AR619" t="str">
        <f t="shared" ca="1" si="312"/>
        <v>Supercritical</v>
      </c>
      <c r="AS619">
        <f t="shared" ca="1" si="313"/>
        <v>3.8148159832266538E-3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191</v>
      </c>
      <c r="I620">
        <v>2.7E-2</v>
      </c>
      <c r="J620">
        <f t="shared" si="314"/>
        <v>1.0010000000000332</v>
      </c>
      <c r="K620">
        <f t="shared" si="315"/>
        <v>51</v>
      </c>
      <c r="L620">
        <f t="shared" ca="1" si="316"/>
        <v>0.05</v>
      </c>
      <c r="M620">
        <f t="shared" ca="1" si="289"/>
        <v>0.26</v>
      </c>
      <c r="N620">
        <f t="shared" ca="1" si="290"/>
        <v>4.9056603773584909E-2</v>
      </c>
      <c r="O620">
        <f t="shared" ca="1" si="291"/>
        <v>196.15384615384616</v>
      </c>
      <c r="P620">
        <f t="shared" ca="1" si="292"/>
        <v>632.37699999999995</v>
      </c>
      <c r="Q620">
        <f t="shared" ca="1" si="293"/>
        <v>2593.4540316486618</v>
      </c>
      <c r="R620">
        <f t="shared" ca="1" si="294"/>
        <v>482.07306851378365</v>
      </c>
      <c r="S620">
        <f t="shared" ca="1" si="295"/>
        <v>280.07692026646265</v>
      </c>
      <c r="T620">
        <f t="shared" ca="1" si="296"/>
        <v>1019.7665564573041</v>
      </c>
      <c r="U620">
        <f t="shared" ca="1" si="317"/>
        <v>-482.64289004873763</v>
      </c>
      <c r="V620">
        <f t="shared" ca="1" si="318"/>
        <v>0</v>
      </c>
      <c r="W620">
        <f t="shared" ca="1" si="297"/>
        <v>0.05</v>
      </c>
      <c r="X620">
        <f t="shared" ca="1" si="298"/>
        <v>0.26</v>
      </c>
      <c r="Y620">
        <f t="shared" ca="1" si="299"/>
        <v>4.9056603773584909E-2</v>
      </c>
      <c r="Z620">
        <f t="shared" ca="1" si="300"/>
        <v>196.15384615384616</v>
      </c>
      <c r="AA620">
        <f t="shared" ca="1" si="301"/>
        <v>632.37699999999995</v>
      </c>
      <c r="AB620">
        <f t="shared" ca="1" si="302"/>
        <v>2593.4540316486618</v>
      </c>
      <c r="AC620">
        <f t="shared" ca="1" si="303"/>
        <v>482.07306851378365</v>
      </c>
      <c r="AD620">
        <f t="shared" ca="1" si="304"/>
        <v>280.07692026646265</v>
      </c>
      <c r="AE620">
        <f t="shared" ca="1" si="305"/>
        <v>1019.7665564573041</v>
      </c>
      <c r="AF620">
        <f t="shared" ca="1" si="306"/>
        <v>481.67874391167879</v>
      </c>
      <c r="AG620">
        <f t="shared" ca="1" si="307"/>
        <v>0</v>
      </c>
      <c r="AH620">
        <f ca="1">IF(V32="Supercritical",L620,IF(V32="Subcritical",W620,IF(AND(V620=1,AG620=1),IF(T620&gt;=AE620,L620,W620),IF(V620=1,L620,IF(AG620=1,W620,MAX($D$16,POWER((ABS(K620)^2)/($I$5*MAX(F620,0.1)^2),1/3)))))))</f>
        <v>2.1403668656741068</v>
      </c>
      <c r="AI620">
        <f t="shared" ca="1" si="308"/>
        <v>634.46736686567408</v>
      </c>
      <c r="AJ620">
        <f t="shared" ca="1" si="309"/>
        <v>635.53755029851118</v>
      </c>
      <c r="AM620">
        <v>0</v>
      </c>
      <c r="AN620">
        <v>0</v>
      </c>
      <c r="AO620">
        <f t="shared" si="310"/>
        <v>0</v>
      </c>
      <c r="AP620">
        <f t="shared" si="319"/>
        <v>0</v>
      </c>
      <c r="AQ620">
        <f t="shared" ca="1" si="311"/>
        <v>0.99999999999999978</v>
      </c>
      <c r="AR620" t="str">
        <f t="shared" ca="1" si="312"/>
        <v>Supercritical</v>
      </c>
      <c r="AS620">
        <f t="shared" ca="1" si="313"/>
        <v>3.8148159832266538E-3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191</v>
      </c>
      <c r="I621">
        <v>2.7E-2</v>
      </c>
      <c r="J621">
        <f t="shared" si="314"/>
        <v>0.9989999999999668</v>
      </c>
      <c r="K621">
        <f t="shared" si="315"/>
        <v>51</v>
      </c>
      <c r="L621">
        <f t="shared" ca="1" si="316"/>
        <v>0.05</v>
      </c>
      <c r="M621">
        <f t="shared" ca="1" si="289"/>
        <v>0.26</v>
      </c>
      <c r="N621">
        <f t="shared" ca="1" si="290"/>
        <v>4.9056603773584909E-2</v>
      </c>
      <c r="O621">
        <f t="shared" ca="1" si="291"/>
        <v>196.15384615384616</v>
      </c>
      <c r="P621">
        <f t="shared" ca="1" si="292"/>
        <v>632.37649999999996</v>
      </c>
      <c r="Q621">
        <f t="shared" ca="1" si="293"/>
        <v>2593.4535316486622</v>
      </c>
      <c r="R621">
        <f t="shared" ca="1" si="294"/>
        <v>482.07306851378365</v>
      </c>
      <c r="S621">
        <f t="shared" ca="1" si="295"/>
        <v>280.07692026646265</v>
      </c>
      <c r="T621">
        <f t="shared" ca="1" si="296"/>
        <v>1019.7665564573041</v>
      </c>
      <c r="U621">
        <f t="shared" ca="1" si="317"/>
        <v>-481.67874391167834</v>
      </c>
      <c r="V621">
        <f t="shared" ca="1" si="318"/>
        <v>0</v>
      </c>
      <c r="W621">
        <f t="shared" ca="1" si="297"/>
        <v>0.05</v>
      </c>
      <c r="X621">
        <f t="shared" ca="1" si="298"/>
        <v>0.26</v>
      </c>
      <c r="Y621">
        <f t="shared" ca="1" si="299"/>
        <v>4.9056603773584909E-2</v>
      </c>
      <c r="Z621">
        <f t="shared" ca="1" si="300"/>
        <v>196.15384615384616</v>
      </c>
      <c r="AA621">
        <f t="shared" ca="1" si="301"/>
        <v>632.37649999999996</v>
      </c>
      <c r="AB621">
        <f t="shared" ca="1" si="302"/>
        <v>2593.4535316486622</v>
      </c>
      <c r="AC621">
        <f t="shared" ca="1" si="303"/>
        <v>482.07306851378365</v>
      </c>
      <c r="AD621">
        <f t="shared" ca="1" si="304"/>
        <v>280.07692026646265</v>
      </c>
      <c r="AE621">
        <f t="shared" ca="1" si="305"/>
        <v>1019.7665564573041</v>
      </c>
      <c r="AF621">
        <f t="shared" ca="1" si="306"/>
        <v>482.32750852789786</v>
      </c>
      <c r="AG621">
        <f t="shared" ca="1" si="307"/>
        <v>0</v>
      </c>
      <c r="AH621">
        <f ca="1">IF(V32="Supercritical",L621,IF(V32="Subcritical",W621,IF(AND(V621=1,AG621=1),IF(T621&gt;=AE621,L621,W621),IF(V621=1,L621,IF(AG621=1,W621,MAX($D$16,POWER((ABS(K621)^2)/($I$5*MAX(F621,0.1)^2),1/3)))))))</f>
        <v>2.1403668656741068</v>
      </c>
      <c r="AI621">
        <f t="shared" ca="1" si="308"/>
        <v>634.46686686567409</v>
      </c>
      <c r="AJ621">
        <f t="shared" ca="1" si="309"/>
        <v>635.53705029851119</v>
      </c>
      <c r="AM621">
        <v>0</v>
      </c>
      <c r="AN621">
        <v>0</v>
      </c>
      <c r="AO621">
        <f t="shared" si="310"/>
        <v>0</v>
      </c>
      <c r="AP621">
        <f t="shared" si="319"/>
        <v>0</v>
      </c>
      <c r="AQ621">
        <f t="shared" ca="1" si="311"/>
        <v>0.99999999999999978</v>
      </c>
      <c r="AR621" t="str">
        <f t="shared" ca="1" si="312"/>
        <v>Supercritical</v>
      </c>
      <c r="AS621">
        <f t="shared" ca="1" si="313"/>
        <v>3.8148159832266538E-3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191</v>
      </c>
      <c r="I622">
        <v>7.8E-2</v>
      </c>
      <c r="J622">
        <f t="shared" si="314"/>
        <v>1</v>
      </c>
      <c r="K622">
        <f t="shared" si="315"/>
        <v>51</v>
      </c>
      <c r="L622">
        <f t="shared" ca="1" si="316"/>
        <v>0.05</v>
      </c>
      <c r="M622">
        <f t="shared" ca="1" si="289"/>
        <v>0.26</v>
      </c>
      <c r="N622">
        <f t="shared" ca="1" si="290"/>
        <v>4.9056603773584909E-2</v>
      </c>
      <c r="O622">
        <f t="shared" ca="1" si="291"/>
        <v>196.15384615384616</v>
      </c>
      <c r="P622">
        <f t="shared" ca="1" si="292"/>
        <v>632.37599999999998</v>
      </c>
      <c r="Q622">
        <f t="shared" ca="1" si="293"/>
        <v>2593.4530316486621</v>
      </c>
      <c r="R622">
        <f t="shared" ca="1" si="294"/>
        <v>482.07306851378365</v>
      </c>
      <c r="S622">
        <f t="shared" ca="1" si="295"/>
        <v>280.07692026646265</v>
      </c>
      <c r="T622">
        <f t="shared" ca="1" si="296"/>
        <v>1019.7665564573041</v>
      </c>
      <c r="U622">
        <f t="shared" ca="1" si="317"/>
        <v>-482.32750852789786</v>
      </c>
      <c r="V622">
        <f t="shared" ca="1" si="318"/>
        <v>0</v>
      </c>
      <c r="W622">
        <f t="shared" ca="1" si="297"/>
        <v>0.05</v>
      </c>
      <c r="X622">
        <f t="shared" ca="1" si="298"/>
        <v>0.26</v>
      </c>
      <c r="Y622">
        <f t="shared" ca="1" si="299"/>
        <v>4.9056603773584909E-2</v>
      </c>
      <c r="Z622">
        <f t="shared" ca="1" si="300"/>
        <v>196.15384615384616</v>
      </c>
      <c r="AA622">
        <f t="shared" ca="1" si="301"/>
        <v>632.37599999999998</v>
      </c>
      <c r="AB622">
        <f t="shared" ca="1" si="302"/>
        <v>2593.4530316486621</v>
      </c>
      <c r="AC622">
        <f t="shared" ca="1" si="303"/>
        <v>482.07306851378365</v>
      </c>
      <c r="AD622">
        <f t="shared" ca="1" si="304"/>
        <v>280.07692026646265</v>
      </c>
      <c r="AE622">
        <f t="shared" ca="1" si="305"/>
        <v>1019.7665564573041</v>
      </c>
      <c r="AF622">
        <f t="shared" ca="1" si="306"/>
        <v>482.23599159975447</v>
      </c>
      <c r="AG622">
        <f t="shared" ca="1" si="307"/>
        <v>0</v>
      </c>
      <c r="AH622">
        <f ca="1">IF(V32="Supercritical",L622,IF(V32="Subcritical",W622,IF(AND(V622=1,AG622=1),IF(T622&gt;=AE622,L622,W622),IF(V622=1,L622,IF(AG622=1,W622,MAX($D$16,POWER((ABS(K622)^2)/($I$5*MAX(F622,0.1)^2),1/3)))))))</f>
        <v>2.1403668656741068</v>
      </c>
      <c r="AI622">
        <f t="shared" ca="1" si="308"/>
        <v>634.4663668656741</v>
      </c>
      <c r="AJ622">
        <f t="shared" ca="1" si="309"/>
        <v>635.5365502985112</v>
      </c>
      <c r="AM622">
        <v>0</v>
      </c>
      <c r="AN622">
        <v>0</v>
      </c>
      <c r="AO622">
        <f t="shared" si="310"/>
        <v>0</v>
      </c>
      <c r="AP622">
        <f t="shared" si="319"/>
        <v>0</v>
      </c>
      <c r="AQ622">
        <f t="shared" ca="1" si="311"/>
        <v>0.99999999999999978</v>
      </c>
      <c r="AR622" t="str">
        <f t="shared" ca="1" si="312"/>
        <v>Supercritical</v>
      </c>
      <c r="AS622">
        <f t="shared" ca="1" si="313"/>
        <v>3.8148159832266538E-3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191</v>
      </c>
      <c r="I623">
        <v>0.05</v>
      </c>
      <c r="J623">
        <f t="shared" si="314"/>
        <v>1</v>
      </c>
      <c r="K623">
        <f t="shared" si="315"/>
        <v>51</v>
      </c>
      <c r="L623">
        <f t="shared" ca="1" si="316"/>
        <v>0.05</v>
      </c>
      <c r="M623">
        <f t="shared" ca="1" si="289"/>
        <v>0.26</v>
      </c>
      <c r="N623">
        <f t="shared" ca="1" si="290"/>
        <v>4.9056603773584909E-2</v>
      </c>
      <c r="O623">
        <f t="shared" ca="1" si="291"/>
        <v>196.15384615384616</v>
      </c>
      <c r="P623">
        <f t="shared" ca="1" si="292"/>
        <v>632.37549999999999</v>
      </c>
      <c r="Q623">
        <f t="shared" ca="1" si="293"/>
        <v>2593.452531648662</v>
      </c>
      <c r="R623">
        <f t="shared" ca="1" si="294"/>
        <v>482.07306851378365</v>
      </c>
      <c r="S623">
        <f t="shared" ca="1" si="295"/>
        <v>280.07692026646265</v>
      </c>
      <c r="T623">
        <f t="shared" ca="1" si="296"/>
        <v>1019.7665564573041</v>
      </c>
      <c r="U623">
        <f t="shared" ca="1" si="317"/>
        <v>-482.23599159975447</v>
      </c>
      <c r="V623">
        <f t="shared" ca="1" si="318"/>
        <v>0</v>
      </c>
      <c r="W623">
        <f t="shared" ca="1" si="297"/>
        <v>0.05</v>
      </c>
      <c r="X623">
        <f t="shared" ca="1" si="298"/>
        <v>0.26</v>
      </c>
      <c r="Y623">
        <f t="shared" ca="1" si="299"/>
        <v>4.9056603773584909E-2</v>
      </c>
      <c r="Z623">
        <f t="shared" ca="1" si="300"/>
        <v>196.15384615384616</v>
      </c>
      <c r="AA623">
        <f t="shared" ca="1" si="301"/>
        <v>632.37549999999999</v>
      </c>
      <c r="AB623">
        <f t="shared" ca="1" si="302"/>
        <v>2593.452531648662</v>
      </c>
      <c r="AC623">
        <f t="shared" ca="1" si="303"/>
        <v>482.07306851378365</v>
      </c>
      <c r="AD623">
        <f t="shared" ca="1" si="304"/>
        <v>280.07692026646265</v>
      </c>
      <c r="AE623">
        <f t="shared" ca="1" si="305"/>
        <v>1019.7665564573041</v>
      </c>
      <c r="AF623">
        <f t="shared" ca="1" si="306"/>
        <v>482.16081698020844</v>
      </c>
      <c r="AG623">
        <f t="shared" ca="1" si="307"/>
        <v>0</v>
      </c>
      <c r="AH623">
        <f ca="1">IF(V32="Supercritical",L623,IF(V32="Subcritical",W623,IF(AND(V623=1,AG623=1),IF(T623&gt;=AE623,L623,W623),IF(V623=1,L623,IF(AG623=1,W623,MAX($D$16,POWER((ABS(K623)^2)/($I$5*MAX(F623,0.1)^2),1/3)))))))</f>
        <v>2.1403668656741068</v>
      </c>
      <c r="AI623">
        <f t="shared" ca="1" si="308"/>
        <v>634.46586686567412</v>
      </c>
      <c r="AJ623">
        <f t="shared" ca="1" si="309"/>
        <v>635.53605029851121</v>
      </c>
      <c r="AM623">
        <v>0</v>
      </c>
      <c r="AN623">
        <v>0</v>
      </c>
      <c r="AO623">
        <f t="shared" si="310"/>
        <v>0</v>
      </c>
      <c r="AP623">
        <f t="shared" si="319"/>
        <v>0</v>
      </c>
      <c r="AQ623">
        <f t="shared" ca="1" si="311"/>
        <v>0.99999999999999978</v>
      </c>
      <c r="AR623" t="str">
        <f t="shared" ca="1" si="312"/>
        <v>Supercritical</v>
      </c>
      <c r="AS623">
        <f t="shared" ca="1" si="313"/>
        <v>3.8148159832266538E-3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191</v>
      </c>
      <c r="I624">
        <v>2.7E-2</v>
      </c>
      <c r="J624">
        <f t="shared" si="314"/>
        <v>1</v>
      </c>
      <c r="K624">
        <f t="shared" si="315"/>
        <v>51</v>
      </c>
      <c r="L624">
        <f t="shared" ca="1" si="316"/>
        <v>0.05</v>
      </c>
      <c r="M624">
        <f t="shared" ca="1" si="289"/>
        <v>0.26</v>
      </c>
      <c r="N624">
        <f t="shared" ca="1" si="290"/>
        <v>4.9056603773584909E-2</v>
      </c>
      <c r="O624">
        <f t="shared" ca="1" si="291"/>
        <v>196.15384615384616</v>
      </c>
      <c r="P624">
        <f t="shared" ca="1" si="292"/>
        <v>632.375</v>
      </c>
      <c r="Q624">
        <f t="shared" ca="1" si="293"/>
        <v>2593.4520316486623</v>
      </c>
      <c r="R624">
        <f t="shared" ca="1" si="294"/>
        <v>482.07306851378365</v>
      </c>
      <c r="S624">
        <f t="shared" ca="1" si="295"/>
        <v>280.07692026646265</v>
      </c>
      <c r="T624">
        <f t="shared" ca="1" si="296"/>
        <v>1019.7665564573041</v>
      </c>
      <c r="U624">
        <f t="shared" ca="1" si="317"/>
        <v>-482.16081698020844</v>
      </c>
      <c r="V624">
        <f t="shared" ca="1" si="318"/>
        <v>0</v>
      </c>
      <c r="W624">
        <f t="shared" ca="1" si="297"/>
        <v>0.05</v>
      </c>
      <c r="X624">
        <f t="shared" ca="1" si="298"/>
        <v>0.26</v>
      </c>
      <c r="Y624">
        <f t="shared" ca="1" si="299"/>
        <v>4.9056603773584909E-2</v>
      </c>
      <c r="Z624">
        <f t="shared" ca="1" si="300"/>
        <v>196.15384615384616</v>
      </c>
      <c r="AA624">
        <f t="shared" ca="1" si="301"/>
        <v>632.375</v>
      </c>
      <c r="AB624">
        <f t="shared" ca="1" si="302"/>
        <v>2593.4520316486623</v>
      </c>
      <c r="AC624">
        <f t="shared" ca="1" si="303"/>
        <v>482.07306851378365</v>
      </c>
      <c r="AD624">
        <f t="shared" ca="1" si="304"/>
        <v>280.07692026646265</v>
      </c>
      <c r="AE624">
        <f t="shared" ca="1" si="305"/>
        <v>1019.7665564573041</v>
      </c>
      <c r="AF624">
        <f t="shared" ca="1" si="306"/>
        <v>482.16081698020798</v>
      </c>
      <c r="AG624">
        <f t="shared" ca="1" si="307"/>
        <v>0</v>
      </c>
      <c r="AH624">
        <f ca="1">IF(V32="Supercritical",L624,IF(V32="Subcritical",W624,IF(AND(V624=1,AG624=1),IF(T624&gt;=AE624,L624,W624),IF(V624=1,L624,IF(AG624=1,W624,MAX($D$16,POWER((ABS(K624)^2)/($I$5*MAX(F624,0.1)^2),1/3)))))))</f>
        <v>2.1403668656741068</v>
      </c>
      <c r="AI624">
        <f t="shared" ca="1" si="308"/>
        <v>634.46536686567413</v>
      </c>
      <c r="AJ624">
        <f t="shared" ca="1" si="309"/>
        <v>635.53555029851123</v>
      </c>
      <c r="AM624">
        <v>0</v>
      </c>
      <c r="AN624">
        <v>0</v>
      </c>
      <c r="AO624">
        <f t="shared" si="310"/>
        <v>0</v>
      </c>
      <c r="AP624">
        <f t="shared" si="319"/>
        <v>0</v>
      </c>
      <c r="AQ624">
        <f t="shared" ca="1" si="311"/>
        <v>0.99999999999999978</v>
      </c>
      <c r="AR624" t="str">
        <f t="shared" ca="1" si="312"/>
        <v>Supercritical</v>
      </c>
      <c r="AS624">
        <f t="shared" ca="1" si="313"/>
        <v>3.8148159832266538E-3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191</v>
      </c>
      <c r="I625">
        <v>2.7E-2</v>
      </c>
      <c r="J625">
        <f t="shared" si="314"/>
        <v>1</v>
      </c>
      <c r="K625">
        <f t="shared" si="315"/>
        <v>51</v>
      </c>
      <c r="L625">
        <f t="shared" ca="1" si="316"/>
        <v>0.05</v>
      </c>
      <c r="M625">
        <f t="shared" ca="1" si="289"/>
        <v>0.26</v>
      </c>
      <c r="N625">
        <f t="shared" ca="1" si="290"/>
        <v>4.9056603773584909E-2</v>
      </c>
      <c r="O625">
        <f t="shared" ca="1" si="291"/>
        <v>196.15384615384616</v>
      </c>
      <c r="P625">
        <f t="shared" ca="1" si="292"/>
        <v>632.3744999999999</v>
      </c>
      <c r="Q625">
        <f t="shared" ca="1" si="293"/>
        <v>2593.4515316486622</v>
      </c>
      <c r="R625">
        <f t="shared" ca="1" si="294"/>
        <v>482.07306851378365</v>
      </c>
      <c r="S625">
        <f t="shared" ca="1" si="295"/>
        <v>280.07692026646265</v>
      </c>
      <c r="T625">
        <f t="shared" ca="1" si="296"/>
        <v>1019.7665564573041</v>
      </c>
      <c r="U625">
        <f t="shared" ca="1" si="317"/>
        <v>-482.16081698020798</v>
      </c>
      <c r="V625">
        <f t="shared" ca="1" si="318"/>
        <v>0</v>
      </c>
      <c r="W625">
        <f t="shared" ca="1" si="297"/>
        <v>0.05</v>
      </c>
      <c r="X625">
        <f t="shared" ca="1" si="298"/>
        <v>0.26</v>
      </c>
      <c r="Y625">
        <f t="shared" ca="1" si="299"/>
        <v>4.9056603773584909E-2</v>
      </c>
      <c r="Z625">
        <f t="shared" ca="1" si="300"/>
        <v>196.15384615384616</v>
      </c>
      <c r="AA625">
        <f t="shared" ca="1" si="301"/>
        <v>632.3744999999999</v>
      </c>
      <c r="AB625">
        <f t="shared" ca="1" si="302"/>
        <v>2593.4515316486622</v>
      </c>
      <c r="AC625">
        <f t="shared" ca="1" si="303"/>
        <v>482.07306851378365</v>
      </c>
      <c r="AD625">
        <f t="shared" ca="1" si="304"/>
        <v>280.07692026646265</v>
      </c>
      <c r="AE625">
        <f t="shared" ca="1" si="305"/>
        <v>1019.7665564573041</v>
      </c>
      <c r="AF625">
        <f t="shared" ca="1" si="306"/>
        <v>482.1477431333301</v>
      </c>
      <c r="AG625">
        <f t="shared" ca="1" si="307"/>
        <v>0</v>
      </c>
      <c r="AH625">
        <f ca="1">IF(V32="Supercritical",L625,IF(V32="Subcritical",W625,IF(AND(V625=1,AG625=1),IF(T625&gt;=AE625,L625,W625),IF(V625=1,L625,IF(AG625=1,W625,MAX($D$16,POWER((ABS(K625)^2)/($I$5*MAX(F625,0.1)^2),1/3)))))))</f>
        <v>2.1403668656741068</v>
      </c>
      <c r="AI625">
        <f t="shared" ca="1" si="308"/>
        <v>634.46486686567403</v>
      </c>
      <c r="AJ625">
        <f t="shared" ca="1" si="309"/>
        <v>635.53505029851112</v>
      </c>
      <c r="AM625">
        <v>0</v>
      </c>
      <c r="AN625">
        <v>0</v>
      </c>
      <c r="AO625">
        <f t="shared" si="310"/>
        <v>0</v>
      </c>
      <c r="AP625">
        <f t="shared" si="319"/>
        <v>0</v>
      </c>
      <c r="AQ625">
        <f t="shared" ca="1" si="311"/>
        <v>0.99999999999999978</v>
      </c>
      <c r="AR625" t="str">
        <f t="shared" ca="1" si="312"/>
        <v>Supercritical</v>
      </c>
      <c r="AS625">
        <f t="shared" ca="1" si="313"/>
        <v>3.8148159832266538E-3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191</v>
      </c>
      <c r="I626">
        <v>2.3E-2</v>
      </c>
      <c r="J626">
        <f t="shared" si="314"/>
        <v>1</v>
      </c>
      <c r="K626">
        <f t="shared" si="315"/>
        <v>51</v>
      </c>
      <c r="L626">
        <f t="shared" ca="1" si="316"/>
        <v>0.05</v>
      </c>
      <c r="M626">
        <f t="shared" ca="1" si="289"/>
        <v>0.26</v>
      </c>
      <c r="N626">
        <f t="shared" ca="1" si="290"/>
        <v>4.9056603773584909E-2</v>
      </c>
      <c r="O626">
        <f t="shared" ca="1" si="291"/>
        <v>196.15384615384616</v>
      </c>
      <c r="P626">
        <f t="shared" ca="1" si="292"/>
        <v>632.37399999999991</v>
      </c>
      <c r="Q626">
        <f t="shared" ca="1" si="293"/>
        <v>2593.4510316486621</v>
      </c>
      <c r="R626">
        <f t="shared" ca="1" si="294"/>
        <v>482.07306851378365</v>
      </c>
      <c r="S626">
        <f t="shared" ca="1" si="295"/>
        <v>280.07692026646265</v>
      </c>
      <c r="T626">
        <f t="shared" ca="1" si="296"/>
        <v>1019.7665564573041</v>
      </c>
      <c r="U626">
        <f t="shared" ca="1" si="317"/>
        <v>-482.1477431333301</v>
      </c>
      <c r="V626">
        <f t="shared" ca="1" si="318"/>
        <v>0</v>
      </c>
      <c r="W626">
        <f t="shared" ca="1" si="297"/>
        <v>0.05</v>
      </c>
      <c r="X626">
        <f t="shared" ca="1" si="298"/>
        <v>0.26</v>
      </c>
      <c r="Y626">
        <f t="shared" ca="1" si="299"/>
        <v>4.9056603773584909E-2</v>
      </c>
      <c r="Z626">
        <f t="shared" ca="1" si="300"/>
        <v>196.15384615384616</v>
      </c>
      <c r="AA626">
        <f t="shared" ca="1" si="301"/>
        <v>632.37399999999991</v>
      </c>
      <c r="AB626">
        <f t="shared" ca="1" si="302"/>
        <v>2593.4510316486621</v>
      </c>
      <c r="AC626">
        <f t="shared" ca="1" si="303"/>
        <v>482.07306851378365</v>
      </c>
      <c r="AD626">
        <f t="shared" ca="1" si="304"/>
        <v>280.07692026646265</v>
      </c>
      <c r="AE626">
        <f t="shared" ca="1" si="305"/>
        <v>1019.7665564573041</v>
      </c>
      <c r="AF626">
        <f t="shared" ca="1" si="306"/>
        <v>482.62981620185974</v>
      </c>
      <c r="AG626">
        <f t="shared" ca="1" si="307"/>
        <v>0</v>
      </c>
      <c r="AH626">
        <f ca="1">IF(V32="Supercritical",L626,IF(V32="Subcritical",W626,IF(AND(V626=1,AG626=1),IF(T626&gt;=AE626,L626,W626),IF(V626=1,L626,IF(AG626=1,W626,MAX($D$16,POWER((ABS(K626)^2)/($I$5*MAX(F626,0.1)^2),1/3)))))))</f>
        <v>2.1403668656741068</v>
      </c>
      <c r="AI626">
        <f t="shared" ca="1" si="308"/>
        <v>634.46436686567404</v>
      </c>
      <c r="AJ626">
        <f t="shared" ca="1" si="309"/>
        <v>635.53455029851114</v>
      </c>
      <c r="AM626">
        <v>0</v>
      </c>
      <c r="AN626">
        <v>0</v>
      </c>
      <c r="AO626">
        <f t="shared" si="310"/>
        <v>0</v>
      </c>
      <c r="AP626">
        <f t="shared" si="319"/>
        <v>0</v>
      </c>
      <c r="AQ626">
        <f t="shared" ca="1" si="311"/>
        <v>0.99999999999999978</v>
      </c>
      <c r="AR626" t="str">
        <f t="shared" ca="1" si="312"/>
        <v>Supercritical</v>
      </c>
      <c r="AS626">
        <f t="shared" ca="1" si="313"/>
        <v>3.8148159832266538E-3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191</v>
      </c>
      <c r="I627">
        <v>2.3E-2</v>
      </c>
      <c r="J627">
        <f t="shared" si="314"/>
        <v>1.0010000000000332</v>
      </c>
      <c r="K627">
        <f t="shared" si="315"/>
        <v>51</v>
      </c>
      <c r="L627">
        <f t="shared" ca="1" si="316"/>
        <v>0.05</v>
      </c>
      <c r="M627">
        <f t="shared" ca="1" si="289"/>
        <v>0.26</v>
      </c>
      <c r="N627">
        <f t="shared" ca="1" si="290"/>
        <v>4.9056603773584909E-2</v>
      </c>
      <c r="O627">
        <f t="shared" ca="1" si="291"/>
        <v>196.15384615384616</v>
      </c>
      <c r="P627">
        <f t="shared" ca="1" si="292"/>
        <v>632.37349999999992</v>
      </c>
      <c r="Q627">
        <f t="shared" ca="1" si="293"/>
        <v>2593.450531648662</v>
      </c>
      <c r="R627">
        <f t="shared" ca="1" si="294"/>
        <v>482.07306851378365</v>
      </c>
      <c r="S627">
        <f t="shared" ca="1" si="295"/>
        <v>280.07692026646265</v>
      </c>
      <c r="T627">
        <f t="shared" ca="1" si="296"/>
        <v>1019.7665564573041</v>
      </c>
      <c r="U627">
        <f t="shared" ca="1" si="317"/>
        <v>-482.62981620185974</v>
      </c>
      <c r="V627">
        <f t="shared" ca="1" si="318"/>
        <v>0</v>
      </c>
      <c r="W627">
        <f t="shared" ca="1" si="297"/>
        <v>0.05</v>
      </c>
      <c r="X627">
        <f t="shared" ca="1" si="298"/>
        <v>0.26</v>
      </c>
      <c r="Y627">
        <f t="shared" ca="1" si="299"/>
        <v>4.9056603773584909E-2</v>
      </c>
      <c r="Z627">
        <f t="shared" ca="1" si="300"/>
        <v>196.15384615384616</v>
      </c>
      <c r="AA627">
        <f t="shared" ca="1" si="301"/>
        <v>632.37349999999992</v>
      </c>
      <c r="AB627">
        <f t="shared" ca="1" si="302"/>
        <v>2593.450531648662</v>
      </c>
      <c r="AC627">
        <f t="shared" ca="1" si="303"/>
        <v>482.07306851378365</v>
      </c>
      <c r="AD627">
        <f t="shared" ca="1" si="304"/>
        <v>280.07692026646265</v>
      </c>
      <c r="AE627">
        <f t="shared" ca="1" si="305"/>
        <v>1019.7665564573041</v>
      </c>
      <c r="AF627">
        <f t="shared" ca="1" si="306"/>
        <v>481.59049544525351</v>
      </c>
      <c r="AG627">
        <f t="shared" ca="1" si="307"/>
        <v>0</v>
      </c>
      <c r="AH627">
        <f ca="1">IF(V32="Supercritical",L627,IF(V32="Subcritical",W627,IF(AND(V627=1,AG627=1),IF(T627&gt;=AE627,L627,W627),IF(V627=1,L627,IF(AG627=1,W627,MAX($D$16,POWER((ABS(K627)^2)/($I$5*MAX(F627,0.1)^2),1/3)))))))</f>
        <v>2.1403668656741068</v>
      </c>
      <c r="AI627">
        <f t="shared" ca="1" si="308"/>
        <v>634.46386686567405</v>
      </c>
      <c r="AJ627">
        <f t="shared" ca="1" si="309"/>
        <v>635.53405029851115</v>
      </c>
      <c r="AM627">
        <v>0</v>
      </c>
      <c r="AN627">
        <v>0</v>
      </c>
      <c r="AO627">
        <f t="shared" si="310"/>
        <v>0</v>
      </c>
      <c r="AP627">
        <f t="shared" si="319"/>
        <v>0</v>
      </c>
      <c r="AQ627">
        <f t="shared" ca="1" si="311"/>
        <v>0.99999999999999978</v>
      </c>
      <c r="AR627" t="str">
        <f t="shared" ca="1" si="312"/>
        <v>Supercritical</v>
      </c>
      <c r="AS627">
        <f t="shared" ca="1" si="313"/>
        <v>3.8148159832266538E-3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191</v>
      </c>
      <c r="I628">
        <v>0</v>
      </c>
      <c r="J628">
        <f t="shared" si="314"/>
        <v>0.9989999999999668</v>
      </c>
      <c r="K628">
        <f t="shared" si="315"/>
        <v>51</v>
      </c>
      <c r="L628">
        <f t="shared" ca="1" si="316"/>
        <v>0.05</v>
      </c>
      <c r="M628">
        <f t="shared" ca="1" si="289"/>
        <v>0.26</v>
      </c>
      <c r="N628">
        <f t="shared" ca="1" si="290"/>
        <v>4.9056603773584909E-2</v>
      </c>
      <c r="O628">
        <f t="shared" ca="1" si="291"/>
        <v>196.15384615384616</v>
      </c>
      <c r="P628">
        <f t="shared" ca="1" si="292"/>
        <v>632.37299999999993</v>
      </c>
      <c r="Q628">
        <f t="shared" ca="1" si="293"/>
        <v>2593.4500316486619</v>
      </c>
      <c r="R628">
        <f t="shared" ca="1" si="294"/>
        <v>482.07306851378365</v>
      </c>
      <c r="S628">
        <f t="shared" ca="1" si="295"/>
        <v>280.07692026646265</v>
      </c>
      <c r="T628">
        <f t="shared" ca="1" si="296"/>
        <v>1019.7665564573041</v>
      </c>
      <c r="U628">
        <f t="shared" ca="1" si="317"/>
        <v>-481.59049544525351</v>
      </c>
      <c r="V628">
        <f t="shared" ca="1" si="318"/>
        <v>0</v>
      </c>
      <c r="W628">
        <f t="shared" ca="1" si="297"/>
        <v>0.05</v>
      </c>
      <c r="X628">
        <f t="shared" ca="1" si="298"/>
        <v>0.26</v>
      </c>
      <c r="Y628">
        <f t="shared" ca="1" si="299"/>
        <v>4.9056603773584909E-2</v>
      </c>
      <c r="Z628">
        <f t="shared" ca="1" si="300"/>
        <v>196.15384615384616</v>
      </c>
      <c r="AA628">
        <f t="shared" ca="1" si="301"/>
        <v>632.37299999999993</v>
      </c>
      <c r="AB628">
        <f t="shared" ca="1" si="302"/>
        <v>2593.4500316486619</v>
      </c>
      <c r="AC628">
        <f t="shared" ca="1" si="303"/>
        <v>482.07306851378365</v>
      </c>
      <c r="AD628">
        <f t="shared" ca="1" si="304"/>
        <v>280.07692026646265</v>
      </c>
      <c r="AE628">
        <f t="shared" ca="1" si="305"/>
        <v>1019.7665564573041</v>
      </c>
      <c r="AF628">
        <f t="shared" ca="1" si="306"/>
        <v>482.16081698020798</v>
      </c>
      <c r="AG628">
        <f t="shared" ca="1" si="307"/>
        <v>0</v>
      </c>
      <c r="AH628">
        <f ca="1">IF(V32="Supercritical",L628,IF(V32="Subcritical",W628,IF(AND(V628=1,AG628=1),IF(T628&gt;=AE628,L628,W628),IF(V628=1,L628,IF(AG628=1,W628,MAX($D$16,POWER((ABS(K628)^2)/($I$5*MAX(F628,0.1)^2),1/3)))))))</f>
        <v>2.1403668656741068</v>
      </c>
      <c r="AI628">
        <f t="shared" ca="1" si="308"/>
        <v>634.46336686567406</v>
      </c>
      <c r="AJ628">
        <f t="shared" ca="1" si="309"/>
        <v>635.53355029851116</v>
      </c>
      <c r="AM628">
        <v>0</v>
      </c>
      <c r="AN628">
        <v>0</v>
      </c>
      <c r="AO628">
        <f t="shared" si="310"/>
        <v>0</v>
      </c>
      <c r="AP628">
        <f t="shared" si="319"/>
        <v>0</v>
      </c>
      <c r="AQ628">
        <f t="shared" ca="1" si="311"/>
        <v>0.99999999999999978</v>
      </c>
      <c r="AR628" t="str">
        <f t="shared" ca="1" si="312"/>
        <v>Supercritical</v>
      </c>
      <c r="AS628">
        <f t="shared" ca="1" si="313"/>
        <v>3.8148159832266538E-3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191</v>
      </c>
      <c r="I629">
        <v>2.7E-2</v>
      </c>
      <c r="J629">
        <f t="shared" si="314"/>
        <v>1</v>
      </c>
      <c r="K629">
        <f t="shared" si="315"/>
        <v>51</v>
      </c>
      <c r="L629">
        <f t="shared" ca="1" si="316"/>
        <v>0.05</v>
      </c>
      <c r="M629">
        <f t="shared" ca="1" si="289"/>
        <v>0.26</v>
      </c>
      <c r="N629">
        <f t="shared" ca="1" si="290"/>
        <v>4.9056603773584909E-2</v>
      </c>
      <c r="O629">
        <f t="shared" ca="1" si="291"/>
        <v>196.15384615384616</v>
      </c>
      <c r="P629">
        <f t="shared" ca="1" si="292"/>
        <v>632.37249999999995</v>
      </c>
      <c r="Q629">
        <f t="shared" ca="1" si="293"/>
        <v>2593.4495316486618</v>
      </c>
      <c r="R629">
        <f t="shared" ca="1" si="294"/>
        <v>482.07306851378365</v>
      </c>
      <c r="S629">
        <f t="shared" ca="1" si="295"/>
        <v>280.07692026646265</v>
      </c>
      <c r="T629">
        <f t="shared" ca="1" si="296"/>
        <v>1019.7665564573041</v>
      </c>
      <c r="U629">
        <f t="shared" ca="1" si="317"/>
        <v>-482.16081698020798</v>
      </c>
      <c r="V629">
        <f t="shared" ca="1" si="318"/>
        <v>0</v>
      </c>
      <c r="W629">
        <f t="shared" ca="1" si="297"/>
        <v>0.05</v>
      </c>
      <c r="X629">
        <f t="shared" ca="1" si="298"/>
        <v>0.26</v>
      </c>
      <c r="Y629">
        <f t="shared" ca="1" si="299"/>
        <v>4.9056603773584909E-2</v>
      </c>
      <c r="Z629">
        <f t="shared" ca="1" si="300"/>
        <v>196.15384615384616</v>
      </c>
      <c r="AA629">
        <f t="shared" ca="1" si="301"/>
        <v>632.37249999999995</v>
      </c>
      <c r="AB629">
        <f t="shared" ca="1" si="302"/>
        <v>2593.4495316486618</v>
      </c>
      <c r="AC629">
        <f t="shared" ca="1" si="303"/>
        <v>482.07306851378365</v>
      </c>
      <c r="AD629">
        <f t="shared" ca="1" si="304"/>
        <v>280.07692026646265</v>
      </c>
      <c r="AE629">
        <f t="shared" ca="1" si="305"/>
        <v>1019.7665564573041</v>
      </c>
      <c r="AF629">
        <f t="shared" ca="1" si="306"/>
        <v>482.32750852789832</v>
      </c>
      <c r="AG629">
        <f t="shared" ca="1" si="307"/>
        <v>0</v>
      </c>
      <c r="AH629">
        <f ca="1">IF(V32="Supercritical",L629,IF(V32="Subcritical",W629,IF(AND(V629=1,AG629=1),IF(T629&gt;=AE629,L629,W629),IF(V629=1,L629,IF(AG629=1,W629,MAX($D$16,POWER((ABS(K629)^2)/($I$5*MAX(F629,0.1)^2),1/3)))))))</f>
        <v>2.1403668656741068</v>
      </c>
      <c r="AI629">
        <f t="shared" ca="1" si="308"/>
        <v>634.46286686567407</v>
      </c>
      <c r="AJ629">
        <f t="shared" ca="1" si="309"/>
        <v>635.53305029851117</v>
      </c>
      <c r="AM629">
        <v>0</v>
      </c>
      <c r="AN629">
        <v>0</v>
      </c>
      <c r="AO629">
        <f t="shared" si="310"/>
        <v>0</v>
      </c>
      <c r="AP629">
        <f t="shared" si="319"/>
        <v>0</v>
      </c>
      <c r="AQ629">
        <f t="shared" ca="1" si="311"/>
        <v>0.99999999999999978</v>
      </c>
      <c r="AR629" t="str">
        <f t="shared" ca="1" si="312"/>
        <v>Supercritical</v>
      </c>
      <c r="AS629">
        <f t="shared" ca="1" si="313"/>
        <v>3.8148159832266538E-3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191</v>
      </c>
      <c r="I630">
        <v>7.8E-2</v>
      </c>
      <c r="J630">
        <f t="shared" si="314"/>
        <v>1</v>
      </c>
      <c r="K630">
        <f t="shared" si="315"/>
        <v>51</v>
      </c>
      <c r="L630">
        <f t="shared" ca="1" si="316"/>
        <v>0.05</v>
      </c>
      <c r="M630">
        <f t="shared" ca="1" si="289"/>
        <v>0.26</v>
      </c>
      <c r="N630">
        <f t="shared" ca="1" si="290"/>
        <v>4.9056603773584909E-2</v>
      </c>
      <c r="O630">
        <f t="shared" ca="1" si="291"/>
        <v>196.15384615384616</v>
      </c>
      <c r="P630">
        <f t="shared" ca="1" si="292"/>
        <v>632.37199999999996</v>
      </c>
      <c r="Q630">
        <f t="shared" ca="1" si="293"/>
        <v>2593.4490316486622</v>
      </c>
      <c r="R630">
        <f t="shared" ca="1" si="294"/>
        <v>482.07306851378365</v>
      </c>
      <c r="S630">
        <f t="shared" ca="1" si="295"/>
        <v>280.07692026646265</v>
      </c>
      <c r="T630">
        <f t="shared" ca="1" si="296"/>
        <v>1019.7665564573041</v>
      </c>
      <c r="U630">
        <f t="shared" ca="1" si="317"/>
        <v>-482.32750852789832</v>
      </c>
      <c r="V630">
        <f t="shared" ca="1" si="318"/>
        <v>0</v>
      </c>
      <c r="W630">
        <f t="shared" ca="1" si="297"/>
        <v>0.05</v>
      </c>
      <c r="X630">
        <f t="shared" ca="1" si="298"/>
        <v>0.26</v>
      </c>
      <c r="Y630">
        <f t="shared" ca="1" si="299"/>
        <v>4.9056603773584909E-2</v>
      </c>
      <c r="Z630">
        <f t="shared" ca="1" si="300"/>
        <v>196.15384615384616</v>
      </c>
      <c r="AA630">
        <f t="shared" ca="1" si="301"/>
        <v>632.37199999999996</v>
      </c>
      <c r="AB630">
        <f t="shared" ca="1" si="302"/>
        <v>2593.4490316486622</v>
      </c>
      <c r="AC630">
        <f t="shared" ca="1" si="303"/>
        <v>482.07306851378365</v>
      </c>
      <c r="AD630">
        <f t="shared" ca="1" si="304"/>
        <v>280.07692026646265</v>
      </c>
      <c r="AE630">
        <f t="shared" ca="1" si="305"/>
        <v>1019.7665564573041</v>
      </c>
      <c r="AF630">
        <f t="shared" ca="1" si="306"/>
        <v>482.32750852789786</v>
      </c>
      <c r="AG630">
        <f t="shared" ca="1" si="307"/>
        <v>0</v>
      </c>
      <c r="AH630">
        <f ca="1">IF(V32="Supercritical",L630,IF(V32="Subcritical",W630,IF(AND(V630=1,AG630=1),IF(T630&gt;=AE630,L630,W630),IF(V630=1,L630,IF(AG630=1,W630,MAX($D$16,POWER((ABS(K630)^2)/($I$5*MAX(F630,0.1)^2),1/3)))))))</f>
        <v>2.1403668656741068</v>
      </c>
      <c r="AI630">
        <f t="shared" ca="1" si="308"/>
        <v>634.46236686567408</v>
      </c>
      <c r="AJ630">
        <f t="shared" ca="1" si="309"/>
        <v>635.53255029851118</v>
      </c>
      <c r="AM630">
        <v>0</v>
      </c>
      <c r="AN630">
        <v>0</v>
      </c>
      <c r="AO630">
        <f t="shared" si="310"/>
        <v>0</v>
      </c>
      <c r="AP630">
        <f t="shared" si="319"/>
        <v>0</v>
      </c>
      <c r="AQ630">
        <f t="shared" ca="1" si="311"/>
        <v>0.99999999999999978</v>
      </c>
      <c r="AR630" t="str">
        <f t="shared" ca="1" si="312"/>
        <v>Supercritical</v>
      </c>
      <c r="AS630">
        <f t="shared" ca="1" si="313"/>
        <v>3.8148159832266538E-3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191</v>
      </c>
      <c r="I631">
        <v>7.8E-2</v>
      </c>
      <c r="J631">
        <f t="shared" si="314"/>
        <v>1</v>
      </c>
      <c r="K631">
        <f t="shared" si="315"/>
        <v>51</v>
      </c>
      <c r="L631">
        <f t="shared" ca="1" si="316"/>
        <v>0.05</v>
      </c>
      <c r="M631">
        <f t="shared" ca="1" si="289"/>
        <v>0.26</v>
      </c>
      <c r="N631">
        <f t="shared" ca="1" si="290"/>
        <v>4.9056603773584909E-2</v>
      </c>
      <c r="O631">
        <f t="shared" ca="1" si="291"/>
        <v>196.15384615384616</v>
      </c>
      <c r="P631">
        <f t="shared" ca="1" si="292"/>
        <v>632.37149999999997</v>
      </c>
      <c r="Q631">
        <f t="shared" ca="1" si="293"/>
        <v>2593.4485316486621</v>
      </c>
      <c r="R631">
        <f t="shared" ca="1" si="294"/>
        <v>482.07306851378365</v>
      </c>
      <c r="S631">
        <f t="shared" ca="1" si="295"/>
        <v>280.07692026646265</v>
      </c>
      <c r="T631">
        <f t="shared" ca="1" si="296"/>
        <v>1019.7665564573041</v>
      </c>
      <c r="U631">
        <f t="shared" ca="1" si="317"/>
        <v>-482.32750852789786</v>
      </c>
      <c r="V631">
        <f t="shared" ca="1" si="318"/>
        <v>0</v>
      </c>
      <c r="W631">
        <f t="shared" ca="1" si="297"/>
        <v>0.05</v>
      </c>
      <c r="X631">
        <f t="shared" ca="1" si="298"/>
        <v>0.26</v>
      </c>
      <c r="Y631">
        <f t="shared" ca="1" si="299"/>
        <v>4.9056603773584909E-2</v>
      </c>
      <c r="Z631">
        <f t="shared" ca="1" si="300"/>
        <v>196.15384615384616</v>
      </c>
      <c r="AA631">
        <f t="shared" ca="1" si="301"/>
        <v>632.37149999999997</v>
      </c>
      <c r="AB631">
        <f t="shared" ca="1" si="302"/>
        <v>2593.4485316486621</v>
      </c>
      <c r="AC631">
        <f t="shared" ca="1" si="303"/>
        <v>482.07306851378365</v>
      </c>
      <c r="AD631">
        <f t="shared" ca="1" si="304"/>
        <v>280.07692026646265</v>
      </c>
      <c r="AE631">
        <f t="shared" ca="1" si="305"/>
        <v>1019.7665564573041</v>
      </c>
      <c r="AF631">
        <f t="shared" ca="1" si="306"/>
        <v>482.64289004873763</v>
      </c>
      <c r="AG631">
        <f t="shared" ca="1" si="307"/>
        <v>0</v>
      </c>
      <c r="AH631">
        <f ca="1">IF(V32="Supercritical",L631,IF(V32="Subcritical",W631,IF(AND(V631=1,AG631=1),IF(T631&gt;=AE631,L631,W631),IF(V631=1,L631,IF(AG631=1,W631,MAX($D$16,POWER((ABS(K631)^2)/($I$5*MAX(F631,0.1)^2),1/3)))))))</f>
        <v>2.1403668656741068</v>
      </c>
      <c r="AI631">
        <f t="shared" ca="1" si="308"/>
        <v>634.4618668656741</v>
      </c>
      <c r="AJ631">
        <f t="shared" ca="1" si="309"/>
        <v>635.53205029851119</v>
      </c>
      <c r="AM631">
        <v>0</v>
      </c>
      <c r="AN631">
        <v>0</v>
      </c>
      <c r="AO631">
        <f t="shared" si="310"/>
        <v>0</v>
      </c>
      <c r="AP631">
        <f t="shared" si="319"/>
        <v>0</v>
      </c>
      <c r="AQ631">
        <f t="shared" ca="1" si="311"/>
        <v>0.99999999999999978</v>
      </c>
      <c r="AR631" t="str">
        <f t="shared" ca="1" si="312"/>
        <v>Supercritical</v>
      </c>
      <c r="AS631">
        <f t="shared" ca="1" si="313"/>
        <v>3.8148159832266538E-3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191</v>
      </c>
      <c r="I632">
        <v>2.7E-2</v>
      </c>
      <c r="J632">
        <f t="shared" si="314"/>
        <v>1.0010000000000332</v>
      </c>
      <c r="K632">
        <f t="shared" si="315"/>
        <v>51</v>
      </c>
      <c r="L632">
        <f t="shared" ca="1" si="316"/>
        <v>0.05</v>
      </c>
      <c r="M632">
        <f t="shared" ca="1" si="289"/>
        <v>0.26</v>
      </c>
      <c r="N632">
        <f t="shared" ca="1" si="290"/>
        <v>4.9056603773584909E-2</v>
      </c>
      <c r="O632">
        <f t="shared" ca="1" si="291"/>
        <v>196.15384615384616</v>
      </c>
      <c r="P632">
        <f t="shared" ca="1" si="292"/>
        <v>632.37099999999998</v>
      </c>
      <c r="Q632">
        <f t="shared" ca="1" si="293"/>
        <v>2593.448031648662</v>
      </c>
      <c r="R632">
        <f t="shared" ca="1" si="294"/>
        <v>482.07306851378365</v>
      </c>
      <c r="S632">
        <f t="shared" ca="1" si="295"/>
        <v>280.07692026646265</v>
      </c>
      <c r="T632">
        <f t="shared" ca="1" si="296"/>
        <v>1019.7665564573041</v>
      </c>
      <c r="U632">
        <f t="shared" ca="1" si="317"/>
        <v>-482.64289004873763</v>
      </c>
      <c r="V632">
        <f t="shared" ca="1" si="318"/>
        <v>0</v>
      </c>
      <c r="W632">
        <f t="shared" ca="1" si="297"/>
        <v>0.05</v>
      </c>
      <c r="X632">
        <f t="shared" ca="1" si="298"/>
        <v>0.26</v>
      </c>
      <c r="Y632">
        <f t="shared" ca="1" si="299"/>
        <v>4.9056603773584909E-2</v>
      </c>
      <c r="Z632">
        <f t="shared" ca="1" si="300"/>
        <v>196.15384615384616</v>
      </c>
      <c r="AA632">
        <f t="shared" ca="1" si="301"/>
        <v>632.37099999999998</v>
      </c>
      <c r="AB632">
        <f t="shared" ca="1" si="302"/>
        <v>2593.448031648662</v>
      </c>
      <c r="AC632">
        <f t="shared" ca="1" si="303"/>
        <v>482.07306851378365</v>
      </c>
      <c r="AD632">
        <f t="shared" ca="1" si="304"/>
        <v>280.07692026646265</v>
      </c>
      <c r="AE632">
        <f t="shared" ca="1" si="305"/>
        <v>1019.7665564573041</v>
      </c>
      <c r="AF632">
        <f t="shared" ca="1" si="306"/>
        <v>481.59049544525396</v>
      </c>
      <c r="AG632">
        <f t="shared" ca="1" si="307"/>
        <v>0</v>
      </c>
      <c r="AH632">
        <f ca="1">IF(V32="Supercritical",L632,IF(V32="Subcritical",W632,IF(AND(V632=1,AG632=1),IF(T632&gt;=AE632,L632,W632),IF(V632=1,L632,IF(AG632=1,W632,MAX($D$16,POWER((ABS(K632)^2)/($I$5*MAX(F632,0.1)^2),1/3)))))))</f>
        <v>2.1403668656741068</v>
      </c>
      <c r="AI632">
        <f t="shared" ca="1" si="308"/>
        <v>634.46136686567411</v>
      </c>
      <c r="AJ632">
        <f t="shared" ca="1" si="309"/>
        <v>635.53155029851121</v>
      </c>
      <c r="AM632">
        <v>0</v>
      </c>
      <c r="AN632">
        <v>0</v>
      </c>
      <c r="AO632">
        <f t="shared" si="310"/>
        <v>0</v>
      </c>
      <c r="AP632">
        <f t="shared" si="319"/>
        <v>0</v>
      </c>
      <c r="AQ632">
        <f t="shared" ca="1" si="311"/>
        <v>0.99999999999999978</v>
      </c>
      <c r="AR632" t="str">
        <f t="shared" ca="1" si="312"/>
        <v>Supercritical</v>
      </c>
      <c r="AS632">
        <f t="shared" ca="1" si="313"/>
        <v>3.8148159832266538E-3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191</v>
      </c>
      <c r="I633">
        <v>0</v>
      </c>
      <c r="J633">
        <f t="shared" si="314"/>
        <v>0.9989999999999668</v>
      </c>
      <c r="K633">
        <f t="shared" si="315"/>
        <v>51</v>
      </c>
      <c r="L633">
        <f t="shared" ca="1" si="316"/>
        <v>0.05</v>
      </c>
      <c r="M633">
        <f t="shared" ca="1" si="289"/>
        <v>0.26</v>
      </c>
      <c r="N633">
        <f t="shared" ca="1" si="290"/>
        <v>4.9056603773584909E-2</v>
      </c>
      <c r="O633">
        <f t="shared" ca="1" si="291"/>
        <v>196.15384615384616</v>
      </c>
      <c r="P633">
        <f t="shared" ca="1" si="292"/>
        <v>632.37049999999999</v>
      </c>
      <c r="Q633">
        <f t="shared" ca="1" si="293"/>
        <v>2593.4475316486623</v>
      </c>
      <c r="R633">
        <f t="shared" ca="1" si="294"/>
        <v>482.07306851378365</v>
      </c>
      <c r="S633">
        <f t="shared" ca="1" si="295"/>
        <v>280.07692026646265</v>
      </c>
      <c r="T633">
        <f t="shared" ca="1" si="296"/>
        <v>1019.7665564573041</v>
      </c>
      <c r="U633">
        <f t="shared" ca="1" si="317"/>
        <v>-481.59049544525442</v>
      </c>
      <c r="V633">
        <f t="shared" ca="1" si="318"/>
        <v>0</v>
      </c>
      <c r="W633">
        <f t="shared" ca="1" si="297"/>
        <v>0.05</v>
      </c>
      <c r="X633">
        <f t="shared" ca="1" si="298"/>
        <v>0.26</v>
      </c>
      <c r="Y633">
        <f t="shared" ca="1" si="299"/>
        <v>4.9056603773584909E-2</v>
      </c>
      <c r="Z633">
        <f t="shared" ca="1" si="300"/>
        <v>196.15384615384616</v>
      </c>
      <c r="AA633">
        <f t="shared" ca="1" si="301"/>
        <v>632.37049999999999</v>
      </c>
      <c r="AB633">
        <f t="shared" ca="1" si="302"/>
        <v>2593.4475316486623</v>
      </c>
      <c r="AC633">
        <f t="shared" ca="1" si="303"/>
        <v>482.07306851378365</v>
      </c>
      <c r="AD633">
        <f t="shared" ca="1" si="304"/>
        <v>280.07692026646265</v>
      </c>
      <c r="AE633">
        <f t="shared" ca="1" si="305"/>
        <v>1019.7665564573041</v>
      </c>
      <c r="AF633">
        <f t="shared" ca="1" si="306"/>
        <v>482.16081698020798</v>
      </c>
      <c r="AG633">
        <f t="shared" ca="1" si="307"/>
        <v>0</v>
      </c>
      <c r="AH633">
        <f ca="1">IF(V32="Supercritical",L633,IF(V32="Subcritical",W633,IF(AND(V633=1,AG633=1),IF(T633&gt;=AE633,L633,W633),IF(V633=1,L633,IF(AG633=1,W633,MAX($D$16,POWER((ABS(K633)^2)/($I$5*MAX(F633,0.1)^2),1/3)))))))</f>
        <v>2.1403668656741068</v>
      </c>
      <c r="AI633">
        <f t="shared" ca="1" si="308"/>
        <v>634.46086686567412</v>
      </c>
      <c r="AJ633">
        <f t="shared" ca="1" si="309"/>
        <v>635.53105029851122</v>
      </c>
      <c r="AM633">
        <v>0</v>
      </c>
      <c r="AN633">
        <v>0</v>
      </c>
      <c r="AO633">
        <f t="shared" si="310"/>
        <v>0</v>
      </c>
      <c r="AP633">
        <f t="shared" si="319"/>
        <v>0</v>
      </c>
      <c r="AQ633">
        <f t="shared" ca="1" si="311"/>
        <v>0.99999999999999978</v>
      </c>
      <c r="AR633" t="str">
        <f t="shared" ca="1" si="312"/>
        <v>Supercritical</v>
      </c>
      <c r="AS633">
        <f t="shared" ca="1" si="313"/>
        <v>3.8148159832266538E-3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191</v>
      </c>
      <c r="I634">
        <v>2.7E-2</v>
      </c>
      <c r="J634">
        <f t="shared" si="314"/>
        <v>1</v>
      </c>
      <c r="K634">
        <f t="shared" si="315"/>
        <v>51</v>
      </c>
      <c r="L634">
        <f t="shared" ca="1" si="316"/>
        <v>0.05</v>
      </c>
      <c r="M634">
        <f t="shared" ca="1" si="289"/>
        <v>0.26</v>
      </c>
      <c r="N634">
        <f t="shared" ca="1" si="290"/>
        <v>4.9056603773584909E-2</v>
      </c>
      <c r="O634">
        <f t="shared" ca="1" si="291"/>
        <v>196.15384615384616</v>
      </c>
      <c r="P634">
        <f t="shared" ca="1" si="292"/>
        <v>632.37</v>
      </c>
      <c r="Q634">
        <f t="shared" ca="1" si="293"/>
        <v>2593.4470316486622</v>
      </c>
      <c r="R634">
        <f t="shared" ca="1" si="294"/>
        <v>482.07306851378365</v>
      </c>
      <c r="S634">
        <f t="shared" ca="1" si="295"/>
        <v>280.07692026646265</v>
      </c>
      <c r="T634">
        <f t="shared" ca="1" si="296"/>
        <v>1019.7665564573041</v>
      </c>
      <c r="U634">
        <f t="shared" ca="1" si="317"/>
        <v>-482.16081698020798</v>
      </c>
      <c r="V634">
        <f t="shared" ca="1" si="318"/>
        <v>0</v>
      </c>
      <c r="W634">
        <f t="shared" ca="1" si="297"/>
        <v>0.05</v>
      </c>
      <c r="X634">
        <f t="shared" ca="1" si="298"/>
        <v>0.26</v>
      </c>
      <c r="Y634">
        <f t="shared" ca="1" si="299"/>
        <v>4.9056603773584909E-2</v>
      </c>
      <c r="Z634">
        <f t="shared" ca="1" si="300"/>
        <v>196.15384615384616</v>
      </c>
      <c r="AA634">
        <f t="shared" ca="1" si="301"/>
        <v>632.37</v>
      </c>
      <c r="AB634">
        <f t="shared" ca="1" si="302"/>
        <v>2593.4470316486622</v>
      </c>
      <c r="AC634">
        <f t="shared" ca="1" si="303"/>
        <v>482.07306851378365</v>
      </c>
      <c r="AD634">
        <f t="shared" ca="1" si="304"/>
        <v>280.07692026646265</v>
      </c>
      <c r="AE634">
        <f t="shared" ca="1" si="305"/>
        <v>1019.7665564573041</v>
      </c>
      <c r="AF634">
        <f t="shared" ca="1" si="306"/>
        <v>482.32750852789786</v>
      </c>
      <c r="AG634">
        <f t="shared" ca="1" si="307"/>
        <v>0</v>
      </c>
      <c r="AH634">
        <f ca="1">IF(V32="Supercritical",L634,IF(V32="Subcritical",W634,IF(AND(V634=1,AG634=1),IF(T634&gt;=AE634,L634,W634),IF(V634=1,L634,IF(AG634=1,W634,MAX($D$16,POWER((ABS(K634)^2)/($I$5*MAX(F634,0.1)^2),1/3)))))))</f>
        <v>2.1403668656741068</v>
      </c>
      <c r="AI634">
        <f t="shared" ca="1" si="308"/>
        <v>634.46036686567413</v>
      </c>
      <c r="AJ634">
        <f t="shared" ca="1" si="309"/>
        <v>635.53055029851123</v>
      </c>
      <c r="AM634">
        <v>0</v>
      </c>
      <c r="AN634">
        <v>0</v>
      </c>
      <c r="AO634">
        <f t="shared" si="310"/>
        <v>0</v>
      </c>
      <c r="AP634">
        <f t="shared" si="319"/>
        <v>0</v>
      </c>
      <c r="AQ634">
        <f t="shared" ca="1" si="311"/>
        <v>0.99999999999999978</v>
      </c>
      <c r="AR634" t="str">
        <f t="shared" ca="1" si="312"/>
        <v>Supercritical</v>
      </c>
      <c r="AS634">
        <f t="shared" ca="1" si="313"/>
        <v>3.8148159832266538E-3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191</v>
      </c>
      <c r="I635">
        <v>7.8E-2</v>
      </c>
      <c r="J635">
        <f t="shared" si="314"/>
        <v>1</v>
      </c>
      <c r="K635">
        <f t="shared" si="315"/>
        <v>51</v>
      </c>
      <c r="L635">
        <f t="shared" ca="1" si="316"/>
        <v>0.05</v>
      </c>
      <c r="M635">
        <f t="shared" ca="1" si="289"/>
        <v>0.26</v>
      </c>
      <c r="N635">
        <f t="shared" ca="1" si="290"/>
        <v>4.9056603773584909E-2</v>
      </c>
      <c r="O635">
        <f t="shared" ca="1" si="291"/>
        <v>196.15384615384616</v>
      </c>
      <c r="P635">
        <f t="shared" ca="1" si="292"/>
        <v>632.3694999999999</v>
      </c>
      <c r="Q635">
        <f t="shared" ca="1" si="293"/>
        <v>2593.4465316486621</v>
      </c>
      <c r="R635">
        <f t="shared" ca="1" si="294"/>
        <v>482.07306851378365</v>
      </c>
      <c r="S635">
        <f t="shared" ca="1" si="295"/>
        <v>280.07692026646265</v>
      </c>
      <c r="T635">
        <f t="shared" ca="1" si="296"/>
        <v>1019.7665564573041</v>
      </c>
      <c r="U635">
        <f t="shared" ca="1" si="317"/>
        <v>-482.32750852789786</v>
      </c>
      <c r="V635">
        <f t="shared" ca="1" si="318"/>
        <v>0</v>
      </c>
      <c r="W635">
        <f t="shared" ca="1" si="297"/>
        <v>0.05</v>
      </c>
      <c r="X635">
        <f t="shared" ca="1" si="298"/>
        <v>0.26</v>
      </c>
      <c r="Y635">
        <f t="shared" ca="1" si="299"/>
        <v>4.9056603773584909E-2</v>
      </c>
      <c r="Z635">
        <f t="shared" ca="1" si="300"/>
        <v>196.15384615384616</v>
      </c>
      <c r="AA635">
        <f t="shared" ca="1" si="301"/>
        <v>632.3694999999999</v>
      </c>
      <c r="AB635">
        <f t="shared" ca="1" si="302"/>
        <v>2593.4465316486621</v>
      </c>
      <c r="AC635">
        <f t="shared" ca="1" si="303"/>
        <v>482.07306851378365</v>
      </c>
      <c r="AD635">
        <f t="shared" ca="1" si="304"/>
        <v>280.07692026646265</v>
      </c>
      <c r="AE635">
        <f t="shared" ca="1" si="305"/>
        <v>1019.7665564573041</v>
      </c>
      <c r="AF635">
        <f t="shared" ca="1" si="306"/>
        <v>482.32750852789786</v>
      </c>
      <c r="AG635">
        <f t="shared" ca="1" si="307"/>
        <v>0</v>
      </c>
      <c r="AH635">
        <f ca="1">IF(V32="Supercritical",L635,IF(V32="Subcritical",W635,IF(AND(V635=1,AG635=1),IF(T635&gt;=AE635,L635,W635),IF(V635=1,L635,IF(AG635=1,W635,MAX($D$16,POWER((ABS(K635)^2)/($I$5*MAX(F635,0.1)^2),1/3)))))))</f>
        <v>2.1403668656741068</v>
      </c>
      <c r="AI635">
        <f t="shared" ca="1" si="308"/>
        <v>634.45986686567403</v>
      </c>
      <c r="AJ635">
        <f t="shared" ca="1" si="309"/>
        <v>635.53005029851113</v>
      </c>
      <c r="AM635">
        <v>0</v>
      </c>
      <c r="AN635">
        <v>0</v>
      </c>
      <c r="AO635">
        <f t="shared" si="310"/>
        <v>0</v>
      </c>
      <c r="AP635">
        <f t="shared" si="319"/>
        <v>0</v>
      </c>
      <c r="AQ635">
        <f t="shared" ca="1" si="311"/>
        <v>0.99999999999999978</v>
      </c>
      <c r="AR635" t="str">
        <f t="shared" ca="1" si="312"/>
        <v>Supercritical</v>
      </c>
      <c r="AS635">
        <f t="shared" ca="1" si="313"/>
        <v>3.8148159832266538E-3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191</v>
      </c>
      <c r="I636">
        <v>7.8E-2</v>
      </c>
      <c r="J636">
        <f t="shared" si="314"/>
        <v>1</v>
      </c>
      <c r="K636">
        <f t="shared" si="315"/>
        <v>51</v>
      </c>
      <c r="L636">
        <f t="shared" ca="1" si="316"/>
        <v>0.05</v>
      </c>
      <c r="M636">
        <f t="shared" ca="1" si="289"/>
        <v>0.26</v>
      </c>
      <c r="N636">
        <f t="shared" ca="1" si="290"/>
        <v>4.9056603773584909E-2</v>
      </c>
      <c r="O636">
        <f t="shared" ca="1" si="291"/>
        <v>196.15384615384616</v>
      </c>
      <c r="P636">
        <f t="shared" ca="1" si="292"/>
        <v>632.36899999999991</v>
      </c>
      <c r="Q636">
        <f t="shared" ca="1" si="293"/>
        <v>2593.446031648662</v>
      </c>
      <c r="R636">
        <f t="shared" ca="1" si="294"/>
        <v>482.07306851378365</v>
      </c>
      <c r="S636">
        <f t="shared" ca="1" si="295"/>
        <v>280.07692026646265</v>
      </c>
      <c r="T636">
        <f t="shared" ca="1" si="296"/>
        <v>1019.7665564573041</v>
      </c>
      <c r="U636">
        <f t="shared" ca="1" si="317"/>
        <v>-482.32750852789786</v>
      </c>
      <c r="V636">
        <f t="shared" ca="1" si="318"/>
        <v>0</v>
      </c>
      <c r="W636">
        <f t="shared" ca="1" si="297"/>
        <v>0.05</v>
      </c>
      <c r="X636">
        <f t="shared" ca="1" si="298"/>
        <v>0.26</v>
      </c>
      <c r="Y636">
        <f t="shared" ca="1" si="299"/>
        <v>4.9056603773584909E-2</v>
      </c>
      <c r="Z636">
        <f t="shared" ca="1" si="300"/>
        <v>196.15384615384616</v>
      </c>
      <c r="AA636">
        <f t="shared" ca="1" si="301"/>
        <v>632.36899999999991</v>
      </c>
      <c r="AB636">
        <f t="shared" ca="1" si="302"/>
        <v>2593.446031648662</v>
      </c>
      <c r="AC636">
        <f t="shared" ca="1" si="303"/>
        <v>482.07306851378365</v>
      </c>
      <c r="AD636">
        <f t="shared" ca="1" si="304"/>
        <v>280.07692026646265</v>
      </c>
      <c r="AE636">
        <f t="shared" ca="1" si="305"/>
        <v>1019.7665564573041</v>
      </c>
      <c r="AF636">
        <f t="shared" ca="1" si="306"/>
        <v>482.64289004873763</v>
      </c>
      <c r="AG636">
        <f t="shared" ca="1" si="307"/>
        <v>0</v>
      </c>
      <c r="AH636">
        <f ca="1">IF(V32="Supercritical",L636,IF(V32="Subcritical",W636,IF(AND(V636=1,AG636=1),IF(T636&gt;=AE636,L636,W636),IF(V636=1,L636,IF(AG636=1,W636,MAX($D$16,POWER((ABS(K636)^2)/($I$5*MAX(F636,0.1)^2),1/3)))))))</f>
        <v>2.1403668656741068</v>
      </c>
      <c r="AI636">
        <f t="shared" ca="1" si="308"/>
        <v>634.45936686567404</v>
      </c>
      <c r="AJ636">
        <f t="shared" ca="1" si="309"/>
        <v>635.52955029851114</v>
      </c>
      <c r="AM636">
        <v>0</v>
      </c>
      <c r="AN636">
        <v>0</v>
      </c>
      <c r="AO636">
        <f t="shared" si="310"/>
        <v>0</v>
      </c>
      <c r="AP636">
        <f t="shared" si="319"/>
        <v>0</v>
      </c>
      <c r="AQ636">
        <f t="shared" ca="1" si="311"/>
        <v>0.99999999999999978</v>
      </c>
      <c r="AR636" t="str">
        <f t="shared" ca="1" si="312"/>
        <v>Supercritical</v>
      </c>
      <c r="AS636">
        <f t="shared" ca="1" si="313"/>
        <v>3.8148159832266538E-3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191</v>
      </c>
      <c r="I637">
        <v>2.7E-2</v>
      </c>
      <c r="J637">
        <f t="shared" si="314"/>
        <v>1.0010000000000332</v>
      </c>
      <c r="K637">
        <f t="shared" si="315"/>
        <v>51</v>
      </c>
      <c r="L637">
        <f t="shared" ca="1" si="316"/>
        <v>0.05</v>
      </c>
      <c r="M637">
        <f t="shared" ca="1" si="289"/>
        <v>0.26</v>
      </c>
      <c r="N637">
        <f t="shared" ca="1" si="290"/>
        <v>4.9056603773584909E-2</v>
      </c>
      <c r="O637">
        <f t="shared" ca="1" si="291"/>
        <v>196.15384615384616</v>
      </c>
      <c r="P637">
        <f t="shared" ca="1" si="292"/>
        <v>632.36849999999993</v>
      </c>
      <c r="Q637">
        <f t="shared" ca="1" si="293"/>
        <v>2593.4455316486619</v>
      </c>
      <c r="R637">
        <f t="shared" ca="1" si="294"/>
        <v>482.07306851378365</v>
      </c>
      <c r="S637">
        <f t="shared" ca="1" si="295"/>
        <v>280.07692026646265</v>
      </c>
      <c r="T637">
        <f t="shared" ca="1" si="296"/>
        <v>1019.7665564573041</v>
      </c>
      <c r="U637">
        <f t="shared" ca="1" si="317"/>
        <v>-482.64289004873763</v>
      </c>
      <c r="V637">
        <f t="shared" ca="1" si="318"/>
        <v>0</v>
      </c>
      <c r="W637">
        <f t="shared" ca="1" si="297"/>
        <v>0.05</v>
      </c>
      <c r="X637">
        <f t="shared" ca="1" si="298"/>
        <v>0.26</v>
      </c>
      <c r="Y637">
        <f t="shared" ca="1" si="299"/>
        <v>4.9056603773584909E-2</v>
      </c>
      <c r="Z637">
        <f t="shared" ca="1" si="300"/>
        <v>196.15384615384616</v>
      </c>
      <c r="AA637">
        <f t="shared" ca="1" si="301"/>
        <v>632.36849999999993</v>
      </c>
      <c r="AB637">
        <f t="shared" ca="1" si="302"/>
        <v>2593.4455316486619</v>
      </c>
      <c r="AC637">
        <f t="shared" ca="1" si="303"/>
        <v>482.07306851378365</v>
      </c>
      <c r="AD637">
        <f t="shared" ca="1" si="304"/>
        <v>280.07692026646265</v>
      </c>
      <c r="AE637">
        <f t="shared" ca="1" si="305"/>
        <v>1019.7665564573041</v>
      </c>
      <c r="AF637">
        <f t="shared" ca="1" si="306"/>
        <v>481.59049544525351</v>
      </c>
      <c r="AG637">
        <f t="shared" ca="1" si="307"/>
        <v>0</v>
      </c>
      <c r="AH637">
        <f ca="1">IF(V32="Supercritical",L637,IF(V32="Subcritical",W637,IF(AND(V637=1,AG637=1),IF(T637&gt;=AE637,L637,W637),IF(V637=1,L637,IF(AG637=1,W637,MAX($D$16,POWER((ABS(K637)^2)/($I$5*MAX(F637,0.1)^2),1/3)))))))</f>
        <v>2.1403668656741068</v>
      </c>
      <c r="AI637">
        <f t="shared" ca="1" si="308"/>
        <v>634.45886686567405</v>
      </c>
      <c r="AJ637">
        <f t="shared" ca="1" si="309"/>
        <v>635.52905029851115</v>
      </c>
      <c r="AM637">
        <v>0</v>
      </c>
      <c r="AN637">
        <v>0</v>
      </c>
      <c r="AO637">
        <f t="shared" si="310"/>
        <v>0</v>
      </c>
      <c r="AP637">
        <f t="shared" si="319"/>
        <v>0</v>
      </c>
      <c r="AQ637">
        <f t="shared" ca="1" si="311"/>
        <v>0.99999999999999978</v>
      </c>
      <c r="AR637" t="str">
        <f t="shared" ca="1" si="312"/>
        <v>Supercritical</v>
      </c>
      <c r="AS637">
        <f t="shared" ca="1" si="313"/>
        <v>3.8148159832266538E-3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191</v>
      </c>
      <c r="I638">
        <v>0</v>
      </c>
      <c r="J638">
        <f t="shared" si="314"/>
        <v>0.9989999999999668</v>
      </c>
      <c r="K638">
        <f t="shared" si="315"/>
        <v>51</v>
      </c>
      <c r="L638">
        <f t="shared" ca="1" si="316"/>
        <v>0.05</v>
      </c>
      <c r="M638">
        <f t="shared" ca="1" si="289"/>
        <v>0.26</v>
      </c>
      <c r="N638">
        <f t="shared" ca="1" si="290"/>
        <v>4.9056603773584909E-2</v>
      </c>
      <c r="O638">
        <f t="shared" ca="1" si="291"/>
        <v>196.15384615384616</v>
      </c>
      <c r="P638">
        <f t="shared" ca="1" si="292"/>
        <v>632.36799999999994</v>
      </c>
      <c r="Q638">
        <f t="shared" ca="1" si="293"/>
        <v>2593.4450316486618</v>
      </c>
      <c r="R638">
        <f t="shared" ca="1" si="294"/>
        <v>482.07306851378365</v>
      </c>
      <c r="S638">
        <f t="shared" ca="1" si="295"/>
        <v>280.07692026646265</v>
      </c>
      <c r="T638">
        <f t="shared" ca="1" si="296"/>
        <v>1019.7665564573041</v>
      </c>
      <c r="U638">
        <f t="shared" ca="1" si="317"/>
        <v>-481.59049544525351</v>
      </c>
      <c r="V638">
        <f t="shared" ca="1" si="318"/>
        <v>0</v>
      </c>
      <c r="W638">
        <f t="shared" ca="1" si="297"/>
        <v>0.05</v>
      </c>
      <c r="X638">
        <f t="shared" ca="1" si="298"/>
        <v>0.26</v>
      </c>
      <c r="Y638">
        <f t="shared" ca="1" si="299"/>
        <v>4.9056603773584909E-2</v>
      </c>
      <c r="Z638">
        <f t="shared" ca="1" si="300"/>
        <v>196.15384615384616</v>
      </c>
      <c r="AA638">
        <f t="shared" ca="1" si="301"/>
        <v>632.36799999999994</v>
      </c>
      <c r="AB638">
        <f t="shared" ca="1" si="302"/>
        <v>2593.4450316486618</v>
      </c>
      <c r="AC638">
        <f t="shared" ca="1" si="303"/>
        <v>482.07306851378365</v>
      </c>
      <c r="AD638">
        <f t="shared" ca="1" si="304"/>
        <v>280.07692026646265</v>
      </c>
      <c r="AE638">
        <f t="shared" ca="1" si="305"/>
        <v>1019.7665564573041</v>
      </c>
      <c r="AF638">
        <f t="shared" ca="1" si="306"/>
        <v>482.14774313333055</v>
      </c>
      <c r="AG638">
        <f t="shared" ca="1" si="307"/>
        <v>0</v>
      </c>
      <c r="AH638">
        <f ca="1">IF(V32="Supercritical",L638,IF(V32="Subcritical",W638,IF(AND(V638=1,AG638=1),IF(T638&gt;=AE638,L638,W638),IF(V638=1,L638,IF(AG638=1,W638,MAX($D$16,POWER((ABS(K638)^2)/($I$5*MAX(F638,0.1)^2),1/3)))))))</f>
        <v>2.1403668656741068</v>
      </c>
      <c r="AI638">
        <f t="shared" ca="1" si="308"/>
        <v>634.45836686567407</v>
      </c>
      <c r="AJ638">
        <f t="shared" ca="1" si="309"/>
        <v>635.52855029851116</v>
      </c>
      <c r="AM638">
        <v>0</v>
      </c>
      <c r="AN638">
        <v>0</v>
      </c>
      <c r="AO638">
        <f t="shared" si="310"/>
        <v>0</v>
      </c>
      <c r="AP638">
        <f t="shared" si="319"/>
        <v>0</v>
      </c>
      <c r="AQ638">
        <f t="shared" ca="1" si="311"/>
        <v>0.99999999999999978</v>
      </c>
      <c r="AR638" t="str">
        <f t="shared" ca="1" si="312"/>
        <v>Supercritical</v>
      </c>
      <c r="AS638">
        <f t="shared" ca="1" si="313"/>
        <v>3.8148159832266538E-3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191</v>
      </c>
      <c r="I639">
        <v>2.3E-2</v>
      </c>
      <c r="J639">
        <f t="shared" si="314"/>
        <v>1</v>
      </c>
      <c r="K639">
        <f t="shared" si="315"/>
        <v>51</v>
      </c>
      <c r="L639">
        <f t="shared" ca="1" si="316"/>
        <v>0.05</v>
      </c>
      <c r="M639">
        <f t="shared" ca="1" si="289"/>
        <v>0.26</v>
      </c>
      <c r="N639">
        <f t="shared" ca="1" si="290"/>
        <v>4.9056603773584909E-2</v>
      </c>
      <c r="O639">
        <f t="shared" ca="1" si="291"/>
        <v>196.15384615384616</v>
      </c>
      <c r="P639">
        <f t="shared" ca="1" si="292"/>
        <v>632.36749999999995</v>
      </c>
      <c r="Q639">
        <f t="shared" ca="1" si="293"/>
        <v>2593.4445316486622</v>
      </c>
      <c r="R639">
        <f t="shared" ca="1" si="294"/>
        <v>482.07306851378365</v>
      </c>
      <c r="S639">
        <f t="shared" ca="1" si="295"/>
        <v>280.07692026646265</v>
      </c>
      <c r="T639">
        <f t="shared" ca="1" si="296"/>
        <v>1019.7665564573041</v>
      </c>
      <c r="U639">
        <f t="shared" ca="1" si="317"/>
        <v>-482.14774313333055</v>
      </c>
      <c r="V639">
        <f t="shared" ca="1" si="318"/>
        <v>0</v>
      </c>
      <c r="W639">
        <f t="shared" ca="1" si="297"/>
        <v>0.05</v>
      </c>
      <c r="X639">
        <f t="shared" ca="1" si="298"/>
        <v>0.26</v>
      </c>
      <c r="Y639">
        <f t="shared" ca="1" si="299"/>
        <v>4.9056603773584909E-2</v>
      </c>
      <c r="Z639">
        <f t="shared" ca="1" si="300"/>
        <v>196.15384615384616</v>
      </c>
      <c r="AA639">
        <f t="shared" ca="1" si="301"/>
        <v>632.36749999999995</v>
      </c>
      <c r="AB639">
        <f t="shared" ca="1" si="302"/>
        <v>2593.4445316486622</v>
      </c>
      <c r="AC639">
        <f t="shared" ca="1" si="303"/>
        <v>482.07306851378365</v>
      </c>
      <c r="AD639">
        <f t="shared" ca="1" si="304"/>
        <v>280.07692026646265</v>
      </c>
      <c r="AE639">
        <f t="shared" ca="1" si="305"/>
        <v>1019.7665564573041</v>
      </c>
      <c r="AF639">
        <f t="shared" ca="1" si="306"/>
        <v>482.62981620185974</v>
      </c>
      <c r="AG639">
        <f t="shared" ca="1" si="307"/>
        <v>0</v>
      </c>
      <c r="AH639">
        <f ca="1">IF(V32="Supercritical",L639,IF(V32="Subcritical",W639,IF(AND(V639=1,AG639=1),IF(T639&gt;=AE639,L639,W639),IF(V639=1,L639,IF(AG639=1,W639,MAX($D$16,POWER((ABS(K639)^2)/($I$5*MAX(F639,0.1)^2),1/3)))))))</f>
        <v>2.1403668656741068</v>
      </c>
      <c r="AI639">
        <f t="shared" ca="1" si="308"/>
        <v>634.45786686567408</v>
      </c>
      <c r="AJ639">
        <f t="shared" ca="1" si="309"/>
        <v>635.52805029851118</v>
      </c>
      <c r="AM639">
        <v>0</v>
      </c>
      <c r="AN639">
        <v>0</v>
      </c>
      <c r="AO639">
        <f t="shared" si="310"/>
        <v>0</v>
      </c>
      <c r="AP639">
        <f t="shared" si="319"/>
        <v>0</v>
      </c>
      <c r="AQ639">
        <f t="shared" ca="1" si="311"/>
        <v>0.99999999999999978</v>
      </c>
      <c r="AR639" t="str">
        <f t="shared" ca="1" si="312"/>
        <v>Supercritical</v>
      </c>
      <c r="AS639">
        <f t="shared" ca="1" si="313"/>
        <v>3.8148159832266538E-3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191</v>
      </c>
      <c r="I640">
        <v>2.3E-2</v>
      </c>
      <c r="J640">
        <f t="shared" si="314"/>
        <v>1.0010000000000332</v>
      </c>
      <c r="K640">
        <f t="shared" si="315"/>
        <v>51</v>
      </c>
      <c r="L640">
        <f t="shared" ca="1" si="316"/>
        <v>0.05</v>
      </c>
      <c r="M640">
        <f t="shared" ca="1" si="289"/>
        <v>0.26</v>
      </c>
      <c r="N640">
        <f t="shared" ca="1" si="290"/>
        <v>4.9056603773584909E-2</v>
      </c>
      <c r="O640">
        <f t="shared" ca="1" si="291"/>
        <v>196.15384615384616</v>
      </c>
      <c r="P640">
        <f t="shared" ca="1" si="292"/>
        <v>632.36699999999996</v>
      </c>
      <c r="Q640">
        <f t="shared" ca="1" si="293"/>
        <v>2593.4440316486621</v>
      </c>
      <c r="R640">
        <f t="shared" ca="1" si="294"/>
        <v>482.07306851378365</v>
      </c>
      <c r="S640">
        <f t="shared" ca="1" si="295"/>
        <v>280.07692026646265</v>
      </c>
      <c r="T640">
        <f t="shared" ca="1" si="296"/>
        <v>1019.7665564573041</v>
      </c>
      <c r="U640">
        <f t="shared" ca="1" si="317"/>
        <v>-482.62981620185974</v>
      </c>
      <c r="V640">
        <f t="shared" ca="1" si="318"/>
        <v>0</v>
      </c>
      <c r="W640">
        <f t="shared" ca="1" si="297"/>
        <v>0.05</v>
      </c>
      <c r="X640">
        <f t="shared" ca="1" si="298"/>
        <v>0.26</v>
      </c>
      <c r="Y640">
        <f t="shared" ca="1" si="299"/>
        <v>4.9056603773584909E-2</v>
      </c>
      <c r="Z640">
        <f t="shared" ca="1" si="300"/>
        <v>196.15384615384616</v>
      </c>
      <c r="AA640">
        <f t="shared" ca="1" si="301"/>
        <v>632.36699999999996</v>
      </c>
      <c r="AB640">
        <f t="shared" ca="1" si="302"/>
        <v>2593.4440316486621</v>
      </c>
      <c r="AC640">
        <f t="shared" ca="1" si="303"/>
        <v>482.07306851378365</v>
      </c>
      <c r="AD640">
        <f t="shared" ca="1" si="304"/>
        <v>280.07692026646265</v>
      </c>
      <c r="AE640">
        <f t="shared" ca="1" si="305"/>
        <v>1019.7665564573041</v>
      </c>
      <c r="AF640">
        <f t="shared" ca="1" si="306"/>
        <v>481.67874391167834</v>
      </c>
      <c r="AG640">
        <f t="shared" ca="1" si="307"/>
        <v>0</v>
      </c>
      <c r="AH640">
        <f ca="1">IF(V32="Supercritical",L640,IF(V32="Subcritical",W640,IF(AND(V640=1,AG640=1),IF(T640&gt;=AE640,L640,W640),IF(V640=1,L640,IF(AG640=1,W640,MAX($D$16,POWER((ABS(K640)^2)/($I$5*MAX(F640,0.1)^2),1/3)))))))</f>
        <v>2.1403668656741068</v>
      </c>
      <c r="AI640">
        <f t="shared" ca="1" si="308"/>
        <v>634.45736686567409</v>
      </c>
      <c r="AJ640">
        <f t="shared" ca="1" si="309"/>
        <v>635.52755029851119</v>
      </c>
      <c r="AM640">
        <v>0</v>
      </c>
      <c r="AN640">
        <v>0</v>
      </c>
      <c r="AO640">
        <f t="shared" si="310"/>
        <v>0</v>
      </c>
      <c r="AP640">
        <f t="shared" si="319"/>
        <v>0</v>
      </c>
      <c r="AQ640">
        <f t="shared" ca="1" si="311"/>
        <v>0.99999999999999978</v>
      </c>
      <c r="AR640" t="str">
        <f t="shared" ca="1" si="312"/>
        <v>Supercritical</v>
      </c>
      <c r="AS640">
        <f t="shared" ca="1" si="313"/>
        <v>3.8148159832266538E-3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191</v>
      </c>
      <c r="I641">
        <v>2.7E-2</v>
      </c>
      <c r="J641">
        <f t="shared" si="314"/>
        <v>0.9989999999999668</v>
      </c>
      <c r="K641">
        <f t="shared" si="315"/>
        <v>51</v>
      </c>
      <c r="L641">
        <f t="shared" ca="1" si="316"/>
        <v>0.05</v>
      </c>
      <c r="M641">
        <f t="shared" ca="1" si="289"/>
        <v>0.26</v>
      </c>
      <c r="N641">
        <f t="shared" ca="1" si="290"/>
        <v>4.9056603773584909E-2</v>
      </c>
      <c r="O641">
        <f t="shared" ca="1" si="291"/>
        <v>196.15384615384616</v>
      </c>
      <c r="P641">
        <f t="shared" ca="1" si="292"/>
        <v>632.36649999999997</v>
      </c>
      <c r="Q641">
        <f t="shared" ca="1" si="293"/>
        <v>2593.443531648662</v>
      </c>
      <c r="R641">
        <f t="shared" ca="1" si="294"/>
        <v>482.07306851378365</v>
      </c>
      <c r="S641">
        <f t="shared" ca="1" si="295"/>
        <v>280.07692026646265</v>
      </c>
      <c r="T641">
        <f t="shared" ca="1" si="296"/>
        <v>1019.7665564573041</v>
      </c>
      <c r="U641">
        <f t="shared" ca="1" si="317"/>
        <v>-481.67874391167834</v>
      </c>
      <c r="V641">
        <f t="shared" ca="1" si="318"/>
        <v>0</v>
      </c>
      <c r="W641">
        <f t="shared" ca="1" si="297"/>
        <v>0.05</v>
      </c>
      <c r="X641">
        <f t="shared" ca="1" si="298"/>
        <v>0.26</v>
      </c>
      <c r="Y641">
        <f t="shared" ca="1" si="299"/>
        <v>4.9056603773584909E-2</v>
      </c>
      <c r="Z641">
        <f t="shared" ca="1" si="300"/>
        <v>196.15384615384616</v>
      </c>
      <c r="AA641">
        <f t="shared" ca="1" si="301"/>
        <v>632.36649999999997</v>
      </c>
      <c r="AB641">
        <f t="shared" ca="1" si="302"/>
        <v>2593.443531648662</v>
      </c>
      <c r="AC641">
        <f t="shared" ca="1" si="303"/>
        <v>482.07306851378365</v>
      </c>
      <c r="AD641">
        <f t="shared" ca="1" si="304"/>
        <v>280.07692026646265</v>
      </c>
      <c r="AE641">
        <f t="shared" ca="1" si="305"/>
        <v>1019.7665564573041</v>
      </c>
      <c r="AF641">
        <f t="shared" ca="1" si="306"/>
        <v>482.64289004873808</v>
      </c>
      <c r="AG641">
        <f t="shared" ca="1" si="307"/>
        <v>0</v>
      </c>
      <c r="AH641">
        <f ca="1">IF(V32="Supercritical",L641,IF(V32="Subcritical",W641,IF(AND(V641=1,AG641=1),IF(T641&gt;=AE641,L641,W641),IF(V641=1,L641,IF(AG641=1,W641,MAX($D$16,POWER((ABS(K641)^2)/($I$5*MAX(F641,0.1)^2),1/3)))))))</f>
        <v>2.1403668656741068</v>
      </c>
      <c r="AI641">
        <f t="shared" ca="1" si="308"/>
        <v>634.4568668656741</v>
      </c>
      <c r="AJ641">
        <f t="shared" ca="1" si="309"/>
        <v>635.5270502985112</v>
      </c>
      <c r="AM641">
        <v>0</v>
      </c>
      <c r="AN641">
        <v>0</v>
      </c>
      <c r="AO641">
        <f t="shared" si="310"/>
        <v>0</v>
      </c>
      <c r="AP641">
        <f t="shared" si="319"/>
        <v>0</v>
      </c>
      <c r="AQ641">
        <f t="shared" ca="1" si="311"/>
        <v>0.99999999999999978</v>
      </c>
      <c r="AR641" t="str">
        <f t="shared" ca="1" si="312"/>
        <v>Supercritical</v>
      </c>
      <c r="AS641">
        <f t="shared" ca="1" si="313"/>
        <v>3.8148159832266538E-3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191</v>
      </c>
      <c r="I642">
        <v>2.7E-2</v>
      </c>
      <c r="J642">
        <f t="shared" si="314"/>
        <v>1.0010000000000332</v>
      </c>
      <c r="K642">
        <f t="shared" si="315"/>
        <v>51</v>
      </c>
      <c r="L642">
        <f t="shared" ca="1" si="316"/>
        <v>0.05</v>
      </c>
      <c r="M642">
        <f t="shared" ca="1" si="289"/>
        <v>0.26</v>
      </c>
      <c r="N642">
        <f t="shared" ca="1" si="290"/>
        <v>4.9056603773584909E-2</v>
      </c>
      <c r="O642">
        <f t="shared" ca="1" si="291"/>
        <v>196.15384615384616</v>
      </c>
      <c r="P642">
        <f t="shared" ca="1" si="292"/>
        <v>632.36599999999999</v>
      </c>
      <c r="Q642">
        <f t="shared" ca="1" si="293"/>
        <v>2593.4430316486623</v>
      </c>
      <c r="R642">
        <f t="shared" ca="1" si="294"/>
        <v>482.07306851378365</v>
      </c>
      <c r="S642">
        <f t="shared" ca="1" si="295"/>
        <v>280.07692026646265</v>
      </c>
      <c r="T642">
        <f t="shared" ca="1" si="296"/>
        <v>1019.7665564573041</v>
      </c>
      <c r="U642">
        <f t="shared" ca="1" si="317"/>
        <v>-482.64289004873808</v>
      </c>
      <c r="V642">
        <f t="shared" ca="1" si="318"/>
        <v>0</v>
      </c>
      <c r="W642">
        <f t="shared" ca="1" si="297"/>
        <v>0.05</v>
      </c>
      <c r="X642">
        <f t="shared" ca="1" si="298"/>
        <v>0.26</v>
      </c>
      <c r="Y642">
        <f t="shared" ca="1" si="299"/>
        <v>4.9056603773584909E-2</v>
      </c>
      <c r="Z642">
        <f t="shared" ca="1" si="300"/>
        <v>196.15384615384616</v>
      </c>
      <c r="AA642">
        <f t="shared" ca="1" si="301"/>
        <v>632.36599999999999</v>
      </c>
      <c r="AB642">
        <f t="shared" ca="1" si="302"/>
        <v>2593.4430316486623</v>
      </c>
      <c r="AC642">
        <f t="shared" ca="1" si="303"/>
        <v>482.07306851378365</v>
      </c>
      <c r="AD642">
        <f t="shared" ca="1" si="304"/>
        <v>280.07692026646265</v>
      </c>
      <c r="AE642">
        <f t="shared" ca="1" si="305"/>
        <v>1019.7665564573041</v>
      </c>
      <c r="AF642">
        <f t="shared" ca="1" si="306"/>
        <v>481.75391853122437</v>
      </c>
      <c r="AG642">
        <f t="shared" ca="1" si="307"/>
        <v>0</v>
      </c>
      <c r="AH642">
        <f ca="1">IF(V32="Supercritical",L642,IF(V32="Subcritical",W642,IF(AND(V642=1,AG642=1),IF(T642&gt;=AE642,L642,W642),IF(V642=1,L642,IF(AG642=1,W642,MAX($D$16,POWER((ABS(K642)^2)/($I$5*MAX(F642,0.1)^2),1/3)))))))</f>
        <v>2.1403668656741068</v>
      </c>
      <c r="AI642">
        <f t="shared" ca="1" si="308"/>
        <v>634.45636686567411</v>
      </c>
      <c r="AJ642">
        <f t="shared" ca="1" si="309"/>
        <v>635.52655029851121</v>
      </c>
      <c r="AM642">
        <v>0</v>
      </c>
      <c r="AN642">
        <v>0</v>
      </c>
      <c r="AO642">
        <f t="shared" si="310"/>
        <v>0</v>
      </c>
      <c r="AP642">
        <f t="shared" si="319"/>
        <v>0</v>
      </c>
      <c r="AQ642">
        <f t="shared" ca="1" si="311"/>
        <v>0.99999999999999978</v>
      </c>
      <c r="AR642" t="str">
        <f t="shared" ca="1" si="312"/>
        <v>Supercritical</v>
      </c>
      <c r="AS642">
        <f t="shared" ca="1" si="313"/>
        <v>3.8148159832266538E-3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191</v>
      </c>
      <c r="I643">
        <v>0.05</v>
      </c>
      <c r="J643">
        <f t="shared" si="314"/>
        <v>0.9989999999999668</v>
      </c>
      <c r="K643">
        <f t="shared" si="315"/>
        <v>51</v>
      </c>
      <c r="L643">
        <f t="shared" ca="1" si="316"/>
        <v>0.05</v>
      </c>
      <c r="M643">
        <f t="shared" ca="1" si="289"/>
        <v>0.26</v>
      </c>
      <c r="N643">
        <f t="shared" ca="1" si="290"/>
        <v>4.9056603773584909E-2</v>
      </c>
      <c r="O643">
        <f t="shared" ca="1" si="291"/>
        <v>196.15384615384616</v>
      </c>
      <c r="P643">
        <f t="shared" ca="1" si="292"/>
        <v>632.3655</v>
      </c>
      <c r="Q643">
        <f t="shared" ca="1" si="293"/>
        <v>2593.4425316486622</v>
      </c>
      <c r="R643">
        <f t="shared" ca="1" si="294"/>
        <v>482.07306851378365</v>
      </c>
      <c r="S643">
        <f t="shared" ca="1" si="295"/>
        <v>280.07692026646265</v>
      </c>
      <c r="T643">
        <f t="shared" ca="1" si="296"/>
        <v>1019.7665564573041</v>
      </c>
      <c r="U643">
        <f t="shared" ca="1" si="317"/>
        <v>-481.75391853122437</v>
      </c>
      <c r="V643">
        <f t="shared" ca="1" si="318"/>
        <v>0</v>
      </c>
      <c r="W643">
        <f t="shared" ca="1" si="297"/>
        <v>0.05</v>
      </c>
      <c r="X643">
        <f t="shared" ca="1" si="298"/>
        <v>0.26</v>
      </c>
      <c r="Y643">
        <f t="shared" ca="1" si="299"/>
        <v>4.9056603773584909E-2</v>
      </c>
      <c r="Z643">
        <f t="shared" ca="1" si="300"/>
        <v>196.15384615384616</v>
      </c>
      <c r="AA643">
        <f t="shared" ca="1" si="301"/>
        <v>632.3655</v>
      </c>
      <c r="AB643">
        <f t="shared" ca="1" si="302"/>
        <v>2593.4425316486622</v>
      </c>
      <c r="AC643">
        <f t="shared" ca="1" si="303"/>
        <v>482.07306851378365</v>
      </c>
      <c r="AD643">
        <f t="shared" ca="1" si="304"/>
        <v>280.07692026646265</v>
      </c>
      <c r="AE643">
        <f t="shared" ca="1" si="305"/>
        <v>1019.7665564573041</v>
      </c>
      <c r="AF643">
        <f t="shared" ca="1" si="306"/>
        <v>482.32750852789786</v>
      </c>
      <c r="AG643">
        <f t="shared" ca="1" si="307"/>
        <v>0</v>
      </c>
      <c r="AH643">
        <f ca="1">IF(V32="Supercritical",L643,IF(V32="Subcritical",W643,IF(AND(V643=1,AG643=1),IF(T643&gt;=AE643,L643,W643),IF(V643=1,L643,IF(AG643=1,W643,MAX($D$16,POWER((ABS(K643)^2)/($I$5*MAX(F643,0.1)^2),1/3)))))))</f>
        <v>2.1403668656741068</v>
      </c>
      <c r="AI643">
        <f t="shared" ca="1" si="308"/>
        <v>634.45586686567412</v>
      </c>
      <c r="AJ643">
        <f t="shared" ca="1" si="309"/>
        <v>635.52605029851122</v>
      </c>
      <c r="AM643">
        <v>0</v>
      </c>
      <c r="AN643">
        <v>0</v>
      </c>
      <c r="AO643">
        <f t="shared" si="310"/>
        <v>0</v>
      </c>
      <c r="AP643">
        <f t="shared" si="319"/>
        <v>0</v>
      </c>
      <c r="AQ643">
        <f t="shared" ca="1" si="311"/>
        <v>0.99999999999999978</v>
      </c>
      <c r="AR643" t="str">
        <f t="shared" ca="1" si="312"/>
        <v>Supercritical</v>
      </c>
      <c r="AS643">
        <f t="shared" ca="1" si="313"/>
        <v>3.8148159832266538E-3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191</v>
      </c>
      <c r="I644">
        <v>7.8E-2</v>
      </c>
      <c r="J644">
        <f t="shared" si="314"/>
        <v>1</v>
      </c>
      <c r="K644">
        <f t="shared" si="315"/>
        <v>51</v>
      </c>
      <c r="L644">
        <f t="shared" ca="1" si="316"/>
        <v>0.05</v>
      </c>
      <c r="M644">
        <f t="shared" ca="1" si="289"/>
        <v>0.26</v>
      </c>
      <c r="N644">
        <f t="shared" ca="1" si="290"/>
        <v>4.9056603773584909E-2</v>
      </c>
      <c r="O644">
        <f t="shared" ca="1" si="291"/>
        <v>196.15384615384616</v>
      </c>
      <c r="P644">
        <f t="shared" ca="1" si="292"/>
        <v>632.36500000000001</v>
      </c>
      <c r="Q644">
        <f t="shared" ca="1" si="293"/>
        <v>2593.4420316486621</v>
      </c>
      <c r="R644">
        <f t="shared" ca="1" si="294"/>
        <v>482.07306851378365</v>
      </c>
      <c r="S644">
        <f t="shared" ca="1" si="295"/>
        <v>280.07692026646265</v>
      </c>
      <c r="T644">
        <f t="shared" ca="1" si="296"/>
        <v>1019.7665564573041</v>
      </c>
      <c r="U644">
        <f t="shared" ca="1" si="317"/>
        <v>-482.32750852789786</v>
      </c>
      <c r="V644">
        <f t="shared" ca="1" si="318"/>
        <v>0</v>
      </c>
      <c r="W644">
        <f t="shared" ca="1" si="297"/>
        <v>0.05</v>
      </c>
      <c r="X644">
        <f t="shared" ca="1" si="298"/>
        <v>0.26</v>
      </c>
      <c r="Y644">
        <f t="shared" ca="1" si="299"/>
        <v>4.9056603773584909E-2</v>
      </c>
      <c r="Z644">
        <f t="shared" ca="1" si="300"/>
        <v>196.15384615384616</v>
      </c>
      <c r="AA644">
        <f t="shared" ca="1" si="301"/>
        <v>632.36500000000001</v>
      </c>
      <c r="AB644">
        <f t="shared" ca="1" si="302"/>
        <v>2593.4420316486621</v>
      </c>
      <c r="AC644">
        <f t="shared" ca="1" si="303"/>
        <v>482.07306851378365</v>
      </c>
      <c r="AD644">
        <f t="shared" ca="1" si="304"/>
        <v>280.07692026646265</v>
      </c>
      <c r="AE644">
        <f t="shared" ca="1" si="305"/>
        <v>1019.7665564573041</v>
      </c>
      <c r="AF644">
        <f t="shared" ca="1" si="306"/>
        <v>482.64289004873763</v>
      </c>
      <c r="AG644">
        <f t="shared" ca="1" si="307"/>
        <v>0</v>
      </c>
      <c r="AH644">
        <f ca="1">IF(V32="Supercritical",L644,IF(V32="Subcritical",W644,IF(AND(V644=1,AG644=1),IF(T644&gt;=AE644,L644,W644),IF(V644=1,L644,IF(AG644=1,W644,MAX($D$16,POWER((ABS(K644)^2)/($I$5*MAX(F644,0.1)^2),1/3)))))))</f>
        <v>2.1403668656741068</v>
      </c>
      <c r="AI644">
        <f t="shared" ca="1" si="308"/>
        <v>634.45536686567414</v>
      </c>
      <c r="AJ644">
        <f t="shared" ca="1" si="309"/>
        <v>635.52555029851123</v>
      </c>
      <c r="AM644">
        <v>0</v>
      </c>
      <c r="AN644">
        <v>0</v>
      </c>
      <c r="AO644">
        <f t="shared" si="310"/>
        <v>0</v>
      </c>
      <c r="AP644">
        <f t="shared" si="319"/>
        <v>0</v>
      </c>
      <c r="AQ644">
        <f t="shared" ca="1" si="311"/>
        <v>0.99999999999999978</v>
      </c>
      <c r="AR644" t="str">
        <f t="shared" ca="1" si="312"/>
        <v>Supercritical</v>
      </c>
      <c r="AS644">
        <f t="shared" ca="1" si="313"/>
        <v>3.8148159832266538E-3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191</v>
      </c>
      <c r="I645">
        <v>2.7E-2</v>
      </c>
      <c r="J645">
        <f t="shared" si="314"/>
        <v>1.0010000000000332</v>
      </c>
      <c r="K645">
        <f t="shared" si="315"/>
        <v>51</v>
      </c>
      <c r="L645">
        <f t="shared" ca="1" si="316"/>
        <v>0.05</v>
      </c>
      <c r="M645">
        <f t="shared" ca="1" si="289"/>
        <v>0.26</v>
      </c>
      <c r="N645">
        <f t="shared" ca="1" si="290"/>
        <v>4.9056603773584909E-2</v>
      </c>
      <c r="O645">
        <f t="shared" ca="1" si="291"/>
        <v>196.15384615384616</v>
      </c>
      <c r="P645">
        <f t="shared" ca="1" si="292"/>
        <v>632.36449999999991</v>
      </c>
      <c r="Q645">
        <f t="shared" ca="1" si="293"/>
        <v>2593.441531648662</v>
      </c>
      <c r="R645">
        <f t="shared" ca="1" si="294"/>
        <v>482.07306851378365</v>
      </c>
      <c r="S645">
        <f t="shared" ca="1" si="295"/>
        <v>280.07692026646265</v>
      </c>
      <c r="T645">
        <f t="shared" ca="1" si="296"/>
        <v>1019.7665564573041</v>
      </c>
      <c r="U645">
        <f t="shared" ca="1" si="317"/>
        <v>-482.64289004873763</v>
      </c>
      <c r="V645">
        <f t="shared" ca="1" si="318"/>
        <v>0</v>
      </c>
      <c r="W645">
        <f t="shared" ca="1" si="297"/>
        <v>0.05</v>
      </c>
      <c r="X645">
        <f t="shared" ca="1" si="298"/>
        <v>0.26</v>
      </c>
      <c r="Y645">
        <f t="shared" ca="1" si="299"/>
        <v>4.9056603773584909E-2</v>
      </c>
      <c r="Z645">
        <f t="shared" ca="1" si="300"/>
        <v>196.15384615384616</v>
      </c>
      <c r="AA645">
        <f t="shared" ca="1" si="301"/>
        <v>632.36449999999991</v>
      </c>
      <c r="AB645">
        <f t="shared" ca="1" si="302"/>
        <v>2593.441531648662</v>
      </c>
      <c r="AC645">
        <f t="shared" ca="1" si="303"/>
        <v>482.07306851378365</v>
      </c>
      <c r="AD645">
        <f t="shared" ca="1" si="304"/>
        <v>280.07692026646265</v>
      </c>
      <c r="AE645">
        <f t="shared" ca="1" si="305"/>
        <v>1019.7665564573041</v>
      </c>
      <c r="AF645">
        <f t="shared" ca="1" si="306"/>
        <v>481.67874391167788</v>
      </c>
      <c r="AG645">
        <f t="shared" ca="1" si="307"/>
        <v>0</v>
      </c>
      <c r="AH645">
        <f ca="1">IF(V32="Supercritical",L645,IF(V32="Subcritical",W645,IF(AND(V645=1,AG645=1),IF(T645&gt;=AE645,L645,W645),IF(V645=1,L645,IF(AG645=1,W645,MAX($D$16,POWER((ABS(K645)^2)/($I$5*MAX(F645,0.1)^2),1/3)))))))</f>
        <v>2.1403668656741068</v>
      </c>
      <c r="AI645">
        <f t="shared" ca="1" si="308"/>
        <v>634.45486686567403</v>
      </c>
      <c r="AJ645">
        <f t="shared" ca="1" si="309"/>
        <v>635.52505029851113</v>
      </c>
      <c r="AM645">
        <v>0</v>
      </c>
      <c r="AN645">
        <v>0</v>
      </c>
      <c r="AO645">
        <f t="shared" si="310"/>
        <v>0</v>
      </c>
      <c r="AP645">
        <f t="shared" si="319"/>
        <v>0</v>
      </c>
      <c r="AQ645">
        <f t="shared" ca="1" si="311"/>
        <v>0.99999999999999978</v>
      </c>
      <c r="AR645" t="str">
        <f t="shared" ca="1" si="312"/>
        <v>Supercritical</v>
      </c>
      <c r="AS645">
        <f t="shared" ca="1" si="313"/>
        <v>3.8148159832266538E-3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191</v>
      </c>
      <c r="I646">
        <v>2.7E-2</v>
      </c>
      <c r="J646">
        <f t="shared" si="314"/>
        <v>0.9989999999999668</v>
      </c>
      <c r="K646">
        <f t="shared" si="315"/>
        <v>51</v>
      </c>
      <c r="L646">
        <f t="shared" ca="1" si="316"/>
        <v>0.05</v>
      </c>
      <c r="M646">
        <f t="shared" ca="1" si="289"/>
        <v>0.26</v>
      </c>
      <c r="N646">
        <f t="shared" ca="1" si="290"/>
        <v>4.9056603773584909E-2</v>
      </c>
      <c r="O646">
        <f t="shared" ca="1" si="291"/>
        <v>196.15384615384616</v>
      </c>
      <c r="P646">
        <f t="shared" ca="1" si="292"/>
        <v>632.36399999999992</v>
      </c>
      <c r="Q646">
        <f t="shared" ca="1" si="293"/>
        <v>2593.4410316486619</v>
      </c>
      <c r="R646">
        <f t="shared" ca="1" si="294"/>
        <v>482.07306851378365</v>
      </c>
      <c r="S646">
        <f t="shared" ca="1" si="295"/>
        <v>280.07692026646265</v>
      </c>
      <c r="T646">
        <f t="shared" ca="1" si="296"/>
        <v>1019.7665564573041</v>
      </c>
      <c r="U646">
        <f t="shared" ca="1" si="317"/>
        <v>-481.67874391167788</v>
      </c>
      <c r="V646">
        <f t="shared" ca="1" si="318"/>
        <v>0</v>
      </c>
      <c r="W646">
        <f t="shared" ca="1" si="297"/>
        <v>0.05</v>
      </c>
      <c r="X646">
        <f t="shared" ca="1" si="298"/>
        <v>0.26</v>
      </c>
      <c r="Y646">
        <f t="shared" ca="1" si="299"/>
        <v>4.9056603773584909E-2</v>
      </c>
      <c r="Z646">
        <f t="shared" ca="1" si="300"/>
        <v>196.15384615384616</v>
      </c>
      <c r="AA646">
        <f t="shared" ca="1" si="301"/>
        <v>632.36399999999992</v>
      </c>
      <c r="AB646">
        <f t="shared" ca="1" si="302"/>
        <v>2593.4410316486619</v>
      </c>
      <c r="AC646">
        <f t="shared" ca="1" si="303"/>
        <v>482.07306851378365</v>
      </c>
      <c r="AD646">
        <f t="shared" ca="1" si="304"/>
        <v>280.07692026646265</v>
      </c>
      <c r="AE646">
        <f t="shared" ca="1" si="305"/>
        <v>1019.7665564573041</v>
      </c>
      <c r="AF646">
        <f t="shared" ca="1" si="306"/>
        <v>482.64289004873763</v>
      </c>
      <c r="AG646">
        <f t="shared" ca="1" si="307"/>
        <v>0</v>
      </c>
      <c r="AH646">
        <f ca="1">IF(V32="Supercritical",L646,IF(V32="Subcritical",W646,IF(AND(V646=1,AG646=1),IF(T646&gt;=AE646,L646,W646),IF(V646=1,L646,IF(AG646=1,W646,MAX($D$16,POWER((ABS(K646)^2)/($I$5*MAX(F646,0.1)^2),1/3)))))))</f>
        <v>2.1403668656741068</v>
      </c>
      <c r="AI646">
        <f t="shared" ca="1" si="308"/>
        <v>634.45436686567405</v>
      </c>
      <c r="AJ646">
        <f t="shared" ca="1" si="309"/>
        <v>635.52455029851114</v>
      </c>
      <c r="AM646">
        <v>0</v>
      </c>
      <c r="AN646">
        <v>0</v>
      </c>
      <c r="AO646">
        <f t="shared" si="310"/>
        <v>0</v>
      </c>
      <c r="AP646">
        <f t="shared" si="319"/>
        <v>0</v>
      </c>
      <c r="AQ646">
        <f t="shared" ca="1" si="311"/>
        <v>0.99999999999999978</v>
      </c>
      <c r="AR646" t="str">
        <f t="shared" ca="1" si="312"/>
        <v>Supercritical</v>
      </c>
      <c r="AS646">
        <f t="shared" ca="1" si="313"/>
        <v>3.8148159832266538E-3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191</v>
      </c>
      <c r="I647">
        <v>2.7E-2</v>
      </c>
      <c r="J647">
        <f t="shared" si="314"/>
        <v>1.0010000000000332</v>
      </c>
      <c r="K647">
        <f t="shared" si="315"/>
        <v>51</v>
      </c>
      <c r="L647">
        <f t="shared" ca="1" si="316"/>
        <v>0.05</v>
      </c>
      <c r="M647">
        <f t="shared" ca="1" si="289"/>
        <v>0.26</v>
      </c>
      <c r="N647">
        <f t="shared" ca="1" si="290"/>
        <v>4.9056603773584909E-2</v>
      </c>
      <c r="O647">
        <f t="shared" ca="1" si="291"/>
        <v>196.15384615384616</v>
      </c>
      <c r="P647">
        <f t="shared" ca="1" si="292"/>
        <v>632.36349999999993</v>
      </c>
      <c r="Q647">
        <f t="shared" ca="1" si="293"/>
        <v>2593.4405316486618</v>
      </c>
      <c r="R647">
        <f t="shared" ca="1" si="294"/>
        <v>482.07306851378365</v>
      </c>
      <c r="S647">
        <f t="shared" ca="1" si="295"/>
        <v>280.07692026646265</v>
      </c>
      <c r="T647">
        <f t="shared" ca="1" si="296"/>
        <v>1019.7665564573041</v>
      </c>
      <c r="U647">
        <f t="shared" ca="1" si="317"/>
        <v>-482.64289004873763</v>
      </c>
      <c r="V647">
        <f t="shared" ca="1" si="318"/>
        <v>0</v>
      </c>
      <c r="W647">
        <f t="shared" ca="1" si="297"/>
        <v>0.05</v>
      </c>
      <c r="X647">
        <f t="shared" ca="1" si="298"/>
        <v>0.26</v>
      </c>
      <c r="Y647">
        <f t="shared" ca="1" si="299"/>
        <v>4.9056603773584909E-2</v>
      </c>
      <c r="Z647">
        <f t="shared" ca="1" si="300"/>
        <v>196.15384615384616</v>
      </c>
      <c r="AA647">
        <f t="shared" ca="1" si="301"/>
        <v>632.36349999999993</v>
      </c>
      <c r="AB647">
        <f t="shared" ca="1" si="302"/>
        <v>2593.4405316486618</v>
      </c>
      <c r="AC647">
        <f t="shared" ca="1" si="303"/>
        <v>482.07306851378365</v>
      </c>
      <c r="AD647">
        <f t="shared" ca="1" si="304"/>
        <v>280.07692026646265</v>
      </c>
      <c r="AE647">
        <f t="shared" ca="1" si="305"/>
        <v>1019.7665564573041</v>
      </c>
      <c r="AF647">
        <f t="shared" ca="1" si="306"/>
        <v>481.75391853122528</v>
      </c>
      <c r="AG647">
        <f t="shared" ca="1" si="307"/>
        <v>0</v>
      </c>
      <c r="AH647">
        <f ca="1">IF(V32="Supercritical",L647,IF(V32="Subcritical",W647,IF(AND(V647=1,AG647=1),IF(T647&gt;=AE647,L647,W647),IF(V647=1,L647,IF(AG647=1,W647,MAX($D$16,POWER((ABS(K647)^2)/($I$5*MAX(F647,0.1)^2),1/3)))))))</f>
        <v>2.1403668656741068</v>
      </c>
      <c r="AI647">
        <f t="shared" ca="1" si="308"/>
        <v>634.45386686567406</v>
      </c>
      <c r="AJ647">
        <f t="shared" ca="1" si="309"/>
        <v>635.52405029851116</v>
      </c>
      <c r="AM647">
        <v>0</v>
      </c>
      <c r="AN647">
        <v>0</v>
      </c>
      <c r="AO647">
        <f t="shared" si="310"/>
        <v>0</v>
      </c>
      <c r="AP647">
        <f t="shared" si="319"/>
        <v>0</v>
      </c>
      <c r="AQ647">
        <f t="shared" ca="1" si="311"/>
        <v>0.99999999999999978</v>
      </c>
      <c r="AR647" t="str">
        <f t="shared" ca="1" si="312"/>
        <v>Supercritical</v>
      </c>
      <c r="AS647">
        <f t="shared" ca="1" si="313"/>
        <v>3.8148159832266538E-3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191</v>
      </c>
      <c r="I648">
        <v>0.05</v>
      </c>
      <c r="J648">
        <f t="shared" si="314"/>
        <v>0.9989999999999668</v>
      </c>
      <c r="K648">
        <f t="shared" si="315"/>
        <v>51</v>
      </c>
      <c r="L648">
        <f t="shared" ca="1" si="316"/>
        <v>0.05</v>
      </c>
      <c r="M648">
        <f t="shared" ca="1" si="289"/>
        <v>0.26</v>
      </c>
      <c r="N648">
        <f t="shared" ca="1" si="290"/>
        <v>4.9056603773584909E-2</v>
      </c>
      <c r="O648">
        <f t="shared" ca="1" si="291"/>
        <v>196.15384615384616</v>
      </c>
      <c r="P648">
        <f t="shared" ca="1" si="292"/>
        <v>632.36299999999994</v>
      </c>
      <c r="Q648">
        <f t="shared" ca="1" si="293"/>
        <v>2593.4400316486622</v>
      </c>
      <c r="R648">
        <f t="shared" ca="1" si="294"/>
        <v>482.07306851378365</v>
      </c>
      <c r="S648">
        <f t="shared" ca="1" si="295"/>
        <v>280.07692026646265</v>
      </c>
      <c r="T648">
        <f t="shared" ca="1" si="296"/>
        <v>1019.7665564573041</v>
      </c>
      <c r="U648">
        <f t="shared" ca="1" si="317"/>
        <v>-481.75391853122483</v>
      </c>
      <c r="V648">
        <f t="shared" ca="1" si="318"/>
        <v>0</v>
      </c>
      <c r="W648">
        <f t="shared" ca="1" si="297"/>
        <v>0.05</v>
      </c>
      <c r="X648">
        <f t="shared" ca="1" si="298"/>
        <v>0.26</v>
      </c>
      <c r="Y648">
        <f t="shared" ca="1" si="299"/>
        <v>4.9056603773584909E-2</v>
      </c>
      <c r="Z648">
        <f t="shared" ca="1" si="300"/>
        <v>196.15384615384616</v>
      </c>
      <c r="AA648">
        <f t="shared" ca="1" si="301"/>
        <v>632.36299999999994</v>
      </c>
      <c r="AB648">
        <f t="shared" ca="1" si="302"/>
        <v>2593.4400316486622</v>
      </c>
      <c r="AC648">
        <f t="shared" ca="1" si="303"/>
        <v>482.07306851378365</v>
      </c>
      <c r="AD648">
        <f t="shared" ca="1" si="304"/>
        <v>280.07692026646265</v>
      </c>
      <c r="AE648">
        <f t="shared" ca="1" si="305"/>
        <v>1019.7665564573041</v>
      </c>
      <c r="AF648">
        <f t="shared" ca="1" si="306"/>
        <v>482.32750852789786</v>
      </c>
      <c r="AG648">
        <f t="shared" ca="1" si="307"/>
        <v>0</v>
      </c>
      <c r="AH648">
        <f ca="1">IF(V32="Supercritical",L648,IF(V32="Subcritical",W648,IF(AND(V648=1,AG648=1),IF(T648&gt;=AE648,L648,W648),IF(V648=1,L648,IF(AG648=1,W648,MAX($D$16,POWER((ABS(K648)^2)/($I$5*MAX(F648,0.1)^2),1/3)))))))</f>
        <v>2.1403668656741068</v>
      </c>
      <c r="AI648">
        <f t="shared" ca="1" si="308"/>
        <v>634.45336686567407</v>
      </c>
      <c r="AJ648">
        <f t="shared" ca="1" si="309"/>
        <v>635.52355029851117</v>
      </c>
      <c r="AM648">
        <v>0</v>
      </c>
      <c r="AN648">
        <v>0</v>
      </c>
      <c r="AO648">
        <f t="shared" si="310"/>
        <v>0</v>
      </c>
      <c r="AP648">
        <f t="shared" si="319"/>
        <v>0</v>
      </c>
      <c r="AQ648">
        <f t="shared" ca="1" si="311"/>
        <v>0.99999999999999978</v>
      </c>
      <c r="AR648" t="str">
        <f t="shared" ca="1" si="312"/>
        <v>Supercritical</v>
      </c>
      <c r="AS648">
        <f t="shared" ca="1" si="313"/>
        <v>3.8148159832266538E-3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191</v>
      </c>
      <c r="I649">
        <v>7.8E-2</v>
      </c>
      <c r="J649">
        <f t="shared" si="314"/>
        <v>1</v>
      </c>
      <c r="K649">
        <f t="shared" si="315"/>
        <v>51</v>
      </c>
      <c r="L649">
        <f t="shared" ca="1" si="316"/>
        <v>0.05</v>
      </c>
      <c r="M649">
        <f t="shared" ca="1" si="289"/>
        <v>0.26</v>
      </c>
      <c r="N649">
        <f t="shared" ca="1" si="290"/>
        <v>4.9056603773584909E-2</v>
      </c>
      <c r="O649">
        <f t="shared" ca="1" si="291"/>
        <v>196.15384615384616</v>
      </c>
      <c r="P649">
        <f t="shared" ca="1" si="292"/>
        <v>632.36249999999995</v>
      </c>
      <c r="Q649">
        <f t="shared" ca="1" si="293"/>
        <v>2593.4395316486621</v>
      </c>
      <c r="R649">
        <f t="shared" ca="1" si="294"/>
        <v>482.07306851378365</v>
      </c>
      <c r="S649">
        <f t="shared" ca="1" si="295"/>
        <v>280.07692026646265</v>
      </c>
      <c r="T649">
        <f t="shared" ca="1" si="296"/>
        <v>1019.7665564573041</v>
      </c>
      <c r="U649">
        <f t="shared" ca="1" si="317"/>
        <v>-482.32750852789786</v>
      </c>
      <c r="V649">
        <f t="shared" ca="1" si="318"/>
        <v>0</v>
      </c>
      <c r="W649">
        <f t="shared" ca="1" si="297"/>
        <v>0.05</v>
      </c>
      <c r="X649">
        <f t="shared" ca="1" si="298"/>
        <v>0.26</v>
      </c>
      <c r="Y649">
        <f t="shared" ca="1" si="299"/>
        <v>4.9056603773584909E-2</v>
      </c>
      <c r="Z649">
        <f t="shared" ca="1" si="300"/>
        <v>196.15384615384616</v>
      </c>
      <c r="AA649">
        <f t="shared" ca="1" si="301"/>
        <v>632.36249999999995</v>
      </c>
      <c r="AB649">
        <f t="shared" ca="1" si="302"/>
        <v>2593.4395316486621</v>
      </c>
      <c r="AC649">
        <f t="shared" ca="1" si="303"/>
        <v>482.07306851378365</v>
      </c>
      <c r="AD649">
        <f t="shared" ca="1" si="304"/>
        <v>280.07692026646265</v>
      </c>
      <c r="AE649">
        <f t="shared" ca="1" si="305"/>
        <v>1019.7665564573041</v>
      </c>
      <c r="AF649">
        <f t="shared" ca="1" si="306"/>
        <v>482.64289004873763</v>
      </c>
      <c r="AG649">
        <f t="shared" ca="1" si="307"/>
        <v>0</v>
      </c>
      <c r="AH649">
        <f ca="1">IF(V32="Supercritical",L649,IF(V32="Subcritical",W649,IF(AND(V649=1,AG649=1),IF(T649&gt;=AE649,L649,W649),IF(V649=1,L649,IF(AG649=1,W649,MAX($D$16,POWER((ABS(K649)^2)/($I$5*MAX(F649,0.1)^2),1/3)))))))</f>
        <v>2.1403668656741068</v>
      </c>
      <c r="AI649">
        <f t="shared" ca="1" si="308"/>
        <v>634.45286686567408</v>
      </c>
      <c r="AJ649">
        <f t="shared" ca="1" si="309"/>
        <v>635.52305029851118</v>
      </c>
      <c r="AM649">
        <v>0</v>
      </c>
      <c r="AN649">
        <v>0</v>
      </c>
      <c r="AO649">
        <f t="shared" si="310"/>
        <v>0</v>
      </c>
      <c r="AP649">
        <f t="shared" si="319"/>
        <v>0</v>
      </c>
      <c r="AQ649">
        <f t="shared" ca="1" si="311"/>
        <v>0.99999999999999978</v>
      </c>
      <c r="AR649" t="str">
        <f t="shared" ca="1" si="312"/>
        <v>Supercritical</v>
      </c>
      <c r="AS649">
        <f t="shared" ca="1" si="313"/>
        <v>3.8148159832266538E-3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191</v>
      </c>
      <c r="I650">
        <v>2.7E-2</v>
      </c>
      <c r="J650">
        <f t="shared" si="314"/>
        <v>1.0010000000000332</v>
      </c>
      <c r="K650">
        <f t="shared" si="315"/>
        <v>51</v>
      </c>
      <c r="L650">
        <f t="shared" ca="1" si="316"/>
        <v>0.05</v>
      </c>
      <c r="M650">
        <f t="shared" ca="1" si="289"/>
        <v>0.26</v>
      </c>
      <c r="N650">
        <f t="shared" ca="1" si="290"/>
        <v>4.9056603773584909E-2</v>
      </c>
      <c r="O650">
        <f t="shared" ca="1" si="291"/>
        <v>196.15384615384616</v>
      </c>
      <c r="P650">
        <f t="shared" ca="1" si="292"/>
        <v>632.36199999999997</v>
      </c>
      <c r="Q650">
        <f t="shared" ca="1" si="293"/>
        <v>2593.439031648662</v>
      </c>
      <c r="R650">
        <f t="shared" ca="1" si="294"/>
        <v>482.07306851378365</v>
      </c>
      <c r="S650">
        <f t="shared" ca="1" si="295"/>
        <v>280.07692026646265</v>
      </c>
      <c r="T650">
        <f t="shared" ca="1" si="296"/>
        <v>1019.7665564573041</v>
      </c>
      <c r="U650">
        <f t="shared" ca="1" si="317"/>
        <v>-482.64289004873763</v>
      </c>
      <c r="V650">
        <f t="shared" ca="1" si="318"/>
        <v>0</v>
      </c>
      <c r="W650">
        <f t="shared" ca="1" si="297"/>
        <v>0.05</v>
      </c>
      <c r="X650">
        <f t="shared" ca="1" si="298"/>
        <v>0.26</v>
      </c>
      <c r="Y650">
        <f t="shared" ca="1" si="299"/>
        <v>4.9056603773584909E-2</v>
      </c>
      <c r="Z650">
        <f t="shared" ca="1" si="300"/>
        <v>196.15384615384616</v>
      </c>
      <c r="AA650">
        <f t="shared" ca="1" si="301"/>
        <v>632.36199999999997</v>
      </c>
      <c r="AB650">
        <f t="shared" ca="1" si="302"/>
        <v>2593.439031648662</v>
      </c>
      <c r="AC650">
        <f t="shared" ca="1" si="303"/>
        <v>482.07306851378365</v>
      </c>
      <c r="AD650">
        <f t="shared" ca="1" si="304"/>
        <v>280.07692026646265</v>
      </c>
      <c r="AE650">
        <f t="shared" ca="1" si="305"/>
        <v>1019.7665564573041</v>
      </c>
      <c r="AF650">
        <f t="shared" ca="1" si="306"/>
        <v>481.67874391167834</v>
      </c>
      <c r="AG650">
        <f t="shared" ca="1" si="307"/>
        <v>0</v>
      </c>
      <c r="AH650">
        <f ca="1">IF(V32="Supercritical",L650,IF(V32="Subcritical",W650,IF(AND(V650=1,AG650=1),IF(T650&gt;=AE650,L650,W650),IF(V650=1,L650,IF(AG650=1,W650,MAX($D$16,POWER((ABS(K650)^2)/($I$5*MAX(F650,0.1)^2),1/3)))))))</f>
        <v>2.1403668656741068</v>
      </c>
      <c r="AI650">
        <f t="shared" ca="1" si="308"/>
        <v>634.45236686567409</v>
      </c>
      <c r="AJ650">
        <f t="shared" ca="1" si="309"/>
        <v>635.52255029851119</v>
      </c>
      <c r="AM650">
        <v>0</v>
      </c>
      <c r="AN650">
        <v>0</v>
      </c>
      <c r="AO650">
        <f t="shared" si="310"/>
        <v>0</v>
      </c>
      <c r="AP650">
        <f t="shared" si="319"/>
        <v>0</v>
      </c>
      <c r="AQ650">
        <f t="shared" ca="1" si="311"/>
        <v>0.99999999999999978</v>
      </c>
      <c r="AR650" t="str">
        <f t="shared" ca="1" si="312"/>
        <v>Supercritical</v>
      </c>
      <c r="AS650">
        <f t="shared" ca="1" si="313"/>
        <v>3.8148159832266538E-3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191</v>
      </c>
      <c r="I651">
        <v>2.7E-2</v>
      </c>
      <c r="J651">
        <f t="shared" si="314"/>
        <v>0.9989999999999668</v>
      </c>
      <c r="K651">
        <f t="shared" si="315"/>
        <v>51</v>
      </c>
      <c r="L651">
        <f t="shared" ca="1" si="316"/>
        <v>0.05</v>
      </c>
      <c r="M651">
        <f t="shared" ca="1" si="289"/>
        <v>0.26</v>
      </c>
      <c r="N651">
        <f t="shared" ca="1" si="290"/>
        <v>4.9056603773584909E-2</v>
      </c>
      <c r="O651">
        <f t="shared" ca="1" si="291"/>
        <v>196.15384615384616</v>
      </c>
      <c r="P651">
        <f t="shared" ca="1" si="292"/>
        <v>632.36149999999998</v>
      </c>
      <c r="Q651">
        <f t="shared" ca="1" si="293"/>
        <v>2593.4385316486623</v>
      </c>
      <c r="R651">
        <f t="shared" ca="1" si="294"/>
        <v>482.07306851378365</v>
      </c>
      <c r="S651">
        <f t="shared" ca="1" si="295"/>
        <v>280.07692026646265</v>
      </c>
      <c r="T651">
        <f t="shared" ca="1" si="296"/>
        <v>1019.7665564573041</v>
      </c>
      <c r="U651">
        <f t="shared" ca="1" si="317"/>
        <v>-481.67874391167879</v>
      </c>
      <c r="V651">
        <f t="shared" ca="1" si="318"/>
        <v>0</v>
      </c>
      <c r="W651">
        <f t="shared" ca="1" si="297"/>
        <v>0.05</v>
      </c>
      <c r="X651">
        <f t="shared" ca="1" si="298"/>
        <v>0.26</v>
      </c>
      <c r="Y651">
        <f t="shared" ca="1" si="299"/>
        <v>4.9056603773584909E-2</v>
      </c>
      <c r="Z651">
        <f t="shared" ca="1" si="300"/>
        <v>196.15384615384616</v>
      </c>
      <c r="AA651">
        <f t="shared" ca="1" si="301"/>
        <v>632.36149999999998</v>
      </c>
      <c r="AB651">
        <f t="shared" ca="1" si="302"/>
        <v>2593.4385316486623</v>
      </c>
      <c r="AC651">
        <f t="shared" ca="1" si="303"/>
        <v>482.07306851378365</v>
      </c>
      <c r="AD651">
        <f t="shared" ca="1" si="304"/>
        <v>280.07692026646265</v>
      </c>
      <c r="AE651">
        <f t="shared" ca="1" si="305"/>
        <v>1019.7665564573041</v>
      </c>
      <c r="AF651">
        <f t="shared" ca="1" si="306"/>
        <v>482.80958159642751</v>
      </c>
      <c r="AG651">
        <f t="shared" ca="1" si="307"/>
        <v>0</v>
      </c>
      <c r="AH651">
        <f ca="1">IF(V32="Supercritical",L651,IF(V32="Subcritical",W651,IF(AND(V651=1,AG651=1),IF(T651&gt;=AE651,L651,W651),IF(V651=1,L651,IF(AG651=1,W651,MAX($D$16,POWER((ABS(K651)^2)/($I$5*MAX(F651,0.1)^2),1/3)))))))</f>
        <v>2.1403668656741068</v>
      </c>
      <c r="AI651">
        <f t="shared" ca="1" si="308"/>
        <v>634.45186686567411</v>
      </c>
      <c r="AJ651">
        <f t="shared" ca="1" si="309"/>
        <v>635.5220502985112</v>
      </c>
      <c r="AM651">
        <v>0</v>
      </c>
      <c r="AN651">
        <v>0</v>
      </c>
      <c r="AO651">
        <f t="shared" si="310"/>
        <v>0</v>
      </c>
      <c r="AP651">
        <f t="shared" si="319"/>
        <v>0</v>
      </c>
      <c r="AQ651">
        <f t="shared" ca="1" si="311"/>
        <v>0.99999999999999978</v>
      </c>
      <c r="AR651" t="str">
        <f t="shared" ca="1" si="312"/>
        <v>Supercritical</v>
      </c>
      <c r="AS651">
        <f t="shared" ca="1" si="313"/>
        <v>3.8148159832266538E-3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191</v>
      </c>
      <c r="I652">
        <v>7.8E-2</v>
      </c>
      <c r="J652">
        <f t="shared" si="314"/>
        <v>1.0010000000000332</v>
      </c>
      <c r="K652">
        <f t="shared" si="315"/>
        <v>51</v>
      </c>
      <c r="L652">
        <f t="shared" ca="1" si="316"/>
        <v>0.05</v>
      </c>
      <c r="M652">
        <f t="shared" ca="1" si="289"/>
        <v>0.26</v>
      </c>
      <c r="N652">
        <f t="shared" ca="1" si="290"/>
        <v>4.9056603773584909E-2</v>
      </c>
      <c r="O652">
        <f t="shared" ca="1" si="291"/>
        <v>196.15384615384616</v>
      </c>
      <c r="P652">
        <f t="shared" ca="1" si="292"/>
        <v>632.36099999999999</v>
      </c>
      <c r="Q652">
        <f t="shared" ca="1" si="293"/>
        <v>2593.4380316486622</v>
      </c>
      <c r="R652">
        <f t="shared" ca="1" si="294"/>
        <v>482.07306851378365</v>
      </c>
      <c r="S652">
        <f t="shared" ca="1" si="295"/>
        <v>280.07692026646265</v>
      </c>
      <c r="T652">
        <f t="shared" ca="1" si="296"/>
        <v>1019.7665564573041</v>
      </c>
      <c r="U652">
        <f t="shared" ca="1" si="317"/>
        <v>-482.80958159642751</v>
      </c>
      <c r="V652">
        <f t="shared" ca="1" si="318"/>
        <v>0</v>
      </c>
      <c r="W652">
        <f t="shared" ca="1" si="297"/>
        <v>0.05</v>
      </c>
      <c r="X652">
        <f t="shared" ca="1" si="298"/>
        <v>0.26</v>
      </c>
      <c r="Y652">
        <f t="shared" ca="1" si="299"/>
        <v>4.9056603773584909E-2</v>
      </c>
      <c r="Z652">
        <f t="shared" ca="1" si="300"/>
        <v>196.15384615384616</v>
      </c>
      <c r="AA652">
        <f t="shared" ca="1" si="301"/>
        <v>632.36099999999999</v>
      </c>
      <c r="AB652">
        <f t="shared" ca="1" si="302"/>
        <v>2593.4380316486622</v>
      </c>
      <c r="AC652">
        <f t="shared" ca="1" si="303"/>
        <v>482.07306851378365</v>
      </c>
      <c r="AD652">
        <f t="shared" ca="1" si="304"/>
        <v>280.07692026646265</v>
      </c>
      <c r="AE652">
        <f t="shared" ca="1" si="305"/>
        <v>1019.7665564573041</v>
      </c>
      <c r="AF652">
        <f t="shared" ca="1" si="306"/>
        <v>482.23599159975447</v>
      </c>
      <c r="AG652">
        <f t="shared" ca="1" si="307"/>
        <v>0</v>
      </c>
      <c r="AH652">
        <f ca="1">IF(V32="Supercritical",L652,IF(V32="Subcritical",W652,IF(AND(V652=1,AG652=1),IF(T652&gt;=AE652,L652,W652),IF(V652=1,L652,IF(AG652=1,W652,MAX($D$16,POWER((ABS(K652)^2)/($I$5*MAX(F652,0.1)^2),1/3)))))))</f>
        <v>2.1403668656741068</v>
      </c>
      <c r="AI652">
        <f t="shared" ca="1" si="308"/>
        <v>634.45136686567412</v>
      </c>
      <c r="AJ652">
        <f t="shared" ca="1" si="309"/>
        <v>635.52155029851122</v>
      </c>
      <c r="AM652">
        <v>0</v>
      </c>
      <c r="AN652">
        <v>0</v>
      </c>
      <c r="AO652">
        <f t="shared" si="310"/>
        <v>0</v>
      </c>
      <c r="AP652">
        <f t="shared" si="319"/>
        <v>0</v>
      </c>
      <c r="AQ652">
        <f t="shared" ca="1" si="311"/>
        <v>0.99999999999999978</v>
      </c>
      <c r="AR652" t="str">
        <f t="shared" ca="1" si="312"/>
        <v>Supercritical</v>
      </c>
      <c r="AS652">
        <f t="shared" ca="1" si="313"/>
        <v>3.8148159832266538E-3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191</v>
      </c>
      <c r="I653">
        <v>0.05</v>
      </c>
      <c r="J653">
        <f t="shared" si="314"/>
        <v>1</v>
      </c>
      <c r="K653">
        <f t="shared" si="315"/>
        <v>51</v>
      </c>
      <c r="L653">
        <f t="shared" ca="1" si="316"/>
        <v>0.05</v>
      </c>
      <c r="M653">
        <f t="shared" ca="1" si="289"/>
        <v>0.26</v>
      </c>
      <c r="N653">
        <f t="shared" ca="1" si="290"/>
        <v>4.9056603773584909E-2</v>
      </c>
      <c r="O653">
        <f t="shared" ca="1" si="291"/>
        <v>196.15384615384616</v>
      </c>
      <c r="P653">
        <f t="shared" ca="1" si="292"/>
        <v>632.3605</v>
      </c>
      <c r="Q653">
        <f t="shared" ca="1" si="293"/>
        <v>2593.4375316486621</v>
      </c>
      <c r="R653">
        <f t="shared" ca="1" si="294"/>
        <v>482.07306851378365</v>
      </c>
      <c r="S653">
        <f t="shared" ca="1" si="295"/>
        <v>280.07692026646265</v>
      </c>
      <c r="T653">
        <f t="shared" ca="1" si="296"/>
        <v>1019.7665564573041</v>
      </c>
      <c r="U653">
        <f t="shared" ca="1" si="317"/>
        <v>-482.23599159975447</v>
      </c>
      <c r="V653">
        <f t="shared" ca="1" si="318"/>
        <v>0</v>
      </c>
      <c r="W653">
        <f t="shared" ca="1" si="297"/>
        <v>0.05</v>
      </c>
      <c r="X653">
        <f t="shared" ca="1" si="298"/>
        <v>0.26</v>
      </c>
      <c r="Y653">
        <f t="shared" ca="1" si="299"/>
        <v>4.9056603773584909E-2</v>
      </c>
      <c r="Z653">
        <f t="shared" ca="1" si="300"/>
        <v>196.15384615384616</v>
      </c>
      <c r="AA653">
        <f t="shared" ca="1" si="301"/>
        <v>632.3605</v>
      </c>
      <c r="AB653">
        <f t="shared" ca="1" si="302"/>
        <v>2593.4375316486621</v>
      </c>
      <c r="AC653">
        <f t="shared" ca="1" si="303"/>
        <v>482.07306851378365</v>
      </c>
      <c r="AD653">
        <f t="shared" ca="1" si="304"/>
        <v>280.07692026646265</v>
      </c>
      <c r="AE653">
        <f t="shared" ca="1" si="305"/>
        <v>1019.7665564573041</v>
      </c>
      <c r="AF653">
        <f t="shared" ca="1" si="306"/>
        <v>481.67874391167788</v>
      </c>
      <c r="AG653">
        <f t="shared" ca="1" si="307"/>
        <v>0</v>
      </c>
      <c r="AH653">
        <f ca="1">IF(V32="Supercritical",L653,IF(V32="Subcritical",W653,IF(AND(V653=1,AG653=1),IF(T653&gt;=AE653,L653,W653),IF(V653=1,L653,IF(AG653=1,W653,MAX($D$16,POWER((ABS(K653)^2)/($I$5*MAX(F653,0.1)^2),1/3)))))))</f>
        <v>2.1403668656741068</v>
      </c>
      <c r="AI653">
        <f t="shared" ca="1" si="308"/>
        <v>634.45086686567413</v>
      </c>
      <c r="AJ653">
        <f t="shared" ca="1" si="309"/>
        <v>635.52105029851123</v>
      </c>
      <c r="AM653">
        <v>0</v>
      </c>
      <c r="AN653">
        <v>0</v>
      </c>
      <c r="AO653">
        <f t="shared" si="310"/>
        <v>0</v>
      </c>
      <c r="AP653">
        <f t="shared" si="319"/>
        <v>0</v>
      </c>
      <c r="AQ653">
        <f t="shared" ca="1" si="311"/>
        <v>0.99999999999999978</v>
      </c>
      <c r="AR653" t="str">
        <f t="shared" ca="1" si="312"/>
        <v>Supercritical</v>
      </c>
      <c r="AS653">
        <f t="shared" ca="1" si="313"/>
        <v>3.8148159832266538E-3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191</v>
      </c>
      <c r="I654">
        <v>2.7E-2</v>
      </c>
      <c r="J654">
        <f t="shared" si="314"/>
        <v>0.9989999999999668</v>
      </c>
      <c r="K654">
        <f t="shared" si="315"/>
        <v>51</v>
      </c>
      <c r="L654">
        <f t="shared" ca="1" si="316"/>
        <v>0.05</v>
      </c>
      <c r="M654">
        <f t="shared" ca="1" si="289"/>
        <v>0.26</v>
      </c>
      <c r="N654">
        <f t="shared" ca="1" si="290"/>
        <v>4.9056603773584909E-2</v>
      </c>
      <c r="O654">
        <f t="shared" ca="1" si="291"/>
        <v>196.15384615384616</v>
      </c>
      <c r="P654">
        <f t="shared" ca="1" si="292"/>
        <v>632.3599999999999</v>
      </c>
      <c r="Q654">
        <f t="shared" ca="1" si="293"/>
        <v>2593.437031648662</v>
      </c>
      <c r="R654">
        <f t="shared" ca="1" si="294"/>
        <v>482.07306851378365</v>
      </c>
      <c r="S654">
        <f t="shared" ca="1" si="295"/>
        <v>280.07692026646265</v>
      </c>
      <c r="T654">
        <f t="shared" ca="1" si="296"/>
        <v>1019.7665564573041</v>
      </c>
      <c r="U654">
        <f t="shared" ca="1" si="317"/>
        <v>-481.67874391167788</v>
      </c>
      <c r="V654">
        <f t="shared" ca="1" si="318"/>
        <v>0</v>
      </c>
      <c r="W654">
        <f t="shared" ca="1" si="297"/>
        <v>0.05</v>
      </c>
      <c r="X654">
        <f t="shared" ca="1" si="298"/>
        <v>0.26</v>
      </c>
      <c r="Y654">
        <f t="shared" ca="1" si="299"/>
        <v>4.9056603773584909E-2</v>
      </c>
      <c r="Z654">
        <f t="shared" ca="1" si="300"/>
        <v>196.15384615384616</v>
      </c>
      <c r="AA654">
        <f t="shared" ca="1" si="301"/>
        <v>632.3599999999999</v>
      </c>
      <c r="AB654">
        <f t="shared" ca="1" si="302"/>
        <v>2593.437031648662</v>
      </c>
      <c r="AC654">
        <f t="shared" ca="1" si="303"/>
        <v>482.07306851378365</v>
      </c>
      <c r="AD654">
        <f t="shared" ca="1" si="304"/>
        <v>280.07692026646265</v>
      </c>
      <c r="AE654">
        <f t="shared" ca="1" si="305"/>
        <v>1019.7665564573041</v>
      </c>
      <c r="AF654">
        <f t="shared" ca="1" si="306"/>
        <v>482.16081698020798</v>
      </c>
      <c r="AG654">
        <f t="shared" ca="1" si="307"/>
        <v>0</v>
      </c>
      <c r="AH654">
        <f ca="1">IF(V32="Supercritical",L654,IF(V32="Subcritical",W654,IF(AND(V654=1,AG654=1),IF(T654&gt;=AE654,L654,W654),IF(V654=1,L654,IF(AG654=1,W654,MAX($D$16,POWER((ABS(K654)^2)/($I$5*MAX(F654,0.1)^2),1/3)))))))</f>
        <v>2.1403668656741068</v>
      </c>
      <c r="AI654">
        <f t="shared" ca="1" si="308"/>
        <v>634.45036686567403</v>
      </c>
      <c r="AJ654">
        <f t="shared" ca="1" si="309"/>
        <v>635.52055029851113</v>
      </c>
      <c r="AM654">
        <v>0</v>
      </c>
      <c r="AN654">
        <v>0</v>
      </c>
      <c r="AO654">
        <f t="shared" si="310"/>
        <v>0</v>
      </c>
      <c r="AP654">
        <f t="shared" si="319"/>
        <v>0</v>
      </c>
      <c r="AQ654">
        <f t="shared" ca="1" si="311"/>
        <v>0.99999999999999978</v>
      </c>
      <c r="AR654" t="str">
        <f t="shared" ca="1" si="312"/>
        <v>Supercritical</v>
      </c>
      <c r="AS654">
        <f t="shared" ca="1" si="313"/>
        <v>3.8148159832266538E-3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191</v>
      </c>
      <c r="I655">
        <v>2.7E-2</v>
      </c>
      <c r="J655">
        <f t="shared" si="314"/>
        <v>1</v>
      </c>
      <c r="K655">
        <f t="shared" si="315"/>
        <v>51</v>
      </c>
      <c r="L655">
        <f t="shared" ca="1" si="316"/>
        <v>0.05</v>
      </c>
      <c r="M655">
        <f t="shared" ca="1" si="289"/>
        <v>0.26</v>
      </c>
      <c r="N655">
        <f t="shared" ca="1" si="290"/>
        <v>4.9056603773584909E-2</v>
      </c>
      <c r="O655">
        <f t="shared" ca="1" si="291"/>
        <v>196.15384615384616</v>
      </c>
      <c r="P655">
        <f t="shared" ca="1" si="292"/>
        <v>632.35949999999991</v>
      </c>
      <c r="Q655">
        <f t="shared" ca="1" si="293"/>
        <v>2593.4365316486619</v>
      </c>
      <c r="R655">
        <f t="shared" ca="1" si="294"/>
        <v>482.07306851378365</v>
      </c>
      <c r="S655">
        <f t="shared" ca="1" si="295"/>
        <v>280.07692026646265</v>
      </c>
      <c r="T655">
        <f t="shared" ca="1" si="296"/>
        <v>1019.7665564573041</v>
      </c>
      <c r="U655">
        <f t="shared" ca="1" si="317"/>
        <v>-482.16081698020798</v>
      </c>
      <c r="V655">
        <f t="shared" ca="1" si="318"/>
        <v>0</v>
      </c>
      <c r="W655">
        <f t="shared" ca="1" si="297"/>
        <v>0.05</v>
      </c>
      <c r="X655">
        <f t="shared" ca="1" si="298"/>
        <v>0.26</v>
      </c>
      <c r="Y655">
        <f t="shared" ca="1" si="299"/>
        <v>4.9056603773584909E-2</v>
      </c>
      <c r="Z655">
        <f t="shared" ca="1" si="300"/>
        <v>196.15384615384616</v>
      </c>
      <c r="AA655">
        <f t="shared" ca="1" si="301"/>
        <v>632.35949999999991</v>
      </c>
      <c r="AB655">
        <f t="shared" ca="1" si="302"/>
        <v>2593.4365316486619</v>
      </c>
      <c r="AC655">
        <f t="shared" ca="1" si="303"/>
        <v>482.07306851378365</v>
      </c>
      <c r="AD655">
        <f t="shared" ca="1" si="304"/>
        <v>280.07692026646265</v>
      </c>
      <c r="AE655">
        <f t="shared" ca="1" si="305"/>
        <v>1019.7665564573041</v>
      </c>
      <c r="AF655">
        <f t="shared" ca="1" si="306"/>
        <v>482.1477431333301</v>
      </c>
      <c r="AG655">
        <f t="shared" ca="1" si="307"/>
        <v>0</v>
      </c>
      <c r="AH655">
        <f ca="1">IF(V32="Supercritical",L655,IF(V32="Subcritical",W655,IF(AND(V655=1,AG655=1),IF(T655&gt;=AE655,L655,W655),IF(V655=1,L655,IF(AG655=1,W655,MAX($D$16,POWER((ABS(K655)^2)/($I$5*MAX(F655,0.1)^2),1/3)))))))</f>
        <v>2.1403668656741068</v>
      </c>
      <c r="AI655">
        <f t="shared" ca="1" si="308"/>
        <v>634.44986686567404</v>
      </c>
      <c r="AJ655">
        <f t="shared" ca="1" si="309"/>
        <v>635.52005029851114</v>
      </c>
      <c r="AM655">
        <v>0</v>
      </c>
      <c r="AN655">
        <v>0</v>
      </c>
      <c r="AO655">
        <f t="shared" si="310"/>
        <v>0</v>
      </c>
      <c r="AP655">
        <f t="shared" si="319"/>
        <v>0</v>
      </c>
      <c r="AQ655">
        <f t="shared" ca="1" si="311"/>
        <v>0.99999999999999978</v>
      </c>
      <c r="AR655" t="str">
        <f t="shared" ca="1" si="312"/>
        <v>Supercritical</v>
      </c>
      <c r="AS655">
        <f t="shared" ca="1" si="313"/>
        <v>3.8148159832266538E-3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191</v>
      </c>
      <c r="I656">
        <v>2.3E-2</v>
      </c>
      <c r="J656">
        <f t="shared" si="314"/>
        <v>1</v>
      </c>
      <c r="K656">
        <f t="shared" si="315"/>
        <v>51</v>
      </c>
      <c r="L656">
        <f t="shared" ca="1" si="316"/>
        <v>0.05</v>
      </c>
      <c r="M656">
        <f t="shared" ca="1" si="289"/>
        <v>0.26</v>
      </c>
      <c r="N656">
        <f t="shared" ca="1" si="290"/>
        <v>4.9056603773584909E-2</v>
      </c>
      <c r="O656">
        <f t="shared" ca="1" si="291"/>
        <v>196.15384615384616</v>
      </c>
      <c r="P656">
        <f t="shared" ca="1" si="292"/>
        <v>632.35899999999992</v>
      </c>
      <c r="Q656">
        <f t="shared" ca="1" si="293"/>
        <v>2593.4360316486618</v>
      </c>
      <c r="R656">
        <f t="shared" ca="1" si="294"/>
        <v>482.07306851378365</v>
      </c>
      <c r="S656">
        <f t="shared" ca="1" si="295"/>
        <v>280.07692026646265</v>
      </c>
      <c r="T656">
        <f t="shared" ca="1" si="296"/>
        <v>1019.7665564573041</v>
      </c>
      <c r="U656">
        <f t="shared" ca="1" si="317"/>
        <v>-482.1477431333301</v>
      </c>
      <c r="V656">
        <f t="shared" ca="1" si="318"/>
        <v>0</v>
      </c>
      <c r="W656">
        <f t="shared" ca="1" si="297"/>
        <v>0.05</v>
      </c>
      <c r="X656">
        <f t="shared" ca="1" si="298"/>
        <v>0.26</v>
      </c>
      <c r="Y656">
        <f t="shared" ca="1" si="299"/>
        <v>4.9056603773584909E-2</v>
      </c>
      <c r="Z656">
        <f t="shared" ca="1" si="300"/>
        <v>196.15384615384616</v>
      </c>
      <c r="AA656">
        <f t="shared" ca="1" si="301"/>
        <v>632.35899999999992</v>
      </c>
      <c r="AB656">
        <f t="shared" ca="1" si="302"/>
        <v>2593.4360316486618</v>
      </c>
      <c r="AC656">
        <f t="shared" ca="1" si="303"/>
        <v>482.07306851378365</v>
      </c>
      <c r="AD656">
        <f t="shared" ca="1" si="304"/>
        <v>280.07692026646265</v>
      </c>
      <c r="AE656">
        <f t="shared" ca="1" si="305"/>
        <v>1019.7665564573041</v>
      </c>
      <c r="AF656">
        <f t="shared" ca="1" si="306"/>
        <v>482.62981620186019</v>
      </c>
      <c r="AG656">
        <f t="shared" ca="1" si="307"/>
        <v>0</v>
      </c>
      <c r="AH656">
        <f ca="1">IF(V32="Supercritical",L656,IF(V32="Subcritical",W656,IF(AND(V656=1,AG656=1),IF(T656&gt;=AE656,L656,W656),IF(V656=1,L656,IF(AG656=1,W656,MAX($D$16,POWER((ABS(K656)^2)/($I$5*MAX(F656,0.1)^2),1/3)))))))</f>
        <v>2.1403668656741068</v>
      </c>
      <c r="AI656">
        <f t="shared" ca="1" si="308"/>
        <v>634.44936686567405</v>
      </c>
      <c r="AJ656">
        <f t="shared" ca="1" si="309"/>
        <v>635.51955029851115</v>
      </c>
      <c r="AM656">
        <v>0</v>
      </c>
      <c r="AN656">
        <v>0</v>
      </c>
      <c r="AO656">
        <f t="shared" si="310"/>
        <v>0</v>
      </c>
      <c r="AP656">
        <f t="shared" si="319"/>
        <v>0</v>
      </c>
      <c r="AQ656">
        <f t="shared" ca="1" si="311"/>
        <v>0.99999999999999978</v>
      </c>
      <c r="AR656" t="str">
        <f t="shared" ca="1" si="312"/>
        <v>Supercritical</v>
      </c>
      <c r="AS656">
        <f t="shared" ca="1" si="313"/>
        <v>3.8148159832266538E-3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191</v>
      </c>
      <c r="I657">
        <v>2.3E-2</v>
      </c>
      <c r="J657">
        <f t="shared" si="314"/>
        <v>1.0010000000000332</v>
      </c>
      <c r="K657">
        <f t="shared" si="315"/>
        <v>51</v>
      </c>
      <c r="L657">
        <f t="shared" ca="1" si="316"/>
        <v>0.05</v>
      </c>
      <c r="M657">
        <f t="shared" ca="1" si="289"/>
        <v>0.26</v>
      </c>
      <c r="N657">
        <f t="shared" ca="1" si="290"/>
        <v>4.9056603773584909E-2</v>
      </c>
      <c r="O657">
        <f t="shared" ca="1" si="291"/>
        <v>196.15384615384616</v>
      </c>
      <c r="P657">
        <f t="shared" ca="1" si="292"/>
        <v>632.35849999999994</v>
      </c>
      <c r="Q657">
        <f t="shared" ca="1" si="293"/>
        <v>2593.4355316486622</v>
      </c>
      <c r="R657">
        <f t="shared" ca="1" si="294"/>
        <v>482.07306851378365</v>
      </c>
      <c r="S657">
        <f t="shared" ca="1" si="295"/>
        <v>280.07692026646265</v>
      </c>
      <c r="T657">
        <f t="shared" ca="1" si="296"/>
        <v>1019.7665564573041</v>
      </c>
      <c r="U657">
        <f t="shared" ca="1" si="317"/>
        <v>-482.62981620186019</v>
      </c>
      <c r="V657">
        <f t="shared" ca="1" si="318"/>
        <v>0</v>
      </c>
      <c r="W657">
        <f t="shared" ca="1" si="297"/>
        <v>0.05</v>
      </c>
      <c r="X657">
        <f t="shared" ca="1" si="298"/>
        <v>0.26</v>
      </c>
      <c r="Y657">
        <f t="shared" ca="1" si="299"/>
        <v>4.9056603773584909E-2</v>
      </c>
      <c r="Z657">
        <f t="shared" ca="1" si="300"/>
        <v>196.15384615384616</v>
      </c>
      <c r="AA657">
        <f t="shared" ca="1" si="301"/>
        <v>632.35849999999994</v>
      </c>
      <c r="AB657">
        <f t="shared" ca="1" si="302"/>
        <v>2593.4355316486622</v>
      </c>
      <c r="AC657">
        <f t="shared" ca="1" si="303"/>
        <v>482.07306851378365</v>
      </c>
      <c r="AD657">
        <f t="shared" ca="1" si="304"/>
        <v>280.07692026646265</v>
      </c>
      <c r="AE657">
        <f t="shared" ca="1" si="305"/>
        <v>1019.7665564573041</v>
      </c>
      <c r="AF657">
        <f t="shared" ca="1" si="306"/>
        <v>481.59049544525396</v>
      </c>
      <c r="AG657">
        <f t="shared" ca="1" si="307"/>
        <v>0</v>
      </c>
      <c r="AH657">
        <f ca="1">IF(V32="Supercritical",L657,IF(V32="Subcritical",W657,IF(AND(V657=1,AG657=1),IF(T657&gt;=AE657,L657,W657),IF(V657=1,L657,IF(AG657=1,W657,MAX($D$16,POWER((ABS(K657)^2)/($I$5*MAX(F657,0.1)^2),1/3)))))))</f>
        <v>2.1403668656741068</v>
      </c>
      <c r="AI657">
        <f t="shared" ca="1" si="308"/>
        <v>634.44886686567406</v>
      </c>
      <c r="AJ657">
        <f t="shared" ca="1" si="309"/>
        <v>635.51905029851116</v>
      </c>
      <c r="AM657">
        <v>0</v>
      </c>
      <c r="AN657">
        <v>0</v>
      </c>
      <c r="AO657">
        <f t="shared" si="310"/>
        <v>0</v>
      </c>
      <c r="AP657">
        <f t="shared" si="319"/>
        <v>0</v>
      </c>
      <c r="AQ657">
        <f t="shared" ca="1" si="311"/>
        <v>0.99999999999999978</v>
      </c>
      <c r="AR657" t="str">
        <f t="shared" ca="1" si="312"/>
        <v>Supercritical</v>
      </c>
      <c r="AS657">
        <f t="shared" ca="1" si="313"/>
        <v>3.8148159832266538E-3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191</v>
      </c>
      <c r="I658">
        <v>0</v>
      </c>
      <c r="J658">
        <f t="shared" si="314"/>
        <v>0.9989999999999668</v>
      </c>
      <c r="K658">
        <f t="shared" si="315"/>
        <v>51</v>
      </c>
      <c r="L658">
        <f t="shared" ca="1" si="316"/>
        <v>0.05</v>
      </c>
      <c r="M658">
        <f t="shared" ca="1" si="289"/>
        <v>0.26</v>
      </c>
      <c r="N658">
        <f t="shared" ca="1" si="290"/>
        <v>4.9056603773584909E-2</v>
      </c>
      <c r="O658">
        <f t="shared" ca="1" si="291"/>
        <v>196.15384615384616</v>
      </c>
      <c r="P658">
        <f t="shared" ca="1" si="292"/>
        <v>632.35799999999995</v>
      </c>
      <c r="Q658">
        <f t="shared" ca="1" si="293"/>
        <v>2593.4350316486621</v>
      </c>
      <c r="R658">
        <f t="shared" ca="1" si="294"/>
        <v>482.07306851378365</v>
      </c>
      <c r="S658">
        <f t="shared" ca="1" si="295"/>
        <v>280.07692026646265</v>
      </c>
      <c r="T658">
        <f t="shared" ca="1" si="296"/>
        <v>1019.7665564573041</v>
      </c>
      <c r="U658">
        <f t="shared" ca="1" si="317"/>
        <v>-481.59049544525396</v>
      </c>
      <c r="V658">
        <f t="shared" ca="1" si="318"/>
        <v>0</v>
      </c>
      <c r="W658">
        <f t="shared" ca="1" si="297"/>
        <v>0.05</v>
      </c>
      <c r="X658">
        <f t="shared" ca="1" si="298"/>
        <v>0.26</v>
      </c>
      <c r="Y658">
        <f t="shared" ca="1" si="299"/>
        <v>4.9056603773584909E-2</v>
      </c>
      <c r="Z658">
        <f t="shared" ca="1" si="300"/>
        <v>196.15384615384616</v>
      </c>
      <c r="AA658">
        <f t="shared" ca="1" si="301"/>
        <v>632.35799999999995</v>
      </c>
      <c r="AB658">
        <f t="shared" ca="1" si="302"/>
        <v>2593.4350316486621</v>
      </c>
      <c r="AC658">
        <f t="shared" ca="1" si="303"/>
        <v>482.07306851378365</v>
      </c>
      <c r="AD658">
        <f t="shared" ca="1" si="304"/>
        <v>280.07692026646265</v>
      </c>
      <c r="AE658">
        <f t="shared" ca="1" si="305"/>
        <v>1019.7665564573041</v>
      </c>
      <c r="AF658">
        <f t="shared" ca="1" si="306"/>
        <v>482.16081698020798</v>
      </c>
      <c r="AG658">
        <f t="shared" ca="1" si="307"/>
        <v>0</v>
      </c>
      <c r="AH658">
        <f ca="1">IF(V32="Supercritical",L658,IF(V32="Subcritical",W658,IF(AND(V658=1,AG658=1),IF(T658&gt;=AE658,L658,W658),IF(V658=1,L658,IF(AG658=1,W658,MAX($D$16,POWER((ABS(K658)^2)/($I$5*MAX(F658,0.1)^2),1/3)))))))</f>
        <v>2.1403668656741068</v>
      </c>
      <c r="AI658">
        <f t="shared" ca="1" si="308"/>
        <v>634.44836686567407</v>
      </c>
      <c r="AJ658">
        <f t="shared" ca="1" si="309"/>
        <v>635.51855029851117</v>
      </c>
      <c r="AM658">
        <v>0</v>
      </c>
      <c r="AN658">
        <v>0</v>
      </c>
      <c r="AO658">
        <f t="shared" si="310"/>
        <v>0</v>
      </c>
      <c r="AP658">
        <f t="shared" si="319"/>
        <v>0</v>
      </c>
      <c r="AQ658">
        <f t="shared" ca="1" si="311"/>
        <v>0.99999999999999978</v>
      </c>
      <c r="AR658" t="str">
        <f t="shared" ca="1" si="312"/>
        <v>Supercritical</v>
      </c>
      <c r="AS658">
        <f t="shared" ca="1" si="313"/>
        <v>3.8148159832266538E-3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191</v>
      </c>
      <c r="I659">
        <v>2.7E-2</v>
      </c>
      <c r="J659">
        <f t="shared" si="314"/>
        <v>1</v>
      </c>
      <c r="K659">
        <f t="shared" si="315"/>
        <v>51</v>
      </c>
      <c r="L659">
        <f t="shared" ca="1" si="316"/>
        <v>0.05</v>
      </c>
      <c r="M659">
        <f t="shared" ca="1" si="289"/>
        <v>0.26</v>
      </c>
      <c r="N659">
        <f t="shared" ca="1" si="290"/>
        <v>4.9056603773584909E-2</v>
      </c>
      <c r="O659">
        <f t="shared" ca="1" si="291"/>
        <v>196.15384615384616</v>
      </c>
      <c r="P659">
        <f t="shared" ca="1" si="292"/>
        <v>632.35749999999996</v>
      </c>
      <c r="Q659">
        <f t="shared" ca="1" si="293"/>
        <v>2593.434531648662</v>
      </c>
      <c r="R659">
        <f t="shared" ca="1" si="294"/>
        <v>482.07306851378365</v>
      </c>
      <c r="S659">
        <f t="shared" ca="1" si="295"/>
        <v>280.07692026646265</v>
      </c>
      <c r="T659">
        <f t="shared" ca="1" si="296"/>
        <v>1019.7665564573041</v>
      </c>
      <c r="U659">
        <f t="shared" ca="1" si="317"/>
        <v>-482.16081698020798</v>
      </c>
      <c r="V659">
        <f t="shared" ca="1" si="318"/>
        <v>0</v>
      </c>
      <c r="W659">
        <f t="shared" ca="1" si="297"/>
        <v>0.05</v>
      </c>
      <c r="X659">
        <f t="shared" ca="1" si="298"/>
        <v>0.26</v>
      </c>
      <c r="Y659">
        <f t="shared" ca="1" si="299"/>
        <v>4.9056603773584909E-2</v>
      </c>
      <c r="Z659">
        <f t="shared" ca="1" si="300"/>
        <v>196.15384615384616</v>
      </c>
      <c r="AA659">
        <f t="shared" ca="1" si="301"/>
        <v>632.35749999999996</v>
      </c>
      <c r="AB659">
        <f t="shared" ca="1" si="302"/>
        <v>2593.434531648662</v>
      </c>
      <c r="AC659">
        <f t="shared" ca="1" si="303"/>
        <v>482.07306851378365</v>
      </c>
      <c r="AD659">
        <f t="shared" ca="1" si="304"/>
        <v>280.07692026646265</v>
      </c>
      <c r="AE659">
        <f t="shared" ca="1" si="305"/>
        <v>1019.7665564573041</v>
      </c>
      <c r="AF659">
        <f t="shared" ca="1" si="306"/>
        <v>482.16081698020844</v>
      </c>
      <c r="AG659">
        <f t="shared" ca="1" si="307"/>
        <v>0</v>
      </c>
      <c r="AH659">
        <f ca="1">IF(V32="Supercritical",L659,IF(V32="Subcritical",W659,IF(AND(V659=1,AG659=1),IF(T659&gt;=AE659,L659,W659),IF(V659=1,L659,IF(AG659=1,W659,MAX($D$16,POWER((ABS(K659)^2)/($I$5*MAX(F659,0.1)^2),1/3)))))))</f>
        <v>2.1403668656741068</v>
      </c>
      <c r="AI659">
        <f t="shared" ca="1" si="308"/>
        <v>634.44786686567409</v>
      </c>
      <c r="AJ659">
        <f t="shared" ca="1" si="309"/>
        <v>635.51805029851118</v>
      </c>
      <c r="AM659">
        <v>0</v>
      </c>
      <c r="AN659">
        <v>0</v>
      </c>
      <c r="AO659">
        <f t="shared" si="310"/>
        <v>0</v>
      </c>
      <c r="AP659">
        <f t="shared" si="319"/>
        <v>0</v>
      </c>
      <c r="AQ659">
        <f t="shared" ca="1" si="311"/>
        <v>0.99999999999999978</v>
      </c>
      <c r="AR659" t="str">
        <f t="shared" ca="1" si="312"/>
        <v>Supercritical</v>
      </c>
      <c r="AS659">
        <f t="shared" ca="1" si="313"/>
        <v>3.8148159832266538E-3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191</v>
      </c>
      <c r="I660">
        <v>2.7E-2</v>
      </c>
      <c r="J660">
        <f t="shared" si="314"/>
        <v>1</v>
      </c>
      <c r="K660">
        <f t="shared" si="315"/>
        <v>51</v>
      </c>
      <c r="L660">
        <f t="shared" ca="1" si="316"/>
        <v>0.05</v>
      </c>
      <c r="M660">
        <f t="shared" ca="1" si="289"/>
        <v>0.26</v>
      </c>
      <c r="N660">
        <f t="shared" ca="1" si="290"/>
        <v>4.9056603773584909E-2</v>
      </c>
      <c r="O660">
        <f t="shared" ca="1" si="291"/>
        <v>196.15384615384616</v>
      </c>
      <c r="P660">
        <f t="shared" ca="1" si="292"/>
        <v>632.35699999999997</v>
      </c>
      <c r="Q660">
        <f t="shared" ca="1" si="293"/>
        <v>2593.4340316486623</v>
      </c>
      <c r="R660">
        <f t="shared" ca="1" si="294"/>
        <v>482.07306851378365</v>
      </c>
      <c r="S660">
        <f t="shared" ca="1" si="295"/>
        <v>280.07692026646265</v>
      </c>
      <c r="T660">
        <f t="shared" ca="1" si="296"/>
        <v>1019.7665564573041</v>
      </c>
      <c r="U660">
        <f t="shared" ca="1" si="317"/>
        <v>-482.16081698020844</v>
      </c>
      <c r="V660">
        <f t="shared" ca="1" si="318"/>
        <v>0</v>
      </c>
      <c r="W660">
        <f t="shared" ca="1" si="297"/>
        <v>0.05</v>
      </c>
      <c r="X660">
        <f t="shared" ca="1" si="298"/>
        <v>0.26</v>
      </c>
      <c r="Y660">
        <f t="shared" ca="1" si="299"/>
        <v>4.9056603773584909E-2</v>
      </c>
      <c r="Z660">
        <f t="shared" ca="1" si="300"/>
        <v>196.15384615384616</v>
      </c>
      <c r="AA660">
        <f t="shared" ca="1" si="301"/>
        <v>632.35699999999997</v>
      </c>
      <c r="AB660">
        <f t="shared" ca="1" si="302"/>
        <v>2593.4340316486623</v>
      </c>
      <c r="AC660">
        <f t="shared" ca="1" si="303"/>
        <v>482.07306851378365</v>
      </c>
      <c r="AD660">
        <f t="shared" ca="1" si="304"/>
        <v>280.07692026646265</v>
      </c>
      <c r="AE660">
        <f t="shared" ca="1" si="305"/>
        <v>1019.7665564573041</v>
      </c>
      <c r="AF660">
        <f t="shared" ca="1" si="306"/>
        <v>482.1477431333301</v>
      </c>
      <c r="AG660">
        <f t="shared" ca="1" si="307"/>
        <v>0</v>
      </c>
      <c r="AH660">
        <f ca="1">IF(V32="Supercritical",L660,IF(V32="Subcritical",W660,IF(AND(V660=1,AG660=1),IF(T660&gt;=AE660,L660,W660),IF(V660=1,L660,IF(AG660=1,W660,MAX($D$16,POWER((ABS(K660)^2)/($I$5*MAX(F660,0.1)^2),1/3)))))))</f>
        <v>2.1403668656741068</v>
      </c>
      <c r="AI660">
        <f t="shared" ca="1" si="308"/>
        <v>634.4473668656741</v>
      </c>
      <c r="AJ660">
        <f t="shared" ca="1" si="309"/>
        <v>635.5175502985112</v>
      </c>
      <c r="AM660">
        <v>0</v>
      </c>
      <c r="AN660">
        <v>0</v>
      </c>
      <c r="AO660">
        <f t="shared" si="310"/>
        <v>0</v>
      </c>
      <c r="AP660">
        <f t="shared" si="319"/>
        <v>0</v>
      </c>
      <c r="AQ660">
        <f t="shared" ca="1" si="311"/>
        <v>0.99999999999999978</v>
      </c>
      <c r="AR660" t="str">
        <f t="shared" ca="1" si="312"/>
        <v>Supercritical</v>
      </c>
      <c r="AS660">
        <f t="shared" ca="1" si="313"/>
        <v>3.8148159832266538E-3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191</v>
      </c>
      <c r="I661">
        <v>2.3E-2</v>
      </c>
      <c r="J661">
        <f t="shared" si="314"/>
        <v>1</v>
      </c>
      <c r="K661">
        <f t="shared" si="315"/>
        <v>51</v>
      </c>
      <c r="L661">
        <f t="shared" ca="1" si="316"/>
        <v>0.05</v>
      </c>
      <c r="M661">
        <f t="shared" ca="1" si="289"/>
        <v>0.26</v>
      </c>
      <c r="N661">
        <f t="shared" ca="1" si="290"/>
        <v>4.9056603773584909E-2</v>
      </c>
      <c r="O661">
        <f t="shared" ca="1" si="291"/>
        <v>196.15384615384616</v>
      </c>
      <c r="P661">
        <f t="shared" ca="1" si="292"/>
        <v>632.35649999999998</v>
      </c>
      <c r="Q661">
        <f t="shared" ca="1" si="293"/>
        <v>2593.4335316486622</v>
      </c>
      <c r="R661">
        <f t="shared" ca="1" si="294"/>
        <v>482.07306851378365</v>
      </c>
      <c r="S661">
        <f t="shared" ca="1" si="295"/>
        <v>280.07692026646265</v>
      </c>
      <c r="T661">
        <f t="shared" ca="1" si="296"/>
        <v>1019.7665564573041</v>
      </c>
      <c r="U661">
        <f t="shared" ca="1" si="317"/>
        <v>-482.1477431333301</v>
      </c>
      <c r="V661">
        <f t="shared" ca="1" si="318"/>
        <v>0</v>
      </c>
      <c r="W661">
        <f t="shared" ca="1" si="297"/>
        <v>0.05</v>
      </c>
      <c r="X661">
        <f t="shared" ca="1" si="298"/>
        <v>0.26</v>
      </c>
      <c r="Y661">
        <f t="shared" ca="1" si="299"/>
        <v>4.9056603773584909E-2</v>
      </c>
      <c r="Z661">
        <f t="shared" ca="1" si="300"/>
        <v>196.15384615384616</v>
      </c>
      <c r="AA661">
        <f t="shared" ca="1" si="301"/>
        <v>632.35649999999998</v>
      </c>
      <c r="AB661">
        <f t="shared" ca="1" si="302"/>
        <v>2593.4335316486622</v>
      </c>
      <c r="AC661">
        <f t="shared" ca="1" si="303"/>
        <v>482.07306851378365</v>
      </c>
      <c r="AD661">
        <f t="shared" ca="1" si="304"/>
        <v>280.07692026646265</v>
      </c>
      <c r="AE661">
        <f t="shared" ca="1" si="305"/>
        <v>1019.7665564573041</v>
      </c>
      <c r="AF661">
        <f t="shared" ca="1" si="306"/>
        <v>482.62981620185974</v>
      </c>
      <c r="AG661">
        <f t="shared" ca="1" si="307"/>
        <v>0</v>
      </c>
      <c r="AH661">
        <f ca="1">IF(V32="Supercritical",L661,IF(V32="Subcritical",W661,IF(AND(V661=1,AG661=1),IF(T661&gt;=AE661,L661,W661),IF(V661=1,L661,IF(AG661=1,W661,MAX($D$16,POWER((ABS(K661)^2)/($I$5*MAX(F661,0.1)^2),1/3)))))))</f>
        <v>2.1403668656741068</v>
      </c>
      <c r="AI661">
        <f t="shared" ca="1" si="308"/>
        <v>634.44686686567411</v>
      </c>
      <c r="AJ661">
        <f t="shared" ca="1" si="309"/>
        <v>635.51705029851121</v>
      </c>
      <c r="AM661">
        <v>0</v>
      </c>
      <c r="AN661">
        <v>0</v>
      </c>
      <c r="AO661">
        <f t="shared" si="310"/>
        <v>0</v>
      </c>
      <c r="AP661">
        <f t="shared" si="319"/>
        <v>0</v>
      </c>
      <c r="AQ661">
        <f t="shared" ca="1" si="311"/>
        <v>0.99999999999999978</v>
      </c>
      <c r="AR661" t="str">
        <f t="shared" ca="1" si="312"/>
        <v>Supercritical</v>
      </c>
      <c r="AS661">
        <f t="shared" ca="1" si="313"/>
        <v>3.8148159832266538E-3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191</v>
      </c>
      <c r="I662">
        <v>2.3E-2</v>
      </c>
      <c r="J662">
        <f t="shared" si="314"/>
        <v>1.0010000000000332</v>
      </c>
      <c r="K662">
        <f t="shared" si="315"/>
        <v>51</v>
      </c>
      <c r="L662">
        <f t="shared" ca="1" si="316"/>
        <v>0.05</v>
      </c>
      <c r="M662">
        <f t="shared" ref="M662:M725" ca="1" si="320">((F662)+(G662)*(L662))*(L662)</f>
        <v>0.26</v>
      </c>
      <c r="N662">
        <f t="shared" ref="N662:N725" ca="1" si="321">(((F662)+(G662)*(L662))*(L662))/MAX((F662)+2*(L662)*SQRT(1+(G662)^2),0.000001)</f>
        <v>4.9056603773584909E-2</v>
      </c>
      <c r="O662">
        <f t="shared" ref="O662:O725" ca="1" si="322">ABS(K662)/MAX(((F662)+(G662)*(L662))*(L662),0.000001)</f>
        <v>196.15384615384616</v>
      </c>
      <c r="P662">
        <f t="shared" ref="P662:P725" ca="1" si="323">E662+L662</f>
        <v>632.35599999999999</v>
      </c>
      <c r="Q662">
        <f t="shared" ref="Q662:Q725" ca="1" si="324">P662+((ABS(K662)/MAX(((F662)+(G662)*(L662))*(L662),0.000001))^2)/(2*$I$5)</f>
        <v>2593.4330316486621</v>
      </c>
      <c r="R662">
        <f t="shared" ref="R662:R725" ca="1" si="325">((ABS(K662)*$D$6)/(MAX(((F662)+(G662)*(L662))*(L662),0.000001)*MAX(((((F662)+(G662)*(L662))*(L662))/MAX((F662)+2*(L662)*SQRT(1+(G662)^2),0.000001))^(2/3),0.000001)))^2</f>
        <v>482.07306851378365</v>
      </c>
      <c r="S662">
        <f t="shared" ref="S662:S725" ca="1" si="326">ABS(ABS(K662)/MAX(((F662)+(G662)*(L662))*(L662),0.000001))/SQRT($I$5*MAX((((F662)+(G662)*(L662))*(L662))/MAX((F662)+2*(G662)*(L662),0.000001),0.000001))</f>
        <v>280.07692026646265</v>
      </c>
      <c r="T662">
        <f t="shared" ref="T662:T725" ca="1" si="327">((F662)*(L662)^2)/2+(G662)*(L662)^3/3+(ABS(K662)^2)/($I$5*MAX(((F662)+(G662)*(L662))*(L662),0.000001))</f>
        <v>1019.7665564573041</v>
      </c>
      <c r="U662">
        <f t="shared" ca="1" si="317"/>
        <v>-482.62981620185974</v>
      </c>
      <c r="V662">
        <f t="shared" ca="1" si="318"/>
        <v>0</v>
      </c>
      <c r="W662">
        <f t="shared" ref="W662:W725" ca="1" si="328">IF(OR($D$20=0,AG663=0),W663,IF(OR(W662=0,AD663&gt;1),MAX($D$16,POWER((ABS(K662)^2)/($I$5*MAX(F662,0.1)^2),1/3)),IF(AF662&gt;0,MAX($D$16,W662+((AF662)*$D$18*IF((AD662)&lt;1,1,-1))),IF(AF662&lt;0,IF(ABS((MAX($D$16,POWER((ABS(K662)^2)/($I$5*MAX(F662,0.1)^2),1/3)))-W662)&gt;$D$19,MAX($D$16,W662+($D$18*((MAX($D$16,POWER((ABS(K662)^2)/($I$5*MAX(F662,0.1)^2),1/3)))-W662))),MAX($D$16,POWER((ABS(K662)^2)/($I$5*MAX(F662,0.1)^2),1/3))),W662))))</f>
        <v>0.05</v>
      </c>
      <c r="X662">
        <f t="shared" ref="X662:X725" ca="1" si="329">((F662)+(G662)*(W662))*(W662)</f>
        <v>0.26</v>
      </c>
      <c r="Y662">
        <f t="shared" ref="Y662:Y725" ca="1" si="330">(((F662)+(G662)*(W662))*(W662))/MAX((F662)+2*(W662)*SQRT(1+(G662)^2),0.000001)</f>
        <v>4.9056603773584909E-2</v>
      </c>
      <c r="Z662">
        <f t="shared" ref="Z662:Z725" ca="1" si="331">ABS(K662)/MAX(((F662)+(G662)*(W662))*(W662),0.000001)</f>
        <v>196.15384615384616</v>
      </c>
      <c r="AA662">
        <f t="shared" ref="AA662:AA725" ca="1" si="332">E662+W662</f>
        <v>632.35599999999999</v>
      </c>
      <c r="AB662">
        <f t="shared" ref="AB662:AB725" ca="1" si="333">AA662+((ABS(K662)/MAX(((F662)+(G662)*(W662))*(W662),0.000001))^2)/(2*$I$5)</f>
        <v>2593.4330316486621</v>
      </c>
      <c r="AC662">
        <f t="shared" ref="AC662:AC725" ca="1" si="334">((ABS(K662)*$D$6)/(MAX(((F662)+(G662)*(W662))*(W662),0.000001)*MAX(((((F662)+(G662)*(W662))*(W662))/MAX((F662)+2*(W662)*SQRT(1+(G662)^2),0.000001))^(2/3),0.000001)))^2</f>
        <v>482.07306851378365</v>
      </c>
      <c r="AD662">
        <f t="shared" ref="AD662:AD725" ca="1" si="335">ABS(ABS(K662)/MAX(((F662)+(G662)*(W662))*(W662),0.000001))/SQRT($I$5*MAX((((F662)+(G662)*(W662))*(W662))/MAX((F662)+2*(G662)*(W662),0.000001),0.000001))</f>
        <v>280.07692026646265</v>
      </c>
      <c r="AE662">
        <f t="shared" ref="AE662:AE725" ca="1" si="336">((F662)*(W662)^2)/2+(G662)*(W662)^3/3+(ABS(K662)^2)/($I$5*MAX(((F662)+(G662)*(W662))*(W662),0.000001))</f>
        <v>1019.7665564573041</v>
      </c>
      <c r="AF662">
        <f t="shared" ref="AF662:AF725" ca="1" si="337">AB663+(((AC662+AC663)/2)*J663)+(IF(Z662&gt;Z663,$D$8*((Z662^2-Z663^2)/(2*$I$5)),$D$9*((Z663^2-Z662^2)/(2*$I$5)))+($D$10*(ABS(I663)/90)*(MAX(Z662^2,Z663^2)/(2*$I$5))))-AB662</f>
        <v>481.59049544525351</v>
      </c>
      <c r="AG662">
        <f t="shared" ref="AG662:AG725" ca="1" si="338">IF(ROUND(AD662,3)=1,1,IF(AND(ABS(AF662)&lt;$D$19,AD662&lt;1),1,0))</f>
        <v>0</v>
      </c>
      <c r="AH662">
        <f ca="1">IF(V32="Supercritical",L662,IF(V32="Subcritical",W662,IF(AND(V662=1,AG662=1),IF(T662&gt;=AE662,L662,W662),IF(V662=1,L662,IF(AG662=1,W662,MAX($D$16,POWER((ABS(K662)^2)/($I$5*MAX(F662,0.1)^2),1/3)))))))</f>
        <v>2.1403668656741068</v>
      </c>
      <c r="AI662">
        <f t="shared" ref="AI662:AI725" ca="1" si="339">E662+AH662</f>
        <v>634.44636686567412</v>
      </c>
      <c r="AJ662">
        <f t="shared" ref="AJ662:AJ725" ca="1" si="340">AI662+((ABS(K662)/MAX(((F662)+(G662)*(AH662))*(AH662),0.000001))^2)/(2*$I$5)</f>
        <v>635.51655029851122</v>
      </c>
      <c r="AM662">
        <v>0</v>
      </c>
      <c r="AN662">
        <v>0</v>
      </c>
      <c r="AO662">
        <f t="shared" ref="AO662:AO725" si="341">AM662+AN662</f>
        <v>0</v>
      </c>
      <c r="AP662">
        <f t="shared" si="319"/>
        <v>0</v>
      </c>
      <c r="AQ662">
        <f t="shared" ref="AQ662:AQ725" ca="1" si="342">ABS(ABS(K662)/MAX(((F662)+(G662)*(AH662))*(AH662),0.000001))/SQRT($I$5*MAX((((F662)+(G662)*(AH662))*(AH662))/MAX((F662)+2*(G662)*(AH662),0.000001),0.000001))</f>
        <v>0.99999999999999978</v>
      </c>
      <c r="AR662" t="str">
        <f t="shared" ref="AR662:AR725" ca="1" si="343">IF(AQ662&lt;1,"Subcritical","Supercritical")</f>
        <v>Supercritical</v>
      </c>
      <c r="AS662">
        <f t="shared" ref="AS662:AS725" ca="1" si="344">((ABS(K662)*$D$6)/(MAX(((F662)+(G662)*(AH662))*(AH662),0.000001)*MAX(((((F662)+(G662)*(AH662))*(AH662))/MAX((F662)+2*(AH662)*SQRT(1+(G662)^2),0.000001))^(2/3),0.000001)))^2</f>
        <v>3.8148159832266538E-3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191</v>
      </c>
      <c r="I663">
        <v>0</v>
      </c>
      <c r="J663">
        <f t="shared" ref="J663:J726" si="345">B663-B662</f>
        <v>0.9989999999999668</v>
      </c>
      <c r="K663">
        <f t="shared" ref="K663:K726" si="346">MAX(0,K662-AO662)</f>
        <v>51</v>
      </c>
      <c r="L663">
        <f t="shared" ref="L663:L726" ca="1" si="347">IF(OR($D$20=0,V662=0),L662,IF(OR(L663=0,S662&lt;1,S663&lt;1),MAX($D$16,POWER((ABS(K663)^2)/($I$5*MAX(F663,0.1)^2),1/3)),IF(U663&gt;0,MAX($D$16,L663+((U663)*$D$18*IF((S663)&lt;1,1,-1))),IF(U663&lt;0,IF(ABS((MAX($D$16,POWER((ABS(K663)^2)/($I$5*MAX(F663,0.1)^2),1/3)))-L663)&gt;$D$19,MAX($D$16,L663+($D$18*((MAX($D$16,POWER((ABS(K663)^2)/($I$5*MAX(F663,0.1)^2),1/3)))-L663))),MAX($D$16,POWER((ABS(K663)^2)/($I$5*MAX(F663,0.1)^2),1/3))),L663))))</f>
        <v>0.05</v>
      </c>
      <c r="M663">
        <f t="shared" ca="1" si="320"/>
        <v>0.26</v>
      </c>
      <c r="N663">
        <f t="shared" ca="1" si="321"/>
        <v>4.9056603773584909E-2</v>
      </c>
      <c r="O663">
        <f t="shared" ca="1" si="322"/>
        <v>196.15384615384616</v>
      </c>
      <c r="P663">
        <f t="shared" ca="1" si="323"/>
        <v>632.35550000000001</v>
      </c>
      <c r="Q663">
        <f t="shared" ca="1" si="324"/>
        <v>2593.432531648662</v>
      </c>
      <c r="R663">
        <f t="shared" ca="1" si="325"/>
        <v>482.07306851378365</v>
      </c>
      <c r="S663">
        <f t="shared" ca="1" si="326"/>
        <v>280.07692026646265</v>
      </c>
      <c r="T663">
        <f t="shared" ca="1" si="327"/>
        <v>1019.7665564573041</v>
      </c>
      <c r="U663">
        <f t="shared" ref="U663:U726" ca="1" si="348">Q662-(((R662+R663)/2)*J663)-(IF(O662&gt;O663,$D$8*((O662^2-O663^2)/(2*$I$5)),$D$9*((O663^2-O662^2)/(2*$I$5)))+($D$10*(ABS(I663)/90)*(MAX(O662^2,O663^2)/(2*$I$5))))-Q663</f>
        <v>-481.59049544525351</v>
      </c>
      <c r="V663">
        <f t="shared" ref="V663:V726" ca="1" si="349">IF(ROUND(S663,3)=1,1,IF(AND(ABS(U663)&lt;$D$19,S663&gt;1),1,0))</f>
        <v>0</v>
      </c>
      <c r="W663">
        <f t="shared" ca="1" si="328"/>
        <v>0.05</v>
      </c>
      <c r="X663">
        <f t="shared" ca="1" si="329"/>
        <v>0.26</v>
      </c>
      <c r="Y663">
        <f t="shared" ca="1" si="330"/>
        <v>4.9056603773584909E-2</v>
      </c>
      <c r="Z663">
        <f t="shared" ca="1" si="331"/>
        <v>196.15384615384616</v>
      </c>
      <c r="AA663">
        <f t="shared" ca="1" si="332"/>
        <v>632.35550000000001</v>
      </c>
      <c r="AB663">
        <f t="shared" ca="1" si="333"/>
        <v>2593.432531648662</v>
      </c>
      <c r="AC663">
        <f t="shared" ca="1" si="334"/>
        <v>482.07306851378365</v>
      </c>
      <c r="AD663">
        <f t="shared" ca="1" si="335"/>
        <v>280.07692026646265</v>
      </c>
      <c r="AE663">
        <f t="shared" ca="1" si="336"/>
        <v>1019.7665564573041</v>
      </c>
      <c r="AF663">
        <f t="shared" ca="1" si="337"/>
        <v>482.16081698020798</v>
      </c>
      <c r="AG663">
        <f t="shared" ca="1" si="338"/>
        <v>0</v>
      </c>
      <c r="AH663">
        <f ca="1">IF(V32="Supercritical",L663,IF(V32="Subcritical",W663,IF(AND(V663=1,AG663=1),IF(T663&gt;=AE663,L663,W663),IF(V663=1,L663,IF(AG663=1,W663,MAX($D$16,POWER((ABS(K663)^2)/($I$5*MAX(F663,0.1)^2),1/3)))))))</f>
        <v>2.1403668656741068</v>
      </c>
      <c r="AI663">
        <f t="shared" ca="1" si="339"/>
        <v>634.44586686567413</v>
      </c>
      <c r="AJ663">
        <f t="shared" ca="1" si="340"/>
        <v>635.51605029851123</v>
      </c>
      <c r="AM663">
        <v>0</v>
      </c>
      <c r="AN663">
        <v>0</v>
      </c>
      <c r="AO663">
        <f t="shared" si="341"/>
        <v>0</v>
      </c>
      <c r="AP663">
        <f t="shared" ref="AP663:AP726" si="350">AP662+AO663</f>
        <v>0</v>
      </c>
      <c r="AQ663">
        <f t="shared" ca="1" si="342"/>
        <v>0.99999999999999978</v>
      </c>
      <c r="AR663" t="str">
        <f t="shared" ca="1" si="343"/>
        <v>Supercritical</v>
      </c>
      <c r="AS663">
        <f t="shared" ca="1" si="344"/>
        <v>3.8148159832266538E-3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191</v>
      </c>
      <c r="I664">
        <v>2.7E-2</v>
      </c>
      <c r="J664">
        <f t="shared" si="345"/>
        <v>1</v>
      </c>
      <c r="K664">
        <f t="shared" si="346"/>
        <v>51</v>
      </c>
      <c r="L664">
        <f t="shared" ca="1" si="347"/>
        <v>0.05</v>
      </c>
      <c r="M664">
        <f t="shared" ca="1" si="320"/>
        <v>0.26</v>
      </c>
      <c r="N664">
        <f t="shared" ca="1" si="321"/>
        <v>4.9056603773584909E-2</v>
      </c>
      <c r="O664">
        <f t="shared" ca="1" si="322"/>
        <v>196.15384615384616</v>
      </c>
      <c r="P664">
        <f t="shared" ca="1" si="323"/>
        <v>632.3549999999999</v>
      </c>
      <c r="Q664">
        <f t="shared" ca="1" si="324"/>
        <v>2593.4320316486619</v>
      </c>
      <c r="R664">
        <f t="shared" ca="1" si="325"/>
        <v>482.07306851378365</v>
      </c>
      <c r="S664">
        <f t="shared" ca="1" si="326"/>
        <v>280.07692026646265</v>
      </c>
      <c r="T664">
        <f t="shared" ca="1" si="327"/>
        <v>1019.7665564573041</v>
      </c>
      <c r="U664">
        <f t="shared" ca="1" si="348"/>
        <v>-482.16081698020798</v>
      </c>
      <c r="V664">
        <f t="shared" ca="1" si="349"/>
        <v>0</v>
      </c>
      <c r="W664">
        <f t="shared" ca="1" si="328"/>
        <v>0.05</v>
      </c>
      <c r="X664">
        <f t="shared" ca="1" si="329"/>
        <v>0.26</v>
      </c>
      <c r="Y664">
        <f t="shared" ca="1" si="330"/>
        <v>4.9056603773584909E-2</v>
      </c>
      <c r="Z664">
        <f t="shared" ca="1" si="331"/>
        <v>196.15384615384616</v>
      </c>
      <c r="AA664">
        <f t="shared" ca="1" si="332"/>
        <v>632.3549999999999</v>
      </c>
      <c r="AB664">
        <f t="shared" ca="1" si="333"/>
        <v>2593.4320316486619</v>
      </c>
      <c r="AC664">
        <f t="shared" ca="1" si="334"/>
        <v>482.07306851378365</v>
      </c>
      <c r="AD664">
        <f t="shared" ca="1" si="335"/>
        <v>280.07692026646265</v>
      </c>
      <c r="AE664">
        <f t="shared" ca="1" si="336"/>
        <v>1019.7665564573041</v>
      </c>
      <c r="AF664">
        <f t="shared" ca="1" si="337"/>
        <v>482.32750852789786</v>
      </c>
      <c r="AG664">
        <f t="shared" ca="1" si="338"/>
        <v>0</v>
      </c>
      <c r="AH664">
        <f ca="1">IF(V32="Supercritical",L664,IF(V32="Subcritical",W664,IF(AND(V664=1,AG664=1),IF(T664&gt;=AE664,L664,W664),IF(V664=1,L664,IF(AG664=1,W664,MAX($D$16,POWER((ABS(K664)^2)/($I$5*MAX(F664,0.1)^2),1/3)))))))</f>
        <v>2.1403668656741068</v>
      </c>
      <c r="AI664">
        <f t="shared" ca="1" si="339"/>
        <v>634.44536686567403</v>
      </c>
      <c r="AJ664">
        <f t="shared" ca="1" si="340"/>
        <v>635.51555029851113</v>
      </c>
      <c r="AM664">
        <v>0</v>
      </c>
      <c r="AN664">
        <v>0</v>
      </c>
      <c r="AO664">
        <f t="shared" si="341"/>
        <v>0</v>
      </c>
      <c r="AP664">
        <f t="shared" si="350"/>
        <v>0</v>
      </c>
      <c r="AQ664">
        <f t="shared" ca="1" si="342"/>
        <v>0.99999999999999978</v>
      </c>
      <c r="AR664" t="str">
        <f t="shared" ca="1" si="343"/>
        <v>Supercritical</v>
      </c>
      <c r="AS664">
        <f t="shared" ca="1" si="344"/>
        <v>3.8148159832266538E-3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191</v>
      </c>
      <c r="I665">
        <v>7.8E-2</v>
      </c>
      <c r="J665">
        <f t="shared" si="345"/>
        <v>1</v>
      </c>
      <c r="K665">
        <f t="shared" si="346"/>
        <v>51</v>
      </c>
      <c r="L665">
        <f t="shared" ca="1" si="347"/>
        <v>0.05</v>
      </c>
      <c r="M665">
        <f t="shared" ca="1" si="320"/>
        <v>0.26</v>
      </c>
      <c r="N665">
        <f t="shared" ca="1" si="321"/>
        <v>4.9056603773584909E-2</v>
      </c>
      <c r="O665">
        <f t="shared" ca="1" si="322"/>
        <v>196.15384615384616</v>
      </c>
      <c r="P665">
        <f t="shared" ca="1" si="323"/>
        <v>632.35449999999992</v>
      </c>
      <c r="Q665">
        <f t="shared" ca="1" si="324"/>
        <v>2593.4315316486618</v>
      </c>
      <c r="R665">
        <f t="shared" ca="1" si="325"/>
        <v>482.07306851378365</v>
      </c>
      <c r="S665">
        <f t="shared" ca="1" si="326"/>
        <v>280.07692026646265</v>
      </c>
      <c r="T665">
        <f t="shared" ca="1" si="327"/>
        <v>1019.7665564573041</v>
      </c>
      <c r="U665">
        <f t="shared" ca="1" si="348"/>
        <v>-482.32750852789786</v>
      </c>
      <c r="V665">
        <f t="shared" ca="1" si="349"/>
        <v>0</v>
      </c>
      <c r="W665">
        <f t="shared" ca="1" si="328"/>
        <v>0.05</v>
      </c>
      <c r="X665">
        <f t="shared" ca="1" si="329"/>
        <v>0.26</v>
      </c>
      <c r="Y665">
        <f t="shared" ca="1" si="330"/>
        <v>4.9056603773584909E-2</v>
      </c>
      <c r="Z665">
        <f t="shared" ca="1" si="331"/>
        <v>196.15384615384616</v>
      </c>
      <c r="AA665">
        <f t="shared" ca="1" si="332"/>
        <v>632.35449999999992</v>
      </c>
      <c r="AB665">
        <f t="shared" ca="1" si="333"/>
        <v>2593.4315316486618</v>
      </c>
      <c r="AC665">
        <f t="shared" ca="1" si="334"/>
        <v>482.07306851378365</v>
      </c>
      <c r="AD665">
        <f t="shared" ca="1" si="335"/>
        <v>280.07692026646265</v>
      </c>
      <c r="AE665">
        <f t="shared" ca="1" si="336"/>
        <v>1019.7665564573041</v>
      </c>
      <c r="AF665">
        <f t="shared" ca="1" si="337"/>
        <v>482.32750852789832</v>
      </c>
      <c r="AG665">
        <f t="shared" ca="1" si="338"/>
        <v>0</v>
      </c>
      <c r="AH665">
        <f ca="1">IF(V32="Supercritical",L665,IF(V32="Subcritical",W665,IF(AND(V665=1,AG665=1),IF(T665&gt;=AE665,L665,W665),IF(V665=1,L665,IF(AG665=1,W665,MAX($D$16,POWER((ABS(K665)^2)/($I$5*MAX(F665,0.1)^2),1/3)))))))</f>
        <v>2.1403668656741068</v>
      </c>
      <c r="AI665">
        <f t="shared" ca="1" si="339"/>
        <v>634.44486686567404</v>
      </c>
      <c r="AJ665">
        <f t="shared" ca="1" si="340"/>
        <v>635.51505029851114</v>
      </c>
      <c r="AM665">
        <v>0</v>
      </c>
      <c r="AN665">
        <v>0</v>
      </c>
      <c r="AO665">
        <f t="shared" si="341"/>
        <v>0</v>
      </c>
      <c r="AP665">
        <f t="shared" si="350"/>
        <v>0</v>
      </c>
      <c r="AQ665">
        <f t="shared" ca="1" si="342"/>
        <v>0.99999999999999978</v>
      </c>
      <c r="AR665" t="str">
        <f t="shared" ca="1" si="343"/>
        <v>Supercritical</v>
      </c>
      <c r="AS665">
        <f t="shared" ca="1" si="344"/>
        <v>3.8148159832266538E-3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191</v>
      </c>
      <c r="I666">
        <v>7.8E-2</v>
      </c>
      <c r="J666">
        <f t="shared" si="345"/>
        <v>1</v>
      </c>
      <c r="K666">
        <f t="shared" si="346"/>
        <v>51</v>
      </c>
      <c r="L666">
        <f t="shared" ca="1" si="347"/>
        <v>0.05</v>
      </c>
      <c r="M666">
        <f t="shared" ca="1" si="320"/>
        <v>0.26</v>
      </c>
      <c r="N666">
        <f t="shared" ca="1" si="321"/>
        <v>4.9056603773584909E-2</v>
      </c>
      <c r="O666">
        <f t="shared" ca="1" si="322"/>
        <v>196.15384615384616</v>
      </c>
      <c r="P666">
        <f t="shared" ca="1" si="323"/>
        <v>632.35399999999993</v>
      </c>
      <c r="Q666">
        <f t="shared" ca="1" si="324"/>
        <v>2593.4310316486622</v>
      </c>
      <c r="R666">
        <f t="shared" ca="1" si="325"/>
        <v>482.07306851378365</v>
      </c>
      <c r="S666">
        <f t="shared" ca="1" si="326"/>
        <v>280.07692026646265</v>
      </c>
      <c r="T666">
        <f t="shared" ca="1" si="327"/>
        <v>1019.7665564573041</v>
      </c>
      <c r="U666">
        <f t="shared" ca="1" si="348"/>
        <v>-482.32750852789832</v>
      </c>
      <c r="V666">
        <f t="shared" ca="1" si="349"/>
        <v>0</v>
      </c>
      <c r="W666">
        <f t="shared" ca="1" si="328"/>
        <v>0.05</v>
      </c>
      <c r="X666">
        <f t="shared" ca="1" si="329"/>
        <v>0.26</v>
      </c>
      <c r="Y666">
        <f t="shared" ca="1" si="330"/>
        <v>4.9056603773584909E-2</v>
      </c>
      <c r="Z666">
        <f t="shared" ca="1" si="331"/>
        <v>196.15384615384616</v>
      </c>
      <c r="AA666">
        <f t="shared" ca="1" si="332"/>
        <v>632.35399999999993</v>
      </c>
      <c r="AB666">
        <f t="shared" ca="1" si="333"/>
        <v>2593.4310316486622</v>
      </c>
      <c r="AC666">
        <f t="shared" ca="1" si="334"/>
        <v>482.07306851378365</v>
      </c>
      <c r="AD666">
        <f t="shared" ca="1" si="335"/>
        <v>280.07692026646265</v>
      </c>
      <c r="AE666">
        <f t="shared" ca="1" si="336"/>
        <v>1019.7665564573041</v>
      </c>
      <c r="AF666">
        <f t="shared" ca="1" si="337"/>
        <v>482.64289004871034</v>
      </c>
      <c r="AG666">
        <f t="shared" ca="1" si="338"/>
        <v>0</v>
      </c>
      <c r="AH666">
        <f ca="1">IF(V32="Supercritical",L666,IF(V32="Subcritical",W666,IF(AND(V666=1,AG666=1),IF(T666&gt;=AE666,L666,W666),IF(V666=1,L666,IF(AG666=1,W666,MAX($D$16,POWER((ABS(K666)^2)/($I$5*MAX(F666,0.1)^2),1/3)))))))</f>
        <v>2.1403668656741068</v>
      </c>
      <c r="AI666">
        <f t="shared" ca="1" si="339"/>
        <v>634.44436686567406</v>
      </c>
      <c r="AJ666">
        <f t="shared" ca="1" si="340"/>
        <v>635.51455029851115</v>
      </c>
      <c r="AM666">
        <v>0</v>
      </c>
      <c r="AN666">
        <v>0</v>
      </c>
      <c r="AO666">
        <f t="shared" si="341"/>
        <v>0</v>
      </c>
      <c r="AP666">
        <f t="shared" si="350"/>
        <v>0</v>
      </c>
      <c r="AQ666">
        <f t="shared" ca="1" si="342"/>
        <v>0.99999999999999978</v>
      </c>
      <c r="AR666" t="str">
        <f t="shared" ca="1" si="343"/>
        <v>Supercritical</v>
      </c>
      <c r="AS666">
        <f t="shared" ca="1" si="344"/>
        <v>3.8148159832266538E-3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191</v>
      </c>
      <c r="I667">
        <v>2.7E-2</v>
      </c>
      <c r="J667">
        <f t="shared" si="345"/>
        <v>1.0009999999999764</v>
      </c>
      <c r="K667">
        <f t="shared" si="346"/>
        <v>51</v>
      </c>
      <c r="L667">
        <f t="shared" ca="1" si="347"/>
        <v>0.05</v>
      </c>
      <c r="M667">
        <f t="shared" ca="1" si="320"/>
        <v>0.26</v>
      </c>
      <c r="N667">
        <f t="shared" ca="1" si="321"/>
        <v>4.9056603773584909E-2</v>
      </c>
      <c r="O667">
        <f t="shared" ca="1" si="322"/>
        <v>196.15384615384616</v>
      </c>
      <c r="P667">
        <f t="shared" ca="1" si="323"/>
        <v>632.35349999999994</v>
      </c>
      <c r="Q667">
        <f t="shared" ca="1" si="324"/>
        <v>2593.4305316486621</v>
      </c>
      <c r="R667">
        <f t="shared" ca="1" si="325"/>
        <v>482.07306851378365</v>
      </c>
      <c r="S667">
        <f t="shared" ca="1" si="326"/>
        <v>280.07692026646265</v>
      </c>
      <c r="T667">
        <f t="shared" ca="1" si="327"/>
        <v>1019.7665564573041</v>
      </c>
      <c r="U667">
        <f t="shared" ca="1" si="348"/>
        <v>-482.64289004871034</v>
      </c>
      <c r="V667">
        <f t="shared" ca="1" si="349"/>
        <v>0</v>
      </c>
      <c r="W667">
        <f t="shared" ca="1" si="328"/>
        <v>0.05</v>
      </c>
      <c r="X667">
        <f t="shared" ca="1" si="329"/>
        <v>0.26</v>
      </c>
      <c r="Y667">
        <f t="shared" ca="1" si="330"/>
        <v>4.9056603773584909E-2</v>
      </c>
      <c r="Z667">
        <f t="shared" ca="1" si="331"/>
        <v>196.15384615384616</v>
      </c>
      <c r="AA667">
        <f t="shared" ca="1" si="332"/>
        <v>632.35349999999994</v>
      </c>
      <c r="AB667">
        <f t="shared" ca="1" si="333"/>
        <v>2593.4305316486621</v>
      </c>
      <c r="AC667">
        <f t="shared" ca="1" si="334"/>
        <v>482.07306851378365</v>
      </c>
      <c r="AD667">
        <f t="shared" ca="1" si="335"/>
        <v>280.07692026646265</v>
      </c>
      <c r="AE667">
        <f t="shared" ca="1" si="336"/>
        <v>1019.7665564573041</v>
      </c>
      <c r="AF667">
        <f t="shared" ca="1" si="337"/>
        <v>481.59049544528125</v>
      </c>
      <c r="AG667">
        <f t="shared" ca="1" si="338"/>
        <v>0</v>
      </c>
      <c r="AH667">
        <f ca="1">IF(V32="Supercritical",L667,IF(V32="Subcritical",W667,IF(AND(V667=1,AG667=1),IF(T667&gt;=AE667,L667,W667),IF(V667=1,L667,IF(AG667=1,W667,MAX($D$16,POWER((ABS(K667)^2)/($I$5*MAX(F667,0.1)^2),1/3)))))))</f>
        <v>2.1403668656741068</v>
      </c>
      <c r="AI667">
        <f t="shared" ca="1" si="339"/>
        <v>634.44386686567407</v>
      </c>
      <c r="AJ667">
        <f t="shared" ca="1" si="340"/>
        <v>635.51405029851117</v>
      </c>
      <c r="AM667">
        <v>0</v>
      </c>
      <c r="AN667">
        <v>0</v>
      </c>
      <c r="AO667">
        <f t="shared" si="341"/>
        <v>0</v>
      </c>
      <c r="AP667">
        <f t="shared" si="350"/>
        <v>0</v>
      </c>
      <c r="AQ667">
        <f t="shared" ca="1" si="342"/>
        <v>0.99999999999999978</v>
      </c>
      <c r="AR667" t="str">
        <f t="shared" ca="1" si="343"/>
        <v>Supercritical</v>
      </c>
      <c r="AS667">
        <f t="shared" ca="1" si="344"/>
        <v>3.8148159832266538E-3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191</v>
      </c>
      <c r="I668">
        <v>0</v>
      </c>
      <c r="J668">
        <f t="shared" si="345"/>
        <v>0.99900000000002365</v>
      </c>
      <c r="K668">
        <f t="shared" si="346"/>
        <v>51</v>
      </c>
      <c r="L668">
        <f t="shared" ca="1" si="347"/>
        <v>0.05</v>
      </c>
      <c r="M668">
        <f t="shared" ca="1" si="320"/>
        <v>0.26</v>
      </c>
      <c r="N668">
        <f t="shared" ca="1" si="321"/>
        <v>4.9056603773584909E-2</v>
      </c>
      <c r="O668">
        <f t="shared" ca="1" si="322"/>
        <v>196.15384615384616</v>
      </c>
      <c r="P668">
        <f t="shared" ca="1" si="323"/>
        <v>632.35299999999995</v>
      </c>
      <c r="Q668">
        <f t="shared" ca="1" si="324"/>
        <v>2593.430031648662</v>
      </c>
      <c r="R668">
        <f t="shared" ca="1" si="325"/>
        <v>482.07306851378365</v>
      </c>
      <c r="S668">
        <f t="shared" ca="1" si="326"/>
        <v>280.07692026646265</v>
      </c>
      <c r="T668">
        <f t="shared" ca="1" si="327"/>
        <v>1019.7665564573041</v>
      </c>
      <c r="U668">
        <f t="shared" ca="1" si="348"/>
        <v>-481.59049544528125</v>
      </c>
      <c r="V668">
        <f t="shared" ca="1" si="349"/>
        <v>0</v>
      </c>
      <c r="W668">
        <f t="shared" ca="1" si="328"/>
        <v>0.05</v>
      </c>
      <c r="X668">
        <f t="shared" ca="1" si="329"/>
        <v>0.26</v>
      </c>
      <c r="Y668">
        <f t="shared" ca="1" si="330"/>
        <v>4.9056603773584909E-2</v>
      </c>
      <c r="Z668">
        <f t="shared" ca="1" si="331"/>
        <v>196.15384615384616</v>
      </c>
      <c r="AA668">
        <f t="shared" ca="1" si="332"/>
        <v>632.35299999999995</v>
      </c>
      <c r="AB668">
        <f t="shared" ca="1" si="333"/>
        <v>2593.430031648662</v>
      </c>
      <c r="AC668">
        <f t="shared" ca="1" si="334"/>
        <v>482.07306851378365</v>
      </c>
      <c r="AD668">
        <f t="shared" ca="1" si="335"/>
        <v>280.07692026646265</v>
      </c>
      <c r="AE668">
        <f t="shared" ca="1" si="336"/>
        <v>1019.7665564573041</v>
      </c>
      <c r="AF668">
        <f t="shared" ca="1" si="337"/>
        <v>482.14774313333055</v>
      </c>
      <c r="AG668">
        <f t="shared" ca="1" si="338"/>
        <v>0</v>
      </c>
      <c r="AH668">
        <f ca="1">IF(V32="Supercritical",L668,IF(V32="Subcritical",W668,IF(AND(V668=1,AG668=1),IF(T668&gt;=AE668,L668,W668),IF(V668=1,L668,IF(AG668=1,W668,MAX($D$16,POWER((ABS(K668)^2)/($I$5*MAX(F668,0.1)^2),1/3)))))))</f>
        <v>2.1403668656741068</v>
      </c>
      <c r="AI668">
        <f t="shared" ca="1" si="339"/>
        <v>634.44336686567408</v>
      </c>
      <c r="AJ668">
        <f t="shared" ca="1" si="340"/>
        <v>635.51355029851118</v>
      </c>
      <c r="AM668">
        <v>0</v>
      </c>
      <c r="AN668">
        <v>0</v>
      </c>
      <c r="AO668">
        <f t="shared" si="341"/>
        <v>0</v>
      </c>
      <c r="AP668">
        <f t="shared" si="350"/>
        <v>0</v>
      </c>
      <c r="AQ668">
        <f t="shared" ca="1" si="342"/>
        <v>0.99999999999999978</v>
      </c>
      <c r="AR668" t="str">
        <f t="shared" ca="1" si="343"/>
        <v>Supercritical</v>
      </c>
      <c r="AS668">
        <f t="shared" ca="1" si="344"/>
        <v>3.8148159832266538E-3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191</v>
      </c>
      <c r="I669">
        <v>2.3E-2</v>
      </c>
      <c r="J669">
        <f t="shared" si="345"/>
        <v>1</v>
      </c>
      <c r="K669">
        <f t="shared" si="346"/>
        <v>51</v>
      </c>
      <c r="L669">
        <f t="shared" ca="1" si="347"/>
        <v>0.05</v>
      </c>
      <c r="M669">
        <f t="shared" ca="1" si="320"/>
        <v>0.26</v>
      </c>
      <c r="N669">
        <f t="shared" ca="1" si="321"/>
        <v>4.9056603773584909E-2</v>
      </c>
      <c r="O669">
        <f t="shared" ca="1" si="322"/>
        <v>196.15384615384616</v>
      </c>
      <c r="P669">
        <f t="shared" ca="1" si="323"/>
        <v>632.35249999999996</v>
      </c>
      <c r="Q669">
        <f t="shared" ca="1" si="324"/>
        <v>2593.4295316486623</v>
      </c>
      <c r="R669">
        <f t="shared" ca="1" si="325"/>
        <v>482.07306851378365</v>
      </c>
      <c r="S669">
        <f t="shared" ca="1" si="326"/>
        <v>280.07692026646265</v>
      </c>
      <c r="T669">
        <f t="shared" ca="1" si="327"/>
        <v>1019.7665564573041</v>
      </c>
      <c r="U669">
        <f t="shared" ca="1" si="348"/>
        <v>-482.14774313333055</v>
      </c>
      <c r="V669">
        <f t="shared" ca="1" si="349"/>
        <v>0</v>
      </c>
      <c r="W669">
        <f t="shared" ca="1" si="328"/>
        <v>0.05</v>
      </c>
      <c r="X669">
        <f t="shared" ca="1" si="329"/>
        <v>0.26</v>
      </c>
      <c r="Y669">
        <f t="shared" ca="1" si="330"/>
        <v>4.9056603773584909E-2</v>
      </c>
      <c r="Z669">
        <f t="shared" ca="1" si="331"/>
        <v>196.15384615384616</v>
      </c>
      <c r="AA669">
        <f t="shared" ca="1" si="332"/>
        <v>632.35249999999996</v>
      </c>
      <c r="AB669">
        <f t="shared" ca="1" si="333"/>
        <v>2593.4295316486623</v>
      </c>
      <c r="AC669">
        <f t="shared" ca="1" si="334"/>
        <v>482.07306851378365</v>
      </c>
      <c r="AD669">
        <f t="shared" ca="1" si="335"/>
        <v>280.07692026646265</v>
      </c>
      <c r="AE669">
        <f t="shared" ca="1" si="336"/>
        <v>1019.7665564573041</v>
      </c>
      <c r="AF669">
        <f t="shared" ca="1" si="337"/>
        <v>482.62981620183245</v>
      </c>
      <c r="AG669">
        <f t="shared" ca="1" si="338"/>
        <v>0</v>
      </c>
      <c r="AH669">
        <f ca="1">IF(V32="Supercritical",L669,IF(V32="Subcritical",W669,IF(AND(V669=1,AG669=1),IF(T669&gt;=AE669,L669,W669),IF(V669=1,L669,IF(AG669=1,W669,MAX($D$16,POWER((ABS(K669)^2)/($I$5*MAX(F669,0.1)^2),1/3)))))))</f>
        <v>2.1403668656741068</v>
      </c>
      <c r="AI669">
        <f t="shared" ca="1" si="339"/>
        <v>634.44286686567409</v>
      </c>
      <c r="AJ669">
        <f t="shared" ca="1" si="340"/>
        <v>635.51305029851119</v>
      </c>
      <c r="AM669">
        <v>0</v>
      </c>
      <c r="AN669">
        <v>0</v>
      </c>
      <c r="AO669">
        <f t="shared" si="341"/>
        <v>0</v>
      </c>
      <c r="AP669">
        <f t="shared" si="350"/>
        <v>0</v>
      </c>
      <c r="AQ669">
        <f t="shared" ca="1" si="342"/>
        <v>0.99999999999999978</v>
      </c>
      <c r="AR669" t="str">
        <f t="shared" ca="1" si="343"/>
        <v>Supercritical</v>
      </c>
      <c r="AS669">
        <f t="shared" ca="1" si="344"/>
        <v>3.8148159832266538E-3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191</v>
      </c>
      <c r="I670">
        <v>2.3E-2</v>
      </c>
      <c r="J670">
        <f t="shared" si="345"/>
        <v>1.0009999999999764</v>
      </c>
      <c r="K670">
        <f t="shared" si="346"/>
        <v>51</v>
      </c>
      <c r="L670">
        <f t="shared" ca="1" si="347"/>
        <v>0.05</v>
      </c>
      <c r="M670">
        <f t="shared" ca="1" si="320"/>
        <v>0.26</v>
      </c>
      <c r="N670">
        <f t="shared" ca="1" si="321"/>
        <v>4.9056603773584909E-2</v>
      </c>
      <c r="O670">
        <f t="shared" ca="1" si="322"/>
        <v>196.15384615384616</v>
      </c>
      <c r="P670">
        <f t="shared" ca="1" si="323"/>
        <v>632.35199999999998</v>
      </c>
      <c r="Q670">
        <f t="shared" ca="1" si="324"/>
        <v>2593.4290316486622</v>
      </c>
      <c r="R670">
        <f t="shared" ca="1" si="325"/>
        <v>482.07306851378365</v>
      </c>
      <c r="S670">
        <f t="shared" ca="1" si="326"/>
        <v>280.07692026646265</v>
      </c>
      <c r="T670">
        <f t="shared" ca="1" si="327"/>
        <v>1019.7665564573041</v>
      </c>
      <c r="U670">
        <f t="shared" ca="1" si="348"/>
        <v>-482.62981620183245</v>
      </c>
      <c r="V670">
        <f t="shared" ca="1" si="349"/>
        <v>0</v>
      </c>
      <c r="W670">
        <f t="shared" ca="1" si="328"/>
        <v>0.05</v>
      </c>
      <c r="X670">
        <f t="shared" ca="1" si="329"/>
        <v>0.26</v>
      </c>
      <c r="Y670">
        <f t="shared" ca="1" si="330"/>
        <v>4.9056603773584909E-2</v>
      </c>
      <c r="Z670">
        <f t="shared" ca="1" si="331"/>
        <v>196.15384615384616</v>
      </c>
      <c r="AA670">
        <f t="shared" ca="1" si="332"/>
        <v>632.35199999999998</v>
      </c>
      <c r="AB670">
        <f t="shared" ca="1" si="333"/>
        <v>2593.4290316486622</v>
      </c>
      <c r="AC670">
        <f t="shared" ca="1" si="334"/>
        <v>482.07306851378365</v>
      </c>
      <c r="AD670">
        <f t="shared" ca="1" si="335"/>
        <v>280.07692026646265</v>
      </c>
      <c r="AE670">
        <f t="shared" ca="1" si="336"/>
        <v>1019.7665564573041</v>
      </c>
      <c r="AF670">
        <f t="shared" ca="1" si="337"/>
        <v>481.67874391170562</v>
      </c>
      <c r="AG670">
        <f t="shared" ca="1" si="338"/>
        <v>0</v>
      </c>
      <c r="AH670">
        <f ca="1">IF(V32="Supercritical",L670,IF(V32="Subcritical",W670,IF(AND(V670=1,AG670=1),IF(T670&gt;=AE670,L670,W670),IF(V670=1,L670,IF(AG670=1,W670,MAX($D$16,POWER((ABS(K670)^2)/($I$5*MAX(F670,0.1)^2),1/3)))))))</f>
        <v>2.1403668656741068</v>
      </c>
      <c r="AI670">
        <f t="shared" ca="1" si="339"/>
        <v>634.4423668656741</v>
      </c>
      <c r="AJ670">
        <f t="shared" ca="1" si="340"/>
        <v>635.5125502985112</v>
      </c>
      <c r="AM670">
        <v>0</v>
      </c>
      <c r="AN670">
        <v>0</v>
      </c>
      <c r="AO670">
        <f t="shared" si="341"/>
        <v>0</v>
      </c>
      <c r="AP670">
        <f t="shared" si="350"/>
        <v>0</v>
      </c>
      <c r="AQ670">
        <f t="shared" ca="1" si="342"/>
        <v>0.99999999999999978</v>
      </c>
      <c r="AR670" t="str">
        <f t="shared" ca="1" si="343"/>
        <v>Supercritical</v>
      </c>
      <c r="AS670">
        <f t="shared" ca="1" si="344"/>
        <v>3.8148159832266538E-3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191</v>
      </c>
      <c r="I671">
        <v>2.7E-2</v>
      </c>
      <c r="J671">
        <f t="shared" si="345"/>
        <v>0.99900000000002365</v>
      </c>
      <c r="K671">
        <f t="shared" si="346"/>
        <v>51</v>
      </c>
      <c r="L671">
        <f t="shared" ca="1" si="347"/>
        <v>0.05</v>
      </c>
      <c r="M671">
        <f t="shared" ca="1" si="320"/>
        <v>0.26</v>
      </c>
      <c r="N671">
        <f t="shared" ca="1" si="321"/>
        <v>4.9056603773584909E-2</v>
      </c>
      <c r="O671">
        <f t="shared" ca="1" si="322"/>
        <v>196.15384615384616</v>
      </c>
      <c r="P671">
        <f t="shared" ca="1" si="323"/>
        <v>632.35149999999999</v>
      </c>
      <c r="Q671">
        <f t="shared" ca="1" si="324"/>
        <v>2593.4285316486621</v>
      </c>
      <c r="R671">
        <f t="shared" ca="1" si="325"/>
        <v>482.07306851378365</v>
      </c>
      <c r="S671">
        <f t="shared" ca="1" si="326"/>
        <v>280.07692026646265</v>
      </c>
      <c r="T671">
        <f t="shared" ca="1" si="327"/>
        <v>1019.7665564573041</v>
      </c>
      <c r="U671">
        <f t="shared" ca="1" si="348"/>
        <v>-481.67874391170562</v>
      </c>
      <c r="V671">
        <f t="shared" ca="1" si="349"/>
        <v>0</v>
      </c>
      <c r="W671">
        <f t="shared" ca="1" si="328"/>
        <v>0.05</v>
      </c>
      <c r="X671">
        <f t="shared" ca="1" si="329"/>
        <v>0.26</v>
      </c>
      <c r="Y671">
        <f t="shared" ca="1" si="330"/>
        <v>4.9056603773584909E-2</v>
      </c>
      <c r="Z671">
        <f t="shared" ca="1" si="331"/>
        <v>196.15384615384616</v>
      </c>
      <c r="AA671">
        <f t="shared" ca="1" si="332"/>
        <v>632.35149999999999</v>
      </c>
      <c r="AB671">
        <f t="shared" ca="1" si="333"/>
        <v>2593.4285316486621</v>
      </c>
      <c r="AC671">
        <f t="shared" ca="1" si="334"/>
        <v>482.07306851378365</v>
      </c>
      <c r="AD671">
        <f t="shared" ca="1" si="335"/>
        <v>280.07692026646265</v>
      </c>
      <c r="AE671">
        <f t="shared" ca="1" si="336"/>
        <v>1019.7665564573041</v>
      </c>
      <c r="AF671">
        <f t="shared" ca="1" si="337"/>
        <v>482.64289004871034</v>
      </c>
      <c r="AG671">
        <f t="shared" ca="1" si="338"/>
        <v>0</v>
      </c>
      <c r="AH671">
        <f ca="1">IF(V32="Supercritical",L671,IF(V32="Subcritical",W671,IF(AND(V671=1,AG671=1),IF(T671&gt;=AE671,L671,W671),IF(V671=1,L671,IF(AG671=1,W671,MAX($D$16,POWER((ABS(K671)^2)/($I$5*MAX(F671,0.1)^2),1/3)))))))</f>
        <v>2.1403668656741068</v>
      </c>
      <c r="AI671">
        <f t="shared" ca="1" si="339"/>
        <v>634.44186686567411</v>
      </c>
      <c r="AJ671">
        <f t="shared" ca="1" si="340"/>
        <v>635.51205029851121</v>
      </c>
      <c r="AM671">
        <v>0</v>
      </c>
      <c r="AN671">
        <v>0</v>
      </c>
      <c r="AO671">
        <f t="shared" si="341"/>
        <v>0</v>
      </c>
      <c r="AP671">
        <f t="shared" si="350"/>
        <v>0</v>
      </c>
      <c r="AQ671">
        <f t="shared" ca="1" si="342"/>
        <v>0.99999999999999978</v>
      </c>
      <c r="AR671" t="str">
        <f t="shared" ca="1" si="343"/>
        <v>Supercritical</v>
      </c>
      <c r="AS671">
        <f t="shared" ca="1" si="344"/>
        <v>3.8148159832266538E-3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191</v>
      </c>
      <c r="I672">
        <v>2.7E-2</v>
      </c>
      <c r="J672">
        <f t="shared" si="345"/>
        <v>1.0009999999999764</v>
      </c>
      <c r="K672">
        <f t="shared" si="346"/>
        <v>51</v>
      </c>
      <c r="L672">
        <f t="shared" ca="1" si="347"/>
        <v>0.05</v>
      </c>
      <c r="M672">
        <f t="shared" ca="1" si="320"/>
        <v>0.26</v>
      </c>
      <c r="N672">
        <f t="shared" ca="1" si="321"/>
        <v>4.9056603773584909E-2</v>
      </c>
      <c r="O672">
        <f t="shared" ca="1" si="322"/>
        <v>196.15384615384616</v>
      </c>
      <c r="P672">
        <f t="shared" ca="1" si="323"/>
        <v>632.351</v>
      </c>
      <c r="Q672">
        <f t="shared" ca="1" si="324"/>
        <v>2593.428031648662</v>
      </c>
      <c r="R672">
        <f t="shared" ca="1" si="325"/>
        <v>482.07306851378365</v>
      </c>
      <c r="S672">
        <f t="shared" ca="1" si="326"/>
        <v>280.07692026646265</v>
      </c>
      <c r="T672">
        <f t="shared" ca="1" si="327"/>
        <v>1019.7665564573041</v>
      </c>
      <c r="U672">
        <f t="shared" ca="1" si="348"/>
        <v>-482.64289004871034</v>
      </c>
      <c r="V672">
        <f t="shared" ca="1" si="349"/>
        <v>0</v>
      </c>
      <c r="W672">
        <f t="shared" ca="1" si="328"/>
        <v>0.05</v>
      </c>
      <c r="X672">
        <f t="shared" ca="1" si="329"/>
        <v>0.26</v>
      </c>
      <c r="Y672">
        <f t="shared" ca="1" si="330"/>
        <v>4.9056603773584909E-2</v>
      </c>
      <c r="Z672">
        <f t="shared" ca="1" si="331"/>
        <v>196.15384615384616</v>
      </c>
      <c r="AA672">
        <f t="shared" ca="1" si="332"/>
        <v>632.351</v>
      </c>
      <c r="AB672">
        <f t="shared" ca="1" si="333"/>
        <v>2593.428031648662</v>
      </c>
      <c r="AC672">
        <f t="shared" ca="1" si="334"/>
        <v>482.07306851378365</v>
      </c>
      <c r="AD672">
        <f t="shared" ca="1" si="335"/>
        <v>280.07692026646265</v>
      </c>
      <c r="AE672">
        <f t="shared" ca="1" si="336"/>
        <v>1019.7665564573041</v>
      </c>
      <c r="AF672">
        <f t="shared" ca="1" si="337"/>
        <v>481.59049544528125</v>
      </c>
      <c r="AG672">
        <f t="shared" ca="1" si="338"/>
        <v>0</v>
      </c>
      <c r="AH672">
        <f ca="1">IF(V32="Supercritical",L672,IF(V32="Subcritical",W672,IF(AND(V672=1,AG672=1),IF(T672&gt;=AE672,L672,W672),IF(V672=1,L672,IF(AG672=1,W672,MAX($D$16,POWER((ABS(K672)^2)/($I$5*MAX(F672,0.1)^2),1/3)))))))</f>
        <v>2.1403668656741068</v>
      </c>
      <c r="AI672">
        <f t="shared" ca="1" si="339"/>
        <v>634.44136686567413</v>
      </c>
      <c r="AJ672">
        <f t="shared" ca="1" si="340"/>
        <v>635.51155029851122</v>
      </c>
      <c r="AM672">
        <v>0</v>
      </c>
      <c r="AN672">
        <v>0</v>
      </c>
      <c r="AO672">
        <f t="shared" si="341"/>
        <v>0</v>
      </c>
      <c r="AP672">
        <f t="shared" si="350"/>
        <v>0</v>
      </c>
      <c r="AQ672">
        <f t="shared" ca="1" si="342"/>
        <v>0.99999999999999978</v>
      </c>
      <c r="AR672" t="str">
        <f t="shared" ca="1" si="343"/>
        <v>Supercritical</v>
      </c>
      <c r="AS672">
        <f t="shared" ca="1" si="344"/>
        <v>3.8148159832266538E-3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191</v>
      </c>
      <c r="I673">
        <v>0</v>
      </c>
      <c r="J673">
        <f t="shared" si="345"/>
        <v>0.99900000000002365</v>
      </c>
      <c r="K673">
        <f t="shared" si="346"/>
        <v>51</v>
      </c>
      <c r="L673">
        <f t="shared" ca="1" si="347"/>
        <v>0.05</v>
      </c>
      <c r="M673">
        <f t="shared" ca="1" si="320"/>
        <v>0.26</v>
      </c>
      <c r="N673">
        <f t="shared" ca="1" si="321"/>
        <v>4.9056603773584909E-2</v>
      </c>
      <c r="O673">
        <f t="shared" ca="1" si="322"/>
        <v>196.15384615384616</v>
      </c>
      <c r="P673">
        <f t="shared" ca="1" si="323"/>
        <v>632.35050000000001</v>
      </c>
      <c r="Q673">
        <f t="shared" ca="1" si="324"/>
        <v>2593.4275316486619</v>
      </c>
      <c r="R673">
        <f t="shared" ca="1" si="325"/>
        <v>482.07306851378365</v>
      </c>
      <c r="S673">
        <f t="shared" ca="1" si="326"/>
        <v>280.07692026646265</v>
      </c>
      <c r="T673">
        <f t="shared" ca="1" si="327"/>
        <v>1019.7665564573041</v>
      </c>
      <c r="U673">
        <f t="shared" ca="1" si="348"/>
        <v>-481.59049544528125</v>
      </c>
      <c r="V673">
        <f t="shared" ca="1" si="349"/>
        <v>0</v>
      </c>
      <c r="W673">
        <f t="shared" ca="1" si="328"/>
        <v>0.05</v>
      </c>
      <c r="X673">
        <f t="shared" ca="1" si="329"/>
        <v>0.26</v>
      </c>
      <c r="Y673">
        <f t="shared" ca="1" si="330"/>
        <v>4.9056603773584909E-2</v>
      </c>
      <c r="Z673">
        <f t="shared" ca="1" si="331"/>
        <v>196.15384615384616</v>
      </c>
      <c r="AA673">
        <f t="shared" ca="1" si="332"/>
        <v>632.35050000000001</v>
      </c>
      <c r="AB673">
        <f t="shared" ca="1" si="333"/>
        <v>2593.4275316486619</v>
      </c>
      <c r="AC673">
        <f t="shared" ca="1" si="334"/>
        <v>482.07306851378365</v>
      </c>
      <c r="AD673">
        <f t="shared" ca="1" si="335"/>
        <v>280.07692026646265</v>
      </c>
      <c r="AE673">
        <f t="shared" ca="1" si="336"/>
        <v>1019.7665564573041</v>
      </c>
      <c r="AF673">
        <f t="shared" ca="1" si="337"/>
        <v>482.1477431333301</v>
      </c>
      <c r="AG673">
        <f t="shared" ca="1" si="338"/>
        <v>0</v>
      </c>
      <c r="AH673">
        <f ca="1">IF(V32="Supercritical",L673,IF(V32="Subcritical",W673,IF(AND(V673=1,AG673=1),IF(T673&gt;=AE673,L673,W673),IF(V673=1,L673,IF(AG673=1,W673,MAX($D$16,POWER((ABS(K673)^2)/($I$5*MAX(F673,0.1)^2),1/3)))))))</f>
        <v>2.1403668656741068</v>
      </c>
      <c r="AI673">
        <f t="shared" ca="1" si="339"/>
        <v>634.44086686567414</v>
      </c>
      <c r="AJ673">
        <f t="shared" ca="1" si="340"/>
        <v>635.51105029851124</v>
      </c>
      <c r="AM673">
        <v>0</v>
      </c>
      <c r="AN673">
        <v>0</v>
      </c>
      <c r="AO673">
        <f t="shared" si="341"/>
        <v>0</v>
      </c>
      <c r="AP673">
        <f t="shared" si="350"/>
        <v>0</v>
      </c>
      <c r="AQ673">
        <f t="shared" ca="1" si="342"/>
        <v>0.99999999999999978</v>
      </c>
      <c r="AR673" t="str">
        <f t="shared" ca="1" si="343"/>
        <v>Supercritical</v>
      </c>
      <c r="AS673">
        <f t="shared" ca="1" si="344"/>
        <v>3.8148159832266538E-3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191</v>
      </c>
      <c r="I674">
        <v>2.3E-2</v>
      </c>
      <c r="J674">
        <f t="shared" si="345"/>
        <v>1</v>
      </c>
      <c r="K674">
        <f t="shared" si="346"/>
        <v>51</v>
      </c>
      <c r="L674">
        <f t="shared" ca="1" si="347"/>
        <v>0.05</v>
      </c>
      <c r="M674">
        <f t="shared" ca="1" si="320"/>
        <v>0.26</v>
      </c>
      <c r="N674">
        <f t="shared" ca="1" si="321"/>
        <v>4.9056603773584909E-2</v>
      </c>
      <c r="O674">
        <f t="shared" ca="1" si="322"/>
        <v>196.15384615384616</v>
      </c>
      <c r="P674">
        <f t="shared" ca="1" si="323"/>
        <v>632.34999999999991</v>
      </c>
      <c r="Q674">
        <f t="shared" ca="1" si="324"/>
        <v>2593.4270316486618</v>
      </c>
      <c r="R674">
        <f t="shared" ca="1" si="325"/>
        <v>482.07306851378365</v>
      </c>
      <c r="S674">
        <f t="shared" ca="1" si="326"/>
        <v>280.07692026646265</v>
      </c>
      <c r="T674">
        <f t="shared" ca="1" si="327"/>
        <v>1019.7665564573041</v>
      </c>
      <c r="U674">
        <f t="shared" ca="1" si="348"/>
        <v>-482.1477431333301</v>
      </c>
      <c r="V674">
        <f t="shared" ca="1" si="349"/>
        <v>0</v>
      </c>
      <c r="W674">
        <f t="shared" ca="1" si="328"/>
        <v>0.05</v>
      </c>
      <c r="X674">
        <f t="shared" ca="1" si="329"/>
        <v>0.26</v>
      </c>
      <c r="Y674">
        <f t="shared" ca="1" si="330"/>
        <v>4.9056603773584909E-2</v>
      </c>
      <c r="Z674">
        <f t="shared" ca="1" si="331"/>
        <v>196.15384615384616</v>
      </c>
      <c r="AA674">
        <f t="shared" ca="1" si="332"/>
        <v>632.34999999999991</v>
      </c>
      <c r="AB674">
        <f t="shared" ca="1" si="333"/>
        <v>2593.4270316486618</v>
      </c>
      <c r="AC674">
        <f t="shared" ca="1" si="334"/>
        <v>482.07306851378365</v>
      </c>
      <c r="AD674">
        <f t="shared" ca="1" si="335"/>
        <v>280.07692026646265</v>
      </c>
      <c r="AE674">
        <f t="shared" ca="1" si="336"/>
        <v>1019.7665564573041</v>
      </c>
      <c r="AF674">
        <f t="shared" ca="1" si="337"/>
        <v>482.62981620183291</v>
      </c>
      <c r="AG674">
        <f t="shared" ca="1" si="338"/>
        <v>0</v>
      </c>
      <c r="AH674">
        <f ca="1">IF(V32="Supercritical",L674,IF(V32="Subcritical",W674,IF(AND(V674=1,AG674=1),IF(T674&gt;=AE674,L674,W674),IF(V674=1,L674,IF(AG674=1,W674,MAX($D$16,POWER((ABS(K674)^2)/($I$5*MAX(F674,0.1)^2),1/3)))))))</f>
        <v>2.1403668656741068</v>
      </c>
      <c r="AI674">
        <f t="shared" ca="1" si="339"/>
        <v>634.44036686567404</v>
      </c>
      <c r="AJ674">
        <f t="shared" ca="1" si="340"/>
        <v>635.51055029851113</v>
      </c>
      <c r="AM674">
        <v>0</v>
      </c>
      <c r="AN674">
        <v>0</v>
      </c>
      <c r="AO674">
        <f t="shared" si="341"/>
        <v>0</v>
      </c>
      <c r="AP674">
        <f t="shared" si="350"/>
        <v>0</v>
      </c>
      <c r="AQ674">
        <f t="shared" ca="1" si="342"/>
        <v>0.99999999999999978</v>
      </c>
      <c r="AR674" t="str">
        <f t="shared" ca="1" si="343"/>
        <v>Supercritical</v>
      </c>
      <c r="AS674">
        <f t="shared" ca="1" si="344"/>
        <v>3.8148159832266538E-3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191</v>
      </c>
      <c r="I675">
        <v>2.3E-2</v>
      </c>
      <c r="J675">
        <f t="shared" si="345"/>
        <v>1.0009999999999764</v>
      </c>
      <c r="K675">
        <f t="shared" si="346"/>
        <v>51</v>
      </c>
      <c r="L675">
        <f t="shared" ca="1" si="347"/>
        <v>0.05</v>
      </c>
      <c r="M675">
        <f t="shared" ca="1" si="320"/>
        <v>0.26</v>
      </c>
      <c r="N675">
        <f t="shared" ca="1" si="321"/>
        <v>4.9056603773584909E-2</v>
      </c>
      <c r="O675">
        <f t="shared" ca="1" si="322"/>
        <v>196.15384615384616</v>
      </c>
      <c r="P675">
        <f t="shared" ca="1" si="323"/>
        <v>632.34949999999992</v>
      </c>
      <c r="Q675">
        <f t="shared" ca="1" si="324"/>
        <v>2593.4265316486621</v>
      </c>
      <c r="R675">
        <f t="shared" ca="1" si="325"/>
        <v>482.07306851378365</v>
      </c>
      <c r="S675">
        <f t="shared" ca="1" si="326"/>
        <v>280.07692026646265</v>
      </c>
      <c r="T675">
        <f t="shared" ca="1" si="327"/>
        <v>1019.7665564573041</v>
      </c>
      <c r="U675">
        <f t="shared" ca="1" si="348"/>
        <v>-482.62981620183291</v>
      </c>
      <c r="V675">
        <f t="shared" ca="1" si="349"/>
        <v>0</v>
      </c>
      <c r="W675">
        <f t="shared" ca="1" si="328"/>
        <v>0.05</v>
      </c>
      <c r="X675">
        <f t="shared" ca="1" si="329"/>
        <v>0.26</v>
      </c>
      <c r="Y675">
        <f t="shared" ca="1" si="330"/>
        <v>4.9056603773584909E-2</v>
      </c>
      <c r="Z675">
        <f t="shared" ca="1" si="331"/>
        <v>196.15384615384616</v>
      </c>
      <c r="AA675">
        <f t="shared" ca="1" si="332"/>
        <v>632.34949999999992</v>
      </c>
      <c r="AB675">
        <f t="shared" ca="1" si="333"/>
        <v>2593.4265316486621</v>
      </c>
      <c r="AC675">
        <f t="shared" ca="1" si="334"/>
        <v>482.07306851378365</v>
      </c>
      <c r="AD675">
        <f t="shared" ca="1" si="335"/>
        <v>280.07692026646265</v>
      </c>
      <c r="AE675">
        <f t="shared" ca="1" si="336"/>
        <v>1019.7665564573041</v>
      </c>
      <c r="AF675">
        <f t="shared" ca="1" si="337"/>
        <v>481.67874391170562</v>
      </c>
      <c r="AG675">
        <f t="shared" ca="1" si="338"/>
        <v>0</v>
      </c>
      <c r="AH675">
        <f ca="1">IF(V32="Supercritical",L675,IF(V32="Subcritical",W675,IF(AND(V675=1,AG675=1),IF(T675&gt;=AE675,L675,W675),IF(V675=1,L675,IF(AG675=1,W675,MAX($D$16,POWER((ABS(K675)^2)/($I$5*MAX(F675,0.1)^2),1/3)))))))</f>
        <v>2.1403668656741068</v>
      </c>
      <c r="AI675">
        <f t="shared" ca="1" si="339"/>
        <v>634.43986686567405</v>
      </c>
      <c r="AJ675">
        <f t="shared" ca="1" si="340"/>
        <v>635.51005029851115</v>
      </c>
      <c r="AM675">
        <v>0</v>
      </c>
      <c r="AN675">
        <v>0</v>
      </c>
      <c r="AO675">
        <f t="shared" si="341"/>
        <v>0</v>
      </c>
      <c r="AP675">
        <f t="shared" si="350"/>
        <v>0</v>
      </c>
      <c r="AQ675">
        <f t="shared" ca="1" si="342"/>
        <v>0.99999999999999978</v>
      </c>
      <c r="AR675" t="str">
        <f t="shared" ca="1" si="343"/>
        <v>Supercritical</v>
      </c>
      <c r="AS675">
        <f t="shared" ca="1" si="344"/>
        <v>3.8148159832266538E-3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191</v>
      </c>
      <c r="I676">
        <v>2.7E-2</v>
      </c>
      <c r="J676">
        <f t="shared" si="345"/>
        <v>0.99900000000002365</v>
      </c>
      <c r="K676">
        <f t="shared" si="346"/>
        <v>51</v>
      </c>
      <c r="L676">
        <f t="shared" ca="1" si="347"/>
        <v>0.05</v>
      </c>
      <c r="M676">
        <f t="shared" ca="1" si="320"/>
        <v>0.26</v>
      </c>
      <c r="N676">
        <f t="shared" ca="1" si="321"/>
        <v>4.9056603773584909E-2</v>
      </c>
      <c r="O676">
        <f t="shared" ca="1" si="322"/>
        <v>196.15384615384616</v>
      </c>
      <c r="P676">
        <f t="shared" ca="1" si="323"/>
        <v>632.34899999999993</v>
      </c>
      <c r="Q676">
        <f t="shared" ca="1" si="324"/>
        <v>2593.426031648662</v>
      </c>
      <c r="R676">
        <f t="shared" ca="1" si="325"/>
        <v>482.07306851378365</v>
      </c>
      <c r="S676">
        <f t="shared" ca="1" si="326"/>
        <v>280.07692026646265</v>
      </c>
      <c r="T676">
        <f t="shared" ca="1" si="327"/>
        <v>1019.7665564573041</v>
      </c>
      <c r="U676">
        <f t="shared" ca="1" si="348"/>
        <v>-481.67874391170562</v>
      </c>
      <c r="V676">
        <f t="shared" ca="1" si="349"/>
        <v>0</v>
      </c>
      <c r="W676">
        <f t="shared" ca="1" si="328"/>
        <v>0.05</v>
      </c>
      <c r="X676">
        <f t="shared" ca="1" si="329"/>
        <v>0.26</v>
      </c>
      <c r="Y676">
        <f t="shared" ca="1" si="330"/>
        <v>4.9056603773584909E-2</v>
      </c>
      <c r="Z676">
        <f t="shared" ca="1" si="331"/>
        <v>196.15384615384616</v>
      </c>
      <c r="AA676">
        <f t="shared" ca="1" si="332"/>
        <v>632.34899999999993</v>
      </c>
      <c r="AB676">
        <f t="shared" ca="1" si="333"/>
        <v>2593.426031648662</v>
      </c>
      <c r="AC676">
        <f t="shared" ca="1" si="334"/>
        <v>482.07306851378365</v>
      </c>
      <c r="AD676">
        <f t="shared" ca="1" si="335"/>
        <v>280.07692026646265</v>
      </c>
      <c r="AE676">
        <f t="shared" ca="1" si="336"/>
        <v>1019.7665564573041</v>
      </c>
      <c r="AF676">
        <f t="shared" ca="1" si="337"/>
        <v>482.64289004871034</v>
      </c>
      <c r="AG676">
        <f t="shared" ca="1" si="338"/>
        <v>0</v>
      </c>
      <c r="AH676">
        <f ca="1">IF(V32="Supercritical",L676,IF(V32="Subcritical",W676,IF(AND(V676=1,AG676=1),IF(T676&gt;=AE676,L676,W676),IF(V676=1,L676,IF(AG676=1,W676,MAX($D$16,POWER((ABS(K676)^2)/($I$5*MAX(F676,0.1)^2),1/3)))))))</f>
        <v>2.1403668656741068</v>
      </c>
      <c r="AI676">
        <f t="shared" ca="1" si="339"/>
        <v>634.43936686567406</v>
      </c>
      <c r="AJ676">
        <f t="shared" ca="1" si="340"/>
        <v>635.50955029851116</v>
      </c>
      <c r="AM676">
        <v>0</v>
      </c>
      <c r="AN676">
        <v>0</v>
      </c>
      <c r="AO676">
        <f t="shared" si="341"/>
        <v>0</v>
      </c>
      <c r="AP676">
        <f t="shared" si="350"/>
        <v>0</v>
      </c>
      <c r="AQ676">
        <f t="shared" ca="1" si="342"/>
        <v>0.99999999999999978</v>
      </c>
      <c r="AR676" t="str">
        <f t="shared" ca="1" si="343"/>
        <v>Supercritical</v>
      </c>
      <c r="AS676">
        <f t="shared" ca="1" si="344"/>
        <v>3.8148159832266538E-3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191</v>
      </c>
      <c r="I677">
        <v>2.7E-2</v>
      </c>
      <c r="J677">
        <f t="shared" si="345"/>
        <v>1.0009999999999764</v>
      </c>
      <c r="K677">
        <f t="shared" si="346"/>
        <v>51</v>
      </c>
      <c r="L677">
        <f t="shared" ca="1" si="347"/>
        <v>0.05</v>
      </c>
      <c r="M677">
        <f t="shared" ca="1" si="320"/>
        <v>0.26</v>
      </c>
      <c r="N677">
        <f t="shared" ca="1" si="321"/>
        <v>4.9056603773584909E-2</v>
      </c>
      <c r="O677">
        <f t="shared" ca="1" si="322"/>
        <v>196.15384615384616</v>
      </c>
      <c r="P677">
        <f t="shared" ca="1" si="323"/>
        <v>632.34849999999994</v>
      </c>
      <c r="Q677">
        <f t="shared" ca="1" si="324"/>
        <v>2593.4255316486619</v>
      </c>
      <c r="R677">
        <f t="shared" ca="1" si="325"/>
        <v>482.07306851378365</v>
      </c>
      <c r="S677">
        <f t="shared" ca="1" si="326"/>
        <v>280.07692026646265</v>
      </c>
      <c r="T677">
        <f t="shared" ca="1" si="327"/>
        <v>1019.7665564573041</v>
      </c>
      <c r="U677">
        <f t="shared" ca="1" si="348"/>
        <v>-482.64289004871034</v>
      </c>
      <c r="V677">
        <f t="shared" ca="1" si="349"/>
        <v>0</v>
      </c>
      <c r="W677">
        <f t="shared" ca="1" si="328"/>
        <v>0.05</v>
      </c>
      <c r="X677">
        <f t="shared" ca="1" si="329"/>
        <v>0.26</v>
      </c>
      <c r="Y677">
        <f t="shared" ca="1" si="330"/>
        <v>4.9056603773584909E-2</v>
      </c>
      <c r="Z677">
        <f t="shared" ca="1" si="331"/>
        <v>196.15384615384616</v>
      </c>
      <c r="AA677">
        <f t="shared" ca="1" si="332"/>
        <v>632.34849999999994</v>
      </c>
      <c r="AB677">
        <f t="shared" ca="1" si="333"/>
        <v>2593.4255316486619</v>
      </c>
      <c r="AC677">
        <f t="shared" ca="1" si="334"/>
        <v>482.07306851378365</v>
      </c>
      <c r="AD677">
        <f t="shared" ca="1" si="335"/>
        <v>280.07692026646265</v>
      </c>
      <c r="AE677">
        <f t="shared" ca="1" si="336"/>
        <v>1019.7665564573041</v>
      </c>
      <c r="AF677">
        <f t="shared" ca="1" si="337"/>
        <v>481.75391853125257</v>
      </c>
      <c r="AG677">
        <f t="shared" ca="1" si="338"/>
        <v>0</v>
      </c>
      <c r="AH677">
        <f ca="1">IF(V32="Supercritical",L677,IF(V32="Subcritical",W677,IF(AND(V677=1,AG677=1),IF(T677&gt;=AE677,L677,W677),IF(V677=1,L677,IF(AG677=1,W677,MAX($D$16,POWER((ABS(K677)^2)/($I$5*MAX(F677,0.1)^2),1/3)))))))</f>
        <v>2.1403668656741068</v>
      </c>
      <c r="AI677">
        <f t="shared" ca="1" si="339"/>
        <v>634.43886686567407</v>
      </c>
      <c r="AJ677">
        <f t="shared" ca="1" si="340"/>
        <v>635.50905029851117</v>
      </c>
      <c r="AM677">
        <v>0</v>
      </c>
      <c r="AN677">
        <v>0</v>
      </c>
      <c r="AO677">
        <f t="shared" si="341"/>
        <v>0</v>
      </c>
      <c r="AP677">
        <f t="shared" si="350"/>
        <v>0</v>
      </c>
      <c r="AQ677">
        <f t="shared" ca="1" si="342"/>
        <v>0.99999999999999978</v>
      </c>
      <c r="AR677" t="str">
        <f t="shared" ca="1" si="343"/>
        <v>Supercritical</v>
      </c>
      <c r="AS677">
        <f t="shared" ca="1" si="344"/>
        <v>3.8148159832266538E-3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191</v>
      </c>
      <c r="I678">
        <v>0.05</v>
      </c>
      <c r="J678">
        <f t="shared" si="345"/>
        <v>0.99900000000002365</v>
      </c>
      <c r="K678">
        <f t="shared" si="346"/>
        <v>51</v>
      </c>
      <c r="L678">
        <f t="shared" ca="1" si="347"/>
        <v>0.05</v>
      </c>
      <c r="M678">
        <f t="shared" ca="1" si="320"/>
        <v>0.26</v>
      </c>
      <c r="N678">
        <f t="shared" ca="1" si="321"/>
        <v>4.9056603773584909E-2</v>
      </c>
      <c r="O678">
        <f t="shared" ca="1" si="322"/>
        <v>196.15384615384616</v>
      </c>
      <c r="P678">
        <f t="shared" ca="1" si="323"/>
        <v>632.34799999999996</v>
      </c>
      <c r="Q678">
        <f t="shared" ca="1" si="324"/>
        <v>2593.4250316486623</v>
      </c>
      <c r="R678">
        <f t="shared" ca="1" si="325"/>
        <v>482.07306851378365</v>
      </c>
      <c r="S678">
        <f t="shared" ca="1" si="326"/>
        <v>280.07692026646265</v>
      </c>
      <c r="T678">
        <f t="shared" ca="1" si="327"/>
        <v>1019.7665564573041</v>
      </c>
      <c r="U678">
        <f t="shared" ca="1" si="348"/>
        <v>-481.75391853125257</v>
      </c>
      <c r="V678">
        <f t="shared" ca="1" si="349"/>
        <v>0</v>
      </c>
      <c r="W678">
        <f t="shared" ca="1" si="328"/>
        <v>0.05</v>
      </c>
      <c r="X678">
        <f t="shared" ca="1" si="329"/>
        <v>0.26</v>
      </c>
      <c r="Y678">
        <f t="shared" ca="1" si="330"/>
        <v>4.9056603773584909E-2</v>
      </c>
      <c r="Z678">
        <f t="shared" ca="1" si="331"/>
        <v>196.15384615384616</v>
      </c>
      <c r="AA678">
        <f t="shared" ca="1" si="332"/>
        <v>632.34799999999996</v>
      </c>
      <c r="AB678">
        <f t="shared" ca="1" si="333"/>
        <v>2593.4250316486623</v>
      </c>
      <c r="AC678">
        <f t="shared" ca="1" si="334"/>
        <v>482.07306851378365</v>
      </c>
      <c r="AD678">
        <f t="shared" ca="1" si="335"/>
        <v>280.07692026646265</v>
      </c>
      <c r="AE678">
        <f t="shared" ca="1" si="336"/>
        <v>1019.7665564573041</v>
      </c>
      <c r="AF678">
        <f t="shared" ca="1" si="337"/>
        <v>482.32750852789786</v>
      </c>
      <c r="AG678">
        <f t="shared" ca="1" si="338"/>
        <v>0</v>
      </c>
      <c r="AH678">
        <f ca="1">IF(V32="Supercritical",L678,IF(V32="Subcritical",W678,IF(AND(V678=1,AG678=1),IF(T678&gt;=AE678,L678,W678),IF(V678=1,L678,IF(AG678=1,W678,MAX($D$16,POWER((ABS(K678)^2)/($I$5*MAX(F678,0.1)^2),1/3)))))))</f>
        <v>2.1403668656741068</v>
      </c>
      <c r="AI678">
        <f t="shared" ca="1" si="339"/>
        <v>634.43836686567408</v>
      </c>
      <c r="AJ678">
        <f t="shared" ca="1" si="340"/>
        <v>635.50855029851118</v>
      </c>
      <c r="AM678">
        <v>0</v>
      </c>
      <c r="AN678">
        <v>0</v>
      </c>
      <c r="AO678">
        <f t="shared" si="341"/>
        <v>0</v>
      </c>
      <c r="AP678">
        <f t="shared" si="350"/>
        <v>0</v>
      </c>
      <c r="AQ678">
        <f t="shared" ca="1" si="342"/>
        <v>0.99999999999999978</v>
      </c>
      <c r="AR678" t="str">
        <f t="shared" ca="1" si="343"/>
        <v>Supercritical</v>
      </c>
      <c r="AS678">
        <f t="shared" ca="1" si="344"/>
        <v>3.8148159832266538E-3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191</v>
      </c>
      <c r="I679">
        <v>7.8E-2</v>
      </c>
      <c r="J679">
        <f t="shared" si="345"/>
        <v>1</v>
      </c>
      <c r="K679">
        <f t="shared" si="346"/>
        <v>51</v>
      </c>
      <c r="L679">
        <f t="shared" ca="1" si="347"/>
        <v>0.05</v>
      </c>
      <c r="M679">
        <f t="shared" ca="1" si="320"/>
        <v>0.26</v>
      </c>
      <c r="N679">
        <f t="shared" ca="1" si="321"/>
        <v>4.9056603773584909E-2</v>
      </c>
      <c r="O679">
        <f t="shared" ca="1" si="322"/>
        <v>196.15384615384616</v>
      </c>
      <c r="P679">
        <f t="shared" ca="1" si="323"/>
        <v>632.34749999999997</v>
      </c>
      <c r="Q679">
        <f t="shared" ca="1" si="324"/>
        <v>2593.4245316486622</v>
      </c>
      <c r="R679">
        <f t="shared" ca="1" si="325"/>
        <v>482.07306851378365</v>
      </c>
      <c r="S679">
        <f t="shared" ca="1" si="326"/>
        <v>280.07692026646265</v>
      </c>
      <c r="T679">
        <f t="shared" ca="1" si="327"/>
        <v>1019.7665564573041</v>
      </c>
      <c r="U679">
        <f t="shared" ca="1" si="348"/>
        <v>-482.32750852789786</v>
      </c>
      <c r="V679">
        <f t="shared" ca="1" si="349"/>
        <v>0</v>
      </c>
      <c r="W679">
        <f t="shared" ca="1" si="328"/>
        <v>0.05</v>
      </c>
      <c r="X679">
        <f t="shared" ca="1" si="329"/>
        <v>0.26</v>
      </c>
      <c r="Y679">
        <f t="shared" ca="1" si="330"/>
        <v>4.9056603773584909E-2</v>
      </c>
      <c r="Z679">
        <f t="shared" ca="1" si="331"/>
        <v>196.15384615384616</v>
      </c>
      <c r="AA679">
        <f t="shared" ca="1" si="332"/>
        <v>632.34749999999997</v>
      </c>
      <c r="AB679">
        <f t="shared" ca="1" si="333"/>
        <v>2593.4245316486622</v>
      </c>
      <c r="AC679">
        <f t="shared" ca="1" si="334"/>
        <v>482.07306851378365</v>
      </c>
      <c r="AD679">
        <f t="shared" ca="1" si="335"/>
        <v>280.07692026646265</v>
      </c>
      <c r="AE679">
        <f t="shared" ca="1" si="336"/>
        <v>1019.7665564573041</v>
      </c>
      <c r="AF679">
        <f t="shared" ca="1" si="337"/>
        <v>482.64289004871034</v>
      </c>
      <c r="AG679">
        <f t="shared" ca="1" si="338"/>
        <v>0</v>
      </c>
      <c r="AH679">
        <f ca="1">IF(V32="Supercritical",L679,IF(V32="Subcritical",W679,IF(AND(V679=1,AG679=1),IF(T679&gt;=AE679,L679,W679),IF(V679=1,L679,IF(AG679=1,W679,MAX($D$16,POWER((ABS(K679)^2)/($I$5*MAX(F679,0.1)^2),1/3)))))))</f>
        <v>2.1403668656741068</v>
      </c>
      <c r="AI679">
        <f t="shared" ca="1" si="339"/>
        <v>634.4378668656741</v>
      </c>
      <c r="AJ679">
        <f t="shared" ca="1" si="340"/>
        <v>635.50805029851119</v>
      </c>
      <c r="AM679">
        <v>0</v>
      </c>
      <c r="AN679">
        <v>0</v>
      </c>
      <c r="AO679">
        <f t="shared" si="341"/>
        <v>0</v>
      </c>
      <c r="AP679">
        <f t="shared" si="350"/>
        <v>0</v>
      </c>
      <c r="AQ679">
        <f t="shared" ca="1" si="342"/>
        <v>0.99999999999999978</v>
      </c>
      <c r="AR679" t="str">
        <f t="shared" ca="1" si="343"/>
        <v>Supercritical</v>
      </c>
      <c r="AS679">
        <f t="shared" ca="1" si="344"/>
        <v>3.8148159832266538E-3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191</v>
      </c>
      <c r="I680">
        <v>2.7E-2</v>
      </c>
      <c r="J680">
        <f t="shared" si="345"/>
        <v>1.0009999999999764</v>
      </c>
      <c r="K680">
        <f t="shared" si="346"/>
        <v>51</v>
      </c>
      <c r="L680">
        <f t="shared" ca="1" si="347"/>
        <v>0.05</v>
      </c>
      <c r="M680">
        <f t="shared" ca="1" si="320"/>
        <v>0.26</v>
      </c>
      <c r="N680">
        <f t="shared" ca="1" si="321"/>
        <v>4.9056603773584909E-2</v>
      </c>
      <c r="O680">
        <f t="shared" ca="1" si="322"/>
        <v>196.15384615384616</v>
      </c>
      <c r="P680">
        <f t="shared" ca="1" si="323"/>
        <v>632.34699999999998</v>
      </c>
      <c r="Q680">
        <f t="shared" ca="1" si="324"/>
        <v>2593.4240316486621</v>
      </c>
      <c r="R680">
        <f t="shared" ca="1" si="325"/>
        <v>482.07306851378365</v>
      </c>
      <c r="S680">
        <f t="shared" ca="1" si="326"/>
        <v>280.07692026646265</v>
      </c>
      <c r="T680">
        <f t="shared" ca="1" si="327"/>
        <v>1019.7665564573041</v>
      </c>
      <c r="U680">
        <f t="shared" ca="1" si="348"/>
        <v>-482.64289004871034</v>
      </c>
      <c r="V680">
        <f t="shared" ca="1" si="349"/>
        <v>0</v>
      </c>
      <c r="W680">
        <f t="shared" ca="1" si="328"/>
        <v>0.05</v>
      </c>
      <c r="X680">
        <f t="shared" ca="1" si="329"/>
        <v>0.26</v>
      </c>
      <c r="Y680">
        <f t="shared" ca="1" si="330"/>
        <v>4.9056603773584909E-2</v>
      </c>
      <c r="Z680">
        <f t="shared" ca="1" si="331"/>
        <v>196.15384615384616</v>
      </c>
      <c r="AA680">
        <f t="shared" ca="1" si="332"/>
        <v>632.34699999999998</v>
      </c>
      <c r="AB680">
        <f t="shared" ca="1" si="333"/>
        <v>2593.4240316486621</v>
      </c>
      <c r="AC680">
        <f t="shared" ca="1" si="334"/>
        <v>482.07306851378365</v>
      </c>
      <c r="AD680">
        <f t="shared" ca="1" si="335"/>
        <v>280.07692026646265</v>
      </c>
      <c r="AE680">
        <f t="shared" ca="1" si="336"/>
        <v>1019.7665564573041</v>
      </c>
      <c r="AF680">
        <f t="shared" ca="1" si="337"/>
        <v>481.67874391170562</v>
      </c>
      <c r="AG680">
        <f t="shared" ca="1" si="338"/>
        <v>0</v>
      </c>
      <c r="AH680">
        <f ca="1">IF(V32="Supercritical",L680,IF(V32="Subcritical",W680,IF(AND(V680=1,AG680=1),IF(T680&gt;=AE680,L680,W680),IF(V680=1,L680,IF(AG680=1,W680,MAX($D$16,POWER((ABS(K680)^2)/($I$5*MAX(F680,0.1)^2),1/3)))))))</f>
        <v>2.1403668656741068</v>
      </c>
      <c r="AI680">
        <f t="shared" ca="1" si="339"/>
        <v>634.43736686567411</v>
      </c>
      <c r="AJ680">
        <f t="shared" ca="1" si="340"/>
        <v>635.50755029851121</v>
      </c>
      <c r="AM680">
        <v>0</v>
      </c>
      <c r="AN680">
        <v>0</v>
      </c>
      <c r="AO680">
        <f t="shared" si="341"/>
        <v>0</v>
      </c>
      <c r="AP680">
        <f t="shared" si="350"/>
        <v>0</v>
      </c>
      <c r="AQ680">
        <f t="shared" ca="1" si="342"/>
        <v>0.99999999999999978</v>
      </c>
      <c r="AR680" t="str">
        <f t="shared" ca="1" si="343"/>
        <v>Supercritical</v>
      </c>
      <c r="AS680">
        <f t="shared" ca="1" si="344"/>
        <v>3.8148159832266538E-3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191</v>
      </c>
      <c r="I681">
        <v>2.7E-2</v>
      </c>
      <c r="J681">
        <f t="shared" si="345"/>
        <v>0.99900000000002365</v>
      </c>
      <c r="K681">
        <f t="shared" si="346"/>
        <v>51</v>
      </c>
      <c r="L681">
        <f t="shared" ca="1" si="347"/>
        <v>0.05</v>
      </c>
      <c r="M681">
        <f t="shared" ca="1" si="320"/>
        <v>0.26</v>
      </c>
      <c r="N681">
        <f t="shared" ca="1" si="321"/>
        <v>4.9056603773584909E-2</v>
      </c>
      <c r="O681">
        <f t="shared" ca="1" si="322"/>
        <v>196.15384615384616</v>
      </c>
      <c r="P681">
        <f t="shared" ca="1" si="323"/>
        <v>632.34649999999999</v>
      </c>
      <c r="Q681">
        <f t="shared" ca="1" si="324"/>
        <v>2593.423531648662</v>
      </c>
      <c r="R681">
        <f t="shared" ca="1" si="325"/>
        <v>482.07306851378365</v>
      </c>
      <c r="S681">
        <f t="shared" ca="1" si="326"/>
        <v>280.07692026646265</v>
      </c>
      <c r="T681">
        <f t="shared" ca="1" si="327"/>
        <v>1019.7665564573041</v>
      </c>
      <c r="U681">
        <f t="shared" ca="1" si="348"/>
        <v>-481.67874391170562</v>
      </c>
      <c r="V681">
        <f t="shared" ca="1" si="349"/>
        <v>0</v>
      </c>
      <c r="W681">
        <f t="shared" ca="1" si="328"/>
        <v>0.05</v>
      </c>
      <c r="X681">
        <f t="shared" ca="1" si="329"/>
        <v>0.26</v>
      </c>
      <c r="Y681">
        <f t="shared" ca="1" si="330"/>
        <v>4.9056603773584909E-2</v>
      </c>
      <c r="Z681">
        <f t="shared" ca="1" si="331"/>
        <v>196.15384615384616</v>
      </c>
      <c r="AA681">
        <f t="shared" ca="1" si="332"/>
        <v>632.34649999999999</v>
      </c>
      <c r="AB681">
        <f t="shared" ca="1" si="333"/>
        <v>2593.423531648662</v>
      </c>
      <c r="AC681">
        <f t="shared" ca="1" si="334"/>
        <v>482.07306851378365</v>
      </c>
      <c r="AD681">
        <f t="shared" ca="1" si="335"/>
        <v>280.07692026646265</v>
      </c>
      <c r="AE681">
        <f t="shared" ca="1" si="336"/>
        <v>1019.7665564573041</v>
      </c>
      <c r="AF681">
        <f t="shared" ca="1" si="337"/>
        <v>482.80958159640022</v>
      </c>
      <c r="AG681">
        <f t="shared" ca="1" si="338"/>
        <v>0</v>
      </c>
      <c r="AH681">
        <f ca="1">IF(V32="Supercritical",L681,IF(V32="Subcritical",W681,IF(AND(V681=1,AG681=1),IF(T681&gt;=AE681,L681,W681),IF(V681=1,L681,IF(AG681=1,W681,MAX($D$16,POWER((ABS(K681)^2)/($I$5*MAX(F681,0.1)^2),1/3)))))))</f>
        <v>2.1403668656741068</v>
      </c>
      <c r="AI681">
        <f t="shared" ca="1" si="339"/>
        <v>634.43686686567412</v>
      </c>
      <c r="AJ681">
        <f t="shared" ca="1" si="340"/>
        <v>635.50705029851122</v>
      </c>
      <c r="AM681">
        <v>0</v>
      </c>
      <c r="AN681">
        <v>0</v>
      </c>
      <c r="AO681">
        <f t="shared" si="341"/>
        <v>0</v>
      </c>
      <c r="AP681">
        <f t="shared" si="350"/>
        <v>0</v>
      </c>
      <c r="AQ681">
        <f t="shared" ca="1" si="342"/>
        <v>0.99999999999999978</v>
      </c>
      <c r="AR681" t="str">
        <f t="shared" ca="1" si="343"/>
        <v>Supercritical</v>
      </c>
      <c r="AS681">
        <f t="shared" ca="1" si="344"/>
        <v>3.8148159832266538E-3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191</v>
      </c>
      <c r="I682">
        <v>7.8E-2</v>
      </c>
      <c r="J682">
        <f t="shared" si="345"/>
        <v>1.0009999999999764</v>
      </c>
      <c r="K682">
        <f t="shared" si="346"/>
        <v>51</v>
      </c>
      <c r="L682">
        <f t="shared" ca="1" si="347"/>
        <v>0.05</v>
      </c>
      <c r="M682">
        <f t="shared" ca="1" si="320"/>
        <v>0.26</v>
      </c>
      <c r="N682">
        <f t="shared" ca="1" si="321"/>
        <v>4.9056603773584909E-2</v>
      </c>
      <c r="O682">
        <f t="shared" ca="1" si="322"/>
        <v>196.15384615384616</v>
      </c>
      <c r="P682">
        <f t="shared" ca="1" si="323"/>
        <v>632.346</v>
      </c>
      <c r="Q682">
        <f t="shared" ca="1" si="324"/>
        <v>2593.4230316486619</v>
      </c>
      <c r="R682">
        <f t="shared" ca="1" si="325"/>
        <v>482.07306851378365</v>
      </c>
      <c r="S682">
        <f t="shared" ca="1" si="326"/>
        <v>280.07692026646265</v>
      </c>
      <c r="T682">
        <f t="shared" ca="1" si="327"/>
        <v>1019.7665564573041</v>
      </c>
      <c r="U682">
        <f t="shared" ca="1" si="348"/>
        <v>-482.80958159640022</v>
      </c>
      <c r="V682">
        <f t="shared" ca="1" si="349"/>
        <v>0</v>
      </c>
      <c r="W682">
        <f t="shared" ca="1" si="328"/>
        <v>0.05</v>
      </c>
      <c r="X682">
        <f t="shared" ca="1" si="329"/>
        <v>0.26</v>
      </c>
      <c r="Y682">
        <f t="shared" ca="1" si="330"/>
        <v>4.9056603773584909E-2</v>
      </c>
      <c r="Z682">
        <f t="shared" ca="1" si="331"/>
        <v>196.15384615384616</v>
      </c>
      <c r="AA682">
        <f t="shared" ca="1" si="332"/>
        <v>632.346</v>
      </c>
      <c r="AB682">
        <f t="shared" ca="1" si="333"/>
        <v>2593.4230316486619</v>
      </c>
      <c r="AC682">
        <f t="shared" ca="1" si="334"/>
        <v>482.07306851378365</v>
      </c>
      <c r="AD682">
        <f t="shared" ca="1" si="335"/>
        <v>280.07692026646265</v>
      </c>
      <c r="AE682">
        <f t="shared" ca="1" si="336"/>
        <v>1019.7665564573041</v>
      </c>
      <c r="AF682">
        <f t="shared" ca="1" si="337"/>
        <v>482.23599159975447</v>
      </c>
      <c r="AG682">
        <f t="shared" ca="1" si="338"/>
        <v>0</v>
      </c>
      <c r="AH682">
        <f ca="1">IF(V32="Supercritical",L682,IF(V32="Subcritical",W682,IF(AND(V682=1,AG682=1),IF(T682&gt;=AE682,L682,W682),IF(V682=1,L682,IF(AG682=1,W682,MAX($D$16,POWER((ABS(K682)^2)/($I$5*MAX(F682,0.1)^2),1/3)))))))</f>
        <v>2.1403668656741068</v>
      </c>
      <c r="AI682">
        <f t="shared" ca="1" si="339"/>
        <v>634.43636686567413</v>
      </c>
      <c r="AJ682">
        <f t="shared" ca="1" si="340"/>
        <v>635.50655029851123</v>
      </c>
      <c r="AM682">
        <v>0</v>
      </c>
      <c r="AN682">
        <v>0</v>
      </c>
      <c r="AO682">
        <f t="shared" si="341"/>
        <v>0</v>
      </c>
      <c r="AP682">
        <f t="shared" si="350"/>
        <v>0</v>
      </c>
      <c r="AQ682">
        <f t="shared" ca="1" si="342"/>
        <v>0.99999999999999978</v>
      </c>
      <c r="AR682" t="str">
        <f t="shared" ca="1" si="343"/>
        <v>Supercritical</v>
      </c>
      <c r="AS682">
        <f t="shared" ca="1" si="344"/>
        <v>3.8148159832266538E-3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191</v>
      </c>
      <c r="I683">
        <v>0.05</v>
      </c>
      <c r="J683">
        <f t="shared" si="345"/>
        <v>1</v>
      </c>
      <c r="K683">
        <f t="shared" si="346"/>
        <v>51</v>
      </c>
      <c r="L683">
        <f t="shared" ca="1" si="347"/>
        <v>0.05</v>
      </c>
      <c r="M683">
        <f t="shared" ca="1" si="320"/>
        <v>0.26</v>
      </c>
      <c r="N683">
        <f t="shared" ca="1" si="321"/>
        <v>4.9056603773584909E-2</v>
      </c>
      <c r="O683">
        <f t="shared" ca="1" si="322"/>
        <v>196.15384615384616</v>
      </c>
      <c r="P683">
        <f t="shared" ca="1" si="323"/>
        <v>632.3454999999999</v>
      </c>
      <c r="Q683">
        <f t="shared" ca="1" si="324"/>
        <v>2593.4225316486618</v>
      </c>
      <c r="R683">
        <f t="shared" ca="1" si="325"/>
        <v>482.07306851378365</v>
      </c>
      <c r="S683">
        <f t="shared" ca="1" si="326"/>
        <v>280.07692026646265</v>
      </c>
      <c r="T683">
        <f t="shared" ca="1" si="327"/>
        <v>1019.7665564573041</v>
      </c>
      <c r="U683">
        <f t="shared" ca="1" si="348"/>
        <v>-482.23599159975447</v>
      </c>
      <c r="V683">
        <f t="shared" ca="1" si="349"/>
        <v>0</v>
      </c>
      <c r="W683">
        <f t="shared" ca="1" si="328"/>
        <v>0.05</v>
      </c>
      <c r="X683">
        <f t="shared" ca="1" si="329"/>
        <v>0.26</v>
      </c>
      <c r="Y683">
        <f t="shared" ca="1" si="330"/>
        <v>4.9056603773584909E-2</v>
      </c>
      <c r="Z683">
        <f t="shared" ca="1" si="331"/>
        <v>196.15384615384616</v>
      </c>
      <c r="AA683">
        <f t="shared" ca="1" si="332"/>
        <v>632.3454999999999</v>
      </c>
      <c r="AB683">
        <f t="shared" ca="1" si="333"/>
        <v>2593.4225316486618</v>
      </c>
      <c r="AC683">
        <f t="shared" ca="1" si="334"/>
        <v>482.07306851378365</v>
      </c>
      <c r="AD683">
        <f t="shared" ca="1" si="335"/>
        <v>280.07692026646265</v>
      </c>
      <c r="AE683">
        <f t="shared" ca="1" si="336"/>
        <v>1019.7665564573041</v>
      </c>
      <c r="AF683">
        <f t="shared" ca="1" si="337"/>
        <v>481.67874391170608</v>
      </c>
      <c r="AG683">
        <f t="shared" ca="1" si="338"/>
        <v>0</v>
      </c>
      <c r="AH683">
        <f ca="1">IF(V32="Supercritical",L683,IF(V32="Subcritical",W683,IF(AND(V683=1,AG683=1),IF(T683&gt;=AE683,L683,W683),IF(V683=1,L683,IF(AG683=1,W683,MAX($D$16,POWER((ABS(K683)^2)/($I$5*MAX(F683,0.1)^2),1/3)))))))</f>
        <v>2.1403668656741068</v>
      </c>
      <c r="AI683">
        <f t="shared" ca="1" si="339"/>
        <v>634.43586686567403</v>
      </c>
      <c r="AJ683">
        <f t="shared" ca="1" si="340"/>
        <v>635.50605029851113</v>
      </c>
      <c r="AM683">
        <v>0</v>
      </c>
      <c r="AN683">
        <v>0</v>
      </c>
      <c r="AO683">
        <f t="shared" si="341"/>
        <v>0</v>
      </c>
      <c r="AP683">
        <f t="shared" si="350"/>
        <v>0</v>
      </c>
      <c r="AQ683">
        <f t="shared" ca="1" si="342"/>
        <v>0.99999999999999978</v>
      </c>
      <c r="AR683" t="str">
        <f t="shared" ca="1" si="343"/>
        <v>Supercritical</v>
      </c>
      <c r="AS683">
        <f t="shared" ca="1" si="344"/>
        <v>3.8148159832266538E-3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191</v>
      </c>
      <c r="I684">
        <v>2.7E-2</v>
      </c>
      <c r="J684">
        <f t="shared" si="345"/>
        <v>0.99900000000002365</v>
      </c>
      <c r="K684">
        <f t="shared" si="346"/>
        <v>51</v>
      </c>
      <c r="L684">
        <f t="shared" ca="1" si="347"/>
        <v>0.05</v>
      </c>
      <c r="M684">
        <f t="shared" ca="1" si="320"/>
        <v>0.26</v>
      </c>
      <c r="N684">
        <f t="shared" ca="1" si="321"/>
        <v>4.9056603773584909E-2</v>
      </c>
      <c r="O684">
        <f t="shared" ca="1" si="322"/>
        <v>196.15384615384616</v>
      </c>
      <c r="P684">
        <f t="shared" ca="1" si="323"/>
        <v>632.34499999999991</v>
      </c>
      <c r="Q684">
        <f t="shared" ca="1" si="324"/>
        <v>2593.4220316486621</v>
      </c>
      <c r="R684">
        <f t="shared" ca="1" si="325"/>
        <v>482.07306851378365</v>
      </c>
      <c r="S684">
        <f t="shared" ca="1" si="326"/>
        <v>280.07692026646265</v>
      </c>
      <c r="T684">
        <f t="shared" ca="1" si="327"/>
        <v>1019.7665564573041</v>
      </c>
      <c r="U684">
        <f t="shared" ca="1" si="348"/>
        <v>-481.67874391170608</v>
      </c>
      <c r="V684">
        <f t="shared" ca="1" si="349"/>
        <v>0</v>
      </c>
      <c r="W684">
        <f t="shared" ca="1" si="328"/>
        <v>0.05</v>
      </c>
      <c r="X684">
        <f t="shared" ca="1" si="329"/>
        <v>0.26</v>
      </c>
      <c r="Y684">
        <f t="shared" ca="1" si="330"/>
        <v>4.9056603773584909E-2</v>
      </c>
      <c r="Z684">
        <f t="shared" ca="1" si="331"/>
        <v>196.15384615384616</v>
      </c>
      <c r="AA684">
        <f t="shared" ca="1" si="332"/>
        <v>632.34499999999991</v>
      </c>
      <c r="AB684">
        <f t="shared" ca="1" si="333"/>
        <v>2593.4220316486621</v>
      </c>
      <c r="AC684">
        <f t="shared" ca="1" si="334"/>
        <v>482.07306851378365</v>
      </c>
      <c r="AD684">
        <f t="shared" ca="1" si="335"/>
        <v>280.07692026646265</v>
      </c>
      <c r="AE684">
        <f t="shared" ca="1" si="336"/>
        <v>1019.7665564573041</v>
      </c>
      <c r="AF684">
        <f t="shared" ca="1" si="337"/>
        <v>482.16081698020798</v>
      </c>
      <c r="AG684">
        <f t="shared" ca="1" si="338"/>
        <v>0</v>
      </c>
      <c r="AH684">
        <f ca="1">IF(V32="Supercritical",L684,IF(V32="Subcritical",W684,IF(AND(V684=1,AG684=1),IF(T684&gt;=AE684,L684,W684),IF(V684=1,L684,IF(AG684=1,W684,MAX($D$16,POWER((ABS(K684)^2)/($I$5*MAX(F684,0.1)^2),1/3)))))))</f>
        <v>2.1403668656741068</v>
      </c>
      <c r="AI684">
        <f t="shared" ca="1" si="339"/>
        <v>634.43536686567404</v>
      </c>
      <c r="AJ684">
        <f t="shared" ca="1" si="340"/>
        <v>635.50555029851114</v>
      </c>
      <c r="AM684">
        <v>0</v>
      </c>
      <c r="AN684">
        <v>0</v>
      </c>
      <c r="AO684">
        <f t="shared" si="341"/>
        <v>0</v>
      </c>
      <c r="AP684">
        <f t="shared" si="350"/>
        <v>0</v>
      </c>
      <c r="AQ684">
        <f t="shared" ca="1" si="342"/>
        <v>0.99999999999999978</v>
      </c>
      <c r="AR684" t="str">
        <f t="shared" ca="1" si="343"/>
        <v>Supercritical</v>
      </c>
      <c r="AS684">
        <f t="shared" ca="1" si="344"/>
        <v>3.8148159832266538E-3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191</v>
      </c>
      <c r="I685">
        <v>2.7E-2</v>
      </c>
      <c r="J685">
        <f t="shared" si="345"/>
        <v>1</v>
      </c>
      <c r="K685">
        <f t="shared" si="346"/>
        <v>51</v>
      </c>
      <c r="L685">
        <f t="shared" ca="1" si="347"/>
        <v>0.05</v>
      </c>
      <c r="M685">
        <f t="shared" ca="1" si="320"/>
        <v>0.26</v>
      </c>
      <c r="N685">
        <f t="shared" ca="1" si="321"/>
        <v>4.9056603773584909E-2</v>
      </c>
      <c r="O685">
        <f t="shared" ca="1" si="322"/>
        <v>196.15384615384616</v>
      </c>
      <c r="P685">
        <f t="shared" ca="1" si="323"/>
        <v>632.34449999999993</v>
      </c>
      <c r="Q685">
        <f t="shared" ca="1" si="324"/>
        <v>2593.421531648662</v>
      </c>
      <c r="R685">
        <f t="shared" ca="1" si="325"/>
        <v>482.07306851378365</v>
      </c>
      <c r="S685">
        <f t="shared" ca="1" si="326"/>
        <v>280.07692026646265</v>
      </c>
      <c r="T685">
        <f t="shared" ca="1" si="327"/>
        <v>1019.7665564573041</v>
      </c>
      <c r="U685">
        <f t="shared" ca="1" si="348"/>
        <v>-482.16081698020798</v>
      </c>
      <c r="V685">
        <f t="shared" ca="1" si="349"/>
        <v>0</v>
      </c>
      <c r="W685">
        <f t="shared" ca="1" si="328"/>
        <v>0.05</v>
      </c>
      <c r="X685">
        <f t="shared" ca="1" si="329"/>
        <v>0.26</v>
      </c>
      <c r="Y685">
        <f t="shared" ca="1" si="330"/>
        <v>4.9056603773584909E-2</v>
      </c>
      <c r="Z685">
        <f t="shared" ca="1" si="331"/>
        <v>196.15384615384616</v>
      </c>
      <c r="AA685">
        <f t="shared" ca="1" si="332"/>
        <v>632.34449999999993</v>
      </c>
      <c r="AB685">
        <f t="shared" ca="1" si="333"/>
        <v>2593.421531648662</v>
      </c>
      <c r="AC685">
        <f t="shared" ca="1" si="334"/>
        <v>482.07306851378365</v>
      </c>
      <c r="AD685">
        <f t="shared" ca="1" si="335"/>
        <v>280.07692026646265</v>
      </c>
      <c r="AE685">
        <f t="shared" ca="1" si="336"/>
        <v>1019.7665564573041</v>
      </c>
      <c r="AF685">
        <f t="shared" ca="1" si="337"/>
        <v>482.16081698020798</v>
      </c>
      <c r="AG685">
        <f t="shared" ca="1" si="338"/>
        <v>0</v>
      </c>
      <c r="AH685">
        <f ca="1">IF(V32="Supercritical",L685,IF(V32="Subcritical",W685,IF(AND(V685=1,AG685=1),IF(T685&gt;=AE685,L685,W685),IF(V685=1,L685,IF(AG685=1,W685,MAX($D$16,POWER((ABS(K685)^2)/($I$5*MAX(F685,0.1)^2),1/3)))))))</f>
        <v>2.1403668656741068</v>
      </c>
      <c r="AI685">
        <f t="shared" ca="1" si="339"/>
        <v>634.43486686567405</v>
      </c>
      <c r="AJ685">
        <f t="shared" ca="1" si="340"/>
        <v>635.50505029851115</v>
      </c>
      <c r="AM685">
        <v>0</v>
      </c>
      <c r="AN685">
        <v>0</v>
      </c>
      <c r="AO685">
        <f t="shared" si="341"/>
        <v>0</v>
      </c>
      <c r="AP685">
        <f t="shared" si="350"/>
        <v>0</v>
      </c>
      <c r="AQ685">
        <f t="shared" ca="1" si="342"/>
        <v>0.99999999999999978</v>
      </c>
      <c r="AR685" t="str">
        <f t="shared" ca="1" si="343"/>
        <v>Supercritical</v>
      </c>
      <c r="AS685">
        <f t="shared" ca="1" si="344"/>
        <v>3.8148159832266538E-3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191</v>
      </c>
      <c r="I686">
        <v>2.7E-2</v>
      </c>
      <c r="J686">
        <f t="shared" si="345"/>
        <v>1</v>
      </c>
      <c r="K686">
        <f t="shared" si="346"/>
        <v>51</v>
      </c>
      <c r="L686">
        <f t="shared" ca="1" si="347"/>
        <v>0.05</v>
      </c>
      <c r="M686">
        <f t="shared" ca="1" si="320"/>
        <v>0.26</v>
      </c>
      <c r="N686">
        <f t="shared" ca="1" si="321"/>
        <v>4.9056603773584909E-2</v>
      </c>
      <c r="O686">
        <f t="shared" ca="1" si="322"/>
        <v>196.15384615384616</v>
      </c>
      <c r="P686">
        <f t="shared" ca="1" si="323"/>
        <v>632.34399999999994</v>
      </c>
      <c r="Q686">
        <f t="shared" ca="1" si="324"/>
        <v>2593.4210316486619</v>
      </c>
      <c r="R686">
        <f t="shared" ca="1" si="325"/>
        <v>482.07306851378365</v>
      </c>
      <c r="S686">
        <f t="shared" ca="1" si="326"/>
        <v>280.07692026646265</v>
      </c>
      <c r="T686">
        <f t="shared" ca="1" si="327"/>
        <v>1019.7665564573041</v>
      </c>
      <c r="U686">
        <f t="shared" ca="1" si="348"/>
        <v>-482.16081698020798</v>
      </c>
      <c r="V686">
        <f t="shared" ca="1" si="349"/>
        <v>0</v>
      </c>
      <c r="W686">
        <f t="shared" ca="1" si="328"/>
        <v>0.05</v>
      </c>
      <c r="X686">
        <f t="shared" ca="1" si="329"/>
        <v>0.26</v>
      </c>
      <c r="Y686">
        <f t="shared" ca="1" si="330"/>
        <v>4.9056603773584909E-2</v>
      </c>
      <c r="Z686">
        <f t="shared" ca="1" si="331"/>
        <v>196.15384615384616</v>
      </c>
      <c r="AA686">
        <f t="shared" ca="1" si="332"/>
        <v>632.34399999999994</v>
      </c>
      <c r="AB686">
        <f t="shared" ca="1" si="333"/>
        <v>2593.4210316486619</v>
      </c>
      <c r="AC686">
        <f t="shared" ca="1" si="334"/>
        <v>482.07306851378365</v>
      </c>
      <c r="AD686">
        <f t="shared" ca="1" si="335"/>
        <v>280.07692026646265</v>
      </c>
      <c r="AE686">
        <f t="shared" ca="1" si="336"/>
        <v>1019.7665564573041</v>
      </c>
      <c r="AF686">
        <f t="shared" ca="1" si="337"/>
        <v>482.32750852789832</v>
      </c>
      <c r="AG686">
        <f t="shared" ca="1" si="338"/>
        <v>0</v>
      </c>
      <c r="AH686">
        <f ca="1">IF(V32="Supercritical",L686,IF(V32="Subcritical",W686,IF(AND(V686=1,AG686=1),IF(T686&gt;=AE686,L686,W686),IF(V686=1,L686,IF(AG686=1,W686,MAX($D$16,POWER((ABS(K686)^2)/($I$5*MAX(F686,0.1)^2),1/3)))))))</f>
        <v>2.1403668656741068</v>
      </c>
      <c r="AI686">
        <f t="shared" ca="1" si="339"/>
        <v>634.43436686567406</v>
      </c>
      <c r="AJ686">
        <f t="shared" ca="1" si="340"/>
        <v>635.50455029851116</v>
      </c>
      <c r="AM686">
        <v>0</v>
      </c>
      <c r="AN686">
        <v>0</v>
      </c>
      <c r="AO686">
        <f t="shared" si="341"/>
        <v>0</v>
      </c>
      <c r="AP686">
        <f t="shared" si="350"/>
        <v>0</v>
      </c>
      <c r="AQ686">
        <f t="shared" ca="1" si="342"/>
        <v>0.99999999999999978</v>
      </c>
      <c r="AR686" t="str">
        <f t="shared" ca="1" si="343"/>
        <v>Supercritical</v>
      </c>
      <c r="AS686">
        <f t="shared" ca="1" si="344"/>
        <v>3.8148159832266538E-3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191</v>
      </c>
      <c r="I687">
        <v>7.8E-2</v>
      </c>
      <c r="J687">
        <f t="shared" si="345"/>
        <v>1</v>
      </c>
      <c r="K687">
        <f t="shared" si="346"/>
        <v>51</v>
      </c>
      <c r="L687">
        <f t="shared" ca="1" si="347"/>
        <v>0.05</v>
      </c>
      <c r="M687">
        <f t="shared" ca="1" si="320"/>
        <v>0.26</v>
      </c>
      <c r="N687">
        <f t="shared" ca="1" si="321"/>
        <v>4.9056603773584909E-2</v>
      </c>
      <c r="O687">
        <f t="shared" ca="1" si="322"/>
        <v>196.15384615384616</v>
      </c>
      <c r="P687">
        <f t="shared" ca="1" si="323"/>
        <v>632.34349999999995</v>
      </c>
      <c r="Q687">
        <f t="shared" ca="1" si="324"/>
        <v>2593.4205316486623</v>
      </c>
      <c r="R687">
        <f t="shared" ca="1" si="325"/>
        <v>482.07306851378365</v>
      </c>
      <c r="S687">
        <f t="shared" ca="1" si="326"/>
        <v>280.07692026646265</v>
      </c>
      <c r="T687">
        <f t="shared" ca="1" si="327"/>
        <v>1019.7665564573041</v>
      </c>
      <c r="U687">
        <f t="shared" ca="1" si="348"/>
        <v>-482.32750852789832</v>
      </c>
      <c r="V687">
        <f t="shared" ca="1" si="349"/>
        <v>0</v>
      </c>
      <c r="W687">
        <f t="shared" ca="1" si="328"/>
        <v>0.05</v>
      </c>
      <c r="X687">
        <f t="shared" ca="1" si="329"/>
        <v>0.26</v>
      </c>
      <c r="Y687">
        <f t="shared" ca="1" si="330"/>
        <v>4.9056603773584909E-2</v>
      </c>
      <c r="Z687">
        <f t="shared" ca="1" si="331"/>
        <v>196.15384615384616</v>
      </c>
      <c r="AA687">
        <f t="shared" ca="1" si="332"/>
        <v>632.34349999999995</v>
      </c>
      <c r="AB687">
        <f t="shared" ca="1" si="333"/>
        <v>2593.4205316486623</v>
      </c>
      <c r="AC687">
        <f t="shared" ca="1" si="334"/>
        <v>482.07306851378365</v>
      </c>
      <c r="AD687">
        <f t="shared" ca="1" si="335"/>
        <v>280.07692026646265</v>
      </c>
      <c r="AE687">
        <f t="shared" ca="1" si="336"/>
        <v>1019.7665564573041</v>
      </c>
      <c r="AF687">
        <f t="shared" ca="1" si="337"/>
        <v>482.23599159975447</v>
      </c>
      <c r="AG687">
        <f t="shared" ca="1" si="338"/>
        <v>0</v>
      </c>
      <c r="AH687">
        <f ca="1">IF(V32="Supercritical",L687,IF(V32="Subcritical",W687,IF(AND(V687=1,AG687=1),IF(T687&gt;=AE687,L687,W687),IF(V687=1,L687,IF(AG687=1,W687,MAX($D$16,POWER((ABS(K687)^2)/($I$5*MAX(F687,0.1)^2),1/3)))))))</f>
        <v>2.1403668656741068</v>
      </c>
      <c r="AI687">
        <f t="shared" ca="1" si="339"/>
        <v>634.43386686567408</v>
      </c>
      <c r="AJ687">
        <f t="shared" ca="1" si="340"/>
        <v>635.50405029851117</v>
      </c>
      <c r="AM687">
        <v>0</v>
      </c>
      <c r="AN687">
        <v>0</v>
      </c>
      <c r="AO687">
        <f t="shared" si="341"/>
        <v>0</v>
      </c>
      <c r="AP687">
        <f t="shared" si="350"/>
        <v>0</v>
      </c>
      <c r="AQ687">
        <f t="shared" ca="1" si="342"/>
        <v>0.99999999999999978</v>
      </c>
      <c r="AR687" t="str">
        <f t="shared" ca="1" si="343"/>
        <v>Supercritical</v>
      </c>
      <c r="AS687">
        <f t="shared" ca="1" si="344"/>
        <v>3.8148159832266538E-3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191</v>
      </c>
      <c r="I688">
        <v>0.05</v>
      </c>
      <c r="J688">
        <f t="shared" si="345"/>
        <v>1</v>
      </c>
      <c r="K688">
        <f t="shared" si="346"/>
        <v>51</v>
      </c>
      <c r="L688">
        <f t="shared" ca="1" si="347"/>
        <v>0.05</v>
      </c>
      <c r="M688">
        <f t="shared" ca="1" si="320"/>
        <v>0.26</v>
      </c>
      <c r="N688">
        <f t="shared" ca="1" si="321"/>
        <v>4.9056603773584909E-2</v>
      </c>
      <c r="O688">
        <f t="shared" ca="1" si="322"/>
        <v>196.15384615384616</v>
      </c>
      <c r="P688">
        <f t="shared" ca="1" si="323"/>
        <v>632.34299999999996</v>
      </c>
      <c r="Q688">
        <f t="shared" ca="1" si="324"/>
        <v>2593.4200316486622</v>
      </c>
      <c r="R688">
        <f t="shared" ca="1" si="325"/>
        <v>482.07306851378365</v>
      </c>
      <c r="S688">
        <f t="shared" ca="1" si="326"/>
        <v>280.07692026646265</v>
      </c>
      <c r="T688">
        <f t="shared" ca="1" si="327"/>
        <v>1019.7665564573041</v>
      </c>
      <c r="U688">
        <f t="shared" ca="1" si="348"/>
        <v>-482.23599159975447</v>
      </c>
      <c r="V688">
        <f t="shared" ca="1" si="349"/>
        <v>0</v>
      </c>
      <c r="W688">
        <f t="shared" ca="1" si="328"/>
        <v>0.05</v>
      </c>
      <c r="X688">
        <f t="shared" ca="1" si="329"/>
        <v>0.26</v>
      </c>
      <c r="Y688">
        <f t="shared" ca="1" si="330"/>
        <v>4.9056603773584909E-2</v>
      </c>
      <c r="Z688">
        <f t="shared" ca="1" si="331"/>
        <v>196.15384615384616</v>
      </c>
      <c r="AA688">
        <f t="shared" ca="1" si="332"/>
        <v>632.34299999999996</v>
      </c>
      <c r="AB688">
        <f t="shared" ca="1" si="333"/>
        <v>2593.4200316486622</v>
      </c>
      <c r="AC688">
        <f t="shared" ca="1" si="334"/>
        <v>482.07306851378365</v>
      </c>
      <c r="AD688">
        <f t="shared" ca="1" si="335"/>
        <v>280.07692026646265</v>
      </c>
      <c r="AE688">
        <f t="shared" ca="1" si="336"/>
        <v>1019.7665564573041</v>
      </c>
      <c r="AF688">
        <f t="shared" ca="1" si="337"/>
        <v>482.16081698020798</v>
      </c>
      <c r="AG688">
        <f t="shared" ca="1" si="338"/>
        <v>0</v>
      </c>
      <c r="AH688">
        <f ca="1">IF(V32="Supercritical",L688,IF(V32="Subcritical",W688,IF(AND(V688=1,AG688=1),IF(T688&gt;=AE688,L688,W688),IF(V688=1,L688,IF(AG688=1,W688,MAX($D$16,POWER((ABS(K688)^2)/($I$5*MAX(F688,0.1)^2),1/3)))))))</f>
        <v>2.1403668656741068</v>
      </c>
      <c r="AI688">
        <f t="shared" ca="1" si="339"/>
        <v>634.43336686567409</v>
      </c>
      <c r="AJ688">
        <f t="shared" ca="1" si="340"/>
        <v>635.50355029851119</v>
      </c>
      <c r="AM688">
        <v>0</v>
      </c>
      <c r="AN688">
        <v>0</v>
      </c>
      <c r="AO688">
        <f t="shared" si="341"/>
        <v>0</v>
      </c>
      <c r="AP688">
        <f t="shared" si="350"/>
        <v>0</v>
      </c>
      <c r="AQ688">
        <f t="shared" ca="1" si="342"/>
        <v>0.99999999999999978</v>
      </c>
      <c r="AR688" t="str">
        <f t="shared" ca="1" si="343"/>
        <v>Supercritical</v>
      </c>
      <c r="AS688">
        <f t="shared" ca="1" si="344"/>
        <v>3.8148159832266538E-3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191</v>
      </c>
      <c r="I689">
        <v>2.7E-2</v>
      </c>
      <c r="J689">
        <f t="shared" si="345"/>
        <v>1</v>
      </c>
      <c r="K689">
        <f t="shared" si="346"/>
        <v>51</v>
      </c>
      <c r="L689">
        <f t="shared" ca="1" si="347"/>
        <v>0.05</v>
      </c>
      <c r="M689">
        <f t="shared" ca="1" si="320"/>
        <v>0.26</v>
      </c>
      <c r="N689">
        <f t="shared" ca="1" si="321"/>
        <v>4.9056603773584909E-2</v>
      </c>
      <c r="O689">
        <f t="shared" ca="1" si="322"/>
        <v>196.15384615384616</v>
      </c>
      <c r="P689">
        <f t="shared" ca="1" si="323"/>
        <v>632.34249999999997</v>
      </c>
      <c r="Q689">
        <f t="shared" ca="1" si="324"/>
        <v>2593.4195316486621</v>
      </c>
      <c r="R689">
        <f t="shared" ca="1" si="325"/>
        <v>482.07306851378365</v>
      </c>
      <c r="S689">
        <f t="shared" ca="1" si="326"/>
        <v>280.07692026646265</v>
      </c>
      <c r="T689">
        <f t="shared" ca="1" si="327"/>
        <v>1019.7665564573041</v>
      </c>
      <c r="U689">
        <f t="shared" ca="1" si="348"/>
        <v>-482.16081698020798</v>
      </c>
      <c r="V689">
        <f t="shared" ca="1" si="349"/>
        <v>0</v>
      </c>
      <c r="W689">
        <f t="shared" ca="1" si="328"/>
        <v>0.05</v>
      </c>
      <c r="X689">
        <f t="shared" ca="1" si="329"/>
        <v>0.26</v>
      </c>
      <c r="Y689">
        <f t="shared" ca="1" si="330"/>
        <v>4.9056603773584909E-2</v>
      </c>
      <c r="Z689">
        <f t="shared" ca="1" si="331"/>
        <v>196.15384615384616</v>
      </c>
      <c r="AA689">
        <f t="shared" ca="1" si="332"/>
        <v>632.34249999999997</v>
      </c>
      <c r="AB689">
        <f t="shared" ca="1" si="333"/>
        <v>2593.4195316486621</v>
      </c>
      <c r="AC689">
        <f t="shared" ca="1" si="334"/>
        <v>482.07306851378365</v>
      </c>
      <c r="AD689">
        <f t="shared" ca="1" si="335"/>
        <v>280.07692026646265</v>
      </c>
      <c r="AE689">
        <f t="shared" ca="1" si="336"/>
        <v>1019.7665564573041</v>
      </c>
      <c r="AF689">
        <f t="shared" ca="1" si="337"/>
        <v>482.16081698020798</v>
      </c>
      <c r="AG689">
        <f t="shared" ca="1" si="338"/>
        <v>0</v>
      </c>
      <c r="AH689">
        <f ca="1">IF(V32="Supercritical",L689,IF(V32="Subcritical",W689,IF(AND(V689=1,AG689=1),IF(T689&gt;=AE689,L689,W689),IF(V689=1,L689,IF(AG689=1,W689,MAX($D$16,POWER((ABS(K689)^2)/($I$5*MAX(F689,0.1)^2),1/3)))))))</f>
        <v>2.1403668656741068</v>
      </c>
      <c r="AI689">
        <f t="shared" ca="1" si="339"/>
        <v>634.4328668656741</v>
      </c>
      <c r="AJ689">
        <f t="shared" ca="1" si="340"/>
        <v>635.5030502985112</v>
      </c>
      <c r="AM689">
        <v>0</v>
      </c>
      <c r="AN689">
        <v>0</v>
      </c>
      <c r="AO689">
        <f t="shared" si="341"/>
        <v>0</v>
      </c>
      <c r="AP689">
        <f t="shared" si="350"/>
        <v>0</v>
      </c>
      <c r="AQ689">
        <f t="shared" ca="1" si="342"/>
        <v>0.99999999999999978</v>
      </c>
      <c r="AR689" t="str">
        <f t="shared" ca="1" si="343"/>
        <v>Supercritical</v>
      </c>
      <c r="AS689">
        <f t="shared" ca="1" si="344"/>
        <v>3.8148159832266538E-3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191</v>
      </c>
      <c r="I690">
        <v>2.7E-2</v>
      </c>
      <c r="J690">
        <f t="shared" si="345"/>
        <v>1</v>
      </c>
      <c r="K690">
        <f t="shared" si="346"/>
        <v>51</v>
      </c>
      <c r="L690">
        <f t="shared" ca="1" si="347"/>
        <v>0.05</v>
      </c>
      <c r="M690">
        <f t="shared" ca="1" si="320"/>
        <v>0.26</v>
      </c>
      <c r="N690">
        <f t="shared" ca="1" si="321"/>
        <v>4.9056603773584909E-2</v>
      </c>
      <c r="O690">
        <f t="shared" ca="1" si="322"/>
        <v>196.15384615384616</v>
      </c>
      <c r="P690">
        <f t="shared" ca="1" si="323"/>
        <v>632.34199999999998</v>
      </c>
      <c r="Q690">
        <f t="shared" ca="1" si="324"/>
        <v>2593.419031648662</v>
      </c>
      <c r="R690">
        <f t="shared" ca="1" si="325"/>
        <v>482.07306851378365</v>
      </c>
      <c r="S690">
        <f t="shared" ca="1" si="326"/>
        <v>280.07692026646265</v>
      </c>
      <c r="T690">
        <f t="shared" ca="1" si="327"/>
        <v>1019.7665564573041</v>
      </c>
      <c r="U690">
        <f t="shared" ca="1" si="348"/>
        <v>-482.16081698020798</v>
      </c>
      <c r="V690">
        <f t="shared" ca="1" si="349"/>
        <v>0</v>
      </c>
      <c r="W690">
        <f t="shared" ca="1" si="328"/>
        <v>0.05</v>
      </c>
      <c r="X690">
        <f t="shared" ca="1" si="329"/>
        <v>0.26</v>
      </c>
      <c r="Y690">
        <f t="shared" ca="1" si="330"/>
        <v>4.9056603773584909E-2</v>
      </c>
      <c r="Z690">
        <f t="shared" ca="1" si="331"/>
        <v>196.15384615384616</v>
      </c>
      <c r="AA690">
        <f t="shared" ca="1" si="332"/>
        <v>632.34199999999998</v>
      </c>
      <c r="AB690">
        <f t="shared" ca="1" si="333"/>
        <v>2593.419031648662</v>
      </c>
      <c r="AC690">
        <f t="shared" ca="1" si="334"/>
        <v>482.07306851378365</v>
      </c>
      <c r="AD690">
        <f t="shared" ca="1" si="335"/>
        <v>280.07692026646265</v>
      </c>
      <c r="AE690">
        <f t="shared" ca="1" si="336"/>
        <v>1019.7665564573041</v>
      </c>
      <c r="AF690">
        <f t="shared" ca="1" si="337"/>
        <v>482.1477431333301</v>
      </c>
      <c r="AG690">
        <f t="shared" ca="1" si="338"/>
        <v>0</v>
      </c>
      <c r="AH690">
        <f ca="1">IF(V32="Supercritical",L690,IF(V32="Subcritical",W690,IF(AND(V690=1,AG690=1),IF(T690&gt;=AE690,L690,W690),IF(V690=1,L690,IF(AG690=1,W690,MAX($D$16,POWER((ABS(K690)^2)/($I$5*MAX(F690,0.1)^2),1/3)))))))</f>
        <v>2.1403668656741068</v>
      </c>
      <c r="AI690">
        <f t="shared" ca="1" si="339"/>
        <v>634.43236686567411</v>
      </c>
      <c r="AJ690">
        <f t="shared" ca="1" si="340"/>
        <v>635.50255029851121</v>
      </c>
      <c r="AM690">
        <v>0</v>
      </c>
      <c r="AN690">
        <v>0</v>
      </c>
      <c r="AO690">
        <f t="shared" si="341"/>
        <v>0</v>
      </c>
      <c r="AP690">
        <f t="shared" si="350"/>
        <v>0</v>
      </c>
      <c r="AQ690">
        <f t="shared" ca="1" si="342"/>
        <v>0.99999999999999978</v>
      </c>
      <c r="AR690" t="str">
        <f t="shared" ca="1" si="343"/>
        <v>Supercritical</v>
      </c>
      <c r="AS690">
        <f t="shared" ca="1" si="344"/>
        <v>3.8148159832266538E-3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191</v>
      </c>
      <c r="I691">
        <v>2.3E-2</v>
      </c>
      <c r="J691">
        <f t="shared" si="345"/>
        <v>1</v>
      </c>
      <c r="K691">
        <f t="shared" si="346"/>
        <v>51</v>
      </c>
      <c r="L691">
        <f t="shared" ca="1" si="347"/>
        <v>0.05</v>
      </c>
      <c r="M691">
        <f t="shared" ca="1" si="320"/>
        <v>0.26</v>
      </c>
      <c r="N691">
        <f t="shared" ca="1" si="321"/>
        <v>4.9056603773584909E-2</v>
      </c>
      <c r="O691">
        <f t="shared" ca="1" si="322"/>
        <v>196.15384615384616</v>
      </c>
      <c r="P691">
        <f t="shared" ca="1" si="323"/>
        <v>632.3415</v>
      </c>
      <c r="Q691">
        <f t="shared" ca="1" si="324"/>
        <v>2593.4185316486619</v>
      </c>
      <c r="R691">
        <f t="shared" ca="1" si="325"/>
        <v>482.07306851378365</v>
      </c>
      <c r="S691">
        <f t="shared" ca="1" si="326"/>
        <v>280.07692026646265</v>
      </c>
      <c r="T691">
        <f t="shared" ca="1" si="327"/>
        <v>1019.7665564573041</v>
      </c>
      <c r="U691">
        <f t="shared" ca="1" si="348"/>
        <v>-482.1477431333301</v>
      </c>
      <c r="V691">
        <f t="shared" ca="1" si="349"/>
        <v>0</v>
      </c>
      <c r="W691">
        <f t="shared" ca="1" si="328"/>
        <v>0.05</v>
      </c>
      <c r="X691">
        <f t="shared" ca="1" si="329"/>
        <v>0.26</v>
      </c>
      <c r="Y691">
        <f t="shared" ca="1" si="330"/>
        <v>4.9056603773584909E-2</v>
      </c>
      <c r="Z691">
        <f t="shared" ca="1" si="331"/>
        <v>196.15384615384616</v>
      </c>
      <c r="AA691">
        <f t="shared" ca="1" si="332"/>
        <v>632.3415</v>
      </c>
      <c r="AB691">
        <f t="shared" ca="1" si="333"/>
        <v>2593.4185316486619</v>
      </c>
      <c r="AC691">
        <f t="shared" ca="1" si="334"/>
        <v>482.07306851378365</v>
      </c>
      <c r="AD691">
        <f t="shared" ca="1" si="335"/>
        <v>280.07692026646265</v>
      </c>
      <c r="AE691">
        <f t="shared" ca="1" si="336"/>
        <v>1019.7665564573041</v>
      </c>
      <c r="AF691">
        <f t="shared" ca="1" si="337"/>
        <v>482.62981620183291</v>
      </c>
      <c r="AG691">
        <f t="shared" ca="1" si="338"/>
        <v>0</v>
      </c>
      <c r="AH691">
        <f ca="1">IF(V32="Supercritical",L691,IF(V32="Subcritical",W691,IF(AND(V691=1,AG691=1),IF(T691&gt;=AE691,L691,W691),IF(V691=1,L691,IF(AG691=1,W691,MAX($D$16,POWER((ABS(K691)^2)/($I$5*MAX(F691,0.1)^2),1/3)))))))</f>
        <v>2.1403668656741068</v>
      </c>
      <c r="AI691">
        <f t="shared" ca="1" si="339"/>
        <v>634.43186686567412</v>
      </c>
      <c r="AJ691">
        <f t="shared" ca="1" si="340"/>
        <v>635.50205029851122</v>
      </c>
      <c r="AM691">
        <v>0</v>
      </c>
      <c r="AN691">
        <v>0</v>
      </c>
      <c r="AO691">
        <f t="shared" si="341"/>
        <v>0</v>
      </c>
      <c r="AP691">
        <f t="shared" si="350"/>
        <v>0</v>
      </c>
      <c r="AQ691">
        <f t="shared" ca="1" si="342"/>
        <v>0.99999999999999978</v>
      </c>
      <c r="AR691" t="str">
        <f t="shared" ca="1" si="343"/>
        <v>Supercritical</v>
      </c>
      <c r="AS691">
        <f t="shared" ca="1" si="344"/>
        <v>3.8148159832266538E-3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191</v>
      </c>
      <c r="I692">
        <v>2.3E-2</v>
      </c>
      <c r="J692">
        <f t="shared" si="345"/>
        <v>1.0009999999999764</v>
      </c>
      <c r="K692">
        <f t="shared" si="346"/>
        <v>51</v>
      </c>
      <c r="L692">
        <f t="shared" ca="1" si="347"/>
        <v>0.05</v>
      </c>
      <c r="M692">
        <f t="shared" ca="1" si="320"/>
        <v>0.26</v>
      </c>
      <c r="N692">
        <f t="shared" ca="1" si="321"/>
        <v>4.9056603773584909E-2</v>
      </c>
      <c r="O692">
        <f t="shared" ca="1" si="322"/>
        <v>196.15384615384616</v>
      </c>
      <c r="P692">
        <f t="shared" ca="1" si="323"/>
        <v>632.34100000000001</v>
      </c>
      <c r="Q692">
        <f t="shared" ca="1" si="324"/>
        <v>2593.4180316486622</v>
      </c>
      <c r="R692">
        <f t="shared" ca="1" si="325"/>
        <v>482.07306851378365</v>
      </c>
      <c r="S692">
        <f t="shared" ca="1" si="326"/>
        <v>280.07692026646265</v>
      </c>
      <c r="T692">
        <f t="shared" ca="1" si="327"/>
        <v>1019.7665564573041</v>
      </c>
      <c r="U692">
        <f t="shared" ca="1" si="348"/>
        <v>-482.62981620183291</v>
      </c>
      <c r="V692">
        <f t="shared" ca="1" si="349"/>
        <v>0</v>
      </c>
      <c r="W692">
        <f t="shared" ca="1" si="328"/>
        <v>0.05</v>
      </c>
      <c r="X692">
        <f t="shared" ca="1" si="329"/>
        <v>0.26</v>
      </c>
      <c r="Y692">
        <f t="shared" ca="1" si="330"/>
        <v>4.9056603773584909E-2</v>
      </c>
      <c r="Z692">
        <f t="shared" ca="1" si="331"/>
        <v>196.15384615384616</v>
      </c>
      <c r="AA692">
        <f t="shared" ca="1" si="332"/>
        <v>632.34100000000001</v>
      </c>
      <c r="AB692">
        <f t="shared" ca="1" si="333"/>
        <v>2593.4180316486622</v>
      </c>
      <c r="AC692">
        <f t="shared" ca="1" si="334"/>
        <v>482.07306851378365</v>
      </c>
      <c r="AD692">
        <f t="shared" ca="1" si="335"/>
        <v>280.07692026646265</v>
      </c>
      <c r="AE692">
        <f t="shared" ca="1" si="336"/>
        <v>1019.7665564573041</v>
      </c>
      <c r="AF692">
        <f t="shared" ca="1" si="337"/>
        <v>481.59049544528125</v>
      </c>
      <c r="AG692">
        <f t="shared" ca="1" si="338"/>
        <v>0</v>
      </c>
      <c r="AH692">
        <f ca="1">IF(V32="Supercritical",L692,IF(V32="Subcritical",W692,IF(AND(V692=1,AG692=1),IF(T692&gt;=AE692,L692,W692),IF(V692=1,L692,IF(AG692=1,W692,MAX($D$16,POWER((ABS(K692)^2)/($I$5*MAX(F692,0.1)^2),1/3)))))))</f>
        <v>2.1403668656741068</v>
      </c>
      <c r="AI692">
        <f t="shared" ca="1" si="339"/>
        <v>634.43136686567414</v>
      </c>
      <c r="AJ692">
        <f t="shared" ca="1" si="340"/>
        <v>635.50155029851123</v>
      </c>
      <c r="AM692">
        <v>0</v>
      </c>
      <c r="AN692">
        <v>0</v>
      </c>
      <c r="AO692">
        <f t="shared" si="341"/>
        <v>0</v>
      </c>
      <c r="AP692">
        <f t="shared" si="350"/>
        <v>0</v>
      </c>
      <c r="AQ692">
        <f t="shared" ca="1" si="342"/>
        <v>0.99999999999999978</v>
      </c>
      <c r="AR692" t="str">
        <f t="shared" ca="1" si="343"/>
        <v>Supercritical</v>
      </c>
      <c r="AS692">
        <f t="shared" ca="1" si="344"/>
        <v>3.8148159832266538E-3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191</v>
      </c>
      <c r="I693">
        <v>0</v>
      </c>
      <c r="J693">
        <f t="shared" si="345"/>
        <v>0.99900000000002365</v>
      </c>
      <c r="K693">
        <f t="shared" si="346"/>
        <v>51</v>
      </c>
      <c r="L693">
        <f t="shared" ca="1" si="347"/>
        <v>0.05</v>
      </c>
      <c r="M693">
        <f t="shared" ca="1" si="320"/>
        <v>0.26</v>
      </c>
      <c r="N693">
        <f t="shared" ca="1" si="321"/>
        <v>4.9056603773584909E-2</v>
      </c>
      <c r="O693">
        <f t="shared" ca="1" si="322"/>
        <v>196.15384615384616</v>
      </c>
      <c r="P693">
        <f t="shared" ca="1" si="323"/>
        <v>632.34049999999991</v>
      </c>
      <c r="Q693">
        <f t="shared" ca="1" si="324"/>
        <v>2593.4175316486621</v>
      </c>
      <c r="R693">
        <f t="shared" ca="1" si="325"/>
        <v>482.07306851378365</v>
      </c>
      <c r="S693">
        <f t="shared" ca="1" si="326"/>
        <v>280.07692026646265</v>
      </c>
      <c r="T693">
        <f t="shared" ca="1" si="327"/>
        <v>1019.7665564573041</v>
      </c>
      <c r="U693">
        <f t="shared" ca="1" si="348"/>
        <v>-481.59049544528125</v>
      </c>
      <c r="V693">
        <f t="shared" ca="1" si="349"/>
        <v>0</v>
      </c>
      <c r="W693">
        <f t="shared" ca="1" si="328"/>
        <v>0.05</v>
      </c>
      <c r="X693">
        <f t="shared" ca="1" si="329"/>
        <v>0.26</v>
      </c>
      <c r="Y693">
        <f t="shared" ca="1" si="330"/>
        <v>4.9056603773584909E-2</v>
      </c>
      <c r="Z693">
        <f t="shared" ca="1" si="331"/>
        <v>196.15384615384616</v>
      </c>
      <c r="AA693">
        <f t="shared" ca="1" si="332"/>
        <v>632.34049999999991</v>
      </c>
      <c r="AB693">
        <f t="shared" ca="1" si="333"/>
        <v>2593.4175316486621</v>
      </c>
      <c r="AC693">
        <f t="shared" ca="1" si="334"/>
        <v>482.07306851378365</v>
      </c>
      <c r="AD693">
        <f t="shared" ca="1" si="335"/>
        <v>280.07692026646265</v>
      </c>
      <c r="AE693">
        <f t="shared" ca="1" si="336"/>
        <v>1019.7665564573041</v>
      </c>
      <c r="AF693">
        <f t="shared" ca="1" si="337"/>
        <v>482.16081698020798</v>
      </c>
      <c r="AG693">
        <f t="shared" ca="1" si="338"/>
        <v>0</v>
      </c>
      <c r="AH693">
        <f ca="1">IF(V32="Supercritical",L693,IF(V32="Subcritical",W693,IF(AND(V693=1,AG693=1),IF(T693&gt;=AE693,L693,W693),IF(V693=1,L693,IF(AG693=1,W693,MAX($D$16,POWER((ABS(K693)^2)/($I$5*MAX(F693,0.1)^2),1/3)))))))</f>
        <v>2.1403668656741068</v>
      </c>
      <c r="AI693">
        <f t="shared" ca="1" si="339"/>
        <v>634.43086686567403</v>
      </c>
      <c r="AJ693">
        <f t="shared" ca="1" si="340"/>
        <v>635.50105029851113</v>
      </c>
      <c r="AM693">
        <v>0</v>
      </c>
      <c r="AN693">
        <v>0</v>
      </c>
      <c r="AO693">
        <f t="shared" si="341"/>
        <v>0</v>
      </c>
      <c r="AP693">
        <f t="shared" si="350"/>
        <v>0</v>
      </c>
      <c r="AQ693">
        <f t="shared" ca="1" si="342"/>
        <v>0.99999999999999978</v>
      </c>
      <c r="AR693" t="str">
        <f t="shared" ca="1" si="343"/>
        <v>Supercritical</v>
      </c>
      <c r="AS693">
        <f t="shared" ca="1" si="344"/>
        <v>3.8148159832266538E-3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191</v>
      </c>
      <c r="I694">
        <v>2.7E-2</v>
      </c>
      <c r="J694">
        <f t="shared" si="345"/>
        <v>1</v>
      </c>
      <c r="K694">
        <f t="shared" si="346"/>
        <v>51</v>
      </c>
      <c r="L694">
        <f t="shared" ca="1" si="347"/>
        <v>0.05</v>
      </c>
      <c r="M694">
        <f t="shared" ca="1" si="320"/>
        <v>0.26</v>
      </c>
      <c r="N694">
        <f t="shared" ca="1" si="321"/>
        <v>4.9056603773584909E-2</v>
      </c>
      <c r="O694">
        <f t="shared" ca="1" si="322"/>
        <v>196.15384615384616</v>
      </c>
      <c r="P694">
        <f t="shared" ca="1" si="323"/>
        <v>632.33999999999992</v>
      </c>
      <c r="Q694">
        <f t="shared" ca="1" si="324"/>
        <v>2593.417031648662</v>
      </c>
      <c r="R694">
        <f t="shared" ca="1" si="325"/>
        <v>482.07306851378365</v>
      </c>
      <c r="S694">
        <f t="shared" ca="1" si="326"/>
        <v>280.07692026646265</v>
      </c>
      <c r="T694">
        <f t="shared" ca="1" si="327"/>
        <v>1019.7665564573041</v>
      </c>
      <c r="U694">
        <f t="shared" ca="1" si="348"/>
        <v>-482.16081698020798</v>
      </c>
      <c r="V694">
        <f t="shared" ca="1" si="349"/>
        <v>0</v>
      </c>
      <c r="W694">
        <f t="shared" ca="1" si="328"/>
        <v>0.05</v>
      </c>
      <c r="X694">
        <f t="shared" ca="1" si="329"/>
        <v>0.26</v>
      </c>
      <c r="Y694">
        <f t="shared" ca="1" si="330"/>
        <v>4.9056603773584909E-2</v>
      </c>
      <c r="Z694">
        <f t="shared" ca="1" si="331"/>
        <v>196.15384615384616</v>
      </c>
      <c r="AA694">
        <f t="shared" ca="1" si="332"/>
        <v>632.33999999999992</v>
      </c>
      <c r="AB694">
        <f t="shared" ca="1" si="333"/>
        <v>2593.417031648662</v>
      </c>
      <c r="AC694">
        <f t="shared" ca="1" si="334"/>
        <v>482.07306851378365</v>
      </c>
      <c r="AD694">
        <f t="shared" ca="1" si="335"/>
        <v>280.07692026646265</v>
      </c>
      <c r="AE694">
        <f t="shared" ca="1" si="336"/>
        <v>1019.7665564573041</v>
      </c>
      <c r="AF694">
        <f t="shared" ca="1" si="337"/>
        <v>482.32750852789786</v>
      </c>
      <c r="AG694">
        <f t="shared" ca="1" si="338"/>
        <v>0</v>
      </c>
      <c r="AH694">
        <f ca="1">IF(V32="Supercritical",L694,IF(V32="Subcritical",W694,IF(AND(V694=1,AG694=1),IF(T694&gt;=AE694,L694,W694),IF(V694=1,L694,IF(AG694=1,W694,MAX($D$16,POWER((ABS(K694)^2)/($I$5*MAX(F694,0.1)^2),1/3)))))))</f>
        <v>2.1403668656741068</v>
      </c>
      <c r="AI694">
        <f t="shared" ca="1" si="339"/>
        <v>634.43036686567405</v>
      </c>
      <c r="AJ694">
        <f t="shared" ca="1" si="340"/>
        <v>635.50055029851114</v>
      </c>
      <c r="AM694">
        <v>0</v>
      </c>
      <c r="AN694">
        <v>0</v>
      </c>
      <c r="AO694">
        <f t="shared" si="341"/>
        <v>0</v>
      </c>
      <c r="AP694">
        <f t="shared" si="350"/>
        <v>0</v>
      </c>
      <c r="AQ694">
        <f t="shared" ca="1" si="342"/>
        <v>0.99999999999999978</v>
      </c>
      <c r="AR694" t="str">
        <f t="shared" ca="1" si="343"/>
        <v>Supercritical</v>
      </c>
      <c r="AS694">
        <f t="shared" ca="1" si="344"/>
        <v>3.8148159832266538E-3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191</v>
      </c>
      <c r="I695">
        <v>7.8E-2</v>
      </c>
      <c r="J695">
        <f t="shared" si="345"/>
        <v>1</v>
      </c>
      <c r="K695">
        <f t="shared" si="346"/>
        <v>51</v>
      </c>
      <c r="L695">
        <f t="shared" ca="1" si="347"/>
        <v>0.05</v>
      </c>
      <c r="M695">
        <f t="shared" ca="1" si="320"/>
        <v>0.26</v>
      </c>
      <c r="N695">
        <f t="shared" ca="1" si="321"/>
        <v>4.9056603773584909E-2</v>
      </c>
      <c r="O695">
        <f t="shared" ca="1" si="322"/>
        <v>196.15384615384616</v>
      </c>
      <c r="P695">
        <f t="shared" ca="1" si="323"/>
        <v>632.33949999999993</v>
      </c>
      <c r="Q695">
        <f t="shared" ca="1" si="324"/>
        <v>2593.4165316486619</v>
      </c>
      <c r="R695">
        <f t="shared" ca="1" si="325"/>
        <v>482.07306851378365</v>
      </c>
      <c r="S695">
        <f t="shared" ca="1" si="326"/>
        <v>280.07692026646265</v>
      </c>
      <c r="T695">
        <f t="shared" ca="1" si="327"/>
        <v>1019.7665564573041</v>
      </c>
      <c r="U695">
        <f t="shared" ca="1" si="348"/>
        <v>-482.32750852789786</v>
      </c>
      <c r="V695">
        <f t="shared" ca="1" si="349"/>
        <v>0</v>
      </c>
      <c r="W695">
        <f t="shared" ca="1" si="328"/>
        <v>0.05</v>
      </c>
      <c r="X695">
        <f t="shared" ca="1" si="329"/>
        <v>0.26</v>
      </c>
      <c r="Y695">
        <f t="shared" ca="1" si="330"/>
        <v>4.9056603773584909E-2</v>
      </c>
      <c r="Z695">
        <f t="shared" ca="1" si="331"/>
        <v>196.15384615384616</v>
      </c>
      <c r="AA695">
        <f t="shared" ca="1" si="332"/>
        <v>632.33949999999993</v>
      </c>
      <c r="AB695">
        <f t="shared" ca="1" si="333"/>
        <v>2593.4165316486619</v>
      </c>
      <c r="AC695">
        <f t="shared" ca="1" si="334"/>
        <v>482.07306851378365</v>
      </c>
      <c r="AD695">
        <f t="shared" ca="1" si="335"/>
        <v>280.07692026646265</v>
      </c>
      <c r="AE695">
        <f t="shared" ca="1" si="336"/>
        <v>1019.7665564573041</v>
      </c>
      <c r="AF695">
        <f t="shared" ca="1" si="337"/>
        <v>482.32750852789832</v>
      </c>
      <c r="AG695">
        <f t="shared" ca="1" si="338"/>
        <v>0</v>
      </c>
      <c r="AH695">
        <f ca="1">IF(V32="Supercritical",L695,IF(V32="Subcritical",W695,IF(AND(V695=1,AG695=1),IF(T695&gt;=AE695,L695,W695),IF(V695=1,L695,IF(AG695=1,W695,MAX($D$16,POWER((ABS(K695)^2)/($I$5*MAX(F695,0.1)^2),1/3)))))))</f>
        <v>2.1403668656741068</v>
      </c>
      <c r="AI695">
        <f t="shared" ca="1" si="339"/>
        <v>634.42986686567406</v>
      </c>
      <c r="AJ695">
        <f t="shared" ca="1" si="340"/>
        <v>635.50005029851116</v>
      </c>
      <c r="AM695">
        <v>0</v>
      </c>
      <c r="AN695">
        <v>0</v>
      </c>
      <c r="AO695">
        <f t="shared" si="341"/>
        <v>0</v>
      </c>
      <c r="AP695">
        <f t="shared" si="350"/>
        <v>0</v>
      </c>
      <c r="AQ695">
        <f t="shared" ca="1" si="342"/>
        <v>0.99999999999999978</v>
      </c>
      <c r="AR695" t="str">
        <f t="shared" ca="1" si="343"/>
        <v>Supercritical</v>
      </c>
      <c r="AS695">
        <f t="shared" ca="1" si="344"/>
        <v>3.8148159832266538E-3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191</v>
      </c>
      <c r="I696">
        <v>7.8E-2</v>
      </c>
      <c r="J696">
        <f t="shared" si="345"/>
        <v>1</v>
      </c>
      <c r="K696">
        <f t="shared" si="346"/>
        <v>51</v>
      </c>
      <c r="L696">
        <f t="shared" ca="1" si="347"/>
        <v>0.05</v>
      </c>
      <c r="M696">
        <f t="shared" ca="1" si="320"/>
        <v>0.26</v>
      </c>
      <c r="N696">
        <f t="shared" ca="1" si="321"/>
        <v>4.9056603773584909E-2</v>
      </c>
      <c r="O696">
        <f t="shared" ca="1" si="322"/>
        <v>196.15384615384616</v>
      </c>
      <c r="P696">
        <f t="shared" ca="1" si="323"/>
        <v>632.33899999999994</v>
      </c>
      <c r="Q696">
        <f t="shared" ca="1" si="324"/>
        <v>2593.4160316486623</v>
      </c>
      <c r="R696">
        <f t="shared" ca="1" si="325"/>
        <v>482.07306851378365</v>
      </c>
      <c r="S696">
        <f t="shared" ca="1" si="326"/>
        <v>280.07692026646265</v>
      </c>
      <c r="T696">
        <f t="shared" ca="1" si="327"/>
        <v>1019.7665564573041</v>
      </c>
      <c r="U696">
        <f t="shared" ca="1" si="348"/>
        <v>-482.32750852789832</v>
      </c>
      <c r="V696">
        <f t="shared" ca="1" si="349"/>
        <v>0</v>
      </c>
      <c r="W696">
        <f t="shared" ca="1" si="328"/>
        <v>0.05</v>
      </c>
      <c r="X696">
        <f t="shared" ca="1" si="329"/>
        <v>0.26</v>
      </c>
      <c r="Y696">
        <f t="shared" ca="1" si="330"/>
        <v>4.9056603773584909E-2</v>
      </c>
      <c r="Z696">
        <f t="shared" ca="1" si="331"/>
        <v>196.15384615384616</v>
      </c>
      <c r="AA696">
        <f t="shared" ca="1" si="332"/>
        <v>632.33899999999994</v>
      </c>
      <c r="AB696">
        <f t="shared" ca="1" si="333"/>
        <v>2593.4160316486623</v>
      </c>
      <c r="AC696">
        <f t="shared" ca="1" si="334"/>
        <v>482.07306851378365</v>
      </c>
      <c r="AD696">
        <f t="shared" ca="1" si="335"/>
        <v>280.07692026646265</v>
      </c>
      <c r="AE696">
        <f t="shared" ca="1" si="336"/>
        <v>1019.7665564573041</v>
      </c>
      <c r="AF696">
        <f t="shared" ca="1" si="337"/>
        <v>482.64289004871034</v>
      </c>
      <c r="AG696">
        <f t="shared" ca="1" si="338"/>
        <v>0</v>
      </c>
      <c r="AH696">
        <f ca="1">IF(V32="Supercritical",L696,IF(V32="Subcritical",W696,IF(AND(V696=1,AG696=1),IF(T696&gt;=AE696,L696,W696),IF(V696=1,L696,IF(AG696=1,W696,MAX($D$16,POWER((ABS(K696)^2)/($I$5*MAX(F696,0.1)^2),1/3)))))))</f>
        <v>2.1403668656741068</v>
      </c>
      <c r="AI696">
        <f t="shared" ca="1" si="339"/>
        <v>634.42936686567407</v>
      </c>
      <c r="AJ696">
        <f t="shared" ca="1" si="340"/>
        <v>635.49955029851117</v>
      </c>
      <c r="AM696">
        <v>0</v>
      </c>
      <c r="AN696">
        <v>0</v>
      </c>
      <c r="AO696">
        <f t="shared" si="341"/>
        <v>0</v>
      </c>
      <c r="AP696">
        <f t="shared" si="350"/>
        <v>0</v>
      </c>
      <c r="AQ696">
        <f t="shared" ca="1" si="342"/>
        <v>0.99999999999999978</v>
      </c>
      <c r="AR696" t="str">
        <f t="shared" ca="1" si="343"/>
        <v>Supercritical</v>
      </c>
      <c r="AS696">
        <f t="shared" ca="1" si="344"/>
        <v>3.8148159832266538E-3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191</v>
      </c>
      <c r="I697">
        <v>2.7E-2</v>
      </c>
      <c r="J697">
        <f t="shared" si="345"/>
        <v>1.0009999999999764</v>
      </c>
      <c r="K697">
        <f t="shared" si="346"/>
        <v>51</v>
      </c>
      <c r="L697">
        <f t="shared" ca="1" si="347"/>
        <v>0.05</v>
      </c>
      <c r="M697">
        <f t="shared" ca="1" si="320"/>
        <v>0.26</v>
      </c>
      <c r="N697">
        <f t="shared" ca="1" si="321"/>
        <v>4.9056603773584909E-2</v>
      </c>
      <c r="O697">
        <f t="shared" ca="1" si="322"/>
        <v>196.15384615384616</v>
      </c>
      <c r="P697">
        <f t="shared" ca="1" si="323"/>
        <v>632.33849999999995</v>
      </c>
      <c r="Q697">
        <f t="shared" ca="1" si="324"/>
        <v>2593.4155316486622</v>
      </c>
      <c r="R697">
        <f t="shared" ca="1" si="325"/>
        <v>482.07306851378365</v>
      </c>
      <c r="S697">
        <f t="shared" ca="1" si="326"/>
        <v>280.07692026646265</v>
      </c>
      <c r="T697">
        <f t="shared" ca="1" si="327"/>
        <v>1019.7665564573041</v>
      </c>
      <c r="U697">
        <f t="shared" ca="1" si="348"/>
        <v>-482.64289004871034</v>
      </c>
      <c r="V697">
        <f t="shared" ca="1" si="349"/>
        <v>0</v>
      </c>
      <c r="W697">
        <f t="shared" ca="1" si="328"/>
        <v>0.05</v>
      </c>
      <c r="X697">
        <f t="shared" ca="1" si="329"/>
        <v>0.26</v>
      </c>
      <c r="Y697">
        <f t="shared" ca="1" si="330"/>
        <v>4.9056603773584909E-2</v>
      </c>
      <c r="Z697">
        <f t="shared" ca="1" si="331"/>
        <v>196.15384615384616</v>
      </c>
      <c r="AA697">
        <f t="shared" ca="1" si="332"/>
        <v>632.33849999999995</v>
      </c>
      <c r="AB697">
        <f t="shared" ca="1" si="333"/>
        <v>2593.4155316486622</v>
      </c>
      <c r="AC697">
        <f t="shared" ca="1" si="334"/>
        <v>482.07306851378365</v>
      </c>
      <c r="AD697">
        <f t="shared" ca="1" si="335"/>
        <v>280.07692026646265</v>
      </c>
      <c r="AE697">
        <f t="shared" ca="1" si="336"/>
        <v>1019.7665564573041</v>
      </c>
      <c r="AF697">
        <f t="shared" ca="1" si="337"/>
        <v>481.59049544528125</v>
      </c>
      <c r="AG697">
        <f t="shared" ca="1" si="338"/>
        <v>0</v>
      </c>
      <c r="AH697">
        <f ca="1">IF(V32="Supercritical",L697,IF(V32="Subcritical",W697,IF(AND(V697=1,AG697=1),IF(T697&gt;=AE697,L697,W697),IF(V697=1,L697,IF(AG697=1,W697,MAX($D$16,POWER((ABS(K697)^2)/($I$5*MAX(F697,0.1)^2),1/3)))))))</f>
        <v>2.1403668656741068</v>
      </c>
      <c r="AI697">
        <f t="shared" ca="1" si="339"/>
        <v>634.42886686567408</v>
      </c>
      <c r="AJ697">
        <f t="shared" ca="1" si="340"/>
        <v>635.49905029851118</v>
      </c>
      <c r="AM697">
        <v>0</v>
      </c>
      <c r="AN697">
        <v>0</v>
      </c>
      <c r="AO697">
        <f t="shared" si="341"/>
        <v>0</v>
      </c>
      <c r="AP697">
        <f t="shared" si="350"/>
        <v>0</v>
      </c>
      <c r="AQ697">
        <f t="shared" ca="1" si="342"/>
        <v>0.99999999999999978</v>
      </c>
      <c r="AR697" t="str">
        <f t="shared" ca="1" si="343"/>
        <v>Supercritical</v>
      </c>
      <c r="AS697">
        <f t="shared" ca="1" si="344"/>
        <v>3.8148159832266538E-3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191</v>
      </c>
      <c r="I698">
        <v>0</v>
      </c>
      <c r="J698">
        <f t="shared" si="345"/>
        <v>0.99900000000002365</v>
      </c>
      <c r="K698">
        <f t="shared" si="346"/>
        <v>51</v>
      </c>
      <c r="L698">
        <f t="shared" ca="1" si="347"/>
        <v>0.05</v>
      </c>
      <c r="M698">
        <f t="shared" ca="1" si="320"/>
        <v>0.26</v>
      </c>
      <c r="N698">
        <f t="shared" ca="1" si="321"/>
        <v>4.9056603773584909E-2</v>
      </c>
      <c r="O698">
        <f t="shared" ca="1" si="322"/>
        <v>196.15384615384616</v>
      </c>
      <c r="P698">
        <f t="shared" ca="1" si="323"/>
        <v>632.33799999999997</v>
      </c>
      <c r="Q698">
        <f t="shared" ca="1" si="324"/>
        <v>2593.4150316486621</v>
      </c>
      <c r="R698">
        <f t="shared" ca="1" si="325"/>
        <v>482.07306851378365</v>
      </c>
      <c r="S698">
        <f t="shared" ca="1" si="326"/>
        <v>280.07692026646265</v>
      </c>
      <c r="T698">
        <f t="shared" ca="1" si="327"/>
        <v>1019.7665564573041</v>
      </c>
      <c r="U698">
        <f t="shared" ca="1" si="348"/>
        <v>-481.59049544528125</v>
      </c>
      <c r="V698">
        <f t="shared" ca="1" si="349"/>
        <v>0</v>
      </c>
      <c r="W698">
        <f t="shared" ca="1" si="328"/>
        <v>0.05</v>
      </c>
      <c r="X698">
        <f t="shared" ca="1" si="329"/>
        <v>0.26</v>
      </c>
      <c r="Y698">
        <f t="shared" ca="1" si="330"/>
        <v>4.9056603773584909E-2</v>
      </c>
      <c r="Z698">
        <f t="shared" ca="1" si="331"/>
        <v>196.15384615384616</v>
      </c>
      <c r="AA698">
        <f t="shared" ca="1" si="332"/>
        <v>632.33799999999997</v>
      </c>
      <c r="AB698">
        <f t="shared" ca="1" si="333"/>
        <v>2593.4150316486621</v>
      </c>
      <c r="AC698">
        <f t="shared" ca="1" si="334"/>
        <v>482.07306851378365</v>
      </c>
      <c r="AD698">
        <f t="shared" ca="1" si="335"/>
        <v>280.07692026646265</v>
      </c>
      <c r="AE698">
        <f t="shared" ca="1" si="336"/>
        <v>1019.7665564573041</v>
      </c>
      <c r="AF698">
        <f t="shared" ca="1" si="337"/>
        <v>482.16081698020798</v>
      </c>
      <c r="AG698">
        <f t="shared" ca="1" si="338"/>
        <v>0</v>
      </c>
      <c r="AH698">
        <f ca="1">IF(V32="Supercritical",L698,IF(V32="Subcritical",W698,IF(AND(V698=1,AG698=1),IF(T698&gt;=AE698,L698,W698),IF(V698=1,L698,IF(AG698=1,W698,MAX($D$16,POWER((ABS(K698)^2)/($I$5*MAX(F698,0.1)^2),1/3)))))))</f>
        <v>2.1403668656741068</v>
      </c>
      <c r="AI698">
        <f t="shared" ca="1" si="339"/>
        <v>634.42836686567409</v>
      </c>
      <c r="AJ698">
        <f t="shared" ca="1" si="340"/>
        <v>635.49855029851119</v>
      </c>
      <c r="AM698">
        <v>0</v>
      </c>
      <c r="AN698">
        <v>0</v>
      </c>
      <c r="AO698">
        <f t="shared" si="341"/>
        <v>0</v>
      </c>
      <c r="AP698">
        <f t="shared" si="350"/>
        <v>0</v>
      </c>
      <c r="AQ698">
        <f t="shared" ca="1" si="342"/>
        <v>0.99999999999999978</v>
      </c>
      <c r="AR698" t="str">
        <f t="shared" ca="1" si="343"/>
        <v>Supercritical</v>
      </c>
      <c r="AS698">
        <f t="shared" ca="1" si="344"/>
        <v>3.8148159832266538E-3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191</v>
      </c>
      <c r="I699">
        <v>2.7E-2</v>
      </c>
      <c r="J699">
        <f t="shared" si="345"/>
        <v>1</v>
      </c>
      <c r="K699">
        <f t="shared" si="346"/>
        <v>51</v>
      </c>
      <c r="L699">
        <f t="shared" ca="1" si="347"/>
        <v>0.05</v>
      </c>
      <c r="M699">
        <f t="shared" ca="1" si="320"/>
        <v>0.26</v>
      </c>
      <c r="N699">
        <f t="shared" ca="1" si="321"/>
        <v>4.9056603773584909E-2</v>
      </c>
      <c r="O699">
        <f t="shared" ca="1" si="322"/>
        <v>196.15384615384616</v>
      </c>
      <c r="P699">
        <f t="shared" ca="1" si="323"/>
        <v>632.33749999999998</v>
      </c>
      <c r="Q699">
        <f t="shared" ca="1" si="324"/>
        <v>2593.414531648662</v>
      </c>
      <c r="R699">
        <f t="shared" ca="1" si="325"/>
        <v>482.07306851378365</v>
      </c>
      <c r="S699">
        <f t="shared" ca="1" si="326"/>
        <v>280.07692026646265</v>
      </c>
      <c r="T699">
        <f t="shared" ca="1" si="327"/>
        <v>1019.7665564573041</v>
      </c>
      <c r="U699">
        <f t="shared" ca="1" si="348"/>
        <v>-482.16081698020798</v>
      </c>
      <c r="V699">
        <f t="shared" ca="1" si="349"/>
        <v>0</v>
      </c>
      <c r="W699">
        <f t="shared" ca="1" si="328"/>
        <v>0.05</v>
      </c>
      <c r="X699">
        <f t="shared" ca="1" si="329"/>
        <v>0.26</v>
      </c>
      <c r="Y699">
        <f t="shared" ca="1" si="330"/>
        <v>4.9056603773584909E-2</v>
      </c>
      <c r="Z699">
        <f t="shared" ca="1" si="331"/>
        <v>196.15384615384616</v>
      </c>
      <c r="AA699">
        <f t="shared" ca="1" si="332"/>
        <v>632.33749999999998</v>
      </c>
      <c r="AB699">
        <f t="shared" ca="1" si="333"/>
        <v>2593.414531648662</v>
      </c>
      <c r="AC699">
        <f t="shared" ca="1" si="334"/>
        <v>482.07306851378365</v>
      </c>
      <c r="AD699">
        <f t="shared" ca="1" si="335"/>
        <v>280.07692026646265</v>
      </c>
      <c r="AE699">
        <f t="shared" ca="1" si="336"/>
        <v>1019.7665564573041</v>
      </c>
      <c r="AF699">
        <f t="shared" ca="1" si="337"/>
        <v>482.32750852789786</v>
      </c>
      <c r="AG699">
        <f t="shared" ca="1" si="338"/>
        <v>0</v>
      </c>
      <c r="AH699">
        <f ca="1">IF(V32="Supercritical",L699,IF(V32="Subcritical",W699,IF(AND(V699=1,AG699=1),IF(T699&gt;=AE699,L699,W699),IF(V699=1,L699,IF(AG699=1,W699,MAX($D$16,POWER((ABS(K699)^2)/($I$5*MAX(F699,0.1)^2),1/3)))))))</f>
        <v>2.1403668656741068</v>
      </c>
      <c r="AI699">
        <f t="shared" ca="1" si="339"/>
        <v>634.4278668656741</v>
      </c>
      <c r="AJ699">
        <f t="shared" ca="1" si="340"/>
        <v>635.4980502985112</v>
      </c>
      <c r="AM699">
        <v>0</v>
      </c>
      <c r="AN699">
        <v>0</v>
      </c>
      <c r="AO699">
        <f t="shared" si="341"/>
        <v>0</v>
      </c>
      <c r="AP699">
        <f t="shared" si="350"/>
        <v>0</v>
      </c>
      <c r="AQ699">
        <f t="shared" ca="1" si="342"/>
        <v>0.99999999999999978</v>
      </c>
      <c r="AR699" t="str">
        <f t="shared" ca="1" si="343"/>
        <v>Supercritical</v>
      </c>
      <c r="AS699">
        <f t="shared" ca="1" si="344"/>
        <v>3.8148159832266538E-3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191</v>
      </c>
      <c r="I700">
        <v>7.8E-2</v>
      </c>
      <c r="J700">
        <f t="shared" si="345"/>
        <v>1</v>
      </c>
      <c r="K700">
        <f t="shared" si="346"/>
        <v>51</v>
      </c>
      <c r="L700">
        <f t="shared" ca="1" si="347"/>
        <v>0.05</v>
      </c>
      <c r="M700">
        <f t="shared" ca="1" si="320"/>
        <v>0.26</v>
      </c>
      <c r="N700">
        <f t="shared" ca="1" si="321"/>
        <v>4.9056603773584909E-2</v>
      </c>
      <c r="O700">
        <f t="shared" ca="1" si="322"/>
        <v>196.15384615384616</v>
      </c>
      <c r="P700">
        <f t="shared" ca="1" si="323"/>
        <v>632.33699999999999</v>
      </c>
      <c r="Q700">
        <f t="shared" ca="1" si="324"/>
        <v>2593.4140316486619</v>
      </c>
      <c r="R700">
        <f t="shared" ca="1" si="325"/>
        <v>482.07306851378365</v>
      </c>
      <c r="S700">
        <f t="shared" ca="1" si="326"/>
        <v>280.07692026646265</v>
      </c>
      <c r="T700">
        <f t="shared" ca="1" si="327"/>
        <v>1019.7665564573041</v>
      </c>
      <c r="U700">
        <f t="shared" ca="1" si="348"/>
        <v>-482.32750852789786</v>
      </c>
      <c r="V700">
        <f t="shared" ca="1" si="349"/>
        <v>0</v>
      </c>
      <c r="W700">
        <f t="shared" ca="1" si="328"/>
        <v>0.05</v>
      </c>
      <c r="X700">
        <f t="shared" ca="1" si="329"/>
        <v>0.26</v>
      </c>
      <c r="Y700">
        <f t="shared" ca="1" si="330"/>
        <v>4.9056603773584909E-2</v>
      </c>
      <c r="Z700">
        <f t="shared" ca="1" si="331"/>
        <v>196.15384615384616</v>
      </c>
      <c r="AA700">
        <f t="shared" ca="1" si="332"/>
        <v>632.33699999999999</v>
      </c>
      <c r="AB700">
        <f t="shared" ca="1" si="333"/>
        <v>2593.4140316486619</v>
      </c>
      <c r="AC700">
        <f t="shared" ca="1" si="334"/>
        <v>482.07306851378365</v>
      </c>
      <c r="AD700">
        <f t="shared" ca="1" si="335"/>
        <v>280.07692026646265</v>
      </c>
      <c r="AE700">
        <f t="shared" ca="1" si="336"/>
        <v>1019.7665564573041</v>
      </c>
      <c r="AF700">
        <f t="shared" ca="1" si="337"/>
        <v>482.32750852789832</v>
      </c>
      <c r="AG700">
        <f t="shared" ca="1" si="338"/>
        <v>0</v>
      </c>
      <c r="AH700">
        <f ca="1">IF(V32="Supercritical",L700,IF(V32="Subcritical",W700,IF(AND(V700=1,AG700=1),IF(T700&gt;=AE700,L700,W700),IF(V700=1,L700,IF(AG700=1,W700,MAX($D$16,POWER((ABS(K700)^2)/($I$5*MAX(F700,0.1)^2),1/3)))))))</f>
        <v>2.1403668656741068</v>
      </c>
      <c r="AI700">
        <f t="shared" ca="1" si="339"/>
        <v>634.42736686567412</v>
      </c>
      <c r="AJ700">
        <f t="shared" ca="1" si="340"/>
        <v>635.49755029851121</v>
      </c>
      <c r="AM700">
        <v>0</v>
      </c>
      <c r="AN700">
        <v>0</v>
      </c>
      <c r="AO700">
        <f t="shared" si="341"/>
        <v>0</v>
      </c>
      <c r="AP700">
        <f t="shared" si="350"/>
        <v>0</v>
      </c>
      <c r="AQ700">
        <f t="shared" ca="1" si="342"/>
        <v>0.99999999999999978</v>
      </c>
      <c r="AR700" t="str">
        <f t="shared" ca="1" si="343"/>
        <v>Supercritical</v>
      </c>
      <c r="AS700">
        <f t="shared" ca="1" si="344"/>
        <v>3.8148159832266538E-3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191</v>
      </c>
      <c r="I701">
        <v>7.8E-2</v>
      </c>
      <c r="J701">
        <f t="shared" si="345"/>
        <v>1</v>
      </c>
      <c r="K701">
        <f t="shared" si="346"/>
        <v>51</v>
      </c>
      <c r="L701">
        <f t="shared" ca="1" si="347"/>
        <v>0.05</v>
      </c>
      <c r="M701">
        <f t="shared" ca="1" si="320"/>
        <v>0.26</v>
      </c>
      <c r="N701">
        <f t="shared" ca="1" si="321"/>
        <v>4.9056603773584909E-2</v>
      </c>
      <c r="O701">
        <f t="shared" ca="1" si="322"/>
        <v>196.15384615384616</v>
      </c>
      <c r="P701">
        <f t="shared" ca="1" si="323"/>
        <v>632.3365</v>
      </c>
      <c r="Q701">
        <f t="shared" ca="1" si="324"/>
        <v>2593.4135316486622</v>
      </c>
      <c r="R701">
        <f t="shared" ca="1" si="325"/>
        <v>482.07306851378365</v>
      </c>
      <c r="S701">
        <f t="shared" ca="1" si="326"/>
        <v>280.07692026646265</v>
      </c>
      <c r="T701">
        <f t="shared" ca="1" si="327"/>
        <v>1019.7665564573041</v>
      </c>
      <c r="U701">
        <f t="shared" ca="1" si="348"/>
        <v>-482.32750852789832</v>
      </c>
      <c r="V701">
        <f t="shared" ca="1" si="349"/>
        <v>0</v>
      </c>
      <c r="W701">
        <f t="shared" ca="1" si="328"/>
        <v>0.05</v>
      </c>
      <c r="X701">
        <f t="shared" ca="1" si="329"/>
        <v>0.26</v>
      </c>
      <c r="Y701">
        <f t="shared" ca="1" si="330"/>
        <v>4.9056603773584909E-2</v>
      </c>
      <c r="Z701">
        <f t="shared" ca="1" si="331"/>
        <v>196.15384615384616</v>
      </c>
      <c r="AA701">
        <f t="shared" ca="1" si="332"/>
        <v>632.3365</v>
      </c>
      <c r="AB701">
        <f t="shared" ca="1" si="333"/>
        <v>2593.4135316486622</v>
      </c>
      <c r="AC701">
        <f t="shared" ca="1" si="334"/>
        <v>482.07306851378365</v>
      </c>
      <c r="AD701">
        <f t="shared" ca="1" si="335"/>
        <v>280.07692026646265</v>
      </c>
      <c r="AE701">
        <f t="shared" ca="1" si="336"/>
        <v>1019.7665564573041</v>
      </c>
      <c r="AF701">
        <f t="shared" ca="1" si="337"/>
        <v>482.64289004871034</v>
      </c>
      <c r="AG701">
        <f t="shared" ca="1" si="338"/>
        <v>0</v>
      </c>
      <c r="AH701">
        <f ca="1">IF(V32="Supercritical",L701,IF(V32="Subcritical",W701,IF(AND(V701=1,AG701=1),IF(T701&gt;=AE701,L701,W701),IF(V701=1,L701,IF(AG701=1,W701,MAX($D$16,POWER((ABS(K701)^2)/($I$5*MAX(F701,0.1)^2),1/3)))))))</f>
        <v>2.1403668656741068</v>
      </c>
      <c r="AI701">
        <f t="shared" ca="1" si="339"/>
        <v>634.42686686567413</v>
      </c>
      <c r="AJ701">
        <f t="shared" ca="1" si="340"/>
        <v>635.49705029851123</v>
      </c>
      <c r="AM701">
        <v>0</v>
      </c>
      <c r="AN701">
        <v>0</v>
      </c>
      <c r="AO701">
        <f t="shared" si="341"/>
        <v>0</v>
      </c>
      <c r="AP701">
        <f t="shared" si="350"/>
        <v>0</v>
      </c>
      <c r="AQ701">
        <f t="shared" ca="1" si="342"/>
        <v>0.99999999999999978</v>
      </c>
      <c r="AR701" t="str">
        <f t="shared" ca="1" si="343"/>
        <v>Supercritical</v>
      </c>
      <c r="AS701">
        <f t="shared" ca="1" si="344"/>
        <v>3.8148159832266538E-3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191</v>
      </c>
      <c r="I702">
        <v>2.7E-2</v>
      </c>
      <c r="J702">
        <f t="shared" si="345"/>
        <v>1.0009999999999764</v>
      </c>
      <c r="K702">
        <f t="shared" si="346"/>
        <v>51</v>
      </c>
      <c r="L702">
        <f t="shared" ca="1" si="347"/>
        <v>0.05</v>
      </c>
      <c r="M702">
        <f t="shared" ca="1" si="320"/>
        <v>0.26</v>
      </c>
      <c r="N702">
        <f t="shared" ca="1" si="321"/>
        <v>4.9056603773584909E-2</v>
      </c>
      <c r="O702">
        <f t="shared" ca="1" si="322"/>
        <v>196.15384615384616</v>
      </c>
      <c r="P702">
        <f t="shared" ca="1" si="323"/>
        <v>632.3359999999999</v>
      </c>
      <c r="Q702">
        <f t="shared" ca="1" si="324"/>
        <v>2593.4130316486621</v>
      </c>
      <c r="R702">
        <f t="shared" ca="1" si="325"/>
        <v>482.07306851378365</v>
      </c>
      <c r="S702">
        <f t="shared" ca="1" si="326"/>
        <v>280.07692026646265</v>
      </c>
      <c r="T702">
        <f t="shared" ca="1" si="327"/>
        <v>1019.7665564573041</v>
      </c>
      <c r="U702">
        <f t="shared" ca="1" si="348"/>
        <v>-482.64289004871034</v>
      </c>
      <c r="V702">
        <f t="shared" ca="1" si="349"/>
        <v>0</v>
      </c>
      <c r="W702">
        <f t="shared" ca="1" si="328"/>
        <v>0.05</v>
      </c>
      <c r="X702">
        <f t="shared" ca="1" si="329"/>
        <v>0.26</v>
      </c>
      <c r="Y702">
        <f t="shared" ca="1" si="330"/>
        <v>4.9056603773584909E-2</v>
      </c>
      <c r="Z702">
        <f t="shared" ca="1" si="331"/>
        <v>196.15384615384616</v>
      </c>
      <c r="AA702">
        <f t="shared" ca="1" si="332"/>
        <v>632.3359999999999</v>
      </c>
      <c r="AB702">
        <f t="shared" ca="1" si="333"/>
        <v>2593.4130316486621</v>
      </c>
      <c r="AC702">
        <f t="shared" ca="1" si="334"/>
        <v>482.07306851378365</v>
      </c>
      <c r="AD702">
        <f t="shared" ca="1" si="335"/>
        <v>280.07692026646265</v>
      </c>
      <c r="AE702">
        <f t="shared" ca="1" si="336"/>
        <v>1019.7665564573041</v>
      </c>
      <c r="AF702">
        <f t="shared" ca="1" si="337"/>
        <v>481.59049544528125</v>
      </c>
      <c r="AG702">
        <f t="shared" ca="1" si="338"/>
        <v>0</v>
      </c>
      <c r="AH702">
        <f ca="1">IF(V32="Supercritical",L702,IF(V32="Subcritical",W702,IF(AND(V702=1,AG702=1),IF(T702&gt;=AE702,L702,W702),IF(V702=1,L702,IF(AG702=1,W702,MAX($D$16,POWER((ABS(K702)^2)/($I$5*MAX(F702,0.1)^2),1/3)))))))</f>
        <v>2.1403668656741068</v>
      </c>
      <c r="AI702">
        <f t="shared" ca="1" si="339"/>
        <v>634.42636686567403</v>
      </c>
      <c r="AJ702">
        <f t="shared" ca="1" si="340"/>
        <v>635.49655029851112</v>
      </c>
      <c r="AM702">
        <v>0</v>
      </c>
      <c r="AN702">
        <v>0</v>
      </c>
      <c r="AO702">
        <f t="shared" si="341"/>
        <v>0</v>
      </c>
      <c r="AP702">
        <f t="shared" si="350"/>
        <v>0</v>
      </c>
      <c r="AQ702">
        <f t="shared" ca="1" si="342"/>
        <v>0.99999999999999978</v>
      </c>
      <c r="AR702" t="str">
        <f t="shared" ca="1" si="343"/>
        <v>Supercritical</v>
      </c>
      <c r="AS702">
        <f t="shared" ca="1" si="344"/>
        <v>3.8148159832266538E-3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191</v>
      </c>
      <c r="I703">
        <v>0</v>
      </c>
      <c r="J703">
        <f t="shared" si="345"/>
        <v>0.99900000000002365</v>
      </c>
      <c r="K703">
        <f t="shared" si="346"/>
        <v>51</v>
      </c>
      <c r="L703">
        <f t="shared" ca="1" si="347"/>
        <v>0.05</v>
      </c>
      <c r="M703">
        <f t="shared" ca="1" si="320"/>
        <v>0.26</v>
      </c>
      <c r="N703">
        <f t="shared" ca="1" si="321"/>
        <v>4.9056603773584909E-2</v>
      </c>
      <c r="O703">
        <f t="shared" ca="1" si="322"/>
        <v>196.15384615384616</v>
      </c>
      <c r="P703">
        <f t="shared" ca="1" si="323"/>
        <v>632.33549999999991</v>
      </c>
      <c r="Q703">
        <f t="shared" ca="1" si="324"/>
        <v>2593.412531648662</v>
      </c>
      <c r="R703">
        <f t="shared" ca="1" si="325"/>
        <v>482.07306851378365</v>
      </c>
      <c r="S703">
        <f t="shared" ca="1" si="326"/>
        <v>280.07692026646265</v>
      </c>
      <c r="T703">
        <f t="shared" ca="1" si="327"/>
        <v>1019.7665564573041</v>
      </c>
      <c r="U703">
        <f t="shared" ca="1" si="348"/>
        <v>-481.59049544528125</v>
      </c>
      <c r="V703">
        <f t="shared" ca="1" si="349"/>
        <v>0</v>
      </c>
      <c r="W703">
        <f t="shared" ca="1" si="328"/>
        <v>0.05</v>
      </c>
      <c r="X703">
        <f t="shared" ca="1" si="329"/>
        <v>0.26</v>
      </c>
      <c r="Y703">
        <f t="shared" ca="1" si="330"/>
        <v>4.9056603773584909E-2</v>
      </c>
      <c r="Z703">
        <f t="shared" ca="1" si="331"/>
        <v>196.15384615384616</v>
      </c>
      <c r="AA703">
        <f t="shared" ca="1" si="332"/>
        <v>632.33549999999991</v>
      </c>
      <c r="AB703">
        <f t="shared" ca="1" si="333"/>
        <v>2593.412531648662</v>
      </c>
      <c r="AC703">
        <f t="shared" ca="1" si="334"/>
        <v>482.07306851378365</v>
      </c>
      <c r="AD703">
        <f t="shared" ca="1" si="335"/>
        <v>280.07692026646265</v>
      </c>
      <c r="AE703">
        <f t="shared" ca="1" si="336"/>
        <v>1019.7665564573041</v>
      </c>
      <c r="AF703">
        <f t="shared" ca="1" si="337"/>
        <v>482.1477431333301</v>
      </c>
      <c r="AG703">
        <f t="shared" ca="1" si="338"/>
        <v>0</v>
      </c>
      <c r="AH703">
        <f ca="1">IF(V32="Supercritical",L703,IF(V32="Subcritical",W703,IF(AND(V703=1,AG703=1),IF(T703&gt;=AE703,L703,W703),IF(V703=1,L703,IF(AG703=1,W703,MAX($D$16,POWER((ABS(K703)^2)/($I$5*MAX(F703,0.1)^2),1/3)))))))</f>
        <v>2.1403668656741068</v>
      </c>
      <c r="AI703">
        <f t="shared" ca="1" si="339"/>
        <v>634.42586686567404</v>
      </c>
      <c r="AJ703">
        <f t="shared" ca="1" si="340"/>
        <v>635.49605029851114</v>
      </c>
      <c r="AM703">
        <v>0</v>
      </c>
      <c r="AN703">
        <v>0</v>
      </c>
      <c r="AO703">
        <f t="shared" si="341"/>
        <v>0</v>
      </c>
      <c r="AP703">
        <f t="shared" si="350"/>
        <v>0</v>
      </c>
      <c r="AQ703">
        <f t="shared" ca="1" si="342"/>
        <v>0.99999999999999978</v>
      </c>
      <c r="AR703" t="str">
        <f t="shared" ca="1" si="343"/>
        <v>Supercritical</v>
      </c>
      <c r="AS703">
        <f t="shared" ca="1" si="344"/>
        <v>3.8148159832266538E-3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191</v>
      </c>
      <c r="I704">
        <v>2.3E-2</v>
      </c>
      <c r="J704">
        <f t="shared" si="345"/>
        <v>1</v>
      </c>
      <c r="K704">
        <f t="shared" si="346"/>
        <v>51</v>
      </c>
      <c r="L704">
        <f t="shared" ca="1" si="347"/>
        <v>0.05</v>
      </c>
      <c r="M704">
        <f t="shared" ca="1" si="320"/>
        <v>0.26</v>
      </c>
      <c r="N704">
        <f t="shared" ca="1" si="321"/>
        <v>4.9056603773584909E-2</v>
      </c>
      <c r="O704">
        <f t="shared" ca="1" si="322"/>
        <v>196.15384615384616</v>
      </c>
      <c r="P704">
        <f t="shared" ca="1" si="323"/>
        <v>632.33499999999992</v>
      </c>
      <c r="Q704">
        <f t="shared" ca="1" si="324"/>
        <v>2593.4120316486619</v>
      </c>
      <c r="R704">
        <f t="shared" ca="1" si="325"/>
        <v>482.07306851378365</v>
      </c>
      <c r="S704">
        <f t="shared" ca="1" si="326"/>
        <v>280.07692026646265</v>
      </c>
      <c r="T704">
        <f t="shared" ca="1" si="327"/>
        <v>1019.7665564573041</v>
      </c>
      <c r="U704">
        <f t="shared" ca="1" si="348"/>
        <v>-482.1477431333301</v>
      </c>
      <c r="V704">
        <f t="shared" ca="1" si="349"/>
        <v>0</v>
      </c>
      <c r="W704">
        <f t="shared" ca="1" si="328"/>
        <v>0.05</v>
      </c>
      <c r="X704">
        <f t="shared" ca="1" si="329"/>
        <v>0.26</v>
      </c>
      <c r="Y704">
        <f t="shared" ca="1" si="330"/>
        <v>4.9056603773584909E-2</v>
      </c>
      <c r="Z704">
        <f t="shared" ca="1" si="331"/>
        <v>196.15384615384616</v>
      </c>
      <c r="AA704">
        <f t="shared" ca="1" si="332"/>
        <v>632.33499999999992</v>
      </c>
      <c r="AB704">
        <f t="shared" ca="1" si="333"/>
        <v>2593.4120316486619</v>
      </c>
      <c r="AC704">
        <f t="shared" ca="1" si="334"/>
        <v>482.07306851378365</v>
      </c>
      <c r="AD704">
        <f t="shared" ca="1" si="335"/>
        <v>280.07692026646265</v>
      </c>
      <c r="AE704">
        <f t="shared" ca="1" si="336"/>
        <v>1019.7665564573041</v>
      </c>
      <c r="AF704">
        <f t="shared" ca="1" si="337"/>
        <v>482.62981620183291</v>
      </c>
      <c r="AG704">
        <f t="shared" ca="1" si="338"/>
        <v>0</v>
      </c>
      <c r="AH704">
        <f ca="1">IF(V32="Supercritical",L704,IF(V32="Subcritical",W704,IF(AND(V704=1,AG704=1),IF(T704&gt;=AE704,L704,W704),IF(V704=1,L704,IF(AG704=1,W704,MAX($D$16,POWER((ABS(K704)^2)/($I$5*MAX(F704,0.1)^2),1/3)))))))</f>
        <v>2.1403668656741068</v>
      </c>
      <c r="AI704">
        <f t="shared" ca="1" si="339"/>
        <v>634.42536686567405</v>
      </c>
      <c r="AJ704">
        <f t="shared" ca="1" si="340"/>
        <v>635.49555029851115</v>
      </c>
      <c r="AM704">
        <v>0</v>
      </c>
      <c r="AN704">
        <v>0</v>
      </c>
      <c r="AO704">
        <f t="shared" si="341"/>
        <v>0</v>
      </c>
      <c r="AP704">
        <f t="shared" si="350"/>
        <v>0</v>
      </c>
      <c r="AQ704">
        <f t="shared" ca="1" si="342"/>
        <v>0.99999999999999978</v>
      </c>
      <c r="AR704" t="str">
        <f t="shared" ca="1" si="343"/>
        <v>Supercritical</v>
      </c>
      <c r="AS704">
        <f t="shared" ca="1" si="344"/>
        <v>3.8148159832266538E-3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191</v>
      </c>
      <c r="I705">
        <v>2.3E-2</v>
      </c>
      <c r="J705">
        <f t="shared" si="345"/>
        <v>1.0009999999999764</v>
      </c>
      <c r="K705">
        <f t="shared" si="346"/>
        <v>51</v>
      </c>
      <c r="L705">
        <f t="shared" ca="1" si="347"/>
        <v>0.05</v>
      </c>
      <c r="M705">
        <f t="shared" ca="1" si="320"/>
        <v>0.26</v>
      </c>
      <c r="N705">
        <f t="shared" ca="1" si="321"/>
        <v>4.9056603773584909E-2</v>
      </c>
      <c r="O705">
        <f t="shared" ca="1" si="322"/>
        <v>196.15384615384616</v>
      </c>
      <c r="P705">
        <f t="shared" ca="1" si="323"/>
        <v>632.33449999999993</v>
      </c>
      <c r="Q705">
        <f t="shared" ca="1" si="324"/>
        <v>2593.4115316486623</v>
      </c>
      <c r="R705">
        <f t="shared" ca="1" si="325"/>
        <v>482.07306851378365</v>
      </c>
      <c r="S705">
        <f t="shared" ca="1" si="326"/>
        <v>280.07692026646265</v>
      </c>
      <c r="T705">
        <f t="shared" ca="1" si="327"/>
        <v>1019.7665564573041</v>
      </c>
      <c r="U705">
        <f t="shared" ca="1" si="348"/>
        <v>-482.62981620183291</v>
      </c>
      <c r="V705">
        <f t="shared" ca="1" si="349"/>
        <v>0</v>
      </c>
      <c r="W705">
        <f t="shared" ca="1" si="328"/>
        <v>0.05</v>
      </c>
      <c r="X705">
        <f t="shared" ca="1" si="329"/>
        <v>0.26</v>
      </c>
      <c r="Y705">
        <f t="shared" ca="1" si="330"/>
        <v>4.9056603773584909E-2</v>
      </c>
      <c r="Z705">
        <f t="shared" ca="1" si="331"/>
        <v>196.15384615384616</v>
      </c>
      <c r="AA705">
        <f t="shared" ca="1" si="332"/>
        <v>632.33449999999993</v>
      </c>
      <c r="AB705">
        <f t="shared" ca="1" si="333"/>
        <v>2593.4115316486623</v>
      </c>
      <c r="AC705">
        <f t="shared" ca="1" si="334"/>
        <v>482.07306851378365</v>
      </c>
      <c r="AD705">
        <f t="shared" ca="1" si="335"/>
        <v>280.07692026646265</v>
      </c>
      <c r="AE705">
        <f t="shared" ca="1" si="336"/>
        <v>1019.7665564573041</v>
      </c>
      <c r="AF705">
        <f t="shared" ca="1" si="337"/>
        <v>481.67874391170562</v>
      </c>
      <c r="AG705">
        <f t="shared" ca="1" si="338"/>
        <v>0</v>
      </c>
      <c r="AH705">
        <f ca="1">IF(V32="Supercritical",L705,IF(V32="Subcritical",W705,IF(AND(V705=1,AG705=1),IF(T705&gt;=AE705,L705,W705),IF(V705=1,L705,IF(AG705=1,W705,MAX($D$16,POWER((ABS(K705)^2)/($I$5*MAX(F705,0.1)^2),1/3)))))))</f>
        <v>2.1403668656741068</v>
      </c>
      <c r="AI705">
        <f t="shared" ca="1" si="339"/>
        <v>634.42486686567406</v>
      </c>
      <c r="AJ705">
        <f t="shared" ca="1" si="340"/>
        <v>635.49505029851116</v>
      </c>
      <c r="AM705">
        <v>0</v>
      </c>
      <c r="AN705">
        <v>0</v>
      </c>
      <c r="AO705">
        <f t="shared" si="341"/>
        <v>0</v>
      </c>
      <c r="AP705">
        <f t="shared" si="350"/>
        <v>0</v>
      </c>
      <c r="AQ705">
        <f t="shared" ca="1" si="342"/>
        <v>0.99999999999999978</v>
      </c>
      <c r="AR705" t="str">
        <f t="shared" ca="1" si="343"/>
        <v>Supercritical</v>
      </c>
      <c r="AS705">
        <f t="shared" ca="1" si="344"/>
        <v>3.8148159832266538E-3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191</v>
      </c>
      <c r="I706">
        <v>2.7E-2</v>
      </c>
      <c r="J706">
        <f t="shared" si="345"/>
        <v>0.99900000000002365</v>
      </c>
      <c r="K706">
        <f t="shared" si="346"/>
        <v>51</v>
      </c>
      <c r="L706">
        <f t="shared" ca="1" si="347"/>
        <v>0.05</v>
      </c>
      <c r="M706">
        <f t="shared" ca="1" si="320"/>
        <v>0.26</v>
      </c>
      <c r="N706">
        <f t="shared" ca="1" si="321"/>
        <v>4.9056603773584909E-2</v>
      </c>
      <c r="O706">
        <f t="shared" ca="1" si="322"/>
        <v>196.15384615384616</v>
      </c>
      <c r="P706">
        <f t="shared" ca="1" si="323"/>
        <v>632.33399999999995</v>
      </c>
      <c r="Q706">
        <f t="shared" ca="1" si="324"/>
        <v>2593.4110316486622</v>
      </c>
      <c r="R706">
        <f t="shared" ca="1" si="325"/>
        <v>482.07306851378365</v>
      </c>
      <c r="S706">
        <f t="shared" ca="1" si="326"/>
        <v>280.07692026646265</v>
      </c>
      <c r="T706">
        <f t="shared" ca="1" si="327"/>
        <v>1019.7665564573041</v>
      </c>
      <c r="U706">
        <f t="shared" ca="1" si="348"/>
        <v>-481.67874391170562</v>
      </c>
      <c r="V706">
        <f t="shared" ca="1" si="349"/>
        <v>0</v>
      </c>
      <c r="W706">
        <f t="shared" ca="1" si="328"/>
        <v>0.05</v>
      </c>
      <c r="X706">
        <f t="shared" ca="1" si="329"/>
        <v>0.26</v>
      </c>
      <c r="Y706">
        <f t="shared" ca="1" si="330"/>
        <v>4.9056603773584909E-2</v>
      </c>
      <c r="Z706">
        <f t="shared" ca="1" si="331"/>
        <v>196.15384615384616</v>
      </c>
      <c r="AA706">
        <f t="shared" ca="1" si="332"/>
        <v>632.33399999999995</v>
      </c>
      <c r="AB706">
        <f t="shared" ca="1" si="333"/>
        <v>2593.4110316486622</v>
      </c>
      <c r="AC706">
        <f t="shared" ca="1" si="334"/>
        <v>482.07306851378365</v>
      </c>
      <c r="AD706">
        <f t="shared" ca="1" si="335"/>
        <v>280.07692026646265</v>
      </c>
      <c r="AE706">
        <f t="shared" ca="1" si="336"/>
        <v>1019.7665564573041</v>
      </c>
      <c r="AF706">
        <f t="shared" ca="1" si="337"/>
        <v>482.64289004871034</v>
      </c>
      <c r="AG706">
        <f t="shared" ca="1" si="338"/>
        <v>0</v>
      </c>
      <c r="AH706">
        <f ca="1">IF(V32="Supercritical",L706,IF(V32="Subcritical",W706,IF(AND(V706=1,AG706=1),IF(T706&gt;=AE706,L706,W706),IF(V706=1,L706,IF(AG706=1,W706,MAX($D$16,POWER((ABS(K706)^2)/($I$5*MAX(F706,0.1)^2),1/3)))))))</f>
        <v>2.1403668656741068</v>
      </c>
      <c r="AI706">
        <f t="shared" ca="1" si="339"/>
        <v>634.42436686567407</v>
      </c>
      <c r="AJ706">
        <f t="shared" ca="1" si="340"/>
        <v>635.49455029851117</v>
      </c>
      <c r="AM706">
        <v>0</v>
      </c>
      <c r="AN706">
        <v>0</v>
      </c>
      <c r="AO706">
        <f t="shared" si="341"/>
        <v>0</v>
      </c>
      <c r="AP706">
        <f t="shared" si="350"/>
        <v>0</v>
      </c>
      <c r="AQ706">
        <f t="shared" ca="1" si="342"/>
        <v>0.99999999999999978</v>
      </c>
      <c r="AR706" t="str">
        <f t="shared" ca="1" si="343"/>
        <v>Supercritical</v>
      </c>
      <c r="AS706">
        <f t="shared" ca="1" si="344"/>
        <v>3.8148159832266538E-3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191</v>
      </c>
      <c r="I707">
        <v>2.7E-2</v>
      </c>
      <c r="J707">
        <f t="shared" si="345"/>
        <v>1.0009999999999764</v>
      </c>
      <c r="K707">
        <f t="shared" si="346"/>
        <v>51</v>
      </c>
      <c r="L707">
        <f t="shared" ca="1" si="347"/>
        <v>0.05</v>
      </c>
      <c r="M707">
        <f t="shared" ca="1" si="320"/>
        <v>0.26</v>
      </c>
      <c r="N707">
        <f t="shared" ca="1" si="321"/>
        <v>4.9056603773584909E-2</v>
      </c>
      <c r="O707">
        <f t="shared" ca="1" si="322"/>
        <v>196.15384615384616</v>
      </c>
      <c r="P707">
        <f t="shared" ca="1" si="323"/>
        <v>632.33349999999996</v>
      </c>
      <c r="Q707">
        <f t="shared" ca="1" si="324"/>
        <v>2593.4105316486621</v>
      </c>
      <c r="R707">
        <f t="shared" ca="1" si="325"/>
        <v>482.07306851378365</v>
      </c>
      <c r="S707">
        <f t="shared" ca="1" si="326"/>
        <v>280.07692026646265</v>
      </c>
      <c r="T707">
        <f t="shared" ca="1" si="327"/>
        <v>1019.7665564573041</v>
      </c>
      <c r="U707">
        <f t="shared" ca="1" si="348"/>
        <v>-482.64289004871034</v>
      </c>
      <c r="V707">
        <f t="shared" ca="1" si="349"/>
        <v>0</v>
      </c>
      <c r="W707">
        <f t="shared" ca="1" si="328"/>
        <v>0.05</v>
      </c>
      <c r="X707">
        <f t="shared" ca="1" si="329"/>
        <v>0.26</v>
      </c>
      <c r="Y707">
        <f t="shared" ca="1" si="330"/>
        <v>4.9056603773584909E-2</v>
      </c>
      <c r="Z707">
        <f t="shared" ca="1" si="331"/>
        <v>196.15384615384616</v>
      </c>
      <c r="AA707">
        <f t="shared" ca="1" si="332"/>
        <v>632.33349999999996</v>
      </c>
      <c r="AB707">
        <f t="shared" ca="1" si="333"/>
        <v>2593.4105316486621</v>
      </c>
      <c r="AC707">
        <f t="shared" ca="1" si="334"/>
        <v>482.07306851378365</v>
      </c>
      <c r="AD707">
        <f t="shared" ca="1" si="335"/>
        <v>280.07692026646265</v>
      </c>
      <c r="AE707">
        <f t="shared" ca="1" si="336"/>
        <v>1019.7665564573041</v>
      </c>
      <c r="AF707">
        <f t="shared" ca="1" si="337"/>
        <v>481.75391853125211</v>
      </c>
      <c r="AG707">
        <f t="shared" ca="1" si="338"/>
        <v>0</v>
      </c>
      <c r="AH707">
        <f ca="1">IF(V32="Supercritical",L707,IF(V32="Subcritical",W707,IF(AND(V707=1,AG707=1),IF(T707&gt;=AE707,L707,W707),IF(V707=1,L707,IF(AG707=1,W707,MAX($D$16,POWER((ABS(K707)^2)/($I$5*MAX(F707,0.1)^2),1/3)))))))</f>
        <v>2.1403668656741068</v>
      </c>
      <c r="AI707">
        <f t="shared" ca="1" si="339"/>
        <v>634.42386686567409</v>
      </c>
      <c r="AJ707">
        <f t="shared" ca="1" si="340"/>
        <v>635.49405029851118</v>
      </c>
      <c r="AM707">
        <v>0</v>
      </c>
      <c r="AN707">
        <v>0</v>
      </c>
      <c r="AO707">
        <f t="shared" si="341"/>
        <v>0</v>
      </c>
      <c r="AP707">
        <f t="shared" si="350"/>
        <v>0</v>
      </c>
      <c r="AQ707">
        <f t="shared" ca="1" si="342"/>
        <v>0.99999999999999978</v>
      </c>
      <c r="AR707" t="str">
        <f t="shared" ca="1" si="343"/>
        <v>Supercritical</v>
      </c>
      <c r="AS707">
        <f t="shared" ca="1" si="344"/>
        <v>3.8148159832266538E-3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191</v>
      </c>
      <c r="I708">
        <v>0.05</v>
      </c>
      <c r="J708">
        <f t="shared" si="345"/>
        <v>0.99900000000002365</v>
      </c>
      <c r="K708">
        <f t="shared" si="346"/>
        <v>51</v>
      </c>
      <c r="L708">
        <f t="shared" ca="1" si="347"/>
        <v>0.05</v>
      </c>
      <c r="M708">
        <f t="shared" ca="1" si="320"/>
        <v>0.26</v>
      </c>
      <c r="N708">
        <f t="shared" ca="1" si="321"/>
        <v>4.9056603773584909E-2</v>
      </c>
      <c r="O708">
        <f t="shared" ca="1" si="322"/>
        <v>196.15384615384616</v>
      </c>
      <c r="P708">
        <f t="shared" ca="1" si="323"/>
        <v>632.33299999999997</v>
      </c>
      <c r="Q708">
        <f t="shared" ca="1" si="324"/>
        <v>2593.410031648662</v>
      </c>
      <c r="R708">
        <f t="shared" ca="1" si="325"/>
        <v>482.07306851378365</v>
      </c>
      <c r="S708">
        <f t="shared" ca="1" si="326"/>
        <v>280.07692026646265</v>
      </c>
      <c r="T708">
        <f t="shared" ca="1" si="327"/>
        <v>1019.7665564573041</v>
      </c>
      <c r="U708">
        <f t="shared" ca="1" si="348"/>
        <v>-481.75391853125211</v>
      </c>
      <c r="V708">
        <f t="shared" ca="1" si="349"/>
        <v>0</v>
      </c>
      <c r="W708">
        <f t="shared" ca="1" si="328"/>
        <v>0.05</v>
      </c>
      <c r="X708">
        <f t="shared" ca="1" si="329"/>
        <v>0.26</v>
      </c>
      <c r="Y708">
        <f t="shared" ca="1" si="330"/>
        <v>4.9056603773584909E-2</v>
      </c>
      <c r="Z708">
        <f t="shared" ca="1" si="331"/>
        <v>196.15384615384616</v>
      </c>
      <c r="AA708">
        <f t="shared" ca="1" si="332"/>
        <v>632.33299999999997</v>
      </c>
      <c r="AB708">
        <f t="shared" ca="1" si="333"/>
        <v>2593.410031648662</v>
      </c>
      <c r="AC708">
        <f t="shared" ca="1" si="334"/>
        <v>482.07306851378365</v>
      </c>
      <c r="AD708">
        <f t="shared" ca="1" si="335"/>
        <v>280.07692026646265</v>
      </c>
      <c r="AE708">
        <f t="shared" ca="1" si="336"/>
        <v>1019.7665564573041</v>
      </c>
      <c r="AF708">
        <f t="shared" ca="1" si="337"/>
        <v>482.32750852789786</v>
      </c>
      <c r="AG708">
        <f t="shared" ca="1" si="338"/>
        <v>0</v>
      </c>
      <c r="AH708">
        <f ca="1">IF(V32="Supercritical",L708,IF(V32="Subcritical",W708,IF(AND(V708=1,AG708=1),IF(T708&gt;=AE708,L708,W708),IF(V708=1,L708,IF(AG708=1,W708,MAX($D$16,POWER((ABS(K708)^2)/($I$5*MAX(F708,0.1)^2),1/3)))))))</f>
        <v>2.1403668656741068</v>
      </c>
      <c r="AI708">
        <f t="shared" ca="1" si="339"/>
        <v>634.4233668656741</v>
      </c>
      <c r="AJ708">
        <f t="shared" ca="1" si="340"/>
        <v>635.4935502985112</v>
      </c>
      <c r="AM708">
        <v>0</v>
      </c>
      <c r="AN708">
        <v>0</v>
      </c>
      <c r="AO708">
        <f t="shared" si="341"/>
        <v>0</v>
      </c>
      <c r="AP708">
        <f t="shared" si="350"/>
        <v>0</v>
      </c>
      <c r="AQ708">
        <f t="shared" ca="1" si="342"/>
        <v>0.99999999999999978</v>
      </c>
      <c r="AR708" t="str">
        <f t="shared" ca="1" si="343"/>
        <v>Supercritical</v>
      </c>
      <c r="AS708">
        <f t="shared" ca="1" si="344"/>
        <v>3.8148159832266538E-3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191</v>
      </c>
      <c r="I709">
        <v>7.8E-2</v>
      </c>
      <c r="J709">
        <f t="shared" si="345"/>
        <v>1</v>
      </c>
      <c r="K709">
        <f t="shared" si="346"/>
        <v>51</v>
      </c>
      <c r="L709">
        <f t="shared" ca="1" si="347"/>
        <v>0.05</v>
      </c>
      <c r="M709">
        <f t="shared" ca="1" si="320"/>
        <v>0.26</v>
      </c>
      <c r="N709">
        <f t="shared" ca="1" si="321"/>
        <v>4.9056603773584909E-2</v>
      </c>
      <c r="O709">
        <f t="shared" ca="1" si="322"/>
        <v>196.15384615384616</v>
      </c>
      <c r="P709">
        <f t="shared" ca="1" si="323"/>
        <v>632.33249999999998</v>
      </c>
      <c r="Q709">
        <f t="shared" ca="1" si="324"/>
        <v>2593.4095316486619</v>
      </c>
      <c r="R709">
        <f t="shared" ca="1" si="325"/>
        <v>482.07306851378365</v>
      </c>
      <c r="S709">
        <f t="shared" ca="1" si="326"/>
        <v>280.07692026646265</v>
      </c>
      <c r="T709">
        <f t="shared" ca="1" si="327"/>
        <v>1019.7665564573041</v>
      </c>
      <c r="U709">
        <f t="shared" ca="1" si="348"/>
        <v>-482.32750852789786</v>
      </c>
      <c r="V709">
        <f t="shared" ca="1" si="349"/>
        <v>0</v>
      </c>
      <c r="W709">
        <f t="shared" ca="1" si="328"/>
        <v>0.05</v>
      </c>
      <c r="X709">
        <f t="shared" ca="1" si="329"/>
        <v>0.26</v>
      </c>
      <c r="Y709">
        <f t="shared" ca="1" si="330"/>
        <v>4.9056603773584909E-2</v>
      </c>
      <c r="Z709">
        <f t="shared" ca="1" si="331"/>
        <v>196.15384615384616</v>
      </c>
      <c r="AA709">
        <f t="shared" ca="1" si="332"/>
        <v>632.33249999999998</v>
      </c>
      <c r="AB709">
        <f t="shared" ca="1" si="333"/>
        <v>2593.4095316486619</v>
      </c>
      <c r="AC709">
        <f t="shared" ca="1" si="334"/>
        <v>482.07306851378365</v>
      </c>
      <c r="AD709">
        <f t="shared" ca="1" si="335"/>
        <v>280.07692026646265</v>
      </c>
      <c r="AE709">
        <f t="shared" ca="1" si="336"/>
        <v>1019.7665564573041</v>
      </c>
      <c r="AF709">
        <f t="shared" ca="1" si="337"/>
        <v>482.6428900487108</v>
      </c>
      <c r="AG709">
        <f t="shared" ca="1" si="338"/>
        <v>0</v>
      </c>
      <c r="AH709">
        <f ca="1">IF(V32="Supercritical",L709,IF(V32="Subcritical",W709,IF(AND(V709=1,AG709=1),IF(T709&gt;=AE709,L709,W709),IF(V709=1,L709,IF(AG709=1,W709,MAX($D$16,POWER((ABS(K709)^2)/($I$5*MAX(F709,0.1)^2),1/3)))))))</f>
        <v>2.1403668656741068</v>
      </c>
      <c r="AI709">
        <f t="shared" ca="1" si="339"/>
        <v>634.42286686567411</v>
      </c>
      <c r="AJ709">
        <f t="shared" ca="1" si="340"/>
        <v>635.49305029851121</v>
      </c>
      <c r="AM709">
        <v>0</v>
      </c>
      <c r="AN709">
        <v>0</v>
      </c>
      <c r="AO709">
        <f t="shared" si="341"/>
        <v>0</v>
      </c>
      <c r="AP709">
        <f t="shared" si="350"/>
        <v>0</v>
      </c>
      <c r="AQ709">
        <f t="shared" ca="1" si="342"/>
        <v>0.99999999999999978</v>
      </c>
      <c r="AR709" t="str">
        <f t="shared" ca="1" si="343"/>
        <v>Supercritical</v>
      </c>
      <c r="AS709">
        <f t="shared" ca="1" si="344"/>
        <v>3.8148159832266538E-3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191</v>
      </c>
      <c r="I710">
        <v>2.7E-2</v>
      </c>
      <c r="J710">
        <f t="shared" si="345"/>
        <v>1.0009999999999764</v>
      </c>
      <c r="K710">
        <f t="shared" si="346"/>
        <v>51</v>
      </c>
      <c r="L710">
        <f t="shared" ca="1" si="347"/>
        <v>0.05</v>
      </c>
      <c r="M710">
        <f t="shared" ca="1" si="320"/>
        <v>0.26</v>
      </c>
      <c r="N710">
        <f t="shared" ca="1" si="321"/>
        <v>4.9056603773584909E-2</v>
      </c>
      <c r="O710">
        <f t="shared" ca="1" si="322"/>
        <v>196.15384615384616</v>
      </c>
      <c r="P710">
        <f t="shared" ca="1" si="323"/>
        <v>632.33199999999999</v>
      </c>
      <c r="Q710">
        <f t="shared" ca="1" si="324"/>
        <v>2593.4090316486622</v>
      </c>
      <c r="R710">
        <f t="shared" ca="1" si="325"/>
        <v>482.07306851378365</v>
      </c>
      <c r="S710">
        <f t="shared" ca="1" si="326"/>
        <v>280.07692026646265</v>
      </c>
      <c r="T710">
        <f t="shared" ca="1" si="327"/>
        <v>1019.7665564573041</v>
      </c>
      <c r="U710">
        <f t="shared" ca="1" si="348"/>
        <v>-482.6428900487108</v>
      </c>
      <c r="V710">
        <f t="shared" ca="1" si="349"/>
        <v>0</v>
      </c>
      <c r="W710">
        <f t="shared" ca="1" si="328"/>
        <v>0.05</v>
      </c>
      <c r="X710">
        <f t="shared" ca="1" si="329"/>
        <v>0.26</v>
      </c>
      <c r="Y710">
        <f t="shared" ca="1" si="330"/>
        <v>4.9056603773584909E-2</v>
      </c>
      <c r="Z710">
        <f t="shared" ca="1" si="331"/>
        <v>196.15384615384616</v>
      </c>
      <c r="AA710">
        <f t="shared" ca="1" si="332"/>
        <v>632.33199999999999</v>
      </c>
      <c r="AB710">
        <f t="shared" ca="1" si="333"/>
        <v>2593.4090316486622</v>
      </c>
      <c r="AC710">
        <f t="shared" ca="1" si="334"/>
        <v>482.07306851378365</v>
      </c>
      <c r="AD710">
        <f t="shared" ca="1" si="335"/>
        <v>280.07692026646265</v>
      </c>
      <c r="AE710">
        <f t="shared" ca="1" si="336"/>
        <v>1019.7665564573041</v>
      </c>
      <c r="AF710">
        <f t="shared" ca="1" si="337"/>
        <v>481.67874391170562</v>
      </c>
      <c r="AG710">
        <f t="shared" ca="1" si="338"/>
        <v>0</v>
      </c>
      <c r="AH710">
        <f ca="1">IF(V32="Supercritical",L710,IF(V32="Subcritical",W710,IF(AND(V710=1,AG710=1),IF(T710&gt;=AE710,L710,W710),IF(V710=1,L710,IF(AG710=1,W710,MAX($D$16,POWER((ABS(K710)^2)/($I$5*MAX(F710,0.1)^2),1/3)))))))</f>
        <v>2.1403668656741068</v>
      </c>
      <c r="AI710">
        <f t="shared" ca="1" si="339"/>
        <v>634.42236686567412</v>
      </c>
      <c r="AJ710">
        <f t="shared" ca="1" si="340"/>
        <v>635.49255029851122</v>
      </c>
      <c r="AM710">
        <v>0</v>
      </c>
      <c r="AN710">
        <v>0</v>
      </c>
      <c r="AO710">
        <f t="shared" si="341"/>
        <v>0</v>
      </c>
      <c r="AP710">
        <f t="shared" si="350"/>
        <v>0</v>
      </c>
      <c r="AQ710">
        <f t="shared" ca="1" si="342"/>
        <v>0.99999999999999978</v>
      </c>
      <c r="AR710" t="str">
        <f t="shared" ca="1" si="343"/>
        <v>Supercritical</v>
      </c>
      <c r="AS710">
        <f t="shared" ca="1" si="344"/>
        <v>3.8148159832266538E-3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191</v>
      </c>
      <c r="I711">
        <v>2.7E-2</v>
      </c>
      <c r="J711">
        <f t="shared" si="345"/>
        <v>0.99900000000002365</v>
      </c>
      <c r="K711">
        <f t="shared" si="346"/>
        <v>51</v>
      </c>
      <c r="L711">
        <f t="shared" ca="1" si="347"/>
        <v>0.05</v>
      </c>
      <c r="M711">
        <f t="shared" ca="1" si="320"/>
        <v>0.26</v>
      </c>
      <c r="N711">
        <f t="shared" ca="1" si="321"/>
        <v>4.9056603773584909E-2</v>
      </c>
      <c r="O711">
        <f t="shared" ca="1" si="322"/>
        <v>196.15384615384616</v>
      </c>
      <c r="P711">
        <f t="shared" ca="1" si="323"/>
        <v>632.33150000000001</v>
      </c>
      <c r="Q711">
        <f t="shared" ca="1" si="324"/>
        <v>2593.4085316486621</v>
      </c>
      <c r="R711">
        <f t="shared" ca="1" si="325"/>
        <v>482.07306851378365</v>
      </c>
      <c r="S711">
        <f t="shared" ca="1" si="326"/>
        <v>280.07692026646265</v>
      </c>
      <c r="T711">
        <f t="shared" ca="1" si="327"/>
        <v>1019.7665564573041</v>
      </c>
      <c r="U711">
        <f t="shared" ca="1" si="348"/>
        <v>-481.67874391170562</v>
      </c>
      <c r="V711">
        <f t="shared" ca="1" si="349"/>
        <v>0</v>
      </c>
      <c r="W711">
        <f t="shared" ca="1" si="328"/>
        <v>0.05</v>
      </c>
      <c r="X711">
        <f t="shared" ca="1" si="329"/>
        <v>0.26</v>
      </c>
      <c r="Y711">
        <f t="shared" ca="1" si="330"/>
        <v>4.9056603773584909E-2</v>
      </c>
      <c r="Z711">
        <f t="shared" ca="1" si="331"/>
        <v>196.15384615384616</v>
      </c>
      <c r="AA711">
        <f t="shared" ca="1" si="332"/>
        <v>632.33150000000001</v>
      </c>
      <c r="AB711">
        <f t="shared" ca="1" si="333"/>
        <v>2593.4085316486621</v>
      </c>
      <c r="AC711">
        <f t="shared" ca="1" si="334"/>
        <v>482.07306851378365</v>
      </c>
      <c r="AD711">
        <f t="shared" ca="1" si="335"/>
        <v>280.07692026646265</v>
      </c>
      <c r="AE711">
        <f t="shared" ca="1" si="336"/>
        <v>1019.7665564573041</v>
      </c>
      <c r="AF711">
        <f t="shared" ca="1" si="337"/>
        <v>482.64289004871034</v>
      </c>
      <c r="AG711">
        <f t="shared" ca="1" si="338"/>
        <v>0</v>
      </c>
      <c r="AH711">
        <f ca="1">IF(V32="Supercritical",L711,IF(V32="Subcritical",W711,IF(AND(V711=1,AG711=1),IF(T711&gt;=AE711,L711,W711),IF(V711=1,L711,IF(AG711=1,W711,MAX($D$16,POWER((ABS(K711)^2)/($I$5*MAX(F711,0.1)^2),1/3)))))))</f>
        <v>2.1403668656741068</v>
      </c>
      <c r="AI711">
        <f t="shared" ca="1" si="339"/>
        <v>634.42186686567413</v>
      </c>
      <c r="AJ711">
        <f t="shared" ca="1" si="340"/>
        <v>635.49205029851123</v>
      </c>
      <c r="AM711">
        <v>0</v>
      </c>
      <c r="AN711">
        <v>0</v>
      </c>
      <c r="AO711">
        <f t="shared" si="341"/>
        <v>0</v>
      </c>
      <c r="AP711">
        <f t="shared" si="350"/>
        <v>0</v>
      </c>
      <c r="AQ711">
        <f t="shared" ca="1" si="342"/>
        <v>0.99999999999999978</v>
      </c>
      <c r="AR711" t="str">
        <f t="shared" ca="1" si="343"/>
        <v>Supercritical</v>
      </c>
      <c r="AS711">
        <f t="shared" ca="1" si="344"/>
        <v>3.8148159832266538E-3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191</v>
      </c>
      <c r="I712">
        <v>2.7E-2</v>
      </c>
      <c r="J712">
        <f t="shared" si="345"/>
        <v>1.0009999999999764</v>
      </c>
      <c r="K712">
        <f t="shared" si="346"/>
        <v>51</v>
      </c>
      <c r="L712">
        <f t="shared" ca="1" si="347"/>
        <v>0.05</v>
      </c>
      <c r="M712">
        <f t="shared" ca="1" si="320"/>
        <v>0.26</v>
      </c>
      <c r="N712">
        <f t="shared" ca="1" si="321"/>
        <v>4.9056603773584909E-2</v>
      </c>
      <c r="O712">
        <f t="shared" ca="1" si="322"/>
        <v>196.15384615384616</v>
      </c>
      <c r="P712">
        <f t="shared" ca="1" si="323"/>
        <v>632.3309999999999</v>
      </c>
      <c r="Q712">
        <f t="shared" ca="1" si="324"/>
        <v>2593.408031648662</v>
      </c>
      <c r="R712">
        <f t="shared" ca="1" si="325"/>
        <v>482.07306851378365</v>
      </c>
      <c r="S712">
        <f t="shared" ca="1" si="326"/>
        <v>280.07692026646265</v>
      </c>
      <c r="T712">
        <f t="shared" ca="1" si="327"/>
        <v>1019.7665564573041</v>
      </c>
      <c r="U712">
        <f t="shared" ca="1" si="348"/>
        <v>-482.64289004871034</v>
      </c>
      <c r="V712">
        <f t="shared" ca="1" si="349"/>
        <v>0</v>
      </c>
      <c r="W712">
        <f t="shared" ca="1" si="328"/>
        <v>0.05</v>
      </c>
      <c r="X712">
        <f t="shared" ca="1" si="329"/>
        <v>0.26</v>
      </c>
      <c r="Y712">
        <f t="shared" ca="1" si="330"/>
        <v>4.9056603773584909E-2</v>
      </c>
      <c r="Z712">
        <f t="shared" ca="1" si="331"/>
        <v>196.15384615384616</v>
      </c>
      <c r="AA712">
        <f t="shared" ca="1" si="332"/>
        <v>632.3309999999999</v>
      </c>
      <c r="AB712">
        <f t="shared" ca="1" si="333"/>
        <v>2593.408031648662</v>
      </c>
      <c r="AC712">
        <f t="shared" ca="1" si="334"/>
        <v>482.07306851378365</v>
      </c>
      <c r="AD712">
        <f t="shared" ca="1" si="335"/>
        <v>280.07692026646265</v>
      </c>
      <c r="AE712">
        <f t="shared" ca="1" si="336"/>
        <v>1019.7665564573041</v>
      </c>
      <c r="AF712">
        <f t="shared" ca="1" si="337"/>
        <v>481.75391853125211</v>
      </c>
      <c r="AG712">
        <f t="shared" ca="1" si="338"/>
        <v>0</v>
      </c>
      <c r="AH712">
        <f ca="1">IF(V32="Supercritical",L712,IF(V32="Subcritical",W712,IF(AND(V712=1,AG712=1),IF(T712&gt;=AE712,L712,W712),IF(V712=1,L712,IF(AG712=1,W712,MAX($D$16,POWER((ABS(K712)^2)/($I$5*MAX(F712,0.1)^2),1/3)))))))</f>
        <v>2.1403668656741068</v>
      </c>
      <c r="AI712">
        <f t="shared" ca="1" si="339"/>
        <v>634.42136686567403</v>
      </c>
      <c r="AJ712">
        <f t="shared" ca="1" si="340"/>
        <v>635.49155029851113</v>
      </c>
      <c r="AM712">
        <v>0</v>
      </c>
      <c r="AN712">
        <v>0</v>
      </c>
      <c r="AO712">
        <f t="shared" si="341"/>
        <v>0</v>
      </c>
      <c r="AP712">
        <f t="shared" si="350"/>
        <v>0</v>
      </c>
      <c r="AQ712">
        <f t="shared" ca="1" si="342"/>
        <v>0.99999999999999978</v>
      </c>
      <c r="AR712" t="str">
        <f t="shared" ca="1" si="343"/>
        <v>Supercritical</v>
      </c>
      <c r="AS712">
        <f t="shared" ca="1" si="344"/>
        <v>3.8148159832266538E-3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191</v>
      </c>
      <c r="I713">
        <v>0.05</v>
      </c>
      <c r="J713">
        <f t="shared" si="345"/>
        <v>0.99900000000002365</v>
      </c>
      <c r="K713">
        <f t="shared" si="346"/>
        <v>51</v>
      </c>
      <c r="L713">
        <f t="shared" ca="1" si="347"/>
        <v>0.05</v>
      </c>
      <c r="M713">
        <f t="shared" ca="1" si="320"/>
        <v>0.26</v>
      </c>
      <c r="N713">
        <f t="shared" ca="1" si="321"/>
        <v>4.9056603773584909E-2</v>
      </c>
      <c r="O713">
        <f t="shared" ca="1" si="322"/>
        <v>196.15384615384616</v>
      </c>
      <c r="P713">
        <f t="shared" ca="1" si="323"/>
        <v>632.33049999999992</v>
      </c>
      <c r="Q713">
        <f t="shared" ca="1" si="324"/>
        <v>2593.4075316486619</v>
      </c>
      <c r="R713">
        <f t="shared" ca="1" si="325"/>
        <v>482.07306851378365</v>
      </c>
      <c r="S713">
        <f t="shared" ca="1" si="326"/>
        <v>280.07692026646265</v>
      </c>
      <c r="T713">
        <f t="shared" ca="1" si="327"/>
        <v>1019.7665564573041</v>
      </c>
      <c r="U713">
        <f t="shared" ca="1" si="348"/>
        <v>-481.75391853125211</v>
      </c>
      <c r="V713">
        <f t="shared" ca="1" si="349"/>
        <v>0</v>
      </c>
      <c r="W713">
        <f t="shared" ca="1" si="328"/>
        <v>0.05</v>
      </c>
      <c r="X713">
        <f t="shared" ca="1" si="329"/>
        <v>0.26</v>
      </c>
      <c r="Y713">
        <f t="shared" ca="1" si="330"/>
        <v>4.9056603773584909E-2</v>
      </c>
      <c r="Z713">
        <f t="shared" ca="1" si="331"/>
        <v>196.15384615384616</v>
      </c>
      <c r="AA713">
        <f t="shared" ca="1" si="332"/>
        <v>632.33049999999992</v>
      </c>
      <c r="AB713">
        <f t="shared" ca="1" si="333"/>
        <v>2593.4075316486619</v>
      </c>
      <c r="AC713">
        <f t="shared" ca="1" si="334"/>
        <v>482.07306851378365</v>
      </c>
      <c r="AD713">
        <f t="shared" ca="1" si="335"/>
        <v>280.07692026646265</v>
      </c>
      <c r="AE713">
        <f t="shared" ca="1" si="336"/>
        <v>1019.7665564573041</v>
      </c>
      <c r="AF713">
        <f t="shared" ca="1" si="337"/>
        <v>482.32750852789832</v>
      </c>
      <c r="AG713">
        <f t="shared" ca="1" si="338"/>
        <v>0</v>
      </c>
      <c r="AH713">
        <f ca="1">IF(V32="Supercritical",L713,IF(V32="Subcritical",W713,IF(AND(V713=1,AG713=1),IF(T713&gt;=AE713,L713,W713),IF(V713=1,L713,IF(AG713=1,W713,MAX($D$16,POWER((ABS(K713)^2)/($I$5*MAX(F713,0.1)^2),1/3)))))))</f>
        <v>2.1403668656741068</v>
      </c>
      <c r="AI713">
        <f t="shared" ca="1" si="339"/>
        <v>634.42086686567404</v>
      </c>
      <c r="AJ713">
        <f t="shared" ca="1" si="340"/>
        <v>635.49105029851114</v>
      </c>
      <c r="AM713">
        <v>0</v>
      </c>
      <c r="AN713">
        <v>0</v>
      </c>
      <c r="AO713">
        <f t="shared" si="341"/>
        <v>0</v>
      </c>
      <c r="AP713">
        <f t="shared" si="350"/>
        <v>0</v>
      </c>
      <c r="AQ713">
        <f t="shared" ca="1" si="342"/>
        <v>0.99999999999999978</v>
      </c>
      <c r="AR713" t="str">
        <f t="shared" ca="1" si="343"/>
        <v>Supercritical</v>
      </c>
      <c r="AS713">
        <f t="shared" ca="1" si="344"/>
        <v>3.8148159832266538E-3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191</v>
      </c>
      <c r="I714">
        <v>7.8E-2</v>
      </c>
      <c r="J714">
        <f t="shared" si="345"/>
        <v>1</v>
      </c>
      <c r="K714">
        <f t="shared" si="346"/>
        <v>51</v>
      </c>
      <c r="L714">
        <f t="shared" ca="1" si="347"/>
        <v>0.05</v>
      </c>
      <c r="M714">
        <f t="shared" ca="1" si="320"/>
        <v>0.26</v>
      </c>
      <c r="N714">
        <f t="shared" ca="1" si="321"/>
        <v>4.9056603773584909E-2</v>
      </c>
      <c r="O714">
        <f t="shared" ca="1" si="322"/>
        <v>196.15384615384616</v>
      </c>
      <c r="P714">
        <f t="shared" ca="1" si="323"/>
        <v>632.32999999999993</v>
      </c>
      <c r="Q714">
        <f t="shared" ca="1" si="324"/>
        <v>2593.4070316486623</v>
      </c>
      <c r="R714">
        <f t="shared" ca="1" si="325"/>
        <v>482.07306851378365</v>
      </c>
      <c r="S714">
        <f t="shared" ca="1" si="326"/>
        <v>280.07692026646265</v>
      </c>
      <c r="T714">
        <f t="shared" ca="1" si="327"/>
        <v>1019.7665564573041</v>
      </c>
      <c r="U714">
        <f t="shared" ca="1" si="348"/>
        <v>-482.32750852789832</v>
      </c>
      <c r="V714">
        <f t="shared" ca="1" si="349"/>
        <v>0</v>
      </c>
      <c r="W714">
        <f t="shared" ca="1" si="328"/>
        <v>0.05</v>
      </c>
      <c r="X714">
        <f t="shared" ca="1" si="329"/>
        <v>0.26</v>
      </c>
      <c r="Y714">
        <f t="shared" ca="1" si="330"/>
        <v>4.9056603773584909E-2</v>
      </c>
      <c r="Z714">
        <f t="shared" ca="1" si="331"/>
        <v>196.15384615384616</v>
      </c>
      <c r="AA714">
        <f t="shared" ca="1" si="332"/>
        <v>632.32999999999993</v>
      </c>
      <c r="AB714">
        <f t="shared" ca="1" si="333"/>
        <v>2593.4070316486623</v>
      </c>
      <c r="AC714">
        <f t="shared" ca="1" si="334"/>
        <v>482.07306851378365</v>
      </c>
      <c r="AD714">
        <f t="shared" ca="1" si="335"/>
        <v>280.07692026646265</v>
      </c>
      <c r="AE714">
        <f t="shared" ca="1" si="336"/>
        <v>1019.7665564573041</v>
      </c>
      <c r="AF714">
        <f t="shared" ca="1" si="337"/>
        <v>482.64289004871034</v>
      </c>
      <c r="AG714">
        <f t="shared" ca="1" si="338"/>
        <v>0</v>
      </c>
      <c r="AH714">
        <f ca="1">IF(V32="Supercritical",L714,IF(V32="Subcritical",W714,IF(AND(V714=1,AG714=1),IF(T714&gt;=AE714,L714,W714),IF(V714=1,L714,IF(AG714=1,W714,MAX($D$16,POWER((ABS(K714)^2)/($I$5*MAX(F714,0.1)^2),1/3)))))))</f>
        <v>2.1403668656741068</v>
      </c>
      <c r="AI714">
        <f t="shared" ca="1" si="339"/>
        <v>634.42036686567405</v>
      </c>
      <c r="AJ714">
        <f t="shared" ca="1" si="340"/>
        <v>635.49055029851115</v>
      </c>
      <c r="AM714">
        <v>0</v>
      </c>
      <c r="AN714">
        <v>0</v>
      </c>
      <c r="AO714">
        <f t="shared" si="341"/>
        <v>0</v>
      </c>
      <c r="AP714">
        <f t="shared" si="350"/>
        <v>0</v>
      </c>
      <c r="AQ714">
        <f t="shared" ca="1" si="342"/>
        <v>0.99999999999999978</v>
      </c>
      <c r="AR714" t="str">
        <f t="shared" ca="1" si="343"/>
        <v>Supercritical</v>
      </c>
      <c r="AS714">
        <f t="shared" ca="1" si="344"/>
        <v>3.8148159832266538E-3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191</v>
      </c>
      <c r="I715">
        <v>2.7E-2</v>
      </c>
      <c r="J715">
        <f t="shared" si="345"/>
        <v>1.0009999999999764</v>
      </c>
      <c r="K715">
        <f t="shared" si="346"/>
        <v>51</v>
      </c>
      <c r="L715">
        <f t="shared" ca="1" si="347"/>
        <v>0.05</v>
      </c>
      <c r="M715">
        <f t="shared" ca="1" si="320"/>
        <v>0.26</v>
      </c>
      <c r="N715">
        <f t="shared" ca="1" si="321"/>
        <v>4.9056603773584909E-2</v>
      </c>
      <c r="O715">
        <f t="shared" ca="1" si="322"/>
        <v>196.15384615384616</v>
      </c>
      <c r="P715">
        <f t="shared" ca="1" si="323"/>
        <v>632.32949999999994</v>
      </c>
      <c r="Q715">
        <f t="shared" ca="1" si="324"/>
        <v>2593.4065316486622</v>
      </c>
      <c r="R715">
        <f t="shared" ca="1" si="325"/>
        <v>482.07306851378365</v>
      </c>
      <c r="S715">
        <f t="shared" ca="1" si="326"/>
        <v>280.07692026646265</v>
      </c>
      <c r="T715">
        <f t="shared" ca="1" si="327"/>
        <v>1019.7665564573041</v>
      </c>
      <c r="U715">
        <f t="shared" ca="1" si="348"/>
        <v>-482.64289004871034</v>
      </c>
      <c r="V715">
        <f t="shared" ca="1" si="349"/>
        <v>0</v>
      </c>
      <c r="W715">
        <f t="shared" ca="1" si="328"/>
        <v>0.05</v>
      </c>
      <c r="X715">
        <f t="shared" ca="1" si="329"/>
        <v>0.26</v>
      </c>
      <c r="Y715">
        <f t="shared" ca="1" si="330"/>
        <v>4.9056603773584909E-2</v>
      </c>
      <c r="Z715">
        <f t="shared" ca="1" si="331"/>
        <v>196.15384615384616</v>
      </c>
      <c r="AA715">
        <f t="shared" ca="1" si="332"/>
        <v>632.32949999999994</v>
      </c>
      <c r="AB715">
        <f t="shared" ca="1" si="333"/>
        <v>2593.4065316486622</v>
      </c>
      <c r="AC715">
        <f t="shared" ca="1" si="334"/>
        <v>482.07306851378365</v>
      </c>
      <c r="AD715">
        <f t="shared" ca="1" si="335"/>
        <v>280.07692026646265</v>
      </c>
      <c r="AE715">
        <f t="shared" ca="1" si="336"/>
        <v>1019.7665564573041</v>
      </c>
      <c r="AF715">
        <f t="shared" ca="1" si="337"/>
        <v>481.67874391170562</v>
      </c>
      <c r="AG715">
        <f t="shared" ca="1" si="338"/>
        <v>0</v>
      </c>
      <c r="AH715">
        <f ca="1">IF(V32="Supercritical",L715,IF(V32="Subcritical",W715,IF(AND(V715=1,AG715=1),IF(T715&gt;=AE715,L715,W715),IF(V715=1,L715,IF(AG715=1,W715,MAX($D$16,POWER((ABS(K715)^2)/($I$5*MAX(F715,0.1)^2),1/3)))))))</f>
        <v>2.1403668656741068</v>
      </c>
      <c r="AI715">
        <f t="shared" ca="1" si="339"/>
        <v>634.41986686567407</v>
      </c>
      <c r="AJ715">
        <f t="shared" ca="1" si="340"/>
        <v>635.49005029851116</v>
      </c>
      <c r="AM715">
        <v>0</v>
      </c>
      <c r="AN715">
        <v>0</v>
      </c>
      <c r="AO715">
        <f t="shared" si="341"/>
        <v>0</v>
      </c>
      <c r="AP715">
        <f t="shared" si="350"/>
        <v>0</v>
      </c>
      <c r="AQ715">
        <f t="shared" ca="1" si="342"/>
        <v>0.99999999999999978</v>
      </c>
      <c r="AR715" t="str">
        <f t="shared" ca="1" si="343"/>
        <v>Supercritical</v>
      </c>
      <c r="AS715">
        <f t="shared" ca="1" si="344"/>
        <v>3.8148159832266538E-3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191</v>
      </c>
      <c r="I716">
        <v>2.7E-2</v>
      </c>
      <c r="J716">
        <f t="shared" si="345"/>
        <v>0.99900000000002365</v>
      </c>
      <c r="K716">
        <f t="shared" si="346"/>
        <v>51</v>
      </c>
      <c r="L716">
        <f t="shared" ca="1" si="347"/>
        <v>0.05</v>
      </c>
      <c r="M716">
        <f t="shared" ca="1" si="320"/>
        <v>0.26</v>
      </c>
      <c r="N716">
        <f t="shared" ca="1" si="321"/>
        <v>4.9056603773584909E-2</v>
      </c>
      <c r="O716">
        <f t="shared" ca="1" si="322"/>
        <v>196.15384615384616</v>
      </c>
      <c r="P716">
        <f t="shared" ca="1" si="323"/>
        <v>632.32899999999995</v>
      </c>
      <c r="Q716">
        <f t="shared" ca="1" si="324"/>
        <v>2593.4060316486621</v>
      </c>
      <c r="R716">
        <f t="shared" ca="1" si="325"/>
        <v>482.07306851378365</v>
      </c>
      <c r="S716">
        <f t="shared" ca="1" si="326"/>
        <v>280.07692026646265</v>
      </c>
      <c r="T716">
        <f t="shared" ca="1" si="327"/>
        <v>1019.7665564573041</v>
      </c>
      <c r="U716">
        <f t="shared" ca="1" si="348"/>
        <v>-481.67874391170562</v>
      </c>
      <c r="V716">
        <f t="shared" ca="1" si="349"/>
        <v>0</v>
      </c>
      <c r="W716">
        <f t="shared" ca="1" si="328"/>
        <v>0.05</v>
      </c>
      <c r="X716">
        <f t="shared" ca="1" si="329"/>
        <v>0.26</v>
      </c>
      <c r="Y716">
        <f t="shared" ca="1" si="330"/>
        <v>4.9056603773584909E-2</v>
      </c>
      <c r="Z716">
        <f t="shared" ca="1" si="331"/>
        <v>196.15384615384616</v>
      </c>
      <c r="AA716">
        <f t="shared" ca="1" si="332"/>
        <v>632.32899999999995</v>
      </c>
      <c r="AB716">
        <f t="shared" ca="1" si="333"/>
        <v>2593.4060316486621</v>
      </c>
      <c r="AC716">
        <f t="shared" ca="1" si="334"/>
        <v>482.07306851378365</v>
      </c>
      <c r="AD716">
        <f t="shared" ca="1" si="335"/>
        <v>280.07692026646265</v>
      </c>
      <c r="AE716">
        <f t="shared" ca="1" si="336"/>
        <v>1019.7665564573041</v>
      </c>
      <c r="AF716">
        <f t="shared" ca="1" si="337"/>
        <v>482.32750852789786</v>
      </c>
      <c r="AG716">
        <f t="shared" ca="1" si="338"/>
        <v>0</v>
      </c>
      <c r="AH716">
        <f ca="1">IF(V32="Supercritical",L716,IF(V32="Subcritical",W716,IF(AND(V716=1,AG716=1),IF(T716&gt;=AE716,L716,W716),IF(V716=1,L716,IF(AG716=1,W716,MAX($D$16,POWER((ABS(K716)^2)/($I$5*MAX(F716,0.1)^2),1/3)))))))</f>
        <v>2.1403668656741068</v>
      </c>
      <c r="AI716">
        <f t="shared" ca="1" si="339"/>
        <v>634.41936686567408</v>
      </c>
      <c r="AJ716">
        <f t="shared" ca="1" si="340"/>
        <v>635.48955029851118</v>
      </c>
      <c r="AM716">
        <v>0</v>
      </c>
      <c r="AN716">
        <v>0</v>
      </c>
      <c r="AO716">
        <f t="shared" si="341"/>
        <v>0</v>
      </c>
      <c r="AP716">
        <f t="shared" si="350"/>
        <v>0</v>
      </c>
      <c r="AQ716">
        <f t="shared" ca="1" si="342"/>
        <v>0.99999999999999978</v>
      </c>
      <c r="AR716" t="str">
        <f t="shared" ca="1" si="343"/>
        <v>Supercritical</v>
      </c>
      <c r="AS716">
        <f t="shared" ca="1" si="344"/>
        <v>3.8148159832266538E-3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191</v>
      </c>
      <c r="I717">
        <v>7.8E-2</v>
      </c>
      <c r="J717">
        <f t="shared" si="345"/>
        <v>1</v>
      </c>
      <c r="K717">
        <f t="shared" si="346"/>
        <v>51</v>
      </c>
      <c r="L717">
        <f t="shared" ca="1" si="347"/>
        <v>0.05</v>
      </c>
      <c r="M717">
        <f t="shared" ca="1" si="320"/>
        <v>0.26</v>
      </c>
      <c r="N717">
        <f t="shared" ca="1" si="321"/>
        <v>4.9056603773584909E-2</v>
      </c>
      <c r="O717">
        <f t="shared" ca="1" si="322"/>
        <v>196.15384615384616</v>
      </c>
      <c r="P717">
        <f t="shared" ca="1" si="323"/>
        <v>632.32849999999996</v>
      </c>
      <c r="Q717">
        <f t="shared" ca="1" si="324"/>
        <v>2593.405531648662</v>
      </c>
      <c r="R717">
        <f t="shared" ca="1" si="325"/>
        <v>482.07306851378365</v>
      </c>
      <c r="S717">
        <f t="shared" ca="1" si="326"/>
        <v>280.07692026646265</v>
      </c>
      <c r="T717">
        <f t="shared" ca="1" si="327"/>
        <v>1019.7665564573041</v>
      </c>
      <c r="U717">
        <f t="shared" ca="1" si="348"/>
        <v>-482.32750852789786</v>
      </c>
      <c r="V717">
        <f t="shared" ca="1" si="349"/>
        <v>0</v>
      </c>
      <c r="W717">
        <f t="shared" ca="1" si="328"/>
        <v>0.05</v>
      </c>
      <c r="X717">
        <f t="shared" ca="1" si="329"/>
        <v>0.26</v>
      </c>
      <c r="Y717">
        <f t="shared" ca="1" si="330"/>
        <v>4.9056603773584909E-2</v>
      </c>
      <c r="Z717">
        <f t="shared" ca="1" si="331"/>
        <v>196.15384615384616</v>
      </c>
      <c r="AA717">
        <f t="shared" ca="1" si="332"/>
        <v>632.32849999999996</v>
      </c>
      <c r="AB717">
        <f t="shared" ca="1" si="333"/>
        <v>2593.405531648662</v>
      </c>
      <c r="AC717">
        <f t="shared" ca="1" si="334"/>
        <v>482.07306851378365</v>
      </c>
      <c r="AD717">
        <f t="shared" ca="1" si="335"/>
        <v>280.07692026646265</v>
      </c>
      <c r="AE717">
        <f t="shared" ca="1" si="336"/>
        <v>1019.7665564573041</v>
      </c>
      <c r="AF717">
        <f t="shared" ca="1" si="337"/>
        <v>482.23599159975447</v>
      </c>
      <c r="AG717">
        <f t="shared" ca="1" si="338"/>
        <v>0</v>
      </c>
      <c r="AH717">
        <f ca="1">IF(V32="Supercritical",L717,IF(V32="Subcritical",W717,IF(AND(V717=1,AG717=1),IF(T717&gt;=AE717,L717,W717),IF(V717=1,L717,IF(AG717=1,W717,MAX($D$16,POWER((ABS(K717)^2)/($I$5*MAX(F717,0.1)^2),1/3)))))))</f>
        <v>2.1403668656741068</v>
      </c>
      <c r="AI717">
        <f t="shared" ca="1" si="339"/>
        <v>634.41886686567409</v>
      </c>
      <c r="AJ717">
        <f t="shared" ca="1" si="340"/>
        <v>635.48905029851119</v>
      </c>
      <c r="AM717">
        <v>0</v>
      </c>
      <c r="AN717">
        <v>0</v>
      </c>
      <c r="AO717">
        <f t="shared" si="341"/>
        <v>0</v>
      </c>
      <c r="AP717">
        <f t="shared" si="350"/>
        <v>0</v>
      </c>
      <c r="AQ717">
        <f t="shared" ca="1" si="342"/>
        <v>0.99999999999999978</v>
      </c>
      <c r="AR717" t="str">
        <f t="shared" ca="1" si="343"/>
        <v>Supercritical</v>
      </c>
      <c r="AS717">
        <f t="shared" ca="1" si="344"/>
        <v>3.8148159832266538E-3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191</v>
      </c>
      <c r="I718">
        <v>0.05</v>
      </c>
      <c r="J718">
        <f t="shared" si="345"/>
        <v>1</v>
      </c>
      <c r="K718">
        <f t="shared" si="346"/>
        <v>51</v>
      </c>
      <c r="L718">
        <f t="shared" ca="1" si="347"/>
        <v>0.05</v>
      </c>
      <c r="M718">
        <f t="shared" ca="1" si="320"/>
        <v>0.26</v>
      </c>
      <c r="N718">
        <f t="shared" ca="1" si="321"/>
        <v>4.9056603773584909E-2</v>
      </c>
      <c r="O718">
        <f t="shared" ca="1" si="322"/>
        <v>196.15384615384616</v>
      </c>
      <c r="P718">
        <f t="shared" ca="1" si="323"/>
        <v>632.32799999999997</v>
      </c>
      <c r="Q718">
        <f t="shared" ca="1" si="324"/>
        <v>2593.4050316486619</v>
      </c>
      <c r="R718">
        <f t="shared" ca="1" si="325"/>
        <v>482.07306851378365</v>
      </c>
      <c r="S718">
        <f t="shared" ca="1" si="326"/>
        <v>280.07692026646265</v>
      </c>
      <c r="T718">
        <f t="shared" ca="1" si="327"/>
        <v>1019.7665564573041</v>
      </c>
      <c r="U718">
        <f t="shared" ca="1" si="348"/>
        <v>-482.23599159975447</v>
      </c>
      <c r="V718">
        <f t="shared" ca="1" si="349"/>
        <v>0</v>
      </c>
      <c r="W718">
        <f t="shared" ca="1" si="328"/>
        <v>0.05</v>
      </c>
      <c r="X718">
        <f t="shared" ca="1" si="329"/>
        <v>0.26</v>
      </c>
      <c r="Y718">
        <f t="shared" ca="1" si="330"/>
        <v>4.9056603773584909E-2</v>
      </c>
      <c r="Z718">
        <f t="shared" ca="1" si="331"/>
        <v>196.15384615384616</v>
      </c>
      <c r="AA718">
        <f t="shared" ca="1" si="332"/>
        <v>632.32799999999997</v>
      </c>
      <c r="AB718">
        <f t="shared" ca="1" si="333"/>
        <v>2593.4050316486619</v>
      </c>
      <c r="AC718">
        <f t="shared" ca="1" si="334"/>
        <v>482.07306851378365</v>
      </c>
      <c r="AD718">
        <f t="shared" ca="1" si="335"/>
        <v>280.07692026646265</v>
      </c>
      <c r="AE718">
        <f t="shared" ca="1" si="336"/>
        <v>1019.7665564573041</v>
      </c>
      <c r="AF718">
        <f t="shared" ca="1" si="337"/>
        <v>482.16081698020844</v>
      </c>
      <c r="AG718">
        <f t="shared" ca="1" si="338"/>
        <v>0</v>
      </c>
      <c r="AH718">
        <f ca="1">IF(V32="Supercritical",L718,IF(V32="Subcritical",W718,IF(AND(V718=1,AG718=1),IF(T718&gt;=AE718,L718,W718),IF(V718=1,L718,IF(AG718=1,W718,MAX($D$16,POWER((ABS(K718)^2)/($I$5*MAX(F718,0.1)^2),1/3)))))))</f>
        <v>2.1403668656741068</v>
      </c>
      <c r="AI718">
        <f t="shared" ca="1" si="339"/>
        <v>634.4183668656741</v>
      </c>
      <c r="AJ718">
        <f t="shared" ca="1" si="340"/>
        <v>635.4885502985112</v>
      </c>
      <c r="AM718">
        <v>0</v>
      </c>
      <c r="AN718">
        <v>0</v>
      </c>
      <c r="AO718">
        <f t="shared" si="341"/>
        <v>0</v>
      </c>
      <c r="AP718">
        <f t="shared" si="350"/>
        <v>0</v>
      </c>
      <c r="AQ718">
        <f t="shared" ca="1" si="342"/>
        <v>0.99999999999999978</v>
      </c>
      <c r="AR718" t="str">
        <f t="shared" ca="1" si="343"/>
        <v>Supercritical</v>
      </c>
      <c r="AS718">
        <f t="shared" ca="1" si="344"/>
        <v>3.8148159832266538E-3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191</v>
      </c>
      <c r="I719">
        <v>2.7E-2</v>
      </c>
      <c r="J719">
        <f t="shared" si="345"/>
        <v>1</v>
      </c>
      <c r="K719">
        <f t="shared" si="346"/>
        <v>51</v>
      </c>
      <c r="L719">
        <f t="shared" ca="1" si="347"/>
        <v>0.05</v>
      </c>
      <c r="M719">
        <f t="shared" ca="1" si="320"/>
        <v>0.26</v>
      </c>
      <c r="N719">
        <f t="shared" ca="1" si="321"/>
        <v>4.9056603773584909E-2</v>
      </c>
      <c r="O719">
        <f t="shared" ca="1" si="322"/>
        <v>196.15384615384616</v>
      </c>
      <c r="P719">
        <f t="shared" ca="1" si="323"/>
        <v>632.32749999999999</v>
      </c>
      <c r="Q719">
        <f t="shared" ca="1" si="324"/>
        <v>2593.4045316486622</v>
      </c>
      <c r="R719">
        <f t="shared" ca="1" si="325"/>
        <v>482.07306851378365</v>
      </c>
      <c r="S719">
        <f t="shared" ca="1" si="326"/>
        <v>280.07692026646265</v>
      </c>
      <c r="T719">
        <f t="shared" ca="1" si="327"/>
        <v>1019.7665564573041</v>
      </c>
      <c r="U719">
        <f t="shared" ca="1" si="348"/>
        <v>-482.16081698020844</v>
      </c>
      <c r="V719">
        <f t="shared" ca="1" si="349"/>
        <v>0</v>
      </c>
      <c r="W719">
        <f t="shared" ca="1" si="328"/>
        <v>0.05</v>
      </c>
      <c r="X719">
        <f t="shared" ca="1" si="329"/>
        <v>0.26</v>
      </c>
      <c r="Y719">
        <f t="shared" ca="1" si="330"/>
        <v>4.9056603773584909E-2</v>
      </c>
      <c r="Z719">
        <f t="shared" ca="1" si="331"/>
        <v>196.15384615384616</v>
      </c>
      <c r="AA719">
        <f t="shared" ca="1" si="332"/>
        <v>632.32749999999999</v>
      </c>
      <c r="AB719">
        <f t="shared" ca="1" si="333"/>
        <v>2593.4045316486622</v>
      </c>
      <c r="AC719">
        <f t="shared" ca="1" si="334"/>
        <v>482.07306851378365</v>
      </c>
      <c r="AD719">
        <f t="shared" ca="1" si="335"/>
        <v>280.07692026646265</v>
      </c>
      <c r="AE719">
        <f t="shared" ca="1" si="336"/>
        <v>1019.7665564573041</v>
      </c>
      <c r="AF719">
        <f t="shared" ca="1" si="337"/>
        <v>482.16081698020798</v>
      </c>
      <c r="AG719">
        <f t="shared" ca="1" si="338"/>
        <v>0</v>
      </c>
      <c r="AH719">
        <f ca="1">IF(V32="Supercritical",L719,IF(V32="Subcritical",W719,IF(AND(V719=1,AG719=1),IF(T719&gt;=AE719,L719,W719),IF(V719=1,L719,IF(AG719=1,W719,MAX($D$16,POWER((ABS(K719)^2)/($I$5*MAX(F719,0.1)^2),1/3)))))))</f>
        <v>2.1403668656741068</v>
      </c>
      <c r="AI719">
        <f t="shared" ca="1" si="339"/>
        <v>634.41786686567411</v>
      </c>
      <c r="AJ719">
        <f t="shared" ca="1" si="340"/>
        <v>635.48805029851121</v>
      </c>
      <c r="AM719">
        <v>0</v>
      </c>
      <c r="AN719">
        <v>0</v>
      </c>
      <c r="AO719">
        <f t="shared" si="341"/>
        <v>0</v>
      </c>
      <c r="AP719">
        <f t="shared" si="350"/>
        <v>0</v>
      </c>
      <c r="AQ719">
        <f t="shared" ca="1" si="342"/>
        <v>0.99999999999999978</v>
      </c>
      <c r="AR719" t="str">
        <f t="shared" ca="1" si="343"/>
        <v>Supercritical</v>
      </c>
      <c r="AS719">
        <f t="shared" ca="1" si="344"/>
        <v>3.8148159832266538E-3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191</v>
      </c>
      <c r="I720">
        <v>2.7E-2</v>
      </c>
      <c r="J720">
        <f t="shared" si="345"/>
        <v>1</v>
      </c>
      <c r="K720">
        <f t="shared" si="346"/>
        <v>51</v>
      </c>
      <c r="L720">
        <f t="shared" ca="1" si="347"/>
        <v>0.05</v>
      </c>
      <c r="M720">
        <f t="shared" ca="1" si="320"/>
        <v>0.26</v>
      </c>
      <c r="N720">
        <f t="shared" ca="1" si="321"/>
        <v>4.9056603773584909E-2</v>
      </c>
      <c r="O720">
        <f t="shared" ca="1" si="322"/>
        <v>196.15384615384616</v>
      </c>
      <c r="P720">
        <f t="shared" ca="1" si="323"/>
        <v>632.327</v>
      </c>
      <c r="Q720">
        <f t="shared" ca="1" si="324"/>
        <v>2593.4040316486621</v>
      </c>
      <c r="R720">
        <f t="shared" ca="1" si="325"/>
        <v>482.07306851378365</v>
      </c>
      <c r="S720">
        <f t="shared" ca="1" si="326"/>
        <v>280.07692026646265</v>
      </c>
      <c r="T720">
        <f t="shared" ca="1" si="327"/>
        <v>1019.7665564573041</v>
      </c>
      <c r="U720">
        <f t="shared" ca="1" si="348"/>
        <v>-482.16081698020798</v>
      </c>
      <c r="V720">
        <f t="shared" ca="1" si="349"/>
        <v>0</v>
      </c>
      <c r="W720">
        <f t="shared" ca="1" si="328"/>
        <v>0.05</v>
      </c>
      <c r="X720">
        <f t="shared" ca="1" si="329"/>
        <v>0.26</v>
      </c>
      <c r="Y720">
        <f t="shared" ca="1" si="330"/>
        <v>4.9056603773584909E-2</v>
      </c>
      <c r="Z720">
        <f t="shared" ca="1" si="331"/>
        <v>196.15384615384616</v>
      </c>
      <c r="AA720">
        <f t="shared" ca="1" si="332"/>
        <v>632.327</v>
      </c>
      <c r="AB720">
        <f t="shared" ca="1" si="333"/>
        <v>2593.4040316486621</v>
      </c>
      <c r="AC720">
        <f t="shared" ca="1" si="334"/>
        <v>482.07306851378365</v>
      </c>
      <c r="AD720">
        <f t="shared" ca="1" si="335"/>
        <v>280.07692026646265</v>
      </c>
      <c r="AE720">
        <f t="shared" ca="1" si="336"/>
        <v>1019.7665564573041</v>
      </c>
      <c r="AF720">
        <f t="shared" ca="1" si="337"/>
        <v>482.1477431333301</v>
      </c>
      <c r="AG720">
        <f t="shared" ca="1" si="338"/>
        <v>0</v>
      </c>
      <c r="AH720">
        <f ca="1">IF(V32="Supercritical",L720,IF(V32="Subcritical",W720,IF(AND(V720=1,AG720=1),IF(T720&gt;=AE720,L720,W720),IF(V720=1,L720,IF(AG720=1,W720,MAX($D$16,POWER((ABS(K720)^2)/($I$5*MAX(F720,0.1)^2),1/3)))))))</f>
        <v>2.1403668656741068</v>
      </c>
      <c r="AI720">
        <f t="shared" ca="1" si="339"/>
        <v>634.41736686567413</v>
      </c>
      <c r="AJ720">
        <f t="shared" ca="1" si="340"/>
        <v>635.48755029851122</v>
      </c>
      <c r="AM720">
        <v>0</v>
      </c>
      <c r="AN720">
        <v>0</v>
      </c>
      <c r="AO720">
        <f t="shared" si="341"/>
        <v>0</v>
      </c>
      <c r="AP720">
        <f t="shared" si="350"/>
        <v>0</v>
      </c>
      <c r="AQ720">
        <f t="shared" ca="1" si="342"/>
        <v>0.99999999999999978</v>
      </c>
      <c r="AR720" t="str">
        <f t="shared" ca="1" si="343"/>
        <v>Supercritical</v>
      </c>
      <c r="AS720">
        <f t="shared" ca="1" si="344"/>
        <v>3.8148159832266538E-3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191</v>
      </c>
      <c r="I721">
        <v>2.3E-2</v>
      </c>
      <c r="J721">
        <f t="shared" si="345"/>
        <v>1</v>
      </c>
      <c r="K721">
        <f t="shared" si="346"/>
        <v>51</v>
      </c>
      <c r="L721">
        <f t="shared" ca="1" si="347"/>
        <v>0.05</v>
      </c>
      <c r="M721">
        <f t="shared" ca="1" si="320"/>
        <v>0.26</v>
      </c>
      <c r="N721">
        <f t="shared" ca="1" si="321"/>
        <v>4.9056603773584909E-2</v>
      </c>
      <c r="O721">
        <f t="shared" ca="1" si="322"/>
        <v>196.15384615384616</v>
      </c>
      <c r="P721">
        <f t="shared" ca="1" si="323"/>
        <v>632.32650000000001</v>
      </c>
      <c r="Q721">
        <f t="shared" ca="1" si="324"/>
        <v>2593.403531648662</v>
      </c>
      <c r="R721">
        <f t="shared" ca="1" si="325"/>
        <v>482.07306851378365</v>
      </c>
      <c r="S721">
        <f t="shared" ca="1" si="326"/>
        <v>280.07692026646265</v>
      </c>
      <c r="T721">
        <f t="shared" ca="1" si="327"/>
        <v>1019.7665564573041</v>
      </c>
      <c r="U721">
        <f t="shared" ca="1" si="348"/>
        <v>-482.1477431333301</v>
      </c>
      <c r="V721">
        <f t="shared" ca="1" si="349"/>
        <v>0</v>
      </c>
      <c r="W721">
        <f t="shared" ca="1" si="328"/>
        <v>0.05</v>
      </c>
      <c r="X721">
        <f t="shared" ca="1" si="329"/>
        <v>0.26</v>
      </c>
      <c r="Y721">
        <f t="shared" ca="1" si="330"/>
        <v>4.9056603773584909E-2</v>
      </c>
      <c r="Z721">
        <f t="shared" ca="1" si="331"/>
        <v>196.15384615384616</v>
      </c>
      <c r="AA721">
        <f t="shared" ca="1" si="332"/>
        <v>632.32650000000001</v>
      </c>
      <c r="AB721">
        <f t="shared" ca="1" si="333"/>
        <v>2593.403531648662</v>
      </c>
      <c r="AC721">
        <f t="shared" ca="1" si="334"/>
        <v>482.07306851378365</v>
      </c>
      <c r="AD721">
        <f t="shared" ca="1" si="335"/>
        <v>280.07692026646265</v>
      </c>
      <c r="AE721">
        <f t="shared" ca="1" si="336"/>
        <v>1019.7665564573041</v>
      </c>
      <c r="AF721">
        <f t="shared" ca="1" si="337"/>
        <v>482.62981620183245</v>
      </c>
      <c r="AG721">
        <f t="shared" ca="1" si="338"/>
        <v>0</v>
      </c>
      <c r="AH721">
        <f ca="1">IF(V32="Supercritical",L721,IF(V32="Subcritical",W721,IF(AND(V721=1,AG721=1),IF(T721&gt;=AE721,L721,W721),IF(V721=1,L721,IF(AG721=1,W721,MAX($D$16,POWER((ABS(K721)^2)/($I$5*MAX(F721,0.1)^2),1/3)))))))</f>
        <v>2.1403668656741068</v>
      </c>
      <c r="AI721">
        <f t="shared" ca="1" si="339"/>
        <v>634.41686686567414</v>
      </c>
      <c r="AJ721">
        <f t="shared" ca="1" si="340"/>
        <v>635.48705029851124</v>
      </c>
      <c r="AM721">
        <v>0</v>
      </c>
      <c r="AN721">
        <v>0</v>
      </c>
      <c r="AO721">
        <f t="shared" si="341"/>
        <v>0</v>
      </c>
      <c r="AP721">
        <f t="shared" si="350"/>
        <v>0</v>
      </c>
      <c r="AQ721">
        <f t="shared" ca="1" si="342"/>
        <v>0.99999999999999978</v>
      </c>
      <c r="AR721" t="str">
        <f t="shared" ca="1" si="343"/>
        <v>Supercritical</v>
      </c>
      <c r="AS721">
        <f t="shared" ca="1" si="344"/>
        <v>3.8148159832266538E-3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191</v>
      </c>
      <c r="I722">
        <v>2.3E-2</v>
      </c>
      <c r="J722">
        <f t="shared" si="345"/>
        <v>1.0009999999999764</v>
      </c>
      <c r="K722">
        <f t="shared" si="346"/>
        <v>51</v>
      </c>
      <c r="L722">
        <f t="shared" ca="1" si="347"/>
        <v>0.05</v>
      </c>
      <c r="M722">
        <f t="shared" ca="1" si="320"/>
        <v>0.26</v>
      </c>
      <c r="N722">
        <f t="shared" ca="1" si="321"/>
        <v>4.9056603773584909E-2</v>
      </c>
      <c r="O722">
        <f t="shared" ca="1" si="322"/>
        <v>196.15384615384616</v>
      </c>
      <c r="P722">
        <f t="shared" ca="1" si="323"/>
        <v>632.32599999999991</v>
      </c>
      <c r="Q722">
        <f t="shared" ca="1" si="324"/>
        <v>2593.4030316486619</v>
      </c>
      <c r="R722">
        <f t="shared" ca="1" si="325"/>
        <v>482.07306851378365</v>
      </c>
      <c r="S722">
        <f t="shared" ca="1" si="326"/>
        <v>280.07692026646265</v>
      </c>
      <c r="T722">
        <f t="shared" ca="1" si="327"/>
        <v>1019.7665564573041</v>
      </c>
      <c r="U722">
        <f t="shared" ca="1" si="348"/>
        <v>-482.62981620183245</v>
      </c>
      <c r="V722">
        <f t="shared" ca="1" si="349"/>
        <v>0</v>
      </c>
      <c r="W722">
        <f t="shared" ca="1" si="328"/>
        <v>0.05</v>
      </c>
      <c r="X722">
        <f t="shared" ca="1" si="329"/>
        <v>0.26</v>
      </c>
      <c r="Y722">
        <f t="shared" ca="1" si="330"/>
        <v>4.9056603773584909E-2</v>
      </c>
      <c r="Z722">
        <f t="shared" ca="1" si="331"/>
        <v>196.15384615384616</v>
      </c>
      <c r="AA722">
        <f t="shared" ca="1" si="332"/>
        <v>632.32599999999991</v>
      </c>
      <c r="AB722">
        <f t="shared" ca="1" si="333"/>
        <v>2593.4030316486619</v>
      </c>
      <c r="AC722">
        <f t="shared" ca="1" si="334"/>
        <v>482.07306851378365</v>
      </c>
      <c r="AD722">
        <f t="shared" ca="1" si="335"/>
        <v>280.07692026646265</v>
      </c>
      <c r="AE722">
        <f t="shared" ca="1" si="336"/>
        <v>1019.7665564573041</v>
      </c>
      <c r="AF722">
        <f t="shared" ca="1" si="337"/>
        <v>481.5904954452817</v>
      </c>
      <c r="AG722">
        <f t="shared" ca="1" si="338"/>
        <v>0</v>
      </c>
      <c r="AH722">
        <f ca="1">IF(V32="Supercritical",L722,IF(V32="Subcritical",W722,IF(AND(V722=1,AG722=1),IF(T722&gt;=AE722,L722,W722),IF(V722=1,L722,IF(AG722=1,W722,MAX($D$16,POWER((ABS(K722)^2)/($I$5*MAX(F722,0.1)^2),1/3)))))))</f>
        <v>2.1403668656741068</v>
      </c>
      <c r="AI722">
        <f t="shared" ca="1" si="339"/>
        <v>634.41636686567404</v>
      </c>
      <c r="AJ722">
        <f t="shared" ca="1" si="340"/>
        <v>635.48655029851113</v>
      </c>
      <c r="AM722">
        <v>0</v>
      </c>
      <c r="AN722">
        <v>0</v>
      </c>
      <c r="AO722">
        <f t="shared" si="341"/>
        <v>0</v>
      </c>
      <c r="AP722">
        <f t="shared" si="350"/>
        <v>0</v>
      </c>
      <c r="AQ722">
        <f t="shared" ca="1" si="342"/>
        <v>0.99999999999999978</v>
      </c>
      <c r="AR722" t="str">
        <f t="shared" ca="1" si="343"/>
        <v>Supercritical</v>
      </c>
      <c r="AS722">
        <f t="shared" ca="1" si="344"/>
        <v>3.8148159832266538E-3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191</v>
      </c>
      <c r="I723">
        <v>0</v>
      </c>
      <c r="J723">
        <f t="shared" si="345"/>
        <v>0.99900000000002365</v>
      </c>
      <c r="K723">
        <f t="shared" si="346"/>
        <v>51</v>
      </c>
      <c r="L723">
        <f t="shared" ca="1" si="347"/>
        <v>0.05</v>
      </c>
      <c r="M723">
        <f t="shared" ca="1" si="320"/>
        <v>0.26</v>
      </c>
      <c r="N723">
        <f t="shared" ca="1" si="321"/>
        <v>4.9056603773584909E-2</v>
      </c>
      <c r="O723">
        <f t="shared" ca="1" si="322"/>
        <v>196.15384615384616</v>
      </c>
      <c r="P723">
        <f t="shared" ca="1" si="323"/>
        <v>632.32549999999992</v>
      </c>
      <c r="Q723">
        <f t="shared" ca="1" si="324"/>
        <v>2593.4025316486623</v>
      </c>
      <c r="R723">
        <f t="shared" ca="1" si="325"/>
        <v>482.07306851378365</v>
      </c>
      <c r="S723">
        <f t="shared" ca="1" si="326"/>
        <v>280.07692026646265</v>
      </c>
      <c r="T723">
        <f t="shared" ca="1" si="327"/>
        <v>1019.7665564573041</v>
      </c>
      <c r="U723">
        <f t="shared" ca="1" si="348"/>
        <v>-481.5904954452817</v>
      </c>
      <c r="V723">
        <f t="shared" ca="1" si="349"/>
        <v>0</v>
      </c>
      <c r="W723">
        <f t="shared" ca="1" si="328"/>
        <v>0.05</v>
      </c>
      <c r="X723">
        <f t="shared" ca="1" si="329"/>
        <v>0.26</v>
      </c>
      <c r="Y723">
        <f t="shared" ca="1" si="330"/>
        <v>4.9056603773584909E-2</v>
      </c>
      <c r="Z723">
        <f t="shared" ca="1" si="331"/>
        <v>196.15384615384616</v>
      </c>
      <c r="AA723">
        <f t="shared" ca="1" si="332"/>
        <v>632.32549999999992</v>
      </c>
      <c r="AB723">
        <f t="shared" ca="1" si="333"/>
        <v>2593.4025316486623</v>
      </c>
      <c r="AC723">
        <f t="shared" ca="1" si="334"/>
        <v>482.07306851378365</v>
      </c>
      <c r="AD723">
        <f t="shared" ca="1" si="335"/>
        <v>280.07692026646265</v>
      </c>
      <c r="AE723">
        <f t="shared" ca="1" si="336"/>
        <v>1019.7665564573041</v>
      </c>
      <c r="AF723">
        <f t="shared" ca="1" si="337"/>
        <v>482.16081698020798</v>
      </c>
      <c r="AG723">
        <f t="shared" ca="1" si="338"/>
        <v>0</v>
      </c>
      <c r="AH723">
        <f ca="1">IF(V32="Supercritical",L723,IF(V32="Subcritical",W723,IF(AND(V723=1,AG723=1),IF(T723&gt;=AE723,L723,W723),IF(V723=1,L723,IF(AG723=1,W723,MAX($D$16,POWER((ABS(K723)^2)/($I$5*MAX(F723,0.1)^2),1/3)))))))</f>
        <v>2.1403668656741068</v>
      </c>
      <c r="AI723">
        <f t="shared" ca="1" si="339"/>
        <v>634.41586686567405</v>
      </c>
      <c r="AJ723">
        <f t="shared" ca="1" si="340"/>
        <v>635.48605029851115</v>
      </c>
      <c r="AM723">
        <v>0</v>
      </c>
      <c r="AN723">
        <v>0</v>
      </c>
      <c r="AO723">
        <f t="shared" si="341"/>
        <v>0</v>
      </c>
      <c r="AP723">
        <f t="shared" si="350"/>
        <v>0</v>
      </c>
      <c r="AQ723">
        <f t="shared" ca="1" si="342"/>
        <v>0.99999999999999978</v>
      </c>
      <c r="AR723" t="str">
        <f t="shared" ca="1" si="343"/>
        <v>Supercritical</v>
      </c>
      <c r="AS723">
        <f t="shared" ca="1" si="344"/>
        <v>3.8148159832266538E-3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191</v>
      </c>
      <c r="I724">
        <v>2.7E-2</v>
      </c>
      <c r="J724">
        <f t="shared" si="345"/>
        <v>1</v>
      </c>
      <c r="K724">
        <f t="shared" si="346"/>
        <v>51</v>
      </c>
      <c r="L724">
        <f t="shared" ca="1" si="347"/>
        <v>0.05</v>
      </c>
      <c r="M724">
        <f t="shared" ca="1" si="320"/>
        <v>0.26</v>
      </c>
      <c r="N724">
        <f t="shared" ca="1" si="321"/>
        <v>4.9056603773584909E-2</v>
      </c>
      <c r="O724">
        <f t="shared" ca="1" si="322"/>
        <v>196.15384615384616</v>
      </c>
      <c r="P724">
        <f t="shared" ca="1" si="323"/>
        <v>632.32499999999993</v>
      </c>
      <c r="Q724">
        <f t="shared" ca="1" si="324"/>
        <v>2593.4020316486622</v>
      </c>
      <c r="R724">
        <f t="shared" ca="1" si="325"/>
        <v>482.07306851378365</v>
      </c>
      <c r="S724">
        <f t="shared" ca="1" si="326"/>
        <v>280.07692026646265</v>
      </c>
      <c r="T724">
        <f t="shared" ca="1" si="327"/>
        <v>1019.7665564573041</v>
      </c>
      <c r="U724">
        <f t="shared" ca="1" si="348"/>
        <v>-482.16081698020798</v>
      </c>
      <c r="V724">
        <f t="shared" ca="1" si="349"/>
        <v>0</v>
      </c>
      <c r="W724">
        <f t="shared" ca="1" si="328"/>
        <v>0.05</v>
      </c>
      <c r="X724">
        <f t="shared" ca="1" si="329"/>
        <v>0.26</v>
      </c>
      <c r="Y724">
        <f t="shared" ca="1" si="330"/>
        <v>4.9056603773584909E-2</v>
      </c>
      <c r="Z724">
        <f t="shared" ca="1" si="331"/>
        <v>196.15384615384616</v>
      </c>
      <c r="AA724">
        <f t="shared" ca="1" si="332"/>
        <v>632.32499999999993</v>
      </c>
      <c r="AB724">
        <f t="shared" ca="1" si="333"/>
        <v>2593.4020316486622</v>
      </c>
      <c r="AC724">
        <f t="shared" ca="1" si="334"/>
        <v>482.07306851378365</v>
      </c>
      <c r="AD724">
        <f t="shared" ca="1" si="335"/>
        <v>280.07692026646265</v>
      </c>
      <c r="AE724">
        <f t="shared" ca="1" si="336"/>
        <v>1019.7665564573041</v>
      </c>
      <c r="AF724">
        <f t="shared" ca="1" si="337"/>
        <v>482.16081698020798</v>
      </c>
      <c r="AG724">
        <f t="shared" ca="1" si="338"/>
        <v>0</v>
      </c>
      <c r="AH724">
        <f ca="1">IF(V32="Supercritical",L724,IF(V32="Subcritical",W724,IF(AND(V724=1,AG724=1),IF(T724&gt;=AE724,L724,W724),IF(V724=1,L724,IF(AG724=1,W724,MAX($D$16,POWER((ABS(K724)^2)/($I$5*MAX(F724,0.1)^2),1/3)))))))</f>
        <v>2.1403668656741068</v>
      </c>
      <c r="AI724">
        <f t="shared" ca="1" si="339"/>
        <v>634.41536686567406</v>
      </c>
      <c r="AJ724">
        <f t="shared" ca="1" si="340"/>
        <v>635.48555029851116</v>
      </c>
      <c r="AM724">
        <v>0</v>
      </c>
      <c r="AN724">
        <v>0</v>
      </c>
      <c r="AO724">
        <f t="shared" si="341"/>
        <v>0</v>
      </c>
      <c r="AP724">
        <f t="shared" si="350"/>
        <v>0</v>
      </c>
      <c r="AQ724">
        <f t="shared" ca="1" si="342"/>
        <v>0.99999999999999978</v>
      </c>
      <c r="AR724" t="str">
        <f t="shared" ca="1" si="343"/>
        <v>Supercritical</v>
      </c>
      <c r="AS724">
        <f t="shared" ca="1" si="344"/>
        <v>3.8148159832266538E-3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191</v>
      </c>
      <c r="I725">
        <v>2.7E-2</v>
      </c>
      <c r="J725">
        <f t="shared" si="345"/>
        <v>1</v>
      </c>
      <c r="K725">
        <f t="shared" si="346"/>
        <v>51</v>
      </c>
      <c r="L725">
        <f t="shared" ca="1" si="347"/>
        <v>0.05</v>
      </c>
      <c r="M725">
        <f t="shared" ca="1" si="320"/>
        <v>0.26</v>
      </c>
      <c r="N725">
        <f t="shared" ca="1" si="321"/>
        <v>4.9056603773584909E-2</v>
      </c>
      <c r="O725">
        <f t="shared" ca="1" si="322"/>
        <v>196.15384615384616</v>
      </c>
      <c r="P725">
        <f t="shared" ca="1" si="323"/>
        <v>632.32449999999994</v>
      </c>
      <c r="Q725">
        <f t="shared" ca="1" si="324"/>
        <v>2593.4015316486621</v>
      </c>
      <c r="R725">
        <f t="shared" ca="1" si="325"/>
        <v>482.07306851378365</v>
      </c>
      <c r="S725">
        <f t="shared" ca="1" si="326"/>
        <v>280.07692026646265</v>
      </c>
      <c r="T725">
        <f t="shared" ca="1" si="327"/>
        <v>1019.7665564573041</v>
      </c>
      <c r="U725">
        <f t="shared" ca="1" si="348"/>
        <v>-482.16081698020798</v>
      </c>
      <c r="V725">
        <f t="shared" ca="1" si="349"/>
        <v>0</v>
      </c>
      <c r="W725">
        <f t="shared" ca="1" si="328"/>
        <v>0.05</v>
      </c>
      <c r="X725">
        <f t="shared" ca="1" si="329"/>
        <v>0.26</v>
      </c>
      <c r="Y725">
        <f t="shared" ca="1" si="330"/>
        <v>4.9056603773584909E-2</v>
      </c>
      <c r="Z725">
        <f t="shared" ca="1" si="331"/>
        <v>196.15384615384616</v>
      </c>
      <c r="AA725">
        <f t="shared" ca="1" si="332"/>
        <v>632.32449999999994</v>
      </c>
      <c r="AB725">
        <f t="shared" ca="1" si="333"/>
        <v>2593.4015316486621</v>
      </c>
      <c r="AC725">
        <f t="shared" ca="1" si="334"/>
        <v>482.07306851378365</v>
      </c>
      <c r="AD725">
        <f t="shared" ca="1" si="335"/>
        <v>280.07692026646265</v>
      </c>
      <c r="AE725">
        <f t="shared" ca="1" si="336"/>
        <v>1019.7665564573041</v>
      </c>
      <c r="AF725">
        <f t="shared" ca="1" si="337"/>
        <v>482.1477431333301</v>
      </c>
      <c r="AG725">
        <f t="shared" ca="1" si="338"/>
        <v>0</v>
      </c>
      <c r="AH725">
        <f ca="1">IF(V32="Supercritical",L725,IF(V32="Subcritical",W725,IF(AND(V725=1,AG725=1),IF(T725&gt;=AE725,L725,W725),IF(V725=1,L725,IF(AG725=1,W725,MAX($D$16,POWER((ABS(K725)^2)/($I$5*MAX(F725,0.1)^2),1/3)))))))</f>
        <v>2.1403668656741068</v>
      </c>
      <c r="AI725">
        <f t="shared" ca="1" si="339"/>
        <v>634.41486686567407</v>
      </c>
      <c r="AJ725">
        <f t="shared" ca="1" si="340"/>
        <v>635.48505029851117</v>
      </c>
      <c r="AM725">
        <v>0</v>
      </c>
      <c r="AN725">
        <v>0</v>
      </c>
      <c r="AO725">
        <f t="shared" si="341"/>
        <v>0</v>
      </c>
      <c r="AP725">
        <f t="shared" si="350"/>
        <v>0</v>
      </c>
      <c r="AQ725">
        <f t="shared" ca="1" si="342"/>
        <v>0.99999999999999978</v>
      </c>
      <c r="AR725" t="str">
        <f t="shared" ca="1" si="343"/>
        <v>Supercritical</v>
      </c>
      <c r="AS725">
        <f t="shared" ca="1" si="344"/>
        <v>3.8148159832266538E-3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191</v>
      </c>
      <c r="I726">
        <v>2.3E-2</v>
      </c>
      <c r="J726">
        <f t="shared" si="345"/>
        <v>1</v>
      </c>
      <c r="K726">
        <f t="shared" si="346"/>
        <v>51</v>
      </c>
      <c r="L726">
        <f t="shared" ca="1" si="347"/>
        <v>0.05</v>
      </c>
      <c r="M726">
        <f t="shared" ref="M726:M789" ca="1" si="351">((F726)+(G726)*(L726))*(L726)</f>
        <v>0.26</v>
      </c>
      <c r="N726">
        <f t="shared" ref="N726:N789" ca="1" si="352">(((F726)+(G726)*(L726))*(L726))/MAX((F726)+2*(L726)*SQRT(1+(G726)^2),0.000001)</f>
        <v>4.9056603773584909E-2</v>
      </c>
      <c r="O726">
        <f t="shared" ref="O726:O789" ca="1" si="353">ABS(K726)/MAX(((F726)+(G726)*(L726))*(L726),0.000001)</f>
        <v>196.15384615384616</v>
      </c>
      <c r="P726">
        <f t="shared" ref="P726:P789" ca="1" si="354">E726+L726</f>
        <v>632.32399999999996</v>
      </c>
      <c r="Q726">
        <f t="shared" ref="Q726:Q789" ca="1" si="355">P726+((ABS(K726)/MAX(((F726)+(G726)*(L726))*(L726),0.000001))^2)/(2*$I$5)</f>
        <v>2593.401031648662</v>
      </c>
      <c r="R726">
        <f t="shared" ref="R726:R789" ca="1" si="356">((ABS(K726)*$D$6)/(MAX(((F726)+(G726)*(L726))*(L726),0.000001)*MAX(((((F726)+(G726)*(L726))*(L726))/MAX((F726)+2*(L726)*SQRT(1+(G726)^2),0.000001))^(2/3),0.000001)))^2</f>
        <v>482.07306851378365</v>
      </c>
      <c r="S726">
        <f t="shared" ref="S726:S789" ca="1" si="357">ABS(ABS(K726)/MAX(((F726)+(G726)*(L726))*(L726),0.000001))/SQRT($I$5*MAX((((F726)+(G726)*(L726))*(L726))/MAX((F726)+2*(G726)*(L726),0.000001),0.000001))</f>
        <v>280.07692026646265</v>
      </c>
      <c r="T726">
        <f t="shared" ref="T726:T789" ca="1" si="358">((F726)*(L726)^2)/2+(G726)*(L726)^3/3+(ABS(K726)^2)/($I$5*MAX(((F726)+(G726)*(L726))*(L726),0.000001))</f>
        <v>1019.7665564573041</v>
      </c>
      <c r="U726">
        <f t="shared" ca="1" si="348"/>
        <v>-482.1477431333301</v>
      </c>
      <c r="V726">
        <f t="shared" ca="1" si="349"/>
        <v>0</v>
      </c>
      <c r="W726">
        <f t="shared" ref="W726:W789" ca="1" si="359">IF(OR($D$20=0,AG727=0),W727,IF(OR(W726=0,AD727&gt;1),MAX($D$16,POWER((ABS(K726)^2)/($I$5*MAX(F726,0.1)^2),1/3)),IF(AF726&gt;0,MAX($D$16,W726+((AF726)*$D$18*IF((AD726)&lt;1,1,-1))),IF(AF726&lt;0,IF(ABS((MAX($D$16,POWER((ABS(K726)^2)/($I$5*MAX(F726,0.1)^2),1/3)))-W726)&gt;$D$19,MAX($D$16,W726+($D$18*((MAX($D$16,POWER((ABS(K726)^2)/($I$5*MAX(F726,0.1)^2),1/3)))-W726))),MAX($D$16,POWER((ABS(K726)^2)/($I$5*MAX(F726,0.1)^2),1/3))),W726))))</f>
        <v>0.05</v>
      </c>
      <c r="X726">
        <f t="shared" ref="X726:X789" ca="1" si="360">((F726)+(G726)*(W726))*(W726)</f>
        <v>0.26</v>
      </c>
      <c r="Y726">
        <f t="shared" ref="Y726:Y789" ca="1" si="361">(((F726)+(G726)*(W726))*(W726))/MAX((F726)+2*(W726)*SQRT(1+(G726)^2),0.000001)</f>
        <v>4.9056603773584909E-2</v>
      </c>
      <c r="Z726">
        <f t="shared" ref="Z726:Z789" ca="1" si="362">ABS(K726)/MAX(((F726)+(G726)*(W726))*(W726),0.000001)</f>
        <v>196.15384615384616</v>
      </c>
      <c r="AA726">
        <f t="shared" ref="AA726:AA789" ca="1" si="363">E726+W726</f>
        <v>632.32399999999996</v>
      </c>
      <c r="AB726">
        <f t="shared" ref="AB726:AB789" ca="1" si="364">AA726+((ABS(K726)/MAX(((F726)+(G726)*(W726))*(W726),0.000001))^2)/(2*$I$5)</f>
        <v>2593.401031648662</v>
      </c>
      <c r="AC726">
        <f t="shared" ref="AC726:AC789" ca="1" si="365">((ABS(K726)*$D$6)/(MAX(((F726)+(G726)*(W726))*(W726),0.000001)*MAX(((((F726)+(G726)*(W726))*(W726))/MAX((F726)+2*(W726)*SQRT(1+(G726)^2),0.000001))^(2/3),0.000001)))^2</f>
        <v>482.07306851378365</v>
      </c>
      <c r="AD726">
        <f t="shared" ref="AD726:AD789" ca="1" si="366">ABS(ABS(K726)/MAX(((F726)+(G726)*(W726))*(W726),0.000001))/SQRT($I$5*MAX((((F726)+(G726)*(W726))*(W726))/MAX((F726)+2*(G726)*(W726),0.000001),0.000001))</f>
        <v>280.07692026646265</v>
      </c>
      <c r="AE726">
        <f t="shared" ref="AE726:AE789" ca="1" si="367">((F726)*(W726)^2)/2+(G726)*(W726)^3/3+(ABS(K726)^2)/($I$5*MAX(((F726)+(G726)*(W726))*(W726),0.000001))</f>
        <v>1019.7665564573041</v>
      </c>
      <c r="AF726">
        <f t="shared" ref="AF726:AF789" ca="1" si="368">AB727+(((AC726+AC727)/2)*J727)+(IF(Z726&gt;Z727,$D$8*((Z726^2-Z727^2)/(2*$I$5)),$D$9*((Z727^2-Z726^2)/(2*$I$5)))+($D$10*(ABS(I727)/90)*(MAX(Z726^2,Z727^2)/(2*$I$5))))-AB726</f>
        <v>482.62981620183245</v>
      </c>
      <c r="AG726">
        <f t="shared" ref="AG726:AG789" ca="1" si="369">IF(ROUND(AD726,3)=1,1,IF(AND(ABS(AF726)&lt;$D$19,AD726&lt;1),1,0))</f>
        <v>0</v>
      </c>
      <c r="AH726">
        <f ca="1">IF(V32="Supercritical",L726,IF(V32="Subcritical",W726,IF(AND(V726=1,AG726=1),IF(T726&gt;=AE726,L726,W726),IF(V726=1,L726,IF(AG726=1,W726,MAX($D$16,POWER((ABS(K726)^2)/($I$5*MAX(F726,0.1)^2),1/3)))))))</f>
        <v>2.1403668656741068</v>
      </c>
      <c r="AI726">
        <f t="shared" ref="AI726:AI789" ca="1" si="370">E726+AH726</f>
        <v>634.41436686567408</v>
      </c>
      <c r="AJ726">
        <f t="shared" ref="AJ726:AJ789" ca="1" si="371">AI726+((ABS(K726)/MAX(((F726)+(G726)*(AH726))*(AH726),0.000001))^2)/(2*$I$5)</f>
        <v>635.48455029851118</v>
      </c>
      <c r="AM726">
        <v>0</v>
      </c>
      <c r="AN726">
        <v>0</v>
      </c>
      <c r="AO726">
        <f t="shared" ref="AO726:AO789" si="372">AM726+AN726</f>
        <v>0</v>
      </c>
      <c r="AP726">
        <f t="shared" si="350"/>
        <v>0</v>
      </c>
      <c r="AQ726">
        <f t="shared" ref="AQ726:AQ789" ca="1" si="373">ABS(ABS(K726)/MAX(((F726)+(G726)*(AH726))*(AH726),0.000001))/SQRT($I$5*MAX((((F726)+(G726)*(AH726))*(AH726))/MAX((F726)+2*(G726)*(AH726),0.000001),0.000001))</f>
        <v>0.99999999999999978</v>
      </c>
      <c r="AR726" t="str">
        <f t="shared" ref="AR726:AR789" ca="1" si="374">IF(AQ726&lt;1,"Subcritical","Supercritical")</f>
        <v>Supercritical</v>
      </c>
      <c r="AS726">
        <f t="shared" ref="AS726:AS789" ca="1" si="375">((ABS(K726)*$D$6)/(MAX(((F726)+(G726)*(AH726))*(AH726),0.000001)*MAX(((((F726)+(G726)*(AH726))*(AH726))/MAX((F726)+2*(AH726)*SQRT(1+(G726)^2),0.000001))^(2/3),0.000001)))^2</f>
        <v>3.8148159832266538E-3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191</v>
      </c>
      <c r="I727">
        <v>2.3E-2</v>
      </c>
      <c r="J727">
        <f t="shared" ref="J727:J790" si="376">B727-B726</f>
        <v>1.0009999999999764</v>
      </c>
      <c r="K727">
        <f t="shared" ref="K727:K790" si="377">MAX(0,K726-AO726)</f>
        <v>51</v>
      </c>
      <c r="L727">
        <f t="shared" ref="L727:L790" ca="1" si="378">IF(OR($D$20=0,V726=0),L726,IF(OR(L727=0,S726&lt;1,S727&lt;1),MAX($D$16,POWER((ABS(K727)^2)/($I$5*MAX(F727,0.1)^2),1/3)),IF(U727&gt;0,MAX($D$16,L727+((U727)*$D$18*IF((S727)&lt;1,1,-1))),IF(U727&lt;0,IF(ABS((MAX($D$16,POWER((ABS(K727)^2)/($I$5*MAX(F727,0.1)^2),1/3)))-L727)&gt;$D$19,MAX($D$16,L727+($D$18*((MAX($D$16,POWER((ABS(K727)^2)/($I$5*MAX(F727,0.1)^2),1/3)))-L727))),MAX($D$16,POWER((ABS(K727)^2)/($I$5*MAX(F727,0.1)^2),1/3))),L727))))</f>
        <v>0.05</v>
      </c>
      <c r="M727">
        <f t="shared" ca="1" si="351"/>
        <v>0.26</v>
      </c>
      <c r="N727">
        <f t="shared" ca="1" si="352"/>
        <v>4.9056603773584909E-2</v>
      </c>
      <c r="O727">
        <f t="shared" ca="1" si="353"/>
        <v>196.15384615384616</v>
      </c>
      <c r="P727">
        <f t="shared" ca="1" si="354"/>
        <v>632.32349999999997</v>
      </c>
      <c r="Q727">
        <f t="shared" ca="1" si="355"/>
        <v>2593.4005316486619</v>
      </c>
      <c r="R727">
        <f t="shared" ca="1" si="356"/>
        <v>482.07306851378365</v>
      </c>
      <c r="S727">
        <f t="shared" ca="1" si="357"/>
        <v>280.07692026646265</v>
      </c>
      <c r="T727">
        <f t="shared" ca="1" si="358"/>
        <v>1019.7665564573041</v>
      </c>
      <c r="U727">
        <f t="shared" ref="U727:U790" ca="1" si="379">Q726-(((R726+R727)/2)*J727)-(IF(O726&gt;O727,$D$8*((O726^2-O727^2)/(2*$I$5)),$D$9*((O727^2-O726^2)/(2*$I$5)))+($D$10*(ABS(I727)/90)*(MAX(O726^2,O727^2)/(2*$I$5))))-Q727</f>
        <v>-482.62981620183245</v>
      </c>
      <c r="V727">
        <f t="shared" ref="V727:V790" ca="1" si="380">IF(ROUND(S727,3)=1,1,IF(AND(ABS(U727)&lt;$D$19,S727&gt;1),1,0))</f>
        <v>0</v>
      </c>
      <c r="W727">
        <f t="shared" ca="1" si="359"/>
        <v>0.05</v>
      </c>
      <c r="X727">
        <f t="shared" ca="1" si="360"/>
        <v>0.26</v>
      </c>
      <c r="Y727">
        <f t="shared" ca="1" si="361"/>
        <v>4.9056603773584909E-2</v>
      </c>
      <c r="Z727">
        <f t="shared" ca="1" si="362"/>
        <v>196.15384615384616</v>
      </c>
      <c r="AA727">
        <f t="shared" ca="1" si="363"/>
        <v>632.32349999999997</v>
      </c>
      <c r="AB727">
        <f t="shared" ca="1" si="364"/>
        <v>2593.4005316486619</v>
      </c>
      <c r="AC727">
        <f t="shared" ca="1" si="365"/>
        <v>482.07306851378365</v>
      </c>
      <c r="AD727">
        <f t="shared" ca="1" si="366"/>
        <v>280.07692026646265</v>
      </c>
      <c r="AE727">
        <f t="shared" ca="1" si="367"/>
        <v>1019.7665564573041</v>
      </c>
      <c r="AF727">
        <f t="shared" ca="1" si="368"/>
        <v>481.5904954452817</v>
      </c>
      <c r="AG727">
        <f t="shared" ca="1" si="369"/>
        <v>0</v>
      </c>
      <c r="AH727">
        <f ca="1">IF(V32="Supercritical",L727,IF(V32="Subcritical",W727,IF(AND(V727=1,AG727=1),IF(T727&gt;=AE727,L727,W727),IF(V727=1,L727,IF(AG727=1,W727,MAX($D$16,POWER((ABS(K727)^2)/($I$5*MAX(F727,0.1)^2),1/3)))))))</f>
        <v>2.1403668656741068</v>
      </c>
      <c r="AI727">
        <f t="shared" ca="1" si="370"/>
        <v>634.41386686567409</v>
      </c>
      <c r="AJ727">
        <f t="shared" ca="1" si="371"/>
        <v>635.48405029851119</v>
      </c>
      <c r="AM727">
        <v>0</v>
      </c>
      <c r="AN727">
        <v>0</v>
      </c>
      <c r="AO727">
        <f t="shared" si="372"/>
        <v>0</v>
      </c>
      <c r="AP727">
        <f t="shared" ref="AP727:AP790" si="381">AP726+AO727</f>
        <v>0</v>
      </c>
      <c r="AQ727">
        <f t="shared" ca="1" si="373"/>
        <v>0.99999999999999978</v>
      </c>
      <c r="AR727" t="str">
        <f t="shared" ca="1" si="374"/>
        <v>Supercritical</v>
      </c>
      <c r="AS727">
        <f t="shared" ca="1" si="375"/>
        <v>3.8148159832266538E-3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191</v>
      </c>
      <c r="I728">
        <v>0</v>
      </c>
      <c r="J728">
        <f t="shared" si="376"/>
        <v>0.99900000000002365</v>
      </c>
      <c r="K728">
        <f t="shared" si="377"/>
        <v>51</v>
      </c>
      <c r="L728">
        <f t="shared" ca="1" si="378"/>
        <v>0.05</v>
      </c>
      <c r="M728">
        <f t="shared" ca="1" si="351"/>
        <v>0.26</v>
      </c>
      <c r="N728">
        <f t="shared" ca="1" si="352"/>
        <v>4.9056603773584909E-2</v>
      </c>
      <c r="O728">
        <f t="shared" ca="1" si="353"/>
        <v>196.15384615384616</v>
      </c>
      <c r="P728">
        <f t="shared" ca="1" si="354"/>
        <v>632.32299999999998</v>
      </c>
      <c r="Q728">
        <f t="shared" ca="1" si="355"/>
        <v>2593.4000316486622</v>
      </c>
      <c r="R728">
        <f t="shared" ca="1" si="356"/>
        <v>482.07306851378365</v>
      </c>
      <c r="S728">
        <f t="shared" ca="1" si="357"/>
        <v>280.07692026646265</v>
      </c>
      <c r="T728">
        <f t="shared" ca="1" si="358"/>
        <v>1019.7665564573041</v>
      </c>
      <c r="U728">
        <f t="shared" ca="1" si="379"/>
        <v>-481.5904954452817</v>
      </c>
      <c r="V728">
        <f t="shared" ca="1" si="380"/>
        <v>0</v>
      </c>
      <c r="W728">
        <f t="shared" ca="1" si="359"/>
        <v>0.05</v>
      </c>
      <c r="X728">
        <f t="shared" ca="1" si="360"/>
        <v>0.26</v>
      </c>
      <c r="Y728">
        <f t="shared" ca="1" si="361"/>
        <v>4.9056603773584909E-2</v>
      </c>
      <c r="Z728">
        <f t="shared" ca="1" si="362"/>
        <v>196.15384615384616</v>
      </c>
      <c r="AA728">
        <f t="shared" ca="1" si="363"/>
        <v>632.32299999999998</v>
      </c>
      <c r="AB728">
        <f t="shared" ca="1" si="364"/>
        <v>2593.4000316486622</v>
      </c>
      <c r="AC728">
        <f t="shared" ca="1" si="365"/>
        <v>482.07306851378365</v>
      </c>
      <c r="AD728">
        <f t="shared" ca="1" si="366"/>
        <v>280.07692026646265</v>
      </c>
      <c r="AE728">
        <f t="shared" ca="1" si="367"/>
        <v>1019.7665564573041</v>
      </c>
      <c r="AF728">
        <f t="shared" ca="1" si="368"/>
        <v>482.16081698020798</v>
      </c>
      <c r="AG728">
        <f t="shared" ca="1" si="369"/>
        <v>0</v>
      </c>
      <c r="AH728">
        <f ca="1">IF(V32="Supercritical",L728,IF(V32="Subcritical",W728,IF(AND(V728=1,AG728=1),IF(T728&gt;=AE728,L728,W728),IF(V728=1,L728,IF(AG728=1,W728,MAX($D$16,POWER((ABS(K728)^2)/($I$5*MAX(F728,0.1)^2),1/3)))))))</f>
        <v>2.1403668656741068</v>
      </c>
      <c r="AI728">
        <f t="shared" ca="1" si="370"/>
        <v>634.41336686567411</v>
      </c>
      <c r="AJ728">
        <f t="shared" ca="1" si="371"/>
        <v>635.4835502985112</v>
      </c>
      <c r="AM728">
        <v>0</v>
      </c>
      <c r="AN728">
        <v>0</v>
      </c>
      <c r="AO728">
        <f t="shared" si="372"/>
        <v>0</v>
      </c>
      <c r="AP728">
        <f t="shared" si="381"/>
        <v>0</v>
      </c>
      <c r="AQ728">
        <f t="shared" ca="1" si="373"/>
        <v>0.99999999999999978</v>
      </c>
      <c r="AR728" t="str">
        <f t="shared" ca="1" si="374"/>
        <v>Supercritical</v>
      </c>
      <c r="AS728">
        <f t="shared" ca="1" si="375"/>
        <v>3.8148159832266538E-3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191</v>
      </c>
      <c r="I729">
        <v>2.7E-2</v>
      </c>
      <c r="J729">
        <f t="shared" si="376"/>
        <v>1</v>
      </c>
      <c r="K729">
        <f t="shared" si="377"/>
        <v>51</v>
      </c>
      <c r="L729">
        <f t="shared" ca="1" si="378"/>
        <v>0.05</v>
      </c>
      <c r="M729">
        <f t="shared" ca="1" si="351"/>
        <v>0.26</v>
      </c>
      <c r="N729">
        <f t="shared" ca="1" si="352"/>
        <v>4.9056603773584909E-2</v>
      </c>
      <c r="O729">
        <f t="shared" ca="1" si="353"/>
        <v>196.15384615384616</v>
      </c>
      <c r="P729">
        <f t="shared" ca="1" si="354"/>
        <v>632.32249999999999</v>
      </c>
      <c r="Q729">
        <f t="shared" ca="1" si="355"/>
        <v>2593.3995316486621</v>
      </c>
      <c r="R729">
        <f t="shared" ca="1" si="356"/>
        <v>482.07306851378365</v>
      </c>
      <c r="S729">
        <f t="shared" ca="1" si="357"/>
        <v>280.07692026646265</v>
      </c>
      <c r="T729">
        <f t="shared" ca="1" si="358"/>
        <v>1019.7665564573041</v>
      </c>
      <c r="U729">
        <f t="shared" ca="1" si="379"/>
        <v>-482.16081698020798</v>
      </c>
      <c r="V729">
        <f t="shared" ca="1" si="380"/>
        <v>0</v>
      </c>
      <c r="W729">
        <f t="shared" ca="1" si="359"/>
        <v>0.05</v>
      </c>
      <c r="X729">
        <f t="shared" ca="1" si="360"/>
        <v>0.26</v>
      </c>
      <c r="Y729">
        <f t="shared" ca="1" si="361"/>
        <v>4.9056603773584909E-2</v>
      </c>
      <c r="Z729">
        <f t="shared" ca="1" si="362"/>
        <v>196.15384615384616</v>
      </c>
      <c r="AA729">
        <f t="shared" ca="1" si="363"/>
        <v>632.32249999999999</v>
      </c>
      <c r="AB729">
        <f t="shared" ca="1" si="364"/>
        <v>2593.3995316486621</v>
      </c>
      <c r="AC729">
        <f t="shared" ca="1" si="365"/>
        <v>482.07306851378365</v>
      </c>
      <c r="AD729">
        <f t="shared" ca="1" si="366"/>
        <v>280.07692026646265</v>
      </c>
      <c r="AE729">
        <f t="shared" ca="1" si="367"/>
        <v>1019.7665564573041</v>
      </c>
      <c r="AF729">
        <f t="shared" ca="1" si="368"/>
        <v>482.32750852789786</v>
      </c>
      <c r="AG729">
        <f t="shared" ca="1" si="369"/>
        <v>0</v>
      </c>
      <c r="AH729">
        <f ca="1">IF(V32="Supercritical",L729,IF(V32="Subcritical",W729,IF(AND(V729=1,AG729=1),IF(T729&gt;=AE729,L729,W729),IF(V729=1,L729,IF(AG729=1,W729,MAX($D$16,POWER((ABS(K729)^2)/($I$5*MAX(F729,0.1)^2),1/3)))))))</f>
        <v>2.1403668656741068</v>
      </c>
      <c r="AI729">
        <f t="shared" ca="1" si="370"/>
        <v>634.41286686567412</v>
      </c>
      <c r="AJ729">
        <f t="shared" ca="1" si="371"/>
        <v>635.48305029851122</v>
      </c>
      <c r="AM729">
        <v>0</v>
      </c>
      <c r="AN729">
        <v>0</v>
      </c>
      <c r="AO729">
        <f t="shared" si="372"/>
        <v>0</v>
      </c>
      <c r="AP729">
        <f t="shared" si="381"/>
        <v>0</v>
      </c>
      <c r="AQ729">
        <f t="shared" ca="1" si="373"/>
        <v>0.99999999999999978</v>
      </c>
      <c r="AR729" t="str">
        <f t="shared" ca="1" si="374"/>
        <v>Supercritical</v>
      </c>
      <c r="AS729">
        <f t="shared" ca="1" si="375"/>
        <v>3.8148159832266538E-3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191</v>
      </c>
      <c r="I730">
        <v>7.8E-2</v>
      </c>
      <c r="J730">
        <f t="shared" si="376"/>
        <v>1</v>
      </c>
      <c r="K730">
        <f t="shared" si="377"/>
        <v>51</v>
      </c>
      <c r="L730">
        <f t="shared" ca="1" si="378"/>
        <v>0.05</v>
      </c>
      <c r="M730">
        <f t="shared" ca="1" si="351"/>
        <v>0.26</v>
      </c>
      <c r="N730">
        <f t="shared" ca="1" si="352"/>
        <v>4.9056603773584909E-2</v>
      </c>
      <c r="O730">
        <f t="shared" ca="1" si="353"/>
        <v>196.15384615384616</v>
      </c>
      <c r="P730">
        <f t="shared" ca="1" si="354"/>
        <v>632.322</v>
      </c>
      <c r="Q730">
        <f t="shared" ca="1" si="355"/>
        <v>2593.399031648662</v>
      </c>
      <c r="R730">
        <f t="shared" ca="1" si="356"/>
        <v>482.07306851378365</v>
      </c>
      <c r="S730">
        <f t="shared" ca="1" si="357"/>
        <v>280.07692026646265</v>
      </c>
      <c r="T730">
        <f t="shared" ca="1" si="358"/>
        <v>1019.7665564573041</v>
      </c>
      <c r="U730">
        <f t="shared" ca="1" si="379"/>
        <v>-482.32750852789786</v>
      </c>
      <c r="V730">
        <f t="shared" ca="1" si="380"/>
        <v>0</v>
      </c>
      <c r="W730">
        <f t="shared" ca="1" si="359"/>
        <v>0.05</v>
      </c>
      <c r="X730">
        <f t="shared" ca="1" si="360"/>
        <v>0.26</v>
      </c>
      <c r="Y730">
        <f t="shared" ca="1" si="361"/>
        <v>4.9056603773584909E-2</v>
      </c>
      <c r="Z730">
        <f t="shared" ca="1" si="362"/>
        <v>196.15384615384616</v>
      </c>
      <c r="AA730">
        <f t="shared" ca="1" si="363"/>
        <v>632.322</v>
      </c>
      <c r="AB730">
        <f t="shared" ca="1" si="364"/>
        <v>2593.399031648662</v>
      </c>
      <c r="AC730">
        <f t="shared" ca="1" si="365"/>
        <v>482.07306851378365</v>
      </c>
      <c r="AD730">
        <f t="shared" ca="1" si="366"/>
        <v>280.07692026646265</v>
      </c>
      <c r="AE730">
        <f t="shared" ca="1" si="367"/>
        <v>1019.7665564573041</v>
      </c>
      <c r="AF730">
        <f t="shared" ca="1" si="368"/>
        <v>482.32750852789786</v>
      </c>
      <c r="AG730">
        <f t="shared" ca="1" si="369"/>
        <v>0</v>
      </c>
      <c r="AH730">
        <f ca="1">IF(V32="Supercritical",L730,IF(V32="Subcritical",W730,IF(AND(V730=1,AG730=1),IF(T730&gt;=AE730,L730,W730),IF(V730=1,L730,IF(AG730=1,W730,MAX($D$16,POWER((ABS(K730)^2)/($I$5*MAX(F730,0.1)^2),1/3)))))))</f>
        <v>2.1403668656741068</v>
      </c>
      <c r="AI730">
        <f t="shared" ca="1" si="370"/>
        <v>634.41236686567413</v>
      </c>
      <c r="AJ730">
        <f t="shared" ca="1" si="371"/>
        <v>635.48255029851123</v>
      </c>
      <c r="AM730">
        <v>0</v>
      </c>
      <c r="AN730">
        <v>0</v>
      </c>
      <c r="AO730">
        <f t="shared" si="372"/>
        <v>0</v>
      </c>
      <c r="AP730">
        <f t="shared" si="381"/>
        <v>0</v>
      </c>
      <c r="AQ730">
        <f t="shared" ca="1" si="373"/>
        <v>0.99999999999999978</v>
      </c>
      <c r="AR730" t="str">
        <f t="shared" ca="1" si="374"/>
        <v>Supercritical</v>
      </c>
      <c r="AS730">
        <f t="shared" ca="1" si="375"/>
        <v>3.8148159832266538E-3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191</v>
      </c>
      <c r="I731">
        <v>7.8E-2</v>
      </c>
      <c r="J731">
        <f t="shared" si="376"/>
        <v>1</v>
      </c>
      <c r="K731">
        <f t="shared" si="377"/>
        <v>51</v>
      </c>
      <c r="L731">
        <f t="shared" ca="1" si="378"/>
        <v>0.05</v>
      </c>
      <c r="M731">
        <f t="shared" ca="1" si="351"/>
        <v>0.26</v>
      </c>
      <c r="N731">
        <f t="shared" ca="1" si="352"/>
        <v>4.9056603773584909E-2</v>
      </c>
      <c r="O731">
        <f t="shared" ca="1" si="353"/>
        <v>196.15384615384616</v>
      </c>
      <c r="P731">
        <f t="shared" ca="1" si="354"/>
        <v>632.3214999999999</v>
      </c>
      <c r="Q731">
        <f t="shared" ca="1" si="355"/>
        <v>2593.3985316486619</v>
      </c>
      <c r="R731">
        <f t="shared" ca="1" si="356"/>
        <v>482.07306851378365</v>
      </c>
      <c r="S731">
        <f t="shared" ca="1" si="357"/>
        <v>280.07692026646265</v>
      </c>
      <c r="T731">
        <f t="shared" ca="1" si="358"/>
        <v>1019.7665564573041</v>
      </c>
      <c r="U731">
        <f t="shared" ca="1" si="379"/>
        <v>-482.32750852789786</v>
      </c>
      <c r="V731">
        <f t="shared" ca="1" si="380"/>
        <v>0</v>
      </c>
      <c r="W731">
        <f t="shared" ca="1" si="359"/>
        <v>0.05</v>
      </c>
      <c r="X731">
        <f t="shared" ca="1" si="360"/>
        <v>0.26</v>
      </c>
      <c r="Y731">
        <f t="shared" ca="1" si="361"/>
        <v>4.9056603773584909E-2</v>
      </c>
      <c r="Z731">
        <f t="shared" ca="1" si="362"/>
        <v>196.15384615384616</v>
      </c>
      <c r="AA731">
        <f t="shared" ca="1" si="363"/>
        <v>632.3214999999999</v>
      </c>
      <c r="AB731">
        <f t="shared" ca="1" si="364"/>
        <v>2593.3985316486619</v>
      </c>
      <c r="AC731">
        <f t="shared" ca="1" si="365"/>
        <v>482.07306851378365</v>
      </c>
      <c r="AD731">
        <f t="shared" ca="1" si="366"/>
        <v>280.07692026646265</v>
      </c>
      <c r="AE731">
        <f t="shared" ca="1" si="367"/>
        <v>1019.7665564573041</v>
      </c>
      <c r="AF731">
        <f t="shared" ca="1" si="368"/>
        <v>482.6428900487108</v>
      </c>
      <c r="AG731">
        <f t="shared" ca="1" si="369"/>
        <v>0</v>
      </c>
      <c r="AH731">
        <f ca="1">IF(V32="Supercritical",L731,IF(V32="Subcritical",W731,IF(AND(V731=1,AG731=1),IF(T731&gt;=AE731,L731,W731),IF(V731=1,L731,IF(AG731=1,W731,MAX($D$16,POWER((ABS(K731)^2)/($I$5*MAX(F731,0.1)^2),1/3)))))))</f>
        <v>2.1403668656741068</v>
      </c>
      <c r="AI731">
        <f t="shared" ca="1" si="370"/>
        <v>634.41186686567403</v>
      </c>
      <c r="AJ731">
        <f t="shared" ca="1" si="371"/>
        <v>635.48205029851113</v>
      </c>
      <c r="AM731">
        <v>0</v>
      </c>
      <c r="AN731">
        <v>0</v>
      </c>
      <c r="AO731">
        <f t="shared" si="372"/>
        <v>0</v>
      </c>
      <c r="AP731">
        <f t="shared" si="381"/>
        <v>0</v>
      </c>
      <c r="AQ731">
        <f t="shared" ca="1" si="373"/>
        <v>0.99999999999999978</v>
      </c>
      <c r="AR731" t="str">
        <f t="shared" ca="1" si="374"/>
        <v>Supercritical</v>
      </c>
      <c r="AS731">
        <f t="shared" ca="1" si="375"/>
        <v>3.8148159832266538E-3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191</v>
      </c>
      <c r="I732">
        <v>2.7E-2</v>
      </c>
      <c r="J732">
        <f t="shared" si="376"/>
        <v>1.0009999999999764</v>
      </c>
      <c r="K732">
        <f t="shared" si="377"/>
        <v>51</v>
      </c>
      <c r="L732">
        <f t="shared" ca="1" si="378"/>
        <v>0.05</v>
      </c>
      <c r="M732">
        <f t="shared" ca="1" si="351"/>
        <v>0.26</v>
      </c>
      <c r="N732">
        <f t="shared" ca="1" si="352"/>
        <v>4.9056603773584909E-2</v>
      </c>
      <c r="O732">
        <f t="shared" ca="1" si="353"/>
        <v>196.15384615384616</v>
      </c>
      <c r="P732">
        <f t="shared" ca="1" si="354"/>
        <v>632.32099999999991</v>
      </c>
      <c r="Q732">
        <f t="shared" ca="1" si="355"/>
        <v>2593.3980316486623</v>
      </c>
      <c r="R732">
        <f t="shared" ca="1" si="356"/>
        <v>482.07306851378365</v>
      </c>
      <c r="S732">
        <f t="shared" ca="1" si="357"/>
        <v>280.07692026646265</v>
      </c>
      <c r="T732">
        <f t="shared" ca="1" si="358"/>
        <v>1019.7665564573041</v>
      </c>
      <c r="U732">
        <f t="shared" ca="1" si="379"/>
        <v>-482.6428900487108</v>
      </c>
      <c r="V732">
        <f t="shared" ca="1" si="380"/>
        <v>0</v>
      </c>
      <c r="W732">
        <f t="shared" ca="1" si="359"/>
        <v>0.05</v>
      </c>
      <c r="X732">
        <f t="shared" ca="1" si="360"/>
        <v>0.26</v>
      </c>
      <c r="Y732">
        <f t="shared" ca="1" si="361"/>
        <v>4.9056603773584909E-2</v>
      </c>
      <c r="Z732">
        <f t="shared" ca="1" si="362"/>
        <v>196.15384615384616</v>
      </c>
      <c r="AA732">
        <f t="shared" ca="1" si="363"/>
        <v>632.32099999999991</v>
      </c>
      <c r="AB732">
        <f t="shared" ca="1" si="364"/>
        <v>2593.3980316486623</v>
      </c>
      <c r="AC732">
        <f t="shared" ca="1" si="365"/>
        <v>482.07306851378365</v>
      </c>
      <c r="AD732">
        <f t="shared" ca="1" si="366"/>
        <v>280.07692026646265</v>
      </c>
      <c r="AE732">
        <f t="shared" ca="1" si="367"/>
        <v>1019.7665564573041</v>
      </c>
      <c r="AF732">
        <f t="shared" ca="1" si="368"/>
        <v>481.59049544528125</v>
      </c>
      <c r="AG732">
        <f t="shared" ca="1" si="369"/>
        <v>0</v>
      </c>
      <c r="AH732">
        <f ca="1">IF(V32="Supercritical",L732,IF(V32="Subcritical",W732,IF(AND(V732=1,AG732=1),IF(T732&gt;=AE732,L732,W732),IF(V732=1,L732,IF(AG732=1,W732,MAX($D$16,POWER((ABS(K732)^2)/($I$5*MAX(F732,0.1)^2),1/3)))))))</f>
        <v>2.1403668656741068</v>
      </c>
      <c r="AI732">
        <f t="shared" ca="1" si="370"/>
        <v>634.41136686567404</v>
      </c>
      <c r="AJ732">
        <f t="shared" ca="1" si="371"/>
        <v>635.48155029851114</v>
      </c>
      <c r="AM732">
        <v>0</v>
      </c>
      <c r="AN732">
        <v>0</v>
      </c>
      <c r="AO732">
        <f t="shared" si="372"/>
        <v>0</v>
      </c>
      <c r="AP732">
        <f t="shared" si="381"/>
        <v>0</v>
      </c>
      <c r="AQ732">
        <f t="shared" ca="1" si="373"/>
        <v>0.99999999999999978</v>
      </c>
      <c r="AR732" t="str">
        <f t="shared" ca="1" si="374"/>
        <v>Supercritical</v>
      </c>
      <c r="AS732">
        <f t="shared" ca="1" si="375"/>
        <v>3.8148159832266538E-3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191</v>
      </c>
      <c r="I733">
        <v>0</v>
      </c>
      <c r="J733">
        <f t="shared" si="376"/>
        <v>0.99900000000002365</v>
      </c>
      <c r="K733">
        <f t="shared" si="377"/>
        <v>51</v>
      </c>
      <c r="L733">
        <f t="shared" ca="1" si="378"/>
        <v>0.05</v>
      </c>
      <c r="M733">
        <f t="shared" ca="1" si="351"/>
        <v>0.26</v>
      </c>
      <c r="N733">
        <f t="shared" ca="1" si="352"/>
        <v>4.9056603773584909E-2</v>
      </c>
      <c r="O733">
        <f t="shared" ca="1" si="353"/>
        <v>196.15384615384616</v>
      </c>
      <c r="P733">
        <f t="shared" ca="1" si="354"/>
        <v>632.32049999999992</v>
      </c>
      <c r="Q733">
        <f t="shared" ca="1" si="355"/>
        <v>2593.3975316486622</v>
      </c>
      <c r="R733">
        <f t="shared" ca="1" si="356"/>
        <v>482.07306851378365</v>
      </c>
      <c r="S733">
        <f t="shared" ca="1" si="357"/>
        <v>280.07692026646265</v>
      </c>
      <c r="T733">
        <f t="shared" ca="1" si="358"/>
        <v>1019.7665564573041</v>
      </c>
      <c r="U733">
        <f t="shared" ca="1" si="379"/>
        <v>-481.59049544528125</v>
      </c>
      <c r="V733">
        <f t="shared" ca="1" si="380"/>
        <v>0</v>
      </c>
      <c r="W733">
        <f t="shared" ca="1" si="359"/>
        <v>0.05</v>
      </c>
      <c r="X733">
        <f t="shared" ca="1" si="360"/>
        <v>0.26</v>
      </c>
      <c r="Y733">
        <f t="shared" ca="1" si="361"/>
        <v>4.9056603773584909E-2</v>
      </c>
      <c r="Z733">
        <f t="shared" ca="1" si="362"/>
        <v>196.15384615384616</v>
      </c>
      <c r="AA733">
        <f t="shared" ca="1" si="363"/>
        <v>632.32049999999992</v>
      </c>
      <c r="AB733">
        <f t="shared" ca="1" si="364"/>
        <v>2593.3975316486622</v>
      </c>
      <c r="AC733">
        <f t="shared" ca="1" si="365"/>
        <v>482.07306851378365</v>
      </c>
      <c r="AD733">
        <f t="shared" ca="1" si="366"/>
        <v>280.07692026646265</v>
      </c>
      <c r="AE733">
        <f t="shared" ca="1" si="367"/>
        <v>1019.7665564573041</v>
      </c>
      <c r="AF733">
        <f t="shared" ca="1" si="368"/>
        <v>482.1477431333301</v>
      </c>
      <c r="AG733">
        <f t="shared" ca="1" si="369"/>
        <v>0</v>
      </c>
      <c r="AH733">
        <f ca="1">IF(V32="Supercritical",L733,IF(V32="Subcritical",W733,IF(AND(V733=1,AG733=1),IF(T733&gt;=AE733,L733,W733),IF(V733=1,L733,IF(AG733=1,W733,MAX($D$16,POWER((ABS(K733)^2)/($I$5*MAX(F733,0.1)^2),1/3)))))))</f>
        <v>2.1403668656741068</v>
      </c>
      <c r="AI733">
        <f t="shared" ca="1" si="370"/>
        <v>634.41086686567405</v>
      </c>
      <c r="AJ733">
        <f t="shared" ca="1" si="371"/>
        <v>635.48105029851115</v>
      </c>
      <c r="AM733">
        <v>0</v>
      </c>
      <c r="AN733">
        <v>0</v>
      </c>
      <c r="AO733">
        <f t="shared" si="372"/>
        <v>0</v>
      </c>
      <c r="AP733">
        <f t="shared" si="381"/>
        <v>0</v>
      </c>
      <c r="AQ733">
        <f t="shared" ca="1" si="373"/>
        <v>0.99999999999999978</v>
      </c>
      <c r="AR733" t="str">
        <f t="shared" ca="1" si="374"/>
        <v>Supercritical</v>
      </c>
      <c r="AS733">
        <f t="shared" ca="1" si="375"/>
        <v>3.8148159832266538E-3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191</v>
      </c>
      <c r="I734">
        <v>2.3E-2</v>
      </c>
      <c r="J734">
        <f t="shared" si="376"/>
        <v>1</v>
      </c>
      <c r="K734">
        <f t="shared" si="377"/>
        <v>51</v>
      </c>
      <c r="L734">
        <f t="shared" ca="1" si="378"/>
        <v>0.05</v>
      </c>
      <c r="M734">
        <f t="shared" ca="1" si="351"/>
        <v>0.26</v>
      </c>
      <c r="N734">
        <f t="shared" ca="1" si="352"/>
        <v>4.9056603773584909E-2</v>
      </c>
      <c r="O734">
        <f t="shared" ca="1" si="353"/>
        <v>196.15384615384616</v>
      </c>
      <c r="P734">
        <f t="shared" ca="1" si="354"/>
        <v>632.31999999999994</v>
      </c>
      <c r="Q734">
        <f t="shared" ca="1" si="355"/>
        <v>2593.3970316486621</v>
      </c>
      <c r="R734">
        <f t="shared" ca="1" si="356"/>
        <v>482.07306851378365</v>
      </c>
      <c r="S734">
        <f t="shared" ca="1" si="357"/>
        <v>280.07692026646265</v>
      </c>
      <c r="T734">
        <f t="shared" ca="1" si="358"/>
        <v>1019.7665564573041</v>
      </c>
      <c r="U734">
        <f t="shared" ca="1" si="379"/>
        <v>-482.1477431333301</v>
      </c>
      <c r="V734">
        <f t="shared" ca="1" si="380"/>
        <v>0</v>
      </c>
      <c r="W734">
        <f t="shared" ca="1" si="359"/>
        <v>0.05</v>
      </c>
      <c r="X734">
        <f t="shared" ca="1" si="360"/>
        <v>0.26</v>
      </c>
      <c r="Y734">
        <f t="shared" ca="1" si="361"/>
        <v>4.9056603773584909E-2</v>
      </c>
      <c r="Z734">
        <f t="shared" ca="1" si="362"/>
        <v>196.15384615384616</v>
      </c>
      <c r="AA734">
        <f t="shared" ca="1" si="363"/>
        <v>632.31999999999994</v>
      </c>
      <c r="AB734">
        <f t="shared" ca="1" si="364"/>
        <v>2593.3970316486621</v>
      </c>
      <c r="AC734">
        <f t="shared" ca="1" si="365"/>
        <v>482.07306851378365</v>
      </c>
      <c r="AD734">
        <f t="shared" ca="1" si="366"/>
        <v>280.07692026646265</v>
      </c>
      <c r="AE734">
        <f t="shared" ca="1" si="367"/>
        <v>1019.7665564573041</v>
      </c>
      <c r="AF734">
        <f t="shared" ca="1" si="368"/>
        <v>482.62981620183245</v>
      </c>
      <c r="AG734">
        <f t="shared" ca="1" si="369"/>
        <v>0</v>
      </c>
      <c r="AH734">
        <f ca="1">IF(V32="Supercritical",L734,IF(V32="Subcritical",W734,IF(AND(V734=1,AG734=1),IF(T734&gt;=AE734,L734,W734),IF(V734=1,L734,IF(AG734=1,W734,MAX($D$16,POWER((ABS(K734)^2)/($I$5*MAX(F734,0.1)^2),1/3)))))))</f>
        <v>2.1403668656741068</v>
      </c>
      <c r="AI734">
        <f t="shared" ca="1" si="370"/>
        <v>634.41036686567406</v>
      </c>
      <c r="AJ734">
        <f t="shared" ca="1" si="371"/>
        <v>635.48055029851116</v>
      </c>
      <c r="AM734">
        <v>0</v>
      </c>
      <c r="AN734">
        <v>0</v>
      </c>
      <c r="AO734">
        <f t="shared" si="372"/>
        <v>0</v>
      </c>
      <c r="AP734">
        <f t="shared" si="381"/>
        <v>0</v>
      </c>
      <c r="AQ734">
        <f t="shared" ca="1" si="373"/>
        <v>0.99999999999999978</v>
      </c>
      <c r="AR734" t="str">
        <f t="shared" ca="1" si="374"/>
        <v>Supercritical</v>
      </c>
      <c r="AS734">
        <f t="shared" ca="1" si="375"/>
        <v>3.8148159832266538E-3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191</v>
      </c>
      <c r="I735">
        <v>2.3E-2</v>
      </c>
      <c r="J735">
        <f t="shared" si="376"/>
        <v>1.0009999999999764</v>
      </c>
      <c r="K735">
        <f t="shared" si="377"/>
        <v>51</v>
      </c>
      <c r="L735">
        <f t="shared" ca="1" si="378"/>
        <v>0.05</v>
      </c>
      <c r="M735">
        <f t="shared" ca="1" si="351"/>
        <v>0.26</v>
      </c>
      <c r="N735">
        <f t="shared" ca="1" si="352"/>
        <v>4.9056603773584909E-2</v>
      </c>
      <c r="O735">
        <f t="shared" ca="1" si="353"/>
        <v>196.15384615384616</v>
      </c>
      <c r="P735">
        <f t="shared" ca="1" si="354"/>
        <v>632.31949999999995</v>
      </c>
      <c r="Q735">
        <f t="shared" ca="1" si="355"/>
        <v>2593.3965316486619</v>
      </c>
      <c r="R735">
        <f t="shared" ca="1" si="356"/>
        <v>482.07306851378365</v>
      </c>
      <c r="S735">
        <f t="shared" ca="1" si="357"/>
        <v>280.07692026646265</v>
      </c>
      <c r="T735">
        <f t="shared" ca="1" si="358"/>
        <v>1019.7665564573041</v>
      </c>
      <c r="U735">
        <f t="shared" ca="1" si="379"/>
        <v>-482.62981620183245</v>
      </c>
      <c r="V735">
        <f t="shared" ca="1" si="380"/>
        <v>0</v>
      </c>
      <c r="W735">
        <f t="shared" ca="1" si="359"/>
        <v>0.05</v>
      </c>
      <c r="X735">
        <f t="shared" ca="1" si="360"/>
        <v>0.26</v>
      </c>
      <c r="Y735">
        <f t="shared" ca="1" si="361"/>
        <v>4.9056603773584909E-2</v>
      </c>
      <c r="Z735">
        <f t="shared" ca="1" si="362"/>
        <v>196.15384615384616</v>
      </c>
      <c r="AA735">
        <f t="shared" ca="1" si="363"/>
        <v>632.31949999999995</v>
      </c>
      <c r="AB735">
        <f t="shared" ca="1" si="364"/>
        <v>2593.3965316486619</v>
      </c>
      <c r="AC735">
        <f t="shared" ca="1" si="365"/>
        <v>482.07306851378365</v>
      </c>
      <c r="AD735">
        <f t="shared" ca="1" si="366"/>
        <v>280.07692026646265</v>
      </c>
      <c r="AE735">
        <f t="shared" ca="1" si="367"/>
        <v>1019.7665564573041</v>
      </c>
      <c r="AF735">
        <f t="shared" ca="1" si="368"/>
        <v>481.67874391170562</v>
      </c>
      <c r="AG735">
        <f t="shared" ca="1" si="369"/>
        <v>0</v>
      </c>
      <c r="AH735">
        <f ca="1">IF(V32="Supercritical",L735,IF(V32="Subcritical",W735,IF(AND(V735=1,AG735=1),IF(T735&gt;=AE735,L735,W735),IF(V735=1,L735,IF(AG735=1,W735,MAX($D$16,POWER((ABS(K735)^2)/($I$5*MAX(F735,0.1)^2),1/3)))))))</f>
        <v>2.1403668656741068</v>
      </c>
      <c r="AI735">
        <f t="shared" ca="1" si="370"/>
        <v>634.40986686567408</v>
      </c>
      <c r="AJ735">
        <f t="shared" ca="1" si="371"/>
        <v>635.48005029851117</v>
      </c>
      <c r="AM735">
        <v>0</v>
      </c>
      <c r="AN735">
        <v>0</v>
      </c>
      <c r="AO735">
        <f t="shared" si="372"/>
        <v>0</v>
      </c>
      <c r="AP735">
        <f t="shared" si="381"/>
        <v>0</v>
      </c>
      <c r="AQ735">
        <f t="shared" ca="1" si="373"/>
        <v>0.99999999999999978</v>
      </c>
      <c r="AR735" t="str">
        <f t="shared" ca="1" si="374"/>
        <v>Supercritical</v>
      </c>
      <c r="AS735">
        <f t="shared" ca="1" si="375"/>
        <v>3.8148159832266538E-3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191</v>
      </c>
      <c r="I736">
        <v>2.7E-2</v>
      </c>
      <c r="J736">
        <f t="shared" si="376"/>
        <v>0.99900000000002365</v>
      </c>
      <c r="K736">
        <f t="shared" si="377"/>
        <v>51</v>
      </c>
      <c r="L736">
        <f t="shared" ca="1" si="378"/>
        <v>0.05</v>
      </c>
      <c r="M736">
        <f t="shared" ca="1" si="351"/>
        <v>0.26</v>
      </c>
      <c r="N736">
        <f t="shared" ca="1" si="352"/>
        <v>4.9056603773584909E-2</v>
      </c>
      <c r="O736">
        <f t="shared" ca="1" si="353"/>
        <v>196.15384615384616</v>
      </c>
      <c r="P736">
        <f t="shared" ca="1" si="354"/>
        <v>632.31899999999996</v>
      </c>
      <c r="Q736">
        <f t="shared" ca="1" si="355"/>
        <v>2593.3960316486618</v>
      </c>
      <c r="R736">
        <f t="shared" ca="1" si="356"/>
        <v>482.07306851378365</v>
      </c>
      <c r="S736">
        <f t="shared" ca="1" si="357"/>
        <v>280.07692026646265</v>
      </c>
      <c r="T736">
        <f t="shared" ca="1" si="358"/>
        <v>1019.7665564573041</v>
      </c>
      <c r="U736">
        <f t="shared" ca="1" si="379"/>
        <v>-481.67874391170562</v>
      </c>
      <c r="V736">
        <f t="shared" ca="1" si="380"/>
        <v>0</v>
      </c>
      <c r="W736">
        <f t="shared" ca="1" si="359"/>
        <v>0.05</v>
      </c>
      <c r="X736">
        <f t="shared" ca="1" si="360"/>
        <v>0.26</v>
      </c>
      <c r="Y736">
        <f t="shared" ca="1" si="361"/>
        <v>4.9056603773584909E-2</v>
      </c>
      <c r="Z736">
        <f t="shared" ca="1" si="362"/>
        <v>196.15384615384616</v>
      </c>
      <c r="AA736">
        <f t="shared" ca="1" si="363"/>
        <v>632.31899999999996</v>
      </c>
      <c r="AB736">
        <f t="shared" ca="1" si="364"/>
        <v>2593.3960316486618</v>
      </c>
      <c r="AC736">
        <f t="shared" ca="1" si="365"/>
        <v>482.07306851378365</v>
      </c>
      <c r="AD736">
        <f t="shared" ca="1" si="366"/>
        <v>280.07692026646265</v>
      </c>
      <c r="AE736">
        <f t="shared" ca="1" si="367"/>
        <v>1019.7665564573041</v>
      </c>
      <c r="AF736">
        <f t="shared" ca="1" si="368"/>
        <v>482.6428900487108</v>
      </c>
      <c r="AG736">
        <f t="shared" ca="1" si="369"/>
        <v>0</v>
      </c>
      <c r="AH736">
        <f ca="1">IF(V32="Supercritical",L736,IF(V32="Subcritical",W736,IF(AND(V736=1,AG736=1),IF(T736&gt;=AE736,L736,W736),IF(V736=1,L736,IF(AG736=1,W736,MAX($D$16,POWER((ABS(K736)^2)/($I$5*MAX(F736,0.1)^2),1/3)))))))</f>
        <v>2.1403668656741068</v>
      </c>
      <c r="AI736">
        <f t="shared" ca="1" si="370"/>
        <v>634.40936686567409</v>
      </c>
      <c r="AJ736">
        <f t="shared" ca="1" si="371"/>
        <v>635.47955029851119</v>
      </c>
      <c r="AM736">
        <v>0</v>
      </c>
      <c r="AN736">
        <v>0</v>
      </c>
      <c r="AO736">
        <f t="shared" si="372"/>
        <v>0</v>
      </c>
      <c r="AP736">
        <f t="shared" si="381"/>
        <v>0</v>
      </c>
      <c r="AQ736">
        <f t="shared" ca="1" si="373"/>
        <v>0.99999999999999978</v>
      </c>
      <c r="AR736" t="str">
        <f t="shared" ca="1" si="374"/>
        <v>Supercritical</v>
      </c>
      <c r="AS736">
        <f t="shared" ca="1" si="375"/>
        <v>3.8148159832266538E-3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191</v>
      </c>
      <c r="I737">
        <v>2.7E-2</v>
      </c>
      <c r="J737">
        <f t="shared" si="376"/>
        <v>1.0009999999999764</v>
      </c>
      <c r="K737">
        <f t="shared" si="377"/>
        <v>51</v>
      </c>
      <c r="L737">
        <f t="shared" ca="1" si="378"/>
        <v>0.05</v>
      </c>
      <c r="M737">
        <f t="shared" ca="1" si="351"/>
        <v>0.26</v>
      </c>
      <c r="N737">
        <f t="shared" ca="1" si="352"/>
        <v>4.9056603773584909E-2</v>
      </c>
      <c r="O737">
        <f t="shared" ca="1" si="353"/>
        <v>196.15384615384616</v>
      </c>
      <c r="P737">
        <f t="shared" ca="1" si="354"/>
        <v>632.31849999999997</v>
      </c>
      <c r="Q737">
        <f t="shared" ca="1" si="355"/>
        <v>2593.3955316486622</v>
      </c>
      <c r="R737">
        <f t="shared" ca="1" si="356"/>
        <v>482.07306851378365</v>
      </c>
      <c r="S737">
        <f t="shared" ca="1" si="357"/>
        <v>280.07692026646265</v>
      </c>
      <c r="T737">
        <f t="shared" ca="1" si="358"/>
        <v>1019.7665564573041</v>
      </c>
      <c r="U737">
        <f t="shared" ca="1" si="379"/>
        <v>-482.6428900487108</v>
      </c>
      <c r="V737">
        <f t="shared" ca="1" si="380"/>
        <v>0</v>
      </c>
      <c r="W737">
        <f t="shared" ca="1" si="359"/>
        <v>0.05</v>
      </c>
      <c r="X737">
        <f t="shared" ca="1" si="360"/>
        <v>0.26</v>
      </c>
      <c r="Y737">
        <f t="shared" ca="1" si="361"/>
        <v>4.9056603773584909E-2</v>
      </c>
      <c r="Z737">
        <f t="shared" ca="1" si="362"/>
        <v>196.15384615384616</v>
      </c>
      <c r="AA737">
        <f t="shared" ca="1" si="363"/>
        <v>632.31849999999997</v>
      </c>
      <c r="AB737">
        <f t="shared" ca="1" si="364"/>
        <v>2593.3955316486622</v>
      </c>
      <c r="AC737">
        <f t="shared" ca="1" si="365"/>
        <v>482.07306851378365</v>
      </c>
      <c r="AD737">
        <f t="shared" ca="1" si="366"/>
        <v>280.07692026646265</v>
      </c>
      <c r="AE737">
        <f t="shared" ca="1" si="367"/>
        <v>1019.7665564573041</v>
      </c>
      <c r="AF737">
        <f t="shared" ca="1" si="368"/>
        <v>481.59049544528125</v>
      </c>
      <c r="AG737">
        <f t="shared" ca="1" si="369"/>
        <v>0</v>
      </c>
      <c r="AH737">
        <f ca="1">IF(V32="Supercritical",L737,IF(V32="Subcritical",W737,IF(AND(V737=1,AG737=1),IF(T737&gt;=AE737,L737,W737),IF(V737=1,L737,IF(AG737=1,W737,MAX($D$16,POWER((ABS(K737)^2)/($I$5*MAX(F737,0.1)^2),1/3)))))))</f>
        <v>2.1403668656741068</v>
      </c>
      <c r="AI737">
        <f t="shared" ca="1" si="370"/>
        <v>634.4088668656741</v>
      </c>
      <c r="AJ737">
        <f t="shared" ca="1" si="371"/>
        <v>635.4790502985112</v>
      </c>
      <c r="AM737">
        <v>0</v>
      </c>
      <c r="AN737">
        <v>0</v>
      </c>
      <c r="AO737">
        <f t="shared" si="372"/>
        <v>0</v>
      </c>
      <c r="AP737">
        <f t="shared" si="381"/>
        <v>0</v>
      </c>
      <c r="AQ737">
        <f t="shared" ca="1" si="373"/>
        <v>0.99999999999999978</v>
      </c>
      <c r="AR737" t="str">
        <f t="shared" ca="1" si="374"/>
        <v>Supercritical</v>
      </c>
      <c r="AS737">
        <f t="shared" ca="1" si="375"/>
        <v>3.8148159832266538E-3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191</v>
      </c>
      <c r="I738">
        <v>0</v>
      </c>
      <c r="J738">
        <f t="shared" si="376"/>
        <v>0.99900000000002365</v>
      </c>
      <c r="K738">
        <f t="shared" si="377"/>
        <v>51</v>
      </c>
      <c r="L738">
        <f t="shared" ca="1" si="378"/>
        <v>0.05</v>
      </c>
      <c r="M738">
        <f t="shared" ca="1" si="351"/>
        <v>0.26</v>
      </c>
      <c r="N738">
        <f t="shared" ca="1" si="352"/>
        <v>4.9056603773584909E-2</v>
      </c>
      <c r="O738">
        <f t="shared" ca="1" si="353"/>
        <v>196.15384615384616</v>
      </c>
      <c r="P738">
        <f t="shared" ca="1" si="354"/>
        <v>632.31799999999998</v>
      </c>
      <c r="Q738">
        <f t="shared" ca="1" si="355"/>
        <v>2593.3950316486621</v>
      </c>
      <c r="R738">
        <f t="shared" ca="1" si="356"/>
        <v>482.07306851378365</v>
      </c>
      <c r="S738">
        <f t="shared" ca="1" si="357"/>
        <v>280.07692026646265</v>
      </c>
      <c r="T738">
        <f t="shared" ca="1" si="358"/>
        <v>1019.7665564573041</v>
      </c>
      <c r="U738">
        <f t="shared" ca="1" si="379"/>
        <v>-481.59049544528125</v>
      </c>
      <c r="V738">
        <f t="shared" ca="1" si="380"/>
        <v>0</v>
      </c>
      <c r="W738">
        <f t="shared" ca="1" si="359"/>
        <v>0.05</v>
      </c>
      <c r="X738">
        <f t="shared" ca="1" si="360"/>
        <v>0.26</v>
      </c>
      <c r="Y738">
        <f t="shared" ca="1" si="361"/>
        <v>4.9056603773584909E-2</v>
      </c>
      <c r="Z738">
        <f t="shared" ca="1" si="362"/>
        <v>196.15384615384616</v>
      </c>
      <c r="AA738">
        <f t="shared" ca="1" si="363"/>
        <v>632.31799999999998</v>
      </c>
      <c r="AB738">
        <f t="shared" ca="1" si="364"/>
        <v>2593.3950316486621</v>
      </c>
      <c r="AC738">
        <f t="shared" ca="1" si="365"/>
        <v>482.07306851378365</v>
      </c>
      <c r="AD738">
        <f t="shared" ca="1" si="366"/>
        <v>280.07692026646265</v>
      </c>
      <c r="AE738">
        <f t="shared" ca="1" si="367"/>
        <v>1019.7665564573041</v>
      </c>
      <c r="AF738">
        <f t="shared" ca="1" si="368"/>
        <v>482.1477431333301</v>
      </c>
      <c r="AG738">
        <f t="shared" ca="1" si="369"/>
        <v>0</v>
      </c>
      <c r="AH738">
        <f ca="1">IF(V32="Supercritical",L738,IF(V32="Subcritical",W738,IF(AND(V738=1,AG738=1),IF(T738&gt;=AE738,L738,W738),IF(V738=1,L738,IF(AG738=1,W738,MAX($D$16,POWER((ABS(K738)^2)/($I$5*MAX(F738,0.1)^2),1/3)))))))</f>
        <v>2.1403668656741068</v>
      </c>
      <c r="AI738">
        <f t="shared" ca="1" si="370"/>
        <v>634.40836686567411</v>
      </c>
      <c r="AJ738">
        <f t="shared" ca="1" si="371"/>
        <v>635.47855029851121</v>
      </c>
      <c r="AM738">
        <v>0</v>
      </c>
      <c r="AN738">
        <v>0</v>
      </c>
      <c r="AO738">
        <f t="shared" si="372"/>
        <v>0</v>
      </c>
      <c r="AP738">
        <f t="shared" si="381"/>
        <v>0</v>
      </c>
      <c r="AQ738">
        <f t="shared" ca="1" si="373"/>
        <v>0.99999999999999978</v>
      </c>
      <c r="AR738" t="str">
        <f t="shared" ca="1" si="374"/>
        <v>Supercritical</v>
      </c>
      <c r="AS738">
        <f t="shared" ca="1" si="375"/>
        <v>3.8148159832266538E-3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191</v>
      </c>
      <c r="I739">
        <v>2.3E-2</v>
      </c>
      <c r="J739">
        <f t="shared" si="376"/>
        <v>1</v>
      </c>
      <c r="K739">
        <f t="shared" si="377"/>
        <v>51</v>
      </c>
      <c r="L739">
        <f t="shared" ca="1" si="378"/>
        <v>0.05</v>
      </c>
      <c r="M739">
        <f t="shared" ca="1" si="351"/>
        <v>0.26</v>
      </c>
      <c r="N739">
        <f t="shared" ca="1" si="352"/>
        <v>4.9056603773584909E-2</v>
      </c>
      <c r="O739">
        <f t="shared" ca="1" si="353"/>
        <v>196.15384615384616</v>
      </c>
      <c r="P739">
        <f t="shared" ca="1" si="354"/>
        <v>632.3175</v>
      </c>
      <c r="Q739">
        <f t="shared" ca="1" si="355"/>
        <v>2593.394531648662</v>
      </c>
      <c r="R739">
        <f t="shared" ca="1" si="356"/>
        <v>482.07306851378365</v>
      </c>
      <c r="S739">
        <f t="shared" ca="1" si="357"/>
        <v>280.07692026646265</v>
      </c>
      <c r="T739">
        <f t="shared" ca="1" si="358"/>
        <v>1019.7665564573041</v>
      </c>
      <c r="U739">
        <f t="shared" ca="1" si="379"/>
        <v>-482.1477431333301</v>
      </c>
      <c r="V739">
        <f t="shared" ca="1" si="380"/>
        <v>0</v>
      </c>
      <c r="W739">
        <f t="shared" ca="1" si="359"/>
        <v>0.05</v>
      </c>
      <c r="X739">
        <f t="shared" ca="1" si="360"/>
        <v>0.26</v>
      </c>
      <c r="Y739">
        <f t="shared" ca="1" si="361"/>
        <v>4.9056603773584909E-2</v>
      </c>
      <c r="Z739">
        <f t="shared" ca="1" si="362"/>
        <v>196.15384615384616</v>
      </c>
      <c r="AA739">
        <f t="shared" ca="1" si="363"/>
        <v>632.3175</v>
      </c>
      <c r="AB739">
        <f t="shared" ca="1" si="364"/>
        <v>2593.394531648662</v>
      </c>
      <c r="AC739">
        <f t="shared" ca="1" si="365"/>
        <v>482.07306851378365</v>
      </c>
      <c r="AD739">
        <f t="shared" ca="1" si="366"/>
        <v>280.07692026646265</v>
      </c>
      <c r="AE739">
        <f t="shared" ca="1" si="367"/>
        <v>1019.7665564573041</v>
      </c>
      <c r="AF739">
        <f t="shared" ca="1" si="368"/>
        <v>482.62981620183291</v>
      </c>
      <c r="AG739">
        <f t="shared" ca="1" si="369"/>
        <v>0</v>
      </c>
      <c r="AH739">
        <f ca="1">IF(V32="Supercritical",L739,IF(V32="Subcritical",W739,IF(AND(V739=1,AG739=1),IF(T739&gt;=AE739,L739,W739),IF(V739=1,L739,IF(AG739=1,W739,MAX($D$16,POWER((ABS(K739)^2)/($I$5*MAX(F739,0.1)^2),1/3)))))))</f>
        <v>2.1403668656741068</v>
      </c>
      <c r="AI739">
        <f t="shared" ca="1" si="370"/>
        <v>634.40786686567412</v>
      </c>
      <c r="AJ739">
        <f t="shared" ca="1" si="371"/>
        <v>635.47805029851122</v>
      </c>
      <c r="AM739">
        <v>0</v>
      </c>
      <c r="AN739">
        <v>0</v>
      </c>
      <c r="AO739">
        <f t="shared" si="372"/>
        <v>0</v>
      </c>
      <c r="AP739">
        <f t="shared" si="381"/>
        <v>0</v>
      </c>
      <c r="AQ739">
        <f t="shared" ca="1" si="373"/>
        <v>0.99999999999999978</v>
      </c>
      <c r="AR739" t="str">
        <f t="shared" ca="1" si="374"/>
        <v>Supercritical</v>
      </c>
      <c r="AS739">
        <f t="shared" ca="1" si="375"/>
        <v>3.8148159832266538E-3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191</v>
      </c>
      <c r="I740">
        <v>2.3E-2</v>
      </c>
      <c r="J740">
        <f t="shared" si="376"/>
        <v>1.0009999999999764</v>
      </c>
      <c r="K740">
        <f t="shared" si="377"/>
        <v>51</v>
      </c>
      <c r="L740">
        <f t="shared" ca="1" si="378"/>
        <v>0.05</v>
      </c>
      <c r="M740">
        <f t="shared" ca="1" si="351"/>
        <v>0.26</v>
      </c>
      <c r="N740">
        <f t="shared" ca="1" si="352"/>
        <v>4.9056603773584909E-2</v>
      </c>
      <c r="O740">
        <f t="shared" ca="1" si="353"/>
        <v>196.15384615384616</v>
      </c>
      <c r="P740">
        <f t="shared" ca="1" si="354"/>
        <v>632.31700000000001</v>
      </c>
      <c r="Q740">
        <f t="shared" ca="1" si="355"/>
        <v>2593.3940316486623</v>
      </c>
      <c r="R740">
        <f t="shared" ca="1" si="356"/>
        <v>482.07306851378365</v>
      </c>
      <c r="S740">
        <f t="shared" ca="1" si="357"/>
        <v>280.07692026646265</v>
      </c>
      <c r="T740">
        <f t="shared" ca="1" si="358"/>
        <v>1019.7665564573041</v>
      </c>
      <c r="U740">
        <f t="shared" ca="1" si="379"/>
        <v>-482.62981620183291</v>
      </c>
      <c r="V740">
        <f t="shared" ca="1" si="380"/>
        <v>0</v>
      </c>
      <c r="W740">
        <f t="shared" ca="1" si="359"/>
        <v>0.05</v>
      </c>
      <c r="X740">
        <f t="shared" ca="1" si="360"/>
        <v>0.26</v>
      </c>
      <c r="Y740">
        <f t="shared" ca="1" si="361"/>
        <v>4.9056603773584909E-2</v>
      </c>
      <c r="Z740">
        <f t="shared" ca="1" si="362"/>
        <v>196.15384615384616</v>
      </c>
      <c r="AA740">
        <f t="shared" ca="1" si="363"/>
        <v>632.31700000000001</v>
      </c>
      <c r="AB740">
        <f t="shared" ca="1" si="364"/>
        <v>2593.3940316486623</v>
      </c>
      <c r="AC740">
        <f t="shared" ca="1" si="365"/>
        <v>482.07306851378365</v>
      </c>
      <c r="AD740">
        <f t="shared" ca="1" si="366"/>
        <v>280.07692026646265</v>
      </c>
      <c r="AE740">
        <f t="shared" ca="1" si="367"/>
        <v>1019.7665564573041</v>
      </c>
      <c r="AF740">
        <f t="shared" ca="1" si="368"/>
        <v>481.67874391170562</v>
      </c>
      <c r="AG740">
        <f t="shared" ca="1" si="369"/>
        <v>0</v>
      </c>
      <c r="AH740">
        <f ca="1">IF(V32="Supercritical",L740,IF(V32="Subcritical",W740,IF(AND(V740=1,AG740=1),IF(T740&gt;=AE740,L740,W740),IF(V740=1,L740,IF(AG740=1,W740,MAX($D$16,POWER((ABS(K740)^2)/($I$5*MAX(F740,0.1)^2),1/3)))))))</f>
        <v>2.1403668656741068</v>
      </c>
      <c r="AI740">
        <f t="shared" ca="1" si="370"/>
        <v>634.40736686567413</v>
      </c>
      <c r="AJ740">
        <f t="shared" ca="1" si="371"/>
        <v>635.47755029851123</v>
      </c>
      <c r="AM740">
        <v>0</v>
      </c>
      <c r="AN740">
        <v>0</v>
      </c>
      <c r="AO740">
        <f t="shared" si="372"/>
        <v>0</v>
      </c>
      <c r="AP740">
        <f t="shared" si="381"/>
        <v>0</v>
      </c>
      <c r="AQ740">
        <f t="shared" ca="1" si="373"/>
        <v>0.99999999999999978</v>
      </c>
      <c r="AR740" t="str">
        <f t="shared" ca="1" si="374"/>
        <v>Supercritical</v>
      </c>
      <c r="AS740">
        <f t="shared" ca="1" si="375"/>
        <v>3.8148159832266538E-3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191</v>
      </c>
      <c r="I741">
        <v>2.7E-2</v>
      </c>
      <c r="J741">
        <f t="shared" si="376"/>
        <v>0.99900000000002365</v>
      </c>
      <c r="K741">
        <f t="shared" si="377"/>
        <v>51</v>
      </c>
      <c r="L741">
        <f t="shared" ca="1" si="378"/>
        <v>0.05</v>
      </c>
      <c r="M741">
        <f t="shared" ca="1" si="351"/>
        <v>0.26</v>
      </c>
      <c r="N741">
        <f t="shared" ca="1" si="352"/>
        <v>4.9056603773584909E-2</v>
      </c>
      <c r="O741">
        <f t="shared" ca="1" si="353"/>
        <v>196.15384615384616</v>
      </c>
      <c r="P741">
        <f t="shared" ca="1" si="354"/>
        <v>632.31649999999991</v>
      </c>
      <c r="Q741">
        <f t="shared" ca="1" si="355"/>
        <v>2593.3935316486622</v>
      </c>
      <c r="R741">
        <f t="shared" ca="1" si="356"/>
        <v>482.07306851378365</v>
      </c>
      <c r="S741">
        <f t="shared" ca="1" si="357"/>
        <v>280.07692026646265</v>
      </c>
      <c r="T741">
        <f t="shared" ca="1" si="358"/>
        <v>1019.7665564573041</v>
      </c>
      <c r="U741">
        <f t="shared" ca="1" si="379"/>
        <v>-481.67874391170562</v>
      </c>
      <c r="V741">
        <f t="shared" ca="1" si="380"/>
        <v>0</v>
      </c>
      <c r="W741">
        <f t="shared" ca="1" si="359"/>
        <v>0.05</v>
      </c>
      <c r="X741">
        <f t="shared" ca="1" si="360"/>
        <v>0.26</v>
      </c>
      <c r="Y741">
        <f t="shared" ca="1" si="361"/>
        <v>4.9056603773584909E-2</v>
      </c>
      <c r="Z741">
        <f t="shared" ca="1" si="362"/>
        <v>196.15384615384616</v>
      </c>
      <c r="AA741">
        <f t="shared" ca="1" si="363"/>
        <v>632.31649999999991</v>
      </c>
      <c r="AB741">
        <f t="shared" ca="1" si="364"/>
        <v>2593.3935316486622</v>
      </c>
      <c r="AC741">
        <f t="shared" ca="1" si="365"/>
        <v>482.07306851378365</v>
      </c>
      <c r="AD741">
        <f t="shared" ca="1" si="366"/>
        <v>280.07692026646265</v>
      </c>
      <c r="AE741">
        <f t="shared" ca="1" si="367"/>
        <v>1019.7665564573041</v>
      </c>
      <c r="AF741">
        <f t="shared" ca="1" si="368"/>
        <v>482.64289004871034</v>
      </c>
      <c r="AG741">
        <f t="shared" ca="1" si="369"/>
        <v>0</v>
      </c>
      <c r="AH741">
        <f ca="1">IF(V32="Supercritical",L741,IF(V32="Subcritical",W741,IF(AND(V741=1,AG741=1),IF(T741&gt;=AE741,L741,W741),IF(V741=1,L741,IF(AG741=1,W741,MAX($D$16,POWER((ABS(K741)^2)/($I$5*MAX(F741,0.1)^2),1/3)))))))</f>
        <v>2.1403668656741068</v>
      </c>
      <c r="AI741">
        <f t="shared" ca="1" si="370"/>
        <v>634.40686686567403</v>
      </c>
      <c r="AJ741">
        <f t="shared" ca="1" si="371"/>
        <v>635.47705029851113</v>
      </c>
      <c r="AM741">
        <v>0</v>
      </c>
      <c r="AN741">
        <v>0</v>
      </c>
      <c r="AO741">
        <f t="shared" si="372"/>
        <v>0</v>
      </c>
      <c r="AP741">
        <f t="shared" si="381"/>
        <v>0</v>
      </c>
      <c r="AQ741">
        <f t="shared" ca="1" si="373"/>
        <v>0.99999999999999978</v>
      </c>
      <c r="AR741" t="str">
        <f t="shared" ca="1" si="374"/>
        <v>Supercritical</v>
      </c>
      <c r="AS741">
        <f t="shared" ca="1" si="375"/>
        <v>3.8148159832266538E-3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191</v>
      </c>
      <c r="I742">
        <v>2.7E-2</v>
      </c>
      <c r="J742">
        <f t="shared" si="376"/>
        <v>1.0009999999999764</v>
      </c>
      <c r="K742">
        <f t="shared" si="377"/>
        <v>51</v>
      </c>
      <c r="L742">
        <f t="shared" ca="1" si="378"/>
        <v>0.05</v>
      </c>
      <c r="M742">
        <f t="shared" ca="1" si="351"/>
        <v>0.26</v>
      </c>
      <c r="N742">
        <f t="shared" ca="1" si="352"/>
        <v>4.9056603773584909E-2</v>
      </c>
      <c r="O742">
        <f t="shared" ca="1" si="353"/>
        <v>196.15384615384616</v>
      </c>
      <c r="P742">
        <f t="shared" ca="1" si="354"/>
        <v>632.31599999999992</v>
      </c>
      <c r="Q742">
        <f t="shared" ca="1" si="355"/>
        <v>2593.3930316486621</v>
      </c>
      <c r="R742">
        <f t="shared" ca="1" si="356"/>
        <v>482.07306851378365</v>
      </c>
      <c r="S742">
        <f t="shared" ca="1" si="357"/>
        <v>280.07692026646265</v>
      </c>
      <c r="T742">
        <f t="shared" ca="1" si="358"/>
        <v>1019.7665564573041</v>
      </c>
      <c r="U742">
        <f t="shared" ca="1" si="379"/>
        <v>-482.64289004871034</v>
      </c>
      <c r="V742">
        <f t="shared" ca="1" si="380"/>
        <v>0</v>
      </c>
      <c r="W742">
        <f t="shared" ca="1" si="359"/>
        <v>0.05</v>
      </c>
      <c r="X742">
        <f t="shared" ca="1" si="360"/>
        <v>0.26</v>
      </c>
      <c r="Y742">
        <f t="shared" ca="1" si="361"/>
        <v>4.9056603773584909E-2</v>
      </c>
      <c r="Z742">
        <f t="shared" ca="1" si="362"/>
        <v>196.15384615384616</v>
      </c>
      <c r="AA742">
        <f t="shared" ca="1" si="363"/>
        <v>632.31599999999992</v>
      </c>
      <c r="AB742">
        <f t="shared" ca="1" si="364"/>
        <v>2593.3930316486621</v>
      </c>
      <c r="AC742">
        <f t="shared" ca="1" si="365"/>
        <v>482.07306851378365</v>
      </c>
      <c r="AD742">
        <f t="shared" ca="1" si="366"/>
        <v>280.07692026646265</v>
      </c>
      <c r="AE742">
        <f t="shared" ca="1" si="367"/>
        <v>1019.7665564573041</v>
      </c>
      <c r="AF742">
        <f t="shared" ca="1" si="368"/>
        <v>481.75391853125211</v>
      </c>
      <c r="AG742">
        <f t="shared" ca="1" si="369"/>
        <v>0</v>
      </c>
      <c r="AH742">
        <f ca="1">IF(V32="Supercritical",L742,IF(V32="Subcritical",W742,IF(AND(V742=1,AG742=1),IF(T742&gt;=AE742,L742,W742),IF(V742=1,L742,IF(AG742=1,W742,MAX($D$16,POWER((ABS(K742)^2)/($I$5*MAX(F742,0.1)^2),1/3)))))))</f>
        <v>2.1403668656741068</v>
      </c>
      <c r="AI742">
        <f t="shared" ca="1" si="370"/>
        <v>634.40636686567404</v>
      </c>
      <c r="AJ742">
        <f t="shared" ca="1" si="371"/>
        <v>635.47655029851114</v>
      </c>
      <c r="AM742">
        <v>0</v>
      </c>
      <c r="AN742">
        <v>0</v>
      </c>
      <c r="AO742">
        <f t="shared" si="372"/>
        <v>0</v>
      </c>
      <c r="AP742">
        <f t="shared" si="381"/>
        <v>0</v>
      </c>
      <c r="AQ742">
        <f t="shared" ca="1" si="373"/>
        <v>0.99999999999999978</v>
      </c>
      <c r="AR742" t="str">
        <f t="shared" ca="1" si="374"/>
        <v>Supercritical</v>
      </c>
      <c r="AS742">
        <f t="shared" ca="1" si="375"/>
        <v>3.8148159832266538E-3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191</v>
      </c>
      <c r="I743">
        <v>0.05</v>
      </c>
      <c r="J743">
        <f t="shared" si="376"/>
        <v>0.99900000000002365</v>
      </c>
      <c r="K743">
        <f t="shared" si="377"/>
        <v>51</v>
      </c>
      <c r="L743">
        <f t="shared" ca="1" si="378"/>
        <v>0.05</v>
      </c>
      <c r="M743">
        <f t="shared" ca="1" si="351"/>
        <v>0.26</v>
      </c>
      <c r="N743">
        <f t="shared" ca="1" si="352"/>
        <v>4.9056603773584909E-2</v>
      </c>
      <c r="O743">
        <f t="shared" ca="1" si="353"/>
        <v>196.15384615384616</v>
      </c>
      <c r="P743">
        <f t="shared" ca="1" si="354"/>
        <v>632.31549999999993</v>
      </c>
      <c r="Q743">
        <f t="shared" ca="1" si="355"/>
        <v>2593.392531648662</v>
      </c>
      <c r="R743">
        <f t="shared" ca="1" si="356"/>
        <v>482.07306851378365</v>
      </c>
      <c r="S743">
        <f t="shared" ca="1" si="357"/>
        <v>280.07692026646265</v>
      </c>
      <c r="T743">
        <f t="shared" ca="1" si="358"/>
        <v>1019.7665564573041</v>
      </c>
      <c r="U743">
        <f t="shared" ca="1" si="379"/>
        <v>-481.75391853125211</v>
      </c>
      <c r="V743">
        <f t="shared" ca="1" si="380"/>
        <v>0</v>
      </c>
      <c r="W743">
        <f t="shared" ca="1" si="359"/>
        <v>0.05</v>
      </c>
      <c r="X743">
        <f t="shared" ca="1" si="360"/>
        <v>0.26</v>
      </c>
      <c r="Y743">
        <f t="shared" ca="1" si="361"/>
        <v>4.9056603773584909E-2</v>
      </c>
      <c r="Z743">
        <f t="shared" ca="1" si="362"/>
        <v>196.15384615384616</v>
      </c>
      <c r="AA743">
        <f t="shared" ca="1" si="363"/>
        <v>632.31549999999993</v>
      </c>
      <c r="AB743">
        <f t="shared" ca="1" si="364"/>
        <v>2593.392531648662</v>
      </c>
      <c r="AC743">
        <f t="shared" ca="1" si="365"/>
        <v>482.07306851378365</v>
      </c>
      <c r="AD743">
        <f t="shared" ca="1" si="366"/>
        <v>280.07692026646265</v>
      </c>
      <c r="AE743">
        <f t="shared" ca="1" si="367"/>
        <v>1019.7665564573041</v>
      </c>
      <c r="AF743">
        <f t="shared" ca="1" si="368"/>
        <v>482.32750852789786</v>
      </c>
      <c r="AG743">
        <f t="shared" ca="1" si="369"/>
        <v>0</v>
      </c>
      <c r="AH743">
        <f ca="1">IF(V32="Supercritical",L743,IF(V32="Subcritical",W743,IF(AND(V743=1,AG743=1),IF(T743&gt;=AE743,L743,W743),IF(V743=1,L743,IF(AG743=1,W743,MAX($D$16,POWER((ABS(K743)^2)/($I$5*MAX(F743,0.1)^2),1/3)))))))</f>
        <v>2.1403668656741068</v>
      </c>
      <c r="AI743">
        <f t="shared" ca="1" si="370"/>
        <v>634.40586686567406</v>
      </c>
      <c r="AJ743">
        <f t="shared" ca="1" si="371"/>
        <v>635.47605029851115</v>
      </c>
      <c r="AM743">
        <v>0</v>
      </c>
      <c r="AN743">
        <v>0</v>
      </c>
      <c r="AO743">
        <f t="shared" si="372"/>
        <v>0</v>
      </c>
      <c r="AP743">
        <f t="shared" si="381"/>
        <v>0</v>
      </c>
      <c r="AQ743">
        <f t="shared" ca="1" si="373"/>
        <v>0.99999999999999978</v>
      </c>
      <c r="AR743" t="str">
        <f t="shared" ca="1" si="374"/>
        <v>Supercritical</v>
      </c>
      <c r="AS743">
        <f t="shared" ca="1" si="375"/>
        <v>3.8148159832266538E-3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191</v>
      </c>
      <c r="I744">
        <v>7.8E-2</v>
      </c>
      <c r="J744">
        <f t="shared" si="376"/>
        <v>1</v>
      </c>
      <c r="K744">
        <f t="shared" si="377"/>
        <v>51</v>
      </c>
      <c r="L744">
        <f t="shared" ca="1" si="378"/>
        <v>0.05</v>
      </c>
      <c r="M744">
        <f t="shared" ca="1" si="351"/>
        <v>0.26</v>
      </c>
      <c r="N744">
        <f t="shared" ca="1" si="352"/>
        <v>4.9056603773584909E-2</v>
      </c>
      <c r="O744">
        <f t="shared" ca="1" si="353"/>
        <v>196.15384615384616</v>
      </c>
      <c r="P744">
        <f t="shared" ca="1" si="354"/>
        <v>632.31499999999994</v>
      </c>
      <c r="Q744">
        <f t="shared" ca="1" si="355"/>
        <v>2593.3920316486619</v>
      </c>
      <c r="R744">
        <f t="shared" ca="1" si="356"/>
        <v>482.07306851378365</v>
      </c>
      <c r="S744">
        <f t="shared" ca="1" si="357"/>
        <v>280.07692026646265</v>
      </c>
      <c r="T744">
        <f t="shared" ca="1" si="358"/>
        <v>1019.7665564573041</v>
      </c>
      <c r="U744">
        <f t="shared" ca="1" si="379"/>
        <v>-482.32750852789786</v>
      </c>
      <c r="V744">
        <f t="shared" ca="1" si="380"/>
        <v>0</v>
      </c>
      <c r="W744">
        <f t="shared" ca="1" si="359"/>
        <v>0.05</v>
      </c>
      <c r="X744">
        <f t="shared" ca="1" si="360"/>
        <v>0.26</v>
      </c>
      <c r="Y744">
        <f t="shared" ca="1" si="361"/>
        <v>4.9056603773584909E-2</v>
      </c>
      <c r="Z744">
        <f t="shared" ca="1" si="362"/>
        <v>196.15384615384616</v>
      </c>
      <c r="AA744">
        <f t="shared" ca="1" si="363"/>
        <v>632.31499999999994</v>
      </c>
      <c r="AB744">
        <f t="shared" ca="1" si="364"/>
        <v>2593.3920316486619</v>
      </c>
      <c r="AC744">
        <f t="shared" ca="1" si="365"/>
        <v>482.07306851378365</v>
      </c>
      <c r="AD744">
        <f t="shared" ca="1" si="366"/>
        <v>280.07692026646265</v>
      </c>
      <c r="AE744">
        <f t="shared" ca="1" si="367"/>
        <v>1019.7665564573041</v>
      </c>
      <c r="AF744">
        <f t="shared" ca="1" si="368"/>
        <v>482.64289004871034</v>
      </c>
      <c r="AG744">
        <f t="shared" ca="1" si="369"/>
        <v>0</v>
      </c>
      <c r="AH744">
        <f ca="1">IF(V32="Supercritical",L744,IF(V32="Subcritical",W744,IF(AND(V744=1,AG744=1),IF(T744&gt;=AE744,L744,W744),IF(V744=1,L744,IF(AG744=1,W744,MAX($D$16,POWER((ABS(K744)^2)/($I$5*MAX(F744,0.1)^2),1/3)))))))</f>
        <v>2.1403668656741068</v>
      </c>
      <c r="AI744">
        <f t="shared" ca="1" si="370"/>
        <v>634.40536686567407</v>
      </c>
      <c r="AJ744">
        <f t="shared" ca="1" si="371"/>
        <v>635.47555029851117</v>
      </c>
      <c r="AM744">
        <v>0</v>
      </c>
      <c r="AN744">
        <v>0</v>
      </c>
      <c r="AO744">
        <f t="shared" si="372"/>
        <v>0</v>
      </c>
      <c r="AP744">
        <f t="shared" si="381"/>
        <v>0</v>
      </c>
      <c r="AQ744">
        <f t="shared" ca="1" si="373"/>
        <v>0.99999999999999978</v>
      </c>
      <c r="AR744" t="str">
        <f t="shared" ca="1" si="374"/>
        <v>Supercritical</v>
      </c>
      <c r="AS744">
        <f t="shared" ca="1" si="375"/>
        <v>3.8148159832266538E-3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191</v>
      </c>
      <c r="I745">
        <v>2.7E-2</v>
      </c>
      <c r="J745">
        <f t="shared" si="376"/>
        <v>1.0009999999999764</v>
      </c>
      <c r="K745">
        <f t="shared" si="377"/>
        <v>51</v>
      </c>
      <c r="L745">
        <f t="shared" ca="1" si="378"/>
        <v>0.05</v>
      </c>
      <c r="M745">
        <f t="shared" ca="1" si="351"/>
        <v>0.26</v>
      </c>
      <c r="N745">
        <f t="shared" ca="1" si="352"/>
        <v>4.9056603773584909E-2</v>
      </c>
      <c r="O745">
        <f t="shared" ca="1" si="353"/>
        <v>196.15384615384616</v>
      </c>
      <c r="P745">
        <f t="shared" ca="1" si="354"/>
        <v>632.31449999999995</v>
      </c>
      <c r="Q745">
        <f t="shared" ca="1" si="355"/>
        <v>2593.3915316486618</v>
      </c>
      <c r="R745">
        <f t="shared" ca="1" si="356"/>
        <v>482.07306851378365</v>
      </c>
      <c r="S745">
        <f t="shared" ca="1" si="357"/>
        <v>280.07692026646265</v>
      </c>
      <c r="T745">
        <f t="shared" ca="1" si="358"/>
        <v>1019.7665564573041</v>
      </c>
      <c r="U745">
        <f t="shared" ca="1" si="379"/>
        <v>-482.64289004871034</v>
      </c>
      <c r="V745">
        <f t="shared" ca="1" si="380"/>
        <v>0</v>
      </c>
      <c r="W745">
        <f t="shared" ca="1" si="359"/>
        <v>0.05</v>
      </c>
      <c r="X745">
        <f t="shared" ca="1" si="360"/>
        <v>0.26</v>
      </c>
      <c r="Y745">
        <f t="shared" ca="1" si="361"/>
        <v>4.9056603773584909E-2</v>
      </c>
      <c r="Z745">
        <f t="shared" ca="1" si="362"/>
        <v>196.15384615384616</v>
      </c>
      <c r="AA745">
        <f t="shared" ca="1" si="363"/>
        <v>632.31449999999995</v>
      </c>
      <c r="AB745">
        <f t="shared" ca="1" si="364"/>
        <v>2593.3915316486618</v>
      </c>
      <c r="AC745">
        <f t="shared" ca="1" si="365"/>
        <v>482.07306851378365</v>
      </c>
      <c r="AD745">
        <f t="shared" ca="1" si="366"/>
        <v>280.07692026646265</v>
      </c>
      <c r="AE745">
        <f t="shared" ca="1" si="367"/>
        <v>1019.7665564573041</v>
      </c>
      <c r="AF745">
        <f t="shared" ca="1" si="368"/>
        <v>481.67874391170608</v>
      </c>
      <c r="AG745">
        <f t="shared" ca="1" si="369"/>
        <v>0</v>
      </c>
      <c r="AH745">
        <f ca="1">IF(V32="Supercritical",L745,IF(V32="Subcritical",W745,IF(AND(V745=1,AG745=1),IF(T745&gt;=AE745,L745,W745),IF(V745=1,L745,IF(AG745=1,W745,MAX($D$16,POWER((ABS(K745)^2)/($I$5*MAX(F745,0.1)^2),1/3)))))))</f>
        <v>2.1403668656741068</v>
      </c>
      <c r="AI745">
        <f t="shared" ca="1" si="370"/>
        <v>634.40486686567408</v>
      </c>
      <c r="AJ745">
        <f t="shared" ca="1" si="371"/>
        <v>635.47505029851118</v>
      </c>
      <c r="AM745">
        <v>0</v>
      </c>
      <c r="AN745">
        <v>0</v>
      </c>
      <c r="AO745">
        <f t="shared" si="372"/>
        <v>0</v>
      </c>
      <c r="AP745">
        <f t="shared" si="381"/>
        <v>0</v>
      </c>
      <c r="AQ745">
        <f t="shared" ca="1" si="373"/>
        <v>0.99999999999999978</v>
      </c>
      <c r="AR745" t="str">
        <f t="shared" ca="1" si="374"/>
        <v>Supercritical</v>
      </c>
      <c r="AS745">
        <f t="shared" ca="1" si="375"/>
        <v>3.8148159832266538E-3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191</v>
      </c>
      <c r="I746">
        <v>2.7E-2</v>
      </c>
      <c r="J746">
        <f t="shared" si="376"/>
        <v>0.99900000000002365</v>
      </c>
      <c r="K746">
        <f t="shared" si="377"/>
        <v>51</v>
      </c>
      <c r="L746">
        <f t="shared" ca="1" si="378"/>
        <v>0.05</v>
      </c>
      <c r="M746">
        <f t="shared" ca="1" si="351"/>
        <v>0.26</v>
      </c>
      <c r="N746">
        <f t="shared" ca="1" si="352"/>
        <v>4.9056603773584909E-2</v>
      </c>
      <c r="O746">
        <f t="shared" ca="1" si="353"/>
        <v>196.15384615384616</v>
      </c>
      <c r="P746">
        <f t="shared" ca="1" si="354"/>
        <v>632.31399999999996</v>
      </c>
      <c r="Q746">
        <f t="shared" ca="1" si="355"/>
        <v>2593.3910316486622</v>
      </c>
      <c r="R746">
        <f t="shared" ca="1" si="356"/>
        <v>482.07306851378365</v>
      </c>
      <c r="S746">
        <f t="shared" ca="1" si="357"/>
        <v>280.07692026646265</v>
      </c>
      <c r="T746">
        <f t="shared" ca="1" si="358"/>
        <v>1019.7665564573041</v>
      </c>
      <c r="U746">
        <f t="shared" ca="1" si="379"/>
        <v>-481.67874391170608</v>
      </c>
      <c r="V746">
        <f t="shared" ca="1" si="380"/>
        <v>0</v>
      </c>
      <c r="W746">
        <f t="shared" ca="1" si="359"/>
        <v>0.05</v>
      </c>
      <c r="X746">
        <f t="shared" ca="1" si="360"/>
        <v>0.26</v>
      </c>
      <c r="Y746">
        <f t="shared" ca="1" si="361"/>
        <v>4.9056603773584909E-2</v>
      </c>
      <c r="Z746">
        <f t="shared" ca="1" si="362"/>
        <v>196.15384615384616</v>
      </c>
      <c r="AA746">
        <f t="shared" ca="1" si="363"/>
        <v>632.31399999999996</v>
      </c>
      <c r="AB746">
        <f t="shared" ca="1" si="364"/>
        <v>2593.3910316486622</v>
      </c>
      <c r="AC746">
        <f t="shared" ca="1" si="365"/>
        <v>482.07306851378365</v>
      </c>
      <c r="AD746">
        <f t="shared" ca="1" si="366"/>
        <v>280.07692026646265</v>
      </c>
      <c r="AE746">
        <f t="shared" ca="1" si="367"/>
        <v>1019.7665564573041</v>
      </c>
      <c r="AF746">
        <f t="shared" ca="1" si="368"/>
        <v>482.32750852789786</v>
      </c>
      <c r="AG746">
        <f t="shared" ca="1" si="369"/>
        <v>0</v>
      </c>
      <c r="AH746">
        <f ca="1">IF(V32="Supercritical",L746,IF(V32="Subcritical",W746,IF(AND(V746=1,AG746=1),IF(T746&gt;=AE746,L746,W746),IF(V746=1,L746,IF(AG746=1,W746,MAX($D$16,POWER((ABS(K746)^2)/($I$5*MAX(F746,0.1)^2),1/3)))))))</f>
        <v>2.1403668656741068</v>
      </c>
      <c r="AI746">
        <f t="shared" ca="1" si="370"/>
        <v>634.40436686567409</v>
      </c>
      <c r="AJ746">
        <f t="shared" ca="1" si="371"/>
        <v>635.47455029851119</v>
      </c>
      <c r="AM746">
        <v>0</v>
      </c>
      <c r="AN746">
        <v>0</v>
      </c>
      <c r="AO746">
        <f t="shared" si="372"/>
        <v>0</v>
      </c>
      <c r="AP746">
        <f t="shared" si="381"/>
        <v>0</v>
      </c>
      <c r="AQ746">
        <f t="shared" ca="1" si="373"/>
        <v>0.99999999999999978</v>
      </c>
      <c r="AR746" t="str">
        <f t="shared" ca="1" si="374"/>
        <v>Supercritical</v>
      </c>
      <c r="AS746">
        <f t="shared" ca="1" si="375"/>
        <v>3.8148159832266538E-3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191</v>
      </c>
      <c r="I747">
        <v>7.8E-2</v>
      </c>
      <c r="J747">
        <f t="shared" si="376"/>
        <v>1</v>
      </c>
      <c r="K747">
        <f t="shared" si="377"/>
        <v>51</v>
      </c>
      <c r="L747">
        <f t="shared" ca="1" si="378"/>
        <v>0.05</v>
      </c>
      <c r="M747">
        <f t="shared" ca="1" si="351"/>
        <v>0.26</v>
      </c>
      <c r="N747">
        <f t="shared" ca="1" si="352"/>
        <v>4.9056603773584909E-2</v>
      </c>
      <c r="O747">
        <f t="shared" ca="1" si="353"/>
        <v>196.15384615384616</v>
      </c>
      <c r="P747">
        <f t="shared" ca="1" si="354"/>
        <v>632.31349999999998</v>
      </c>
      <c r="Q747">
        <f t="shared" ca="1" si="355"/>
        <v>2593.3905316486621</v>
      </c>
      <c r="R747">
        <f t="shared" ca="1" si="356"/>
        <v>482.07306851378365</v>
      </c>
      <c r="S747">
        <f t="shared" ca="1" si="357"/>
        <v>280.07692026646265</v>
      </c>
      <c r="T747">
        <f t="shared" ca="1" si="358"/>
        <v>1019.7665564573041</v>
      </c>
      <c r="U747">
        <f t="shared" ca="1" si="379"/>
        <v>-482.32750852789786</v>
      </c>
      <c r="V747">
        <f t="shared" ca="1" si="380"/>
        <v>0</v>
      </c>
      <c r="W747">
        <f t="shared" ca="1" si="359"/>
        <v>0.05</v>
      </c>
      <c r="X747">
        <f t="shared" ca="1" si="360"/>
        <v>0.26</v>
      </c>
      <c r="Y747">
        <f t="shared" ca="1" si="361"/>
        <v>4.9056603773584909E-2</v>
      </c>
      <c r="Z747">
        <f t="shared" ca="1" si="362"/>
        <v>196.15384615384616</v>
      </c>
      <c r="AA747">
        <f t="shared" ca="1" si="363"/>
        <v>632.31349999999998</v>
      </c>
      <c r="AB747">
        <f t="shared" ca="1" si="364"/>
        <v>2593.3905316486621</v>
      </c>
      <c r="AC747">
        <f t="shared" ca="1" si="365"/>
        <v>482.07306851378365</v>
      </c>
      <c r="AD747">
        <f t="shared" ca="1" si="366"/>
        <v>280.07692026646265</v>
      </c>
      <c r="AE747">
        <f t="shared" ca="1" si="367"/>
        <v>1019.7665564573041</v>
      </c>
      <c r="AF747">
        <f t="shared" ca="1" si="368"/>
        <v>482.71806466825683</v>
      </c>
      <c r="AG747">
        <f t="shared" ca="1" si="369"/>
        <v>0</v>
      </c>
      <c r="AH747">
        <f ca="1">IF(V32="Supercritical",L747,IF(V32="Subcritical",W747,IF(AND(V747=1,AG747=1),IF(T747&gt;=AE747,L747,W747),IF(V747=1,L747,IF(AG747=1,W747,MAX($D$16,POWER((ABS(K747)^2)/($I$5*MAX(F747,0.1)^2),1/3)))))))</f>
        <v>2.1403668656741068</v>
      </c>
      <c r="AI747">
        <f t="shared" ca="1" si="370"/>
        <v>634.4038668656741</v>
      </c>
      <c r="AJ747">
        <f t="shared" ca="1" si="371"/>
        <v>635.4740502985112</v>
      </c>
      <c r="AM747">
        <v>0</v>
      </c>
      <c r="AN747">
        <v>0</v>
      </c>
      <c r="AO747">
        <f t="shared" si="372"/>
        <v>0</v>
      </c>
      <c r="AP747">
        <f t="shared" si="381"/>
        <v>0</v>
      </c>
      <c r="AQ747">
        <f t="shared" ca="1" si="373"/>
        <v>0.99999999999999978</v>
      </c>
      <c r="AR747" t="str">
        <f t="shared" ca="1" si="374"/>
        <v>Supercritical</v>
      </c>
      <c r="AS747">
        <f t="shared" ca="1" si="375"/>
        <v>3.8148159832266538E-3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191</v>
      </c>
      <c r="I748">
        <v>0.05</v>
      </c>
      <c r="J748">
        <f t="shared" si="376"/>
        <v>1.0009999999999764</v>
      </c>
      <c r="K748">
        <f t="shared" si="377"/>
        <v>51</v>
      </c>
      <c r="L748">
        <f t="shared" ca="1" si="378"/>
        <v>0.05</v>
      </c>
      <c r="M748">
        <f t="shared" ca="1" si="351"/>
        <v>0.26</v>
      </c>
      <c r="N748">
        <f t="shared" ca="1" si="352"/>
        <v>4.9056603773584909E-2</v>
      </c>
      <c r="O748">
        <f t="shared" ca="1" si="353"/>
        <v>196.15384615384616</v>
      </c>
      <c r="P748">
        <f t="shared" ca="1" si="354"/>
        <v>632.31299999999999</v>
      </c>
      <c r="Q748">
        <f t="shared" ca="1" si="355"/>
        <v>2593.390031648662</v>
      </c>
      <c r="R748">
        <f t="shared" ca="1" si="356"/>
        <v>482.07306851378365</v>
      </c>
      <c r="S748">
        <f t="shared" ca="1" si="357"/>
        <v>280.07692026646265</v>
      </c>
      <c r="T748">
        <f t="shared" ca="1" si="358"/>
        <v>1019.7665564573041</v>
      </c>
      <c r="U748">
        <f t="shared" ca="1" si="379"/>
        <v>-482.71806466825683</v>
      </c>
      <c r="V748">
        <f t="shared" ca="1" si="380"/>
        <v>0</v>
      </c>
      <c r="W748">
        <f t="shared" ca="1" si="359"/>
        <v>0.05</v>
      </c>
      <c r="X748">
        <f t="shared" ca="1" si="360"/>
        <v>0.26</v>
      </c>
      <c r="Y748">
        <f t="shared" ca="1" si="361"/>
        <v>4.9056603773584909E-2</v>
      </c>
      <c r="Z748">
        <f t="shared" ca="1" si="362"/>
        <v>196.15384615384616</v>
      </c>
      <c r="AA748">
        <f t="shared" ca="1" si="363"/>
        <v>632.31299999999999</v>
      </c>
      <c r="AB748">
        <f t="shared" ca="1" si="364"/>
        <v>2593.390031648662</v>
      </c>
      <c r="AC748">
        <f t="shared" ca="1" si="365"/>
        <v>482.07306851378365</v>
      </c>
      <c r="AD748">
        <f t="shared" ca="1" si="366"/>
        <v>280.07692026646265</v>
      </c>
      <c r="AE748">
        <f t="shared" ca="1" si="367"/>
        <v>1019.7665564573041</v>
      </c>
      <c r="AF748">
        <f t="shared" ca="1" si="368"/>
        <v>481.67874391170608</v>
      </c>
      <c r="AG748">
        <f t="shared" ca="1" si="369"/>
        <v>0</v>
      </c>
      <c r="AH748">
        <f ca="1">IF(V32="Supercritical",L748,IF(V32="Subcritical",W748,IF(AND(V748=1,AG748=1),IF(T748&gt;=AE748,L748,W748),IF(V748=1,L748,IF(AG748=1,W748,MAX($D$16,POWER((ABS(K748)^2)/($I$5*MAX(F748,0.1)^2),1/3)))))))</f>
        <v>2.1403668656741068</v>
      </c>
      <c r="AI748">
        <f t="shared" ca="1" si="370"/>
        <v>634.40336686567412</v>
      </c>
      <c r="AJ748">
        <f t="shared" ca="1" si="371"/>
        <v>635.47355029851121</v>
      </c>
      <c r="AM748">
        <v>0</v>
      </c>
      <c r="AN748">
        <v>0</v>
      </c>
      <c r="AO748">
        <f t="shared" si="372"/>
        <v>0</v>
      </c>
      <c r="AP748">
        <f t="shared" si="381"/>
        <v>0</v>
      </c>
      <c r="AQ748">
        <f t="shared" ca="1" si="373"/>
        <v>0.99999999999999978</v>
      </c>
      <c r="AR748" t="str">
        <f t="shared" ca="1" si="374"/>
        <v>Supercritical</v>
      </c>
      <c r="AS748">
        <f t="shared" ca="1" si="375"/>
        <v>3.8148159832266538E-3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191</v>
      </c>
      <c r="I749">
        <v>2.7E-2</v>
      </c>
      <c r="J749">
        <f t="shared" si="376"/>
        <v>0.99900000000002365</v>
      </c>
      <c r="K749">
        <f t="shared" si="377"/>
        <v>51</v>
      </c>
      <c r="L749">
        <f t="shared" ca="1" si="378"/>
        <v>0.05</v>
      </c>
      <c r="M749">
        <f t="shared" ca="1" si="351"/>
        <v>0.26</v>
      </c>
      <c r="N749">
        <f t="shared" ca="1" si="352"/>
        <v>4.9056603773584909E-2</v>
      </c>
      <c r="O749">
        <f t="shared" ca="1" si="353"/>
        <v>196.15384615384616</v>
      </c>
      <c r="P749">
        <f t="shared" ca="1" si="354"/>
        <v>632.3125</v>
      </c>
      <c r="Q749">
        <f t="shared" ca="1" si="355"/>
        <v>2593.3895316486623</v>
      </c>
      <c r="R749">
        <f t="shared" ca="1" si="356"/>
        <v>482.07306851378365</v>
      </c>
      <c r="S749">
        <f t="shared" ca="1" si="357"/>
        <v>280.07692026646265</v>
      </c>
      <c r="T749">
        <f t="shared" ca="1" si="358"/>
        <v>1019.7665564573041</v>
      </c>
      <c r="U749">
        <f t="shared" ca="1" si="379"/>
        <v>-481.67874391170608</v>
      </c>
      <c r="V749">
        <f t="shared" ca="1" si="380"/>
        <v>0</v>
      </c>
      <c r="W749">
        <f t="shared" ca="1" si="359"/>
        <v>0.05</v>
      </c>
      <c r="X749">
        <f t="shared" ca="1" si="360"/>
        <v>0.26</v>
      </c>
      <c r="Y749">
        <f t="shared" ca="1" si="361"/>
        <v>4.9056603773584909E-2</v>
      </c>
      <c r="Z749">
        <f t="shared" ca="1" si="362"/>
        <v>196.15384615384616</v>
      </c>
      <c r="AA749">
        <f t="shared" ca="1" si="363"/>
        <v>632.3125</v>
      </c>
      <c r="AB749">
        <f t="shared" ca="1" si="364"/>
        <v>2593.3895316486623</v>
      </c>
      <c r="AC749">
        <f t="shared" ca="1" si="365"/>
        <v>482.07306851378365</v>
      </c>
      <c r="AD749">
        <f t="shared" ca="1" si="366"/>
        <v>280.07692026646265</v>
      </c>
      <c r="AE749">
        <f t="shared" ca="1" si="367"/>
        <v>1019.7665564573041</v>
      </c>
      <c r="AF749">
        <f t="shared" ca="1" si="368"/>
        <v>482.16081698020798</v>
      </c>
      <c r="AG749">
        <f t="shared" ca="1" si="369"/>
        <v>0</v>
      </c>
      <c r="AH749">
        <f ca="1">IF(V32="Supercritical",L749,IF(V32="Subcritical",W749,IF(AND(V749=1,AG749=1),IF(T749&gt;=AE749,L749,W749),IF(V749=1,L749,IF(AG749=1,W749,MAX($D$16,POWER((ABS(K749)^2)/($I$5*MAX(F749,0.1)^2),1/3)))))))</f>
        <v>2.1403668656741068</v>
      </c>
      <c r="AI749">
        <f t="shared" ca="1" si="370"/>
        <v>634.40286686567413</v>
      </c>
      <c r="AJ749">
        <f t="shared" ca="1" si="371"/>
        <v>635.47305029851123</v>
      </c>
      <c r="AM749">
        <v>0</v>
      </c>
      <c r="AN749">
        <v>0</v>
      </c>
      <c r="AO749">
        <f t="shared" si="372"/>
        <v>0</v>
      </c>
      <c r="AP749">
        <f t="shared" si="381"/>
        <v>0</v>
      </c>
      <c r="AQ749">
        <f t="shared" ca="1" si="373"/>
        <v>0.99999999999999978</v>
      </c>
      <c r="AR749" t="str">
        <f t="shared" ca="1" si="374"/>
        <v>Supercritical</v>
      </c>
      <c r="AS749">
        <f t="shared" ca="1" si="375"/>
        <v>3.8148159832266538E-3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191</v>
      </c>
      <c r="I750">
        <v>2.7E-2</v>
      </c>
      <c r="J750">
        <f t="shared" si="376"/>
        <v>1</v>
      </c>
      <c r="K750">
        <f t="shared" si="377"/>
        <v>51</v>
      </c>
      <c r="L750">
        <f t="shared" ca="1" si="378"/>
        <v>0.05</v>
      </c>
      <c r="M750">
        <f t="shared" ca="1" si="351"/>
        <v>0.26</v>
      </c>
      <c r="N750">
        <f t="shared" ca="1" si="352"/>
        <v>4.9056603773584909E-2</v>
      </c>
      <c r="O750">
        <f t="shared" ca="1" si="353"/>
        <v>196.15384615384616</v>
      </c>
      <c r="P750">
        <f t="shared" ca="1" si="354"/>
        <v>632.3119999999999</v>
      </c>
      <c r="Q750">
        <f t="shared" ca="1" si="355"/>
        <v>2593.3890316486622</v>
      </c>
      <c r="R750">
        <f t="shared" ca="1" si="356"/>
        <v>482.07306851378365</v>
      </c>
      <c r="S750">
        <f t="shared" ca="1" si="357"/>
        <v>280.07692026646265</v>
      </c>
      <c r="T750">
        <f t="shared" ca="1" si="358"/>
        <v>1019.7665564573041</v>
      </c>
      <c r="U750">
        <f t="shared" ca="1" si="379"/>
        <v>-482.16081698020798</v>
      </c>
      <c r="V750">
        <f t="shared" ca="1" si="380"/>
        <v>0</v>
      </c>
      <c r="W750">
        <f t="shared" ca="1" si="359"/>
        <v>0.05</v>
      </c>
      <c r="X750">
        <f t="shared" ca="1" si="360"/>
        <v>0.26</v>
      </c>
      <c r="Y750">
        <f t="shared" ca="1" si="361"/>
        <v>4.9056603773584909E-2</v>
      </c>
      <c r="Z750">
        <f t="shared" ca="1" si="362"/>
        <v>196.15384615384616</v>
      </c>
      <c r="AA750">
        <f t="shared" ca="1" si="363"/>
        <v>632.3119999999999</v>
      </c>
      <c r="AB750">
        <f t="shared" ca="1" si="364"/>
        <v>2593.3890316486622</v>
      </c>
      <c r="AC750">
        <f t="shared" ca="1" si="365"/>
        <v>482.07306851378365</v>
      </c>
      <c r="AD750">
        <f t="shared" ca="1" si="366"/>
        <v>280.07692026646265</v>
      </c>
      <c r="AE750">
        <f t="shared" ca="1" si="367"/>
        <v>1019.7665564573041</v>
      </c>
      <c r="AF750">
        <f t="shared" ca="1" si="368"/>
        <v>482.16081698020798</v>
      </c>
      <c r="AG750">
        <f t="shared" ca="1" si="369"/>
        <v>0</v>
      </c>
      <c r="AH750">
        <f ca="1">IF(V32="Supercritical",L750,IF(V32="Subcritical",W750,IF(AND(V750=1,AG750=1),IF(T750&gt;=AE750,L750,W750),IF(V750=1,L750,IF(AG750=1,W750,MAX($D$16,POWER((ABS(K750)^2)/($I$5*MAX(F750,0.1)^2),1/3)))))))</f>
        <v>2.1403668656741068</v>
      </c>
      <c r="AI750">
        <f t="shared" ca="1" si="370"/>
        <v>634.40236686567403</v>
      </c>
      <c r="AJ750">
        <f t="shared" ca="1" si="371"/>
        <v>635.47255029851112</v>
      </c>
      <c r="AM750">
        <v>0</v>
      </c>
      <c r="AN750">
        <v>0</v>
      </c>
      <c r="AO750">
        <f t="shared" si="372"/>
        <v>0</v>
      </c>
      <c r="AP750">
        <f t="shared" si="381"/>
        <v>0</v>
      </c>
      <c r="AQ750">
        <f t="shared" ca="1" si="373"/>
        <v>0.99999999999999978</v>
      </c>
      <c r="AR750" t="str">
        <f t="shared" ca="1" si="374"/>
        <v>Supercritical</v>
      </c>
      <c r="AS750">
        <f t="shared" ca="1" si="375"/>
        <v>3.8148159832266538E-3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191</v>
      </c>
      <c r="I751">
        <v>2.7E-2</v>
      </c>
      <c r="J751">
        <f t="shared" si="376"/>
        <v>1</v>
      </c>
      <c r="K751">
        <f t="shared" si="377"/>
        <v>51</v>
      </c>
      <c r="L751">
        <f t="shared" ca="1" si="378"/>
        <v>0.05</v>
      </c>
      <c r="M751">
        <f t="shared" ca="1" si="351"/>
        <v>0.26</v>
      </c>
      <c r="N751">
        <f t="shared" ca="1" si="352"/>
        <v>4.9056603773584909E-2</v>
      </c>
      <c r="O751">
        <f t="shared" ca="1" si="353"/>
        <v>196.15384615384616</v>
      </c>
      <c r="P751">
        <f t="shared" ca="1" si="354"/>
        <v>632.31149999999991</v>
      </c>
      <c r="Q751">
        <f t="shared" ca="1" si="355"/>
        <v>2593.3885316486621</v>
      </c>
      <c r="R751">
        <f t="shared" ca="1" si="356"/>
        <v>482.07306851378365</v>
      </c>
      <c r="S751">
        <f t="shared" ca="1" si="357"/>
        <v>280.07692026646265</v>
      </c>
      <c r="T751">
        <f t="shared" ca="1" si="358"/>
        <v>1019.7665564573041</v>
      </c>
      <c r="U751">
        <f t="shared" ca="1" si="379"/>
        <v>-482.16081698020798</v>
      </c>
      <c r="V751">
        <f t="shared" ca="1" si="380"/>
        <v>0</v>
      </c>
      <c r="W751">
        <f t="shared" ca="1" si="359"/>
        <v>0.05</v>
      </c>
      <c r="X751">
        <f t="shared" ca="1" si="360"/>
        <v>0.26</v>
      </c>
      <c r="Y751">
        <f t="shared" ca="1" si="361"/>
        <v>4.9056603773584909E-2</v>
      </c>
      <c r="Z751">
        <f t="shared" ca="1" si="362"/>
        <v>196.15384615384616</v>
      </c>
      <c r="AA751">
        <f t="shared" ca="1" si="363"/>
        <v>632.31149999999991</v>
      </c>
      <c r="AB751">
        <f t="shared" ca="1" si="364"/>
        <v>2593.3885316486621</v>
      </c>
      <c r="AC751">
        <f t="shared" ca="1" si="365"/>
        <v>482.07306851378365</v>
      </c>
      <c r="AD751">
        <f t="shared" ca="1" si="366"/>
        <v>280.07692026646265</v>
      </c>
      <c r="AE751">
        <f t="shared" ca="1" si="367"/>
        <v>1019.7665564573041</v>
      </c>
      <c r="AF751">
        <f t="shared" ca="1" si="368"/>
        <v>482.32750852789786</v>
      </c>
      <c r="AG751">
        <f t="shared" ca="1" si="369"/>
        <v>0</v>
      </c>
      <c r="AH751">
        <f ca="1">IF(V32="Supercritical",L751,IF(V32="Subcritical",W751,IF(AND(V751=1,AG751=1),IF(T751&gt;=AE751,L751,W751),IF(V751=1,L751,IF(AG751=1,W751,MAX($D$16,POWER((ABS(K751)^2)/($I$5*MAX(F751,0.1)^2),1/3)))))))</f>
        <v>2.1403668656741068</v>
      </c>
      <c r="AI751">
        <f t="shared" ca="1" si="370"/>
        <v>634.40186686567404</v>
      </c>
      <c r="AJ751">
        <f t="shared" ca="1" si="371"/>
        <v>635.47205029851114</v>
      </c>
      <c r="AM751">
        <v>0</v>
      </c>
      <c r="AN751">
        <v>0</v>
      </c>
      <c r="AO751">
        <f t="shared" si="372"/>
        <v>0</v>
      </c>
      <c r="AP751">
        <f t="shared" si="381"/>
        <v>0</v>
      </c>
      <c r="AQ751">
        <f t="shared" ca="1" si="373"/>
        <v>0.99999999999999978</v>
      </c>
      <c r="AR751" t="str">
        <f t="shared" ca="1" si="374"/>
        <v>Supercritical</v>
      </c>
      <c r="AS751">
        <f t="shared" ca="1" si="375"/>
        <v>3.8148159832266538E-3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191</v>
      </c>
      <c r="I752">
        <v>7.8E-2</v>
      </c>
      <c r="J752">
        <f t="shared" si="376"/>
        <v>1</v>
      </c>
      <c r="K752">
        <f t="shared" si="377"/>
        <v>51</v>
      </c>
      <c r="L752">
        <f t="shared" ca="1" si="378"/>
        <v>0.05</v>
      </c>
      <c r="M752">
        <f t="shared" ca="1" si="351"/>
        <v>0.26</v>
      </c>
      <c r="N752">
        <f t="shared" ca="1" si="352"/>
        <v>4.9056603773584909E-2</v>
      </c>
      <c r="O752">
        <f t="shared" ca="1" si="353"/>
        <v>196.15384615384616</v>
      </c>
      <c r="P752">
        <f t="shared" ca="1" si="354"/>
        <v>632.31099999999992</v>
      </c>
      <c r="Q752">
        <f t="shared" ca="1" si="355"/>
        <v>2593.388031648662</v>
      </c>
      <c r="R752">
        <f t="shared" ca="1" si="356"/>
        <v>482.07306851378365</v>
      </c>
      <c r="S752">
        <f t="shared" ca="1" si="357"/>
        <v>280.07692026646265</v>
      </c>
      <c r="T752">
        <f t="shared" ca="1" si="358"/>
        <v>1019.7665564573041</v>
      </c>
      <c r="U752">
        <f t="shared" ca="1" si="379"/>
        <v>-482.32750852789786</v>
      </c>
      <c r="V752">
        <f t="shared" ca="1" si="380"/>
        <v>0</v>
      </c>
      <c r="W752">
        <f t="shared" ca="1" si="359"/>
        <v>0.05</v>
      </c>
      <c r="X752">
        <f t="shared" ca="1" si="360"/>
        <v>0.26</v>
      </c>
      <c r="Y752">
        <f t="shared" ca="1" si="361"/>
        <v>4.9056603773584909E-2</v>
      </c>
      <c r="Z752">
        <f t="shared" ca="1" si="362"/>
        <v>196.15384615384616</v>
      </c>
      <c r="AA752">
        <f t="shared" ca="1" si="363"/>
        <v>632.31099999999992</v>
      </c>
      <c r="AB752">
        <f t="shared" ca="1" si="364"/>
        <v>2593.388031648662</v>
      </c>
      <c r="AC752">
        <f t="shared" ca="1" si="365"/>
        <v>482.07306851378365</v>
      </c>
      <c r="AD752">
        <f t="shared" ca="1" si="366"/>
        <v>280.07692026646265</v>
      </c>
      <c r="AE752">
        <f t="shared" ca="1" si="367"/>
        <v>1019.7665564573041</v>
      </c>
      <c r="AF752">
        <f t="shared" ca="1" si="368"/>
        <v>482.23599159975447</v>
      </c>
      <c r="AG752">
        <f t="shared" ca="1" si="369"/>
        <v>0</v>
      </c>
      <c r="AH752">
        <f ca="1">IF(V32="Supercritical",L752,IF(V32="Subcritical",W752,IF(AND(V752=1,AG752=1),IF(T752&gt;=AE752,L752,W752),IF(V752=1,L752,IF(AG752=1,W752,MAX($D$16,POWER((ABS(K752)^2)/($I$5*MAX(F752,0.1)^2),1/3)))))))</f>
        <v>2.1403668656741068</v>
      </c>
      <c r="AI752">
        <f t="shared" ca="1" si="370"/>
        <v>634.40136686567405</v>
      </c>
      <c r="AJ752">
        <f t="shared" ca="1" si="371"/>
        <v>635.47155029851115</v>
      </c>
      <c r="AM752">
        <v>0</v>
      </c>
      <c r="AN752">
        <v>0</v>
      </c>
      <c r="AO752">
        <f t="shared" si="372"/>
        <v>0</v>
      </c>
      <c r="AP752">
        <f t="shared" si="381"/>
        <v>0</v>
      </c>
      <c r="AQ752">
        <f t="shared" ca="1" si="373"/>
        <v>0.99999999999999978</v>
      </c>
      <c r="AR752" t="str">
        <f t="shared" ca="1" si="374"/>
        <v>Supercritical</v>
      </c>
      <c r="AS752">
        <f t="shared" ca="1" si="375"/>
        <v>3.8148159832266538E-3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191</v>
      </c>
      <c r="I753">
        <v>0.05</v>
      </c>
      <c r="J753">
        <f t="shared" si="376"/>
        <v>1</v>
      </c>
      <c r="K753">
        <f t="shared" si="377"/>
        <v>51</v>
      </c>
      <c r="L753">
        <f t="shared" ca="1" si="378"/>
        <v>0.05</v>
      </c>
      <c r="M753">
        <f t="shared" ca="1" si="351"/>
        <v>0.26</v>
      </c>
      <c r="N753">
        <f t="shared" ca="1" si="352"/>
        <v>4.9056603773584909E-2</v>
      </c>
      <c r="O753">
        <f t="shared" ca="1" si="353"/>
        <v>196.15384615384616</v>
      </c>
      <c r="P753">
        <f t="shared" ca="1" si="354"/>
        <v>632.31049999999993</v>
      </c>
      <c r="Q753">
        <f t="shared" ca="1" si="355"/>
        <v>2593.3875316486619</v>
      </c>
      <c r="R753">
        <f t="shared" ca="1" si="356"/>
        <v>482.07306851378365</v>
      </c>
      <c r="S753">
        <f t="shared" ca="1" si="357"/>
        <v>280.07692026646265</v>
      </c>
      <c r="T753">
        <f t="shared" ca="1" si="358"/>
        <v>1019.7665564573041</v>
      </c>
      <c r="U753">
        <f t="shared" ca="1" si="379"/>
        <v>-482.23599159975447</v>
      </c>
      <c r="V753">
        <f t="shared" ca="1" si="380"/>
        <v>0</v>
      </c>
      <c r="W753">
        <f t="shared" ca="1" si="359"/>
        <v>0.05</v>
      </c>
      <c r="X753">
        <f t="shared" ca="1" si="360"/>
        <v>0.26</v>
      </c>
      <c r="Y753">
        <f t="shared" ca="1" si="361"/>
        <v>4.9056603773584909E-2</v>
      </c>
      <c r="Z753">
        <f t="shared" ca="1" si="362"/>
        <v>196.15384615384616</v>
      </c>
      <c r="AA753">
        <f t="shared" ca="1" si="363"/>
        <v>632.31049999999993</v>
      </c>
      <c r="AB753">
        <f t="shared" ca="1" si="364"/>
        <v>2593.3875316486619</v>
      </c>
      <c r="AC753">
        <f t="shared" ca="1" si="365"/>
        <v>482.07306851378365</v>
      </c>
      <c r="AD753">
        <f t="shared" ca="1" si="366"/>
        <v>280.07692026646265</v>
      </c>
      <c r="AE753">
        <f t="shared" ca="1" si="367"/>
        <v>1019.7665564573041</v>
      </c>
      <c r="AF753">
        <f t="shared" ca="1" si="368"/>
        <v>482.16081698020798</v>
      </c>
      <c r="AG753">
        <f t="shared" ca="1" si="369"/>
        <v>0</v>
      </c>
      <c r="AH753">
        <f ca="1">IF(V32="Supercritical",L753,IF(V32="Subcritical",W753,IF(AND(V753=1,AG753=1),IF(T753&gt;=AE753,L753,W753),IF(V753=1,L753,IF(AG753=1,W753,MAX($D$16,POWER((ABS(K753)^2)/($I$5*MAX(F753,0.1)^2),1/3)))))))</f>
        <v>2.1403668656741068</v>
      </c>
      <c r="AI753">
        <f t="shared" ca="1" si="370"/>
        <v>634.40086686567406</v>
      </c>
      <c r="AJ753">
        <f t="shared" ca="1" si="371"/>
        <v>635.47105029851116</v>
      </c>
      <c r="AM753">
        <v>0</v>
      </c>
      <c r="AN753">
        <v>0</v>
      </c>
      <c r="AO753">
        <f t="shared" si="372"/>
        <v>0</v>
      </c>
      <c r="AP753">
        <f t="shared" si="381"/>
        <v>0</v>
      </c>
      <c r="AQ753">
        <f t="shared" ca="1" si="373"/>
        <v>0.99999999999999978</v>
      </c>
      <c r="AR753" t="str">
        <f t="shared" ca="1" si="374"/>
        <v>Supercritical</v>
      </c>
      <c r="AS753">
        <f t="shared" ca="1" si="375"/>
        <v>3.8148159832266538E-3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191</v>
      </c>
      <c r="I754">
        <v>2.7E-2</v>
      </c>
      <c r="J754">
        <f t="shared" si="376"/>
        <v>1</v>
      </c>
      <c r="K754">
        <f t="shared" si="377"/>
        <v>51</v>
      </c>
      <c r="L754">
        <f t="shared" ca="1" si="378"/>
        <v>0.05</v>
      </c>
      <c r="M754">
        <f t="shared" ca="1" si="351"/>
        <v>0.26</v>
      </c>
      <c r="N754">
        <f t="shared" ca="1" si="352"/>
        <v>4.9056603773584909E-2</v>
      </c>
      <c r="O754">
        <f t="shared" ca="1" si="353"/>
        <v>196.15384615384616</v>
      </c>
      <c r="P754">
        <f t="shared" ca="1" si="354"/>
        <v>632.30999999999995</v>
      </c>
      <c r="Q754">
        <f t="shared" ca="1" si="355"/>
        <v>2593.3870316486618</v>
      </c>
      <c r="R754">
        <f t="shared" ca="1" si="356"/>
        <v>482.07306851378365</v>
      </c>
      <c r="S754">
        <f t="shared" ca="1" si="357"/>
        <v>280.07692026646265</v>
      </c>
      <c r="T754">
        <f t="shared" ca="1" si="358"/>
        <v>1019.7665564573041</v>
      </c>
      <c r="U754">
        <f t="shared" ca="1" si="379"/>
        <v>-482.16081698020798</v>
      </c>
      <c r="V754">
        <f t="shared" ca="1" si="380"/>
        <v>0</v>
      </c>
      <c r="W754">
        <f t="shared" ca="1" si="359"/>
        <v>0.05</v>
      </c>
      <c r="X754">
        <f t="shared" ca="1" si="360"/>
        <v>0.26</v>
      </c>
      <c r="Y754">
        <f t="shared" ca="1" si="361"/>
        <v>4.9056603773584909E-2</v>
      </c>
      <c r="Z754">
        <f t="shared" ca="1" si="362"/>
        <v>196.15384615384616</v>
      </c>
      <c r="AA754">
        <f t="shared" ca="1" si="363"/>
        <v>632.30999999999995</v>
      </c>
      <c r="AB754">
        <f t="shared" ca="1" si="364"/>
        <v>2593.3870316486618</v>
      </c>
      <c r="AC754">
        <f t="shared" ca="1" si="365"/>
        <v>482.07306851378365</v>
      </c>
      <c r="AD754">
        <f t="shared" ca="1" si="366"/>
        <v>280.07692026646265</v>
      </c>
      <c r="AE754">
        <f t="shared" ca="1" si="367"/>
        <v>1019.7665564573041</v>
      </c>
      <c r="AF754">
        <f t="shared" ca="1" si="368"/>
        <v>482.16081698020844</v>
      </c>
      <c r="AG754">
        <f t="shared" ca="1" si="369"/>
        <v>0</v>
      </c>
      <c r="AH754">
        <f ca="1">IF(V32="Supercritical",L754,IF(V32="Subcritical",W754,IF(AND(V754=1,AG754=1),IF(T754&gt;=AE754,L754,W754),IF(V754=1,L754,IF(AG754=1,W754,MAX($D$16,POWER((ABS(K754)^2)/($I$5*MAX(F754,0.1)^2),1/3)))))))</f>
        <v>2.1403668656741068</v>
      </c>
      <c r="AI754">
        <f t="shared" ca="1" si="370"/>
        <v>634.40036686567407</v>
      </c>
      <c r="AJ754">
        <f t="shared" ca="1" si="371"/>
        <v>635.47055029851117</v>
      </c>
      <c r="AM754">
        <v>0</v>
      </c>
      <c r="AN754">
        <v>0</v>
      </c>
      <c r="AO754">
        <f t="shared" si="372"/>
        <v>0</v>
      </c>
      <c r="AP754">
        <f t="shared" si="381"/>
        <v>0</v>
      </c>
      <c r="AQ754">
        <f t="shared" ca="1" si="373"/>
        <v>0.99999999999999978</v>
      </c>
      <c r="AR754" t="str">
        <f t="shared" ca="1" si="374"/>
        <v>Supercritical</v>
      </c>
      <c r="AS754">
        <f t="shared" ca="1" si="375"/>
        <v>3.8148159832266538E-3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191</v>
      </c>
      <c r="I755">
        <v>2.7E-2</v>
      </c>
      <c r="J755">
        <f t="shared" si="376"/>
        <v>1</v>
      </c>
      <c r="K755">
        <f t="shared" si="377"/>
        <v>51</v>
      </c>
      <c r="L755">
        <f t="shared" ca="1" si="378"/>
        <v>0.05</v>
      </c>
      <c r="M755">
        <f t="shared" ca="1" si="351"/>
        <v>0.26</v>
      </c>
      <c r="N755">
        <f t="shared" ca="1" si="352"/>
        <v>4.9056603773584909E-2</v>
      </c>
      <c r="O755">
        <f t="shared" ca="1" si="353"/>
        <v>196.15384615384616</v>
      </c>
      <c r="P755">
        <f t="shared" ca="1" si="354"/>
        <v>632.30949999999996</v>
      </c>
      <c r="Q755">
        <f t="shared" ca="1" si="355"/>
        <v>2593.3865316486622</v>
      </c>
      <c r="R755">
        <f t="shared" ca="1" si="356"/>
        <v>482.07306851378365</v>
      </c>
      <c r="S755">
        <f t="shared" ca="1" si="357"/>
        <v>280.07692026646265</v>
      </c>
      <c r="T755">
        <f t="shared" ca="1" si="358"/>
        <v>1019.7665564573041</v>
      </c>
      <c r="U755">
        <f t="shared" ca="1" si="379"/>
        <v>-482.16081698020844</v>
      </c>
      <c r="V755">
        <f t="shared" ca="1" si="380"/>
        <v>0</v>
      </c>
      <c r="W755">
        <f t="shared" ca="1" si="359"/>
        <v>0.05</v>
      </c>
      <c r="X755">
        <f t="shared" ca="1" si="360"/>
        <v>0.26</v>
      </c>
      <c r="Y755">
        <f t="shared" ca="1" si="361"/>
        <v>4.9056603773584909E-2</v>
      </c>
      <c r="Z755">
        <f t="shared" ca="1" si="362"/>
        <v>196.15384615384616</v>
      </c>
      <c r="AA755">
        <f t="shared" ca="1" si="363"/>
        <v>632.30949999999996</v>
      </c>
      <c r="AB755">
        <f t="shared" ca="1" si="364"/>
        <v>2593.3865316486622</v>
      </c>
      <c r="AC755">
        <f t="shared" ca="1" si="365"/>
        <v>482.07306851378365</v>
      </c>
      <c r="AD755">
        <f t="shared" ca="1" si="366"/>
        <v>280.07692026646265</v>
      </c>
      <c r="AE755">
        <f t="shared" ca="1" si="367"/>
        <v>1019.7665564573041</v>
      </c>
      <c r="AF755">
        <f t="shared" ca="1" si="368"/>
        <v>482.1477431333301</v>
      </c>
      <c r="AG755">
        <f t="shared" ca="1" si="369"/>
        <v>0</v>
      </c>
      <c r="AH755">
        <f ca="1">IF(V32="Supercritical",L755,IF(V32="Subcritical",W755,IF(AND(V755=1,AG755=1),IF(T755&gt;=AE755,L755,W755),IF(V755=1,L755,IF(AG755=1,W755,MAX($D$16,POWER((ABS(K755)^2)/($I$5*MAX(F755,0.1)^2),1/3)))))))</f>
        <v>2.1403668656741068</v>
      </c>
      <c r="AI755">
        <f t="shared" ca="1" si="370"/>
        <v>634.39986686567408</v>
      </c>
      <c r="AJ755">
        <f t="shared" ca="1" si="371"/>
        <v>635.47005029851118</v>
      </c>
      <c r="AM755">
        <v>0</v>
      </c>
      <c r="AN755">
        <v>0</v>
      </c>
      <c r="AO755">
        <f t="shared" si="372"/>
        <v>0</v>
      </c>
      <c r="AP755">
        <f t="shared" si="381"/>
        <v>0</v>
      </c>
      <c r="AQ755">
        <f t="shared" ca="1" si="373"/>
        <v>0.99999999999999978</v>
      </c>
      <c r="AR755" t="str">
        <f t="shared" ca="1" si="374"/>
        <v>Supercritical</v>
      </c>
      <c r="AS755">
        <f t="shared" ca="1" si="375"/>
        <v>3.8148159832266538E-3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191</v>
      </c>
      <c r="I756">
        <v>2.3E-2</v>
      </c>
      <c r="J756">
        <f t="shared" si="376"/>
        <v>1</v>
      </c>
      <c r="K756">
        <f t="shared" si="377"/>
        <v>51</v>
      </c>
      <c r="L756">
        <f t="shared" ca="1" si="378"/>
        <v>0.05</v>
      </c>
      <c r="M756">
        <f t="shared" ca="1" si="351"/>
        <v>0.26</v>
      </c>
      <c r="N756">
        <f t="shared" ca="1" si="352"/>
        <v>4.9056603773584909E-2</v>
      </c>
      <c r="O756">
        <f t="shared" ca="1" si="353"/>
        <v>196.15384615384616</v>
      </c>
      <c r="P756">
        <f t="shared" ca="1" si="354"/>
        <v>632.30899999999997</v>
      </c>
      <c r="Q756">
        <f t="shared" ca="1" si="355"/>
        <v>2593.3860316486621</v>
      </c>
      <c r="R756">
        <f t="shared" ca="1" si="356"/>
        <v>482.07306851378365</v>
      </c>
      <c r="S756">
        <f t="shared" ca="1" si="357"/>
        <v>280.07692026646265</v>
      </c>
      <c r="T756">
        <f t="shared" ca="1" si="358"/>
        <v>1019.7665564573041</v>
      </c>
      <c r="U756">
        <f t="shared" ca="1" si="379"/>
        <v>-482.1477431333301</v>
      </c>
      <c r="V756">
        <f t="shared" ca="1" si="380"/>
        <v>0</v>
      </c>
      <c r="W756">
        <f t="shared" ca="1" si="359"/>
        <v>0.05</v>
      </c>
      <c r="X756">
        <f t="shared" ca="1" si="360"/>
        <v>0.26</v>
      </c>
      <c r="Y756">
        <f t="shared" ca="1" si="361"/>
        <v>4.9056603773584909E-2</v>
      </c>
      <c r="Z756">
        <f t="shared" ca="1" si="362"/>
        <v>196.15384615384616</v>
      </c>
      <c r="AA756">
        <f t="shared" ca="1" si="363"/>
        <v>632.30899999999997</v>
      </c>
      <c r="AB756">
        <f t="shared" ca="1" si="364"/>
        <v>2593.3860316486621</v>
      </c>
      <c r="AC756">
        <f t="shared" ca="1" si="365"/>
        <v>482.07306851378365</v>
      </c>
      <c r="AD756">
        <f t="shared" ca="1" si="366"/>
        <v>280.07692026646265</v>
      </c>
      <c r="AE756">
        <f t="shared" ca="1" si="367"/>
        <v>1019.7665564573041</v>
      </c>
      <c r="AF756">
        <f t="shared" ca="1" si="368"/>
        <v>482.62981620183245</v>
      </c>
      <c r="AG756">
        <f t="shared" ca="1" si="369"/>
        <v>0</v>
      </c>
      <c r="AH756">
        <f ca="1">IF(V32="Supercritical",L756,IF(V32="Subcritical",W756,IF(AND(V756=1,AG756=1),IF(T756&gt;=AE756,L756,W756),IF(V756=1,L756,IF(AG756=1,W756,MAX($D$16,POWER((ABS(K756)^2)/($I$5*MAX(F756,0.1)^2),1/3)))))))</f>
        <v>2.1403668656741068</v>
      </c>
      <c r="AI756">
        <f t="shared" ca="1" si="370"/>
        <v>634.3993668656741</v>
      </c>
      <c r="AJ756">
        <f t="shared" ca="1" si="371"/>
        <v>635.46955029851119</v>
      </c>
      <c r="AM756">
        <v>0</v>
      </c>
      <c r="AN756">
        <v>0</v>
      </c>
      <c r="AO756">
        <f t="shared" si="372"/>
        <v>0</v>
      </c>
      <c r="AP756">
        <f t="shared" si="381"/>
        <v>0</v>
      </c>
      <c r="AQ756">
        <f t="shared" ca="1" si="373"/>
        <v>0.99999999999999978</v>
      </c>
      <c r="AR756" t="str">
        <f t="shared" ca="1" si="374"/>
        <v>Supercritical</v>
      </c>
      <c r="AS756">
        <f t="shared" ca="1" si="375"/>
        <v>3.8148159832266538E-3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191</v>
      </c>
      <c r="I757">
        <v>2.3E-2</v>
      </c>
      <c r="J757">
        <f t="shared" si="376"/>
        <v>1.0009999999999764</v>
      </c>
      <c r="K757">
        <f t="shared" si="377"/>
        <v>51</v>
      </c>
      <c r="L757">
        <f t="shared" ca="1" si="378"/>
        <v>0.05</v>
      </c>
      <c r="M757">
        <f t="shared" ca="1" si="351"/>
        <v>0.26</v>
      </c>
      <c r="N757">
        <f t="shared" ca="1" si="352"/>
        <v>4.9056603773584909E-2</v>
      </c>
      <c r="O757">
        <f t="shared" ca="1" si="353"/>
        <v>196.15384615384616</v>
      </c>
      <c r="P757">
        <f t="shared" ca="1" si="354"/>
        <v>632.30849999999998</v>
      </c>
      <c r="Q757">
        <f t="shared" ca="1" si="355"/>
        <v>2593.385531648662</v>
      </c>
      <c r="R757">
        <f t="shared" ca="1" si="356"/>
        <v>482.07306851378365</v>
      </c>
      <c r="S757">
        <f t="shared" ca="1" si="357"/>
        <v>280.07692026646265</v>
      </c>
      <c r="T757">
        <f t="shared" ca="1" si="358"/>
        <v>1019.7665564573041</v>
      </c>
      <c r="U757">
        <f t="shared" ca="1" si="379"/>
        <v>-482.62981620183245</v>
      </c>
      <c r="V757">
        <f t="shared" ca="1" si="380"/>
        <v>0</v>
      </c>
      <c r="W757">
        <f t="shared" ca="1" si="359"/>
        <v>0.05</v>
      </c>
      <c r="X757">
        <f t="shared" ca="1" si="360"/>
        <v>0.26</v>
      </c>
      <c r="Y757">
        <f t="shared" ca="1" si="361"/>
        <v>4.9056603773584909E-2</v>
      </c>
      <c r="Z757">
        <f t="shared" ca="1" si="362"/>
        <v>196.15384615384616</v>
      </c>
      <c r="AA757">
        <f t="shared" ca="1" si="363"/>
        <v>632.30849999999998</v>
      </c>
      <c r="AB757">
        <f t="shared" ca="1" si="364"/>
        <v>2593.385531648662</v>
      </c>
      <c r="AC757">
        <f t="shared" ca="1" si="365"/>
        <v>482.07306851378365</v>
      </c>
      <c r="AD757">
        <f t="shared" ca="1" si="366"/>
        <v>280.07692026646265</v>
      </c>
      <c r="AE757">
        <f t="shared" ca="1" si="367"/>
        <v>1019.7665564573041</v>
      </c>
      <c r="AF757">
        <f t="shared" ca="1" si="368"/>
        <v>481.5904954452817</v>
      </c>
      <c r="AG757">
        <f t="shared" ca="1" si="369"/>
        <v>0</v>
      </c>
      <c r="AH757">
        <f ca="1">IF(V32="Supercritical",L757,IF(V32="Subcritical",W757,IF(AND(V757=1,AG757=1),IF(T757&gt;=AE757,L757,W757),IF(V757=1,L757,IF(AG757=1,W757,MAX($D$16,POWER((ABS(K757)^2)/($I$5*MAX(F757,0.1)^2),1/3)))))))</f>
        <v>2.1403668656741068</v>
      </c>
      <c r="AI757">
        <f t="shared" ca="1" si="370"/>
        <v>634.39886686567411</v>
      </c>
      <c r="AJ757">
        <f t="shared" ca="1" si="371"/>
        <v>635.46905029851121</v>
      </c>
      <c r="AM757">
        <v>0</v>
      </c>
      <c r="AN757">
        <v>0</v>
      </c>
      <c r="AO757">
        <f t="shared" si="372"/>
        <v>0</v>
      </c>
      <c r="AP757">
        <f t="shared" si="381"/>
        <v>0</v>
      </c>
      <c r="AQ757">
        <f t="shared" ca="1" si="373"/>
        <v>0.99999999999999978</v>
      </c>
      <c r="AR757" t="str">
        <f t="shared" ca="1" si="374"/>
        <v>Supercritical</v>
      </c>
      <c r="AS757">
        <f t="shared" ca="1" si="375"/>
        <v>3.8148159832266538E-3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191</v>
      </c>
      <c r="I758">
        <v>0</v>
      </c>
      <c r="J758">
        <f t="shared" si="376"/>
        <v>0.99900000000002365</v>
      </c>
      <c r="K758">
        <f t="shared" si="377"/>
        <v>51</v>
      </c>
      <c r="L758">
        <f t="shared" ca="1" si="378"/>
        <v>0.05</v>
      </c>
      <c r="M758">
        <f t="shared" ca="1" si="351"/>
        <v>0.26</v>
      </c>
      <c r="N758">
        <f t="shared" ca="1" si="352"/>
        <v>4.9056603773584909E-2</v>
      </c>
      <c r="O758">
        <f t="shared" ca="1" si="353"/>
        <v>196.15384615384616</v>
      </c>
      <c r="P758">
        <f t="shared" ca="1" si="354"/>
        <v>632.30799999999999</v>
      </c>
      <c r="Q758">
        <f t="shared" ca="1" si="355"/>
        <v>2593.3850316486623</v>
      </c>
      <c r="R758">
        <f t="shared" ca="1" si="356"/>
        <v>482.07306851378365</v>
      </c>
      <c r="S758">
        <f t="shared" ca="1" si="357"/>
        <v>280.07692026646265</v>
      </c>
      <c r="T758">
        <f t="shared" ca="1" si="358"/>
        <v>1019.7665564573041</v>
      </c>
      <c r="U758">
        <f t="shared" ca="1" si="379"/>
        <v>-481.5904954452817</v>
      </c>
      <c r="V758">
        <f t="shared" ca="1" si="380"/>
        <v>0</v>
      </c>
      <c r="W758">
        <f t="shared" ca="1" si="359"/>
        <v>0.05</v>
      </c>
      <c r="X758">
        <f t="shared" ca="1" si="360"/>
        <v>0.26</v>
      </c>
      <c r="Y758">
        <f t="shared" ca="1" si="361"/>
        <v>4.9056603773584909E-2</v>
      </c>
      <c r="Z758">
        <f t="shared" ca="1" si="362"/>
        <v>196.15384615384616</v>
      </c>
      <c r="AA758">
        <f t="shared" ca="1" si="363"/>
        <v>632.30799999999999</v>
      </c>
      <c r="AB758">
        <f t="shared" ca="1" si="364"/>
        <v>2593.3850316486623</v>
      </c>
      <c r="AC758">
        <f t="shared" ca="1" si="365"/>
        <v>482.07306851378365</v>
      </c>
      <c r="AD758">
        <f t="shared" ca="1" si="366"/>
        <v>280.07692026646265</v>
      </c>
      <c r="AE758">
        <f t="shared" ca="1" si="367"/>
        <v>1019.7665564573041</v>
      </c>
      <c r="AF758">
        <f t="shared" ca="1" si="368"/>
        <v>482.16081698020798</v>
      </c>
      <c r="AG758">
        <f t="shared" ca="1" si="369"/>
        <v>0</v>
      </c>
      <c r="AH758">
        <f ca="1">IF(V32="Supercritical",L758,IF(V32="Subcritical",W758,IF(AND(V758=1,AG758=1),IF(T758&gt;=AE758,L758,W758),IF(V758=1,L758,IF(AG758=1,W758,MAX($D$16,POWER((ABS(K758)^2)/($I$5*MAX(F758,0.1)^2),1/3)))))))</f>
        <v>2.1403668656741068</v>
      </c>
      <c r="AI758">
        <f t="shared" ca="1" si="370"/>
        <v>634.39836686567412</v>
      </c>
      <c r="AJ758">
        <f t="shared" ca="1" si="371"/>
        <v>635.46855029851122</v>
      </c>
      <c r="AM758">
        <v>0</v>
      </c>
      <c r="AN758">
        <v>0</v>
      </c>
      <c r="AO758">
        <f t="shared" si="372"/>
        <v>0</v>
      </c>
      <c r="AP758">
        <f t="shared" si="381"/>
        <v>0</v>
      </c>
      <c r="AQ758">
        <f t="shared" ca="1" si="373"/>
        <v>0.99999999999999978</v>
      </c>
      <c r="AR758" t="str">
        <f t="shared" ca="1" si="374"/>
        <v>Supercritical</v>
      </c>
      <c r="AS758">
        <f t="shared" ca="1" si="375"/>
        <v>3.8148159832266538E-3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191</v>
      </c>
      <c r="I759">
        <v>2.7E-2</v>
      </c>
      <c r="J759">
        <f t="shared" si="376"/>
        <v>1</v>
      </c>
      <c r="K759">
        <f t="shared" si="377"/>
        <v>51</v>
      </c>
      <c r="L759">
        <f t="shared" ca="1" si="378"/>
        <v>0.05</v>
      </c>
      <c r="M759">
        <f t="shared" ca="1" si="351"/>
        <v>0.26</v>
      </c>
      <c r="N759">
        <f t="shared" ca="1" si="352"/>
        <v>4.9056603773584909E-2</v>
      </c>
      <c r="O759">
        <f t="shared" ca="1" si="353"/>
        <v>196.15384615384616</v>
      </c>
      <c r="P759">
        <f t="shared" ca="1" si="354"/>
        <v>632.3075</v>
      </c>
      <c r="Q759">
        <f t="shared" ca="1" si="355"/>
        <v>2593.3845316486622</v>
      </c>
      <c r="R759">
        <f t="shared" ca="1" si="356"/>
        <v>482.07306851378365</v>
      </c>
      <c r="S759">
        <f t="shared" ca="1" si="357"/>
        <v>280.07692026646265</v>
      </c>
      <c r="T759">
        <f t="shared" ca="1" si="358"/>
        <v>1019.7665564573041</v>
      </c>
      <c r="U759">
        <f t="shared" ca="1" si="379"/>
        <v>-482.16081698020798</v>
      </c>
      <c r="V759">
        <f t="shared" ca="1" si="380"/>
        <v>0</v>
      </c>
      <c r="W759">
        <f t="shared" ca="1" si="359"/>
        <v>0.05</v>
      </c>
      <c r="X759">
        <f t="shared" ca="1" si="360"/>
        <v>0.26</v>
      </c>
      <c r="Y759">
        <f t="shared" ca="1" si="361"/>
        <v>4.9056603773584909E-2</v>
      </c>
      <c r="Z759">
        <f t="shared" ca="1" si="362"/>
        <v>196.15384615384616</v>
      </c>
      <c r="AA759">
        <f t="shared" ca="1" si="363"/>
        <v>632.3075</v>
      </c>
      <c r="AB759">
        <f t="shared" ca="1" si="364"/>
        <v>2593.3845316486622</v>
      </c>
      <c r="AC759">
        <f t="shared" ca="1" si="365"/>
        <v>482.07306851378365</v>
      </c>
      <c r="AD759">
        <f t="shared" ca="1" si="366"/>
        <v>280.07692026646265</v>
      </c>
      <c r="AE759">
        <f t="shared" ca="1" si="367"/>
        <v>1019.7665564573041</v>
      </c>
      <c r="AF759">
        <f t="shared" ca="1" si="368"/>
        <v>482.32750852789786</v>
      </c>
      <c r="AG759">
        <f t="shared" ca="1" si="369"/>
        <v>0</v>
      </c>
      <c r="AH759">
        <f ca="1">IF(V32="Supercritical",L759,IF(V32="Subcritical",W759,IF(AND(V759=1,AG759=1),IF(T759&gt;=AE759,L759,W759),IF(V759=1,L759,IF(AG759=1,W759,MAX($D$16,POWER((ABS(K759)^2)/($I$5*MAX(F759,0.1)^2),1/3)))))))</f>
        <v>2.1403668656741068</v>
      </c>
      <c r="AI759">
        <f t="shared" ca="1" si="370"/>
        <v>634.39786686567413</v>
      </c>
      <c r="AJ759">
        <f t="shared" ca="1" si="371"/>
        <v>635.46805029851123</v>
      </c>
      <c r="AM759">
        <v>0</v>
      </c>
      <c r="AN759">
        <v>0</v>
      </c>
      <c r="AO759">
        <f t="shared" si="372"/>
        <v>0</v>
      </c>
      <c r="AP759">
        <f t="shared" si="381"/>
        <v>0</v>
      </c>
      <c r="AQ759">
        <f t="shared" ca="1" si="373"/>
        <v>0.99999999999999978</v>
      </c>
      <c r="AR759" t="str">
        <f t="shared" ca="1" si="374"/>
        <v>Supercritical</v>
      </c>
      <c r="AS759">
        <f t="shared" ca="1" si="375"/>
        <v>3.8148159832266538E-3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191</v>
      </c>
      <c r="I760">
        <v>7.8E-2</v>
      </c>
      <c r="J760">
        <f t="shared" si="376"/>
        <v>1</v>
      </c>
      <c r="K760">
        <f t="shared" si="377"/>
        <v>51</v>
      </c>
      <c r="L760">
        <f t="shared" ca="1" si="378"/>
        <v>0.05</v>
      </c>
      <c r="M760">
        <f t="shared" ca="1" si="351"/>
        <v>0.26</v>
      </c>
      <c r="N760">
        <f t="shared" ca="1" si="352"/>
        <v>4.9056603773584909E-2</v>
      </c>
      <c r="O760">
        <f t="shared" ca="1" si="353"/>
        <v>196.15384615384616</v>
      </c>
      <c r="P760">
        <f t="shared" ca="1" si="354"/>
        <v>632.3069999999999</v>
      </c>
      <c r="Q760">
        <f t="shared" ca="1" si="355"/>
        <v>2593.3840316486621</v>
      </c>
      <c r="R760">
        <f t="shared" ca="1" si="356"/>
        <v>482.07306851378365</v>
      </c>
      <c r="S760">
        <f t="shared" ca="1" si="357"/>
        <v>280.07692026646265</v>
      </c>
      <c r="T760">
        <f t="shared" ca="1" si="358"/>
        <v>1019.7665564573041</v>
      </c>
      <c r="U760">
        <f t="shared" ca="1" si="379"/>
        <v>-482.32750852789786</v>
      </c>
      <c r="V760">
        <f t="shared" ca="1" si="380"/>
        <v>0</v>
      </c>
      <c r="W760">
        <f t="shared" ca="1" si="359"/>
        <v>0.05</v>
      </c>
      <c r="X760">
        <f t="shared" ca="1" si="360"/>
        <v>0.26</v>
      </c>
      <c r="Y760">
        <f t="shared" ca="1" si="361"/>
        <v>4.9056603773584909E-2</v>
      </c>
      <c r="Z760">
        <f t="shared" ca="1" si="362"/>
        <v>196.15384615384616</v>
      </c>
      <c r="AA760">
        <f t="shared" ca="1" si="363"/>
        <v>632.3069999999999</v>
      </c>
      <c r="AB760">
        <f t="shared" ca="1" si="364"/>
        <v>2593.3840316486621</v>
      </c>
      <c r="AC760">
        <f t="shared" ca="1" si="365"/>
        <v>482.07306851378365</v>
      </c>
      <c r="AD760">
        <f t="shared" ca="1" si="366"/>
        <v>280.07692026646265</v>
      </c>
      <c r="AE760">
        <f t="shared" ca="1" si="367"/>
        <v>1019.7665564573041</v>
      </c>
      <c r="AF760">
        <f t="shared" ca="1" si="368"/>
        <v>482.32750852789786</v>
      </c>
      <c r="AG760">
        <f t="shared" ca="1" si="369"/>
        <v>0</v>
      </c>
      <c r="AH760">
        <f ca="1">IF(V32="Supercritical",L760,IF(V32="Subcritical",W760,IF(AND(V760=1,AG760=1),IF(T760&gt;=AE760,L760,W760),IF(V760=1,L760,IF(AG760=1,W760,MAX($D$16,POWER((ABS(K760)^2)/($I$5*MAX(F760,0.1)^2),1/3)))))))</f>
        <v>2.1403668656741068</v>
      </c>
      <c r="AI760">
        <f t="shared" ca="1" si="370"/>
        <v>634.39736686567403</v>
      </c>
      <c r="AJ760">
        <f t="shared" ca="1" si="371"/>
        <v>635.46755029851113</v>
      </c>
      <c r="AM760">
        <v>0</v>
      </c>
      <c r="AN760">
        <v>0</v>
      </c>
      <c r="AO760">
        <f t="shared" si="372"/>
        <v>0</v>
      </c>
      <c r="AP760">
        <f t="shared" si="381"/>
        <v>0</v>
      </c>
      <c r="AQ760">
        <f t="shared" ca="1" si="373"/>
        <v>0.99999999999999978</v>
      </c>
      <c r="AR760" t="str">
        <f t="shared" ca="1" si="374"/>
        <v>Supercritical</v>
      </c>
      <c r="AS760">
        <f t="shared" ca="1" si="375"/>
        <v>3.8148159832266538E-3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191</v>
      </c>
      <c r="I761">
        <v>7.8E-2</v>
      </c>
      <c r="J761">
        <f t="shared" si="376"/>
        <v>1</v>
      </c>
      <c r="K761">
        <f t="shared" si="377"/>
        <v>51</v>
      </c>
      <c r="L761">
        <f t="shared" ca="1" si="378"/>
        <v>0.05</v>
      </c>
      <c r="M761">
        <f t="shared" ca="1" si="351"/>
        <v>0.26</v>
      </c>
      <c r="N761">
        <f t="shared" ca="1" si="352"/>
        <v>4.9056603773584909E-2</v>
      </c>
      <c r="O761">
        <f t="shared" ca="1" si="353"/>
        <v>196.15384615384616</v>
      </c>
      <c r="P761">
        <f t="shared" ca="1" si="354"/>
        <v>632.30649999999991</v>
      </c>
      <c r="Q761">
        <f t="shared" ca="1" si="355"/>
        <v>2593.383531648662</v>
      </c>
      <c r="R761">
        <f t="shared" ca="1" si="356"/>
        <v>482.07306851378365</v>
      </c>
      <c r="S761">
        <f t="shared" ca="1" si="357"/>
        <v>280.07692026646265</v>
      </c>
      <c r="T761">
        <f t="shared" ca="1" si="358"/>
        <v>1019.7665564573041</v>
      </c>
      <c r="U761">
        <f t="shared" ca="1" si="379"/>
        <v>-482.32750852789786</v>
      </c>
      <c r="V761">
        <f t="shared" ca="1" si="380"/>
        <v>0</v>
      </c>
      <c r="W761">
        <f t="shared" ca="1" si="359"/>
        <v>0.05</v>
      </c>
      <c r="X761">
        <f t="shared" ca="1" si="360"/>
        <v>0.26</v>
      </c>
      <c r="Y761">
        <f t="shared" ca="1" si="361"/>
        <v>4.9056603773584909E-2</v>
      </c>
      <c r="Z761">
        <f t="shared" ca="1" si="362"/>
        <v>196.15384615384616</v>
      </c>
      <c r="AA761">
        <f t="shared" ca="1" si="363"/>
        <v>632.30649999999991</v>
      </c>
      <c r="AB761">
        <f t="shared" ca="1" si="364"/>
        <v>2593.383531648662</v>
      </c>
      <c r="AC761">
        <f t="shared" ca="1" si="365"/>
        <v>482.07306851378365</v>
      </c>
      <c r="AD761">
        <f t="shared" ca="1" si="366"/>
        <v>280.07692026646265</v>
      </c>
      <c r="AE761">
        <f t="shared" ca="1" si="367"/>
        <v>1019.7665564573041</v>
      </c>
      <c r="AF761">
        <f t="shared" ca="1" si="368"/>
        <v>482.64289004871034</v>
      </c>
      <c r="AG761">
        <f t="shared" ca="1" si="369"/>
        <v>0</v>
      </c>
      <c r="AH761">
        <f ca="1">IF(V32="Supercritical",L761,IF(V32="Subcritical",W761,IF(AND(V761=1,AG761=1),IF(T761&gt;=AE761,L761,W761),IF(V761=1,L761,IF(AG761=1,W761,MAX($D$16,POWER((ABS(K761)^2)/($I$5*MAX(F761,0.1)^2),1/3)))))))</f>
        <v>2.1403668656741068</v>
      </c>
      <c r="AI761">
        <f t="shared" ca="1" si="370"/>
        <v>634.39686686567404</v>
      </c>
      <c r="AJ761">
        <f t="shared" ca="1" si="371"/>
        <v>635.46705029851114</v>
      </c>
      <c r="AM761">
        <v>0</v>
      </c>
      <c r="AN761">
        <v>0</v>
      </c>
      <c r="AO761">
        <f t="shared" si="372"/>
        <v>0</v>
      </c>
      <c r="AP761">
        <f t="shared" si="381"/>
        <v>0</v>
      </c>
      <c r="AQ761">
        <f t="shared" ca="1" si="373"/>
        <v>0.99999999999999978</v>
      </c>
      <c r="AR761" t="str">
        <f t="shared" ca="1" si="374"/>
        <v>Supercritical</v>
      </c>
      <c r="AS761">
        <f t="shared" ca="1" si="375"/>
        <v>3.8148159832266538E-3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191</v>
      </c>
      <c r="I762">
        <v>2.7E-2</v>
      </c>
      <c r="J762">
        <f t="shared" si="376"/>
        <v>1.0009999999999764</v>
      </c>
      <c r="K762">
        <f t="shared" si="377"/>
        <v>51</v>
      </c>
      <c r="L762">
        <f t="shared" ca="1" si="378"/>
        <v>0.05</v>
      </c>
      <c r="M762">
        <f t="shared" ca="1" si="351"/>
        <v>0.26</v>
      </c>
      <c r="N762">
        <f t="shared" ca="1" si="352"/>
        <v>4.9056603773584909E-2</v>
      </c>
      <c r="O762">
        <f t="shared" ca="1" si="353"/>
        <v>196.15384615384616</v>
      </c>
      <c r="P762">
        <f t="shared" ca="1" si="354"/>
        <v>632.30599999999993</v>
      </c>
      <c r="Q762">
        <f t="shared" ca="1" si="355"/>
        <v>2593.3830316486619</v>
      </c>
      <c r="R762">
        <f t="shared" ca="1" si="356"/>
        <v>482.07306851378365</v>
      </c>
      <c r="S762">
        <f t="shared" ca="1" si="357"/>
        <v>280.07692026646265</v>
      </c>
      <c r="T762">
        <f t="shared" ca="1" si="358"/>
        <v>1019.7665564573041</v>
      </c>
      <c r="U762">
        <f t="shared" ca="1" si="379"/>
        <v>-482.64289004871034</v>
      </c>
      <c r="V762">
        <f t="shared" ca="1" si="380"/>
        <v>0</v>
      </c>
      <c r="W762">
        <f t="shared" ca="1" si="359"/>
        <v>0.05</v>
      </c>
      <c r="X762">
        <f t="shared" ca="1" si="360"/>
        <v>0.26</v>
      </c>
      <c r="Y762">
        <f t="shared" ca="1" si="361"/>
        <v>4.9056603773584909E-2</v>
      </c>
      <c r="Z762">
        <f t="shared" ca="1" si="362"/>
        <v>196.15384615384616</v>
      </c>
      <c r="AA762">
        <f t="shared" ca="1" si="363"/>
        <v>632.30599999999993</v>
      </c>
      <c r="AB762">
        <f t="shared" ca="1" si="364"/>
        <v>2593.3830316486619</v>
      </c>
      <c r="AC762">
        <f t="shared" ca="1" si="365"/>
        <v>482.07306851378365</v>
      </c>
      <c r="AD762">
        <f t="shared" ca="1" si="366"/>
        <v>280.07692026646265</v>
      </c>
      <c r="AE762">
        <f t="shared" ca="1" si="367"/>
        <v>1019.7665564573041</v>
      </c>
      <c r="AF762">
        <f t="shared" ca="1" si="368"/>
        <v>481.59049544528125</v>
      </c>
      <c r="AG762">
        <f t="shared" ca="1" si="369"/>
        <v>0</v>
      </c>
      <c r="AH762">
        <f ca="1">IF(V32="Supercritical",L762,IF(V32="Subcritical",W762,IF(AND(V762=1,AG762=1),IF(T762&gt;=AE762,L762,W762),IF(V762=1,L762,IF(AG762=1,W762,MAX($D$16,POWER((ABS(K762)^2)/($I$5*MAX(F762,0.1)^2),1/3)))))))</f>
        <v>2.1403668656741068</v>
      </c>
      <c r="AI762">
        <f t="shared" ca="1" si="370"/>
        <v>634.39636686567405</v>
      </c>
      <c r="AJ762">
        <f t="shared" ca="1" si="371"/>
        <v>635.46655029851115</v>
      </c>
      <c r="AM762">
        <v>0</v>
      </c>
      <c r="AN762">
        <v>0</v>
      </c>
      <c r="AO762">
        <f t="shared" si="372"/>
        <v>0</v>
      </c>
      <c r="AP762">
        <f t="shared" si="381"/>
        <v>0</v>
      </c>
      <c r="AQ762">
        <f t="shared" ca="1" si="373"/>
        <v>0.99999999999999978</v>
      </c>
      <c r="AR762" t="str">
        <f t="shared" ca="1" si="374"/>
        <v>Supercritical</v>
      </c>
      <c r="AS762">
        <f t="shared" ca="1" si="375"/>
        <v>3.8148159832266538E-3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191</v>
      </c>
      <c r="I763">
        <v>0</v>
      </c>
      <c r="J763">
        <f t="shared" si="376"/>
        <v>0.99900000000002365</v>
      </c>
      <c r="K763">
        <f t="shared" si="377"/>
        <v>51</v>
      </c>
      <c r="L763">
        <f t="shared" ca="1" si="378"/>
        <v>0.05</v>
      </c>
      <c r="M763">
        <f t="shared" ca="1" si="351"/>
        <v>0.26</v>
      </c>
      <c r="N763">
        <f t="shared" ca="1" si="352"/>
        <v>4.9056603773584909E-2</v>
      </c>
      <c r="O763">
        <f t="shared" ca="1" si="353"/>
        <v>196.15384615384616</v>
      </c>
      <c r="P763">
        <f t="shared" ca="1" si="354"/>
        <v>632.30549999999994</v>
      </c>
      <c r="Q763">
        <f t="shared" ca="1" si="355"/>
        <v>2593.3825316486618</v>
      </c>
      <c r="R763">
        <f t="shared" ca="1" si="356"/>
        <v>482.07306851378365</v>
      </c>
      <c r="S763">
        <f t="shared" ca="1" si="357"/>
        <v>280.07692026646265</v>
      </c>
      <c r="T763">
        <f t="shared" ca="1" si="358"/>
        <v>1019.7665564573041</v>
      </c>
      <c r="U763">
        <f t="shared" ca="1" si="379"/>
        <v>-481.59049544528125</v>
      </c>
      <c r="V763">
        <f t="shared" ca="1" si="380"/>
        <v>0</v>
      </c>
      <c r="W763">
        <f t="shared" ca="1" si="359"/>
        <v>0.05</v>
      </c>
      <c r="X763">
        <f t="shared" ca="1" si="360"/>
        <v>0.26</v>
      </c>
      <c r="Y763">
        <f t="shared" ca="1" si="361"/>
        <v>4.9056603773584909E-2</v>
      </c>
      <c r="Z763">
        <f t="shared" ca="1" si="362"/>
        <v>196.15384615384616</v>
      </c>
      <c r="AA763">
        <f t="shared" ca="1" si="363"/>
        <v>632.30549999999994</v>
      </c>
      <c r="AB763">
        <f t="shared" ca="1" si="364"/>
        <v>2593.3825316486618</v>
      </c>
      <c r="AC763">
        <f t="shared" ca="1" si="365"/>
        <v>482.07306851378365</v>
      </c>
      <c r="AD763">
        <f t="shared" ca="1" si="366"/>
        <v>280.07692026646265</v>
      </c>
      <c r="AE763">
        <f t="shared" ca="1" si="367"/>
        <v>1019.7665564573041</v>
      </c>
      <c r="AF763">
        <f t="shared" ca="1" si="368"/>
        <v>482.16081698020844</v>
      </c>
      <c r="AG763">
        <f t="shared" ca="1" si="369"/>
        <v>0</v>
      </c>
      <c r="AH763">
        <f ca="1">IF(V32="Supercritical",L763,IF(V32="Subcritical",W763,IF(AND(V763=1,AG763=1),IF(T763&gt;=AE763,L763,W763),IF(V763=1,L763,IF(AG763=1,W763,MAX($D$16,POWER((ABS(K763)^2)/($I$5*MAX(F763,0.1)^2),1/3)))))))</f>
        <v>2.1403668656741068</v>
      </c>
      <c r="AI763">
        <f t="shared" ca="1" si="370"/>
        <v>634.39586686567407</v>
      </c>
      <c r="AJ763">
        <f t="shared" ca="1" si="371"/>
        <v>635.46605029851116</v>
      </c>
      <c r="AM763">
        <v>0</v>
      </c>
      <c r="AN763">
        <v>0</v>
      </c>
      <c r="AO763">
        <f t="shared" si="372"/>
        <v>0</v>
      </c>
      <c r="AP763">
        <f t="shared" si="381"/>
        <v>0</v>
      </c>
      <c r="AQ763">
        <f t="shared" ca="1" si="373"/>
        <v>0.99999999999999978</v>
      </c>
      <c r="AR763" t="str">
        <f t="shared" ca="1" si="374"/>
        <v>Supercritical</v>
      </c>
      <c r="AS763">
        <f t="shared" ca="1" si="375"/>
        <v>3.8148159832266538E-3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191</v>
      </c>
      <c r="I764">
        <v>2.7E-2</v>
      </c>
      <c r="J764">
        <f t="shared" si="376"/>
        <v>1</v>
      </c>
      <c r="K764">
        <f t="shared" si="377"/>
        <v>51</v>
      </c>
      <c r="L764">
        <f t="shared" ca="1" si="378"/>
        <v>0.05</v>
      </c>
      <c r="M764">
        <f t="shared" ca="1" si="351"/>
        <v>0.26</v>
      </c>
      <c r="N764">
        <f t="shared" ca="1" si="352"/>
        <v>4.9056603773584909E-2</v>
      </c>
      <c r="O764">
        <f t="shared" ca="1" si="353"/>
        <v>196.15384615384616</v>
      </c>
      <c r="P764">
        <f t="shared" ca="1" si="354"/>
        <v>632.30499999999995</v>
      </c>
      <c r="Q764">
        <f t="shared" ca="1" si="355"/>
        <v>2593.3820316486622</v>
      </c>
      <c r="R764">
        <f t="shared" ca="1" si="356"/>
        <v>482.07306851378365</v>
      </c>
      <c r="S764">
        <f t="shared" ca="1" si="357"/>
        <v>280.07692026646265</v>
      </c>
      <c r="T764">
        <f t="shared" ca="1" si="358"/>
        <v>1019.7665564573041</v>
      </c>
      <c r="U764">
        <f t="shared" ca="1" si="379"/>
        <v>-482.16081698020844</v>
      </c>
      <c r="V764">
        <f t="shared" ca="1" si="380"/>
        <v>0</v>
      </c>
      <c r="W764">
        <f t="shared" ca="1" si="359"/>
        <v>0.05</v>
      </c>
      <c r="X764">
        <f t="shared" ca="1" si="360"/>
        <v>0.26</v>
      </c>
      <c r="Y764">
        <f t="shared" ca="1" si="361"/>
        <v>4.9056603773584909E-2</v>
      </c>
      <c r="Z764">
        <f t="shared" ca="1" si="362"/>
        <v>196.15384615384616</v>
      </c>
      <c r="AA764">
        <f t="shared" ca="1" si="363"/>
        <v>632.30499999999995</v>
      </c>
      <c r="AB764">
        <f t="shared" ca="1" si="364"/>
        <v>2593.3820316486622</v>
      </c>
      <c r="AC764">
        <f t="shared" ca="1" si="365"/>
        <v>482.07306851378365</v>
      </c>
      <c r="AD764">
        <f t="shared" ca="1" si="366"/>
        <v>280.07692026646265</v>
      </c>
      <c r="AE764">
        <f t="shared" ca="1" si="367"/>
        <v>1019.7665564573041</v>
      </c>
      <c r="AF764">
        <f t="shared" ca="1" si="368"/>
        <v>482.32750852789786</v>
      </c>
      <c r="AG764">
        <f t="shared" ca="1" si="369"/>
        <v>0</v>
      </c>
      <c r="AH764">
        <f ca="1">IF(V32="Supercritical",L764,IF(V32="Subcritical",W764,IF(AND(V764=1,AG764=1),IF(T764&gt;=AE764,L764,W764),IF(V764=1,L764,IF(AG764=1,W764,MAX($D$16,POWER((ABS(K764)^2)/($I$5*MAX(F764,0.1)^2),1/3)))))))</f>
        <v>2.1403668656741068</v>
      </c>
      <c r="AI764">
        <f t="shared" ca="1" si="370"/>
        <v>634.39536686567408</v>
      </c>
      <c r="AJ764">
        <f t="shared" ca="1" si="371"/>
        <v>635.46555029851118</v>
      </c>
      <c r="AM764">
        <v>0</v>
      </c>
      <c r="AN764">
        <v>0</v>
      </c>
      <c r="AO764">
        <f t="shared" si="372"/>
        <v>0</v>
      </c>
      <c r="AP764">
        <f t="shared" si="381"/>
        <v>0</v>
      </c>
      <c r="AQ764">
        <f t="shared" ca="1" si="373"/>
        <v>0.99999999999999978</v>
      </c>
      <c r="AR764" t="str">
        <f t="shared" ca="1" si="374"/>
        <v>Supercritical</v>
      </c>
      <c r="AS764">
        <f t="shared" ca="1" si="375"/>
        <v>3.8148159832266538E-3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191</v>
      </c>
      <c r="I765">
        <v>7.8E-2</v>
      </c>
      <c r="J765">
        <f t="shared" si="376"/>
        <v>1</v>
      </c>
      <c r="K765">
        <f t="shared" si="377"/>
        <v>51</v>
      </c>
      <c r="L765">
        <f t="shared" ca="1" si="378"/>
        <v>0.05</v>
      </c>
      <c r="M765">
        <f t="shared" ca="1" si="351"/>
        <v>0.26</v>
      </c>
      <c r="N765">
        <f t="shared" ca="1" si="352"/>
        <v>4.9056603773584909E-2</v>
      </c>
      <c r="O765">
        <f t="shared" ca="1" si="353"/>
        <v>196.15384615384616</v>
      </c>
      <c r="P765">
        <f t="shared" ca="1" si="354"/>
        <v>632.30449999999996</v>
      </c>
      <c r="Q765">
        <f t="shared" ca="1" si="355"/>
        <v>2593.3815316486621</v>
      </c>
      <c r="R765">
        <f t="shared" ca="1" si="356"/>
        <v>482.07306851378365</v>
      </c>
      <c r="S765">
        <f t="shared" ca="1" si="357"/>
        <v>280.07692026646265</v>
      </c>
      <c r="T765">
        <f t="shared" ca="1" si="358"/>
        <v>1019.7665564573041</v>
      </c>
      <c r="U765">
        <f t="shared" ca="1" si="379"/>
        <v>-482.32750852789786</v>
      </c>
      <c r="V765">
        <f t="shared" ca="1" si="380"/>
        <v>0</v>
      </c>
      <c r="W765">
        <f t="shared" ca="1" si="359"/>
        <v>0.05</v>
      </c>
      <c r="X765">
        <f t="shared" ca="1" si="360"/>
        <v>0.26</v>
      </c>
      <c r="Y765">
        <f t="shared" ca="1" si="361"/>
        <v>4.9056603773584909E-2</v>
      </c>
      <c r="Z765">
        <f t="shared" ca="1" si="362"/>
        <v>196.15384615384616</v>
      </c>
      <c r="AA765">
        <f t="shared" ca="1" si="363"/>
        <v>632.30449999999996</v>
      </c>
      <c r="AB765">
        <f t="shared" ca="1" si="364"/>
        <v>2593.3815316486621</v>
      </c>
      <c r="AC765">
        <f t="shared" ca="1" si="365"/>
        <v>482.07306851378365</v>
      </c>
      <c r="AD765">
        <f t="shared" ca="1" si="366"/>
        <v>280.07692026646265</v>
      </c>
      <c r="AE765">
        <f t="shared" ca="1" si="367"/>
        <v>1019.7665564573041</v>
      </c>
      <c r="AF765">
        <f t="shared" ca="1" si="368"/>
        <v>482.32750852789786</v>
      </c>
      <c r="AG765">
        <f t="shared" ca="1" si="369"/>
        <v>0</v>
      </c>
      <c r="AH765">
        <f ca="1">IF(V32="Supercritical",L765,IF(V32="Subcritical",W765,IF(AND(V765=1,AG765=1),IF(T765&gt;=AE765,L765,W765),IF(V765=1,L765,IF(AG765=1,W765,MAX($D$16,POWER((ABS(K765)^2)/($I$5*MAX(F765,0.1)^2),1/3)))))))</f>
        <v>2.1403668656741068</v>
      </c>
      <c r="AI765">
        <f t="shared" ca="1" si="370"/>
        <v>634.39486686567409</v>
      </c>
      <c r="AJ765">
        <f t="shared" ca="1" si="371"/>
        <v>635.46505029851119</v>
      </c>
      <c r="AM765">
        <v>0</v>
      </c>
      <c r="AN765">
        <v>0</v>
      </c>
      <c r="AO765">
        <f t="shared" si="372"/>
        <v>0</v>
      </c>
      <c r="AP765">
        <f t="shared" si="381"/>
        <v>0</v>
      </c>
      <c r="AQ765">
        <f t="shared" ca="1" si="373"/>
        <v>0.99999999999999978</v>
      </c>
      <c r="AR765" t="str">
        <f t="shared" ca="1" si="374"/>
        <v>Supercritical</v>
      </c>
      <c r="AS765">
        <f t="shared" ca="1" si="375"/>
        <v>3.8148159832266538E-3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191</v>
      </c>
      <c r="I766">
        <v>7.8E-2</v>
      </c>
      <c r="J766">
        <f t="shared" si="376"/>
        <v>1</v>
      </c>
      <c r="K766">
        <f t="shared" si="377"/>
        <v>51</v>
      </c>
      <c r="L766">
        <f t="shared" ca="1" si="378"/>
        <v>0.05</v>
      </c>
      <c r="M766">
        <f t="shared" ca="1" si="351"/>
        <v>0.26</v>
      </c>
      <c r="N766">
        <f t="shared" ca="1" si="352"/>
        <v>4.9056603773584909E-2</v>
      </c>
      <c r="O766">
        <f t="shared" ca="1" si="353"/>
        <v>196.15384615384616</v>
      </c>
      <c r="P766">
        <f t="shared" ca="1" si="354"/>
        <v>632.30399999999997</v>
      </c>
      <c r="Q766">
        <f t="shared" ca="1" si="355"/>
        <v>2593.381031648662</v>
      </c>
      <c r="R766">
        <f t="shared" ca="1" si="356"/>
        <v>482.07306851378365</v>
      </c>
      <c r="S766">
        <f t="shared" ca="1" si="357"/>
        <v>280.07692026646265</v>
      </c>
      <c r="T766">
        <f t="shared" ca="1" si="358"/>
        <v>1019.7665564573041</v>
      </c>
      <c r="U766">
        <f t="shared" ca="1" si="379"/>
        <v>-482.32750852789786</v>
      </c>
      <c r="V766">
        <f t="shared" ca="1" si="380"/>
        <v>0</v>
      </c>
      <c r="W766">
        <f t="shared" ca="1" si="359"/>
        <v>0.05</v>
      </c>
      <c r="X766">
        <f t="shared" ca="1" si="360"/>
        <v>0.26</v>
      </c>
      <c r="Y766">
        <f t="shared" ca="1" si="361"/>
        <v>4.9056603773584909E-2</v>
      </c>
      <c r="Z766">
        <f t="shared" ca="1" si="362"/>
        <v>196.15384615384616</v>
      </c>
      <c r="AA766">
        <f t="shared" ca="1" si="363"/>
        <v>632.30399999999997</v>
      </c>
      <c r="AB766">
        <f t="shared" ca="1" si="364"/>
        <v>2593.381031648662</v>
      </c>
      <c r="AC766">
        <f t="shared" ca="1" si="365"/>
        <v>482.07306851378365</v>
      </c>
      <c r="AD766">
        <f t="shared" ca="1" si="366"/>
        <v>280.07692026646265</v>
      </c>
      <c r="AE766">
        <f t="shared" ca="1" si="367"/>
        <v>1019.7665564573041</v>
      </c>
      <c r="AF766">
        <f t="shared" ca="1" si="368"/>
        <v>482.6428900487108</v>
      </c>
      <c r="AG766">
        <f t="shared" ca="1" si="369"/>
        <v>0</v>
      </c>
      <c r="AH766">
        <f ca="1">IF(V32="Supercritical",L766,IF(V32="Subcritical",W766,IF(AND(V766=1,AG766=1),IF(T766&gt;=AE766,L766,W766),IF(V766=1,L766,IF(AG766=1,W766,MAX($D$16,POWER((ABS(K766)^2)/($I$5*MAX(F766,0.1)^2),1/3)))))))</f>
        <v>2.1403668656741068</v>
      </c>
      <c r="AI766">
        <f t="shared" ca="1" si="370"/>
        <v>634.3943668656741</v>
      </c>
      <c r="AJ766">
        <f t="shared" ca="1" si="371"/>
        <v>635.4645502985112</v>
      </c>
      <c r="AM766">
        <v>0</v>
      </c>
      <c r="AN766">
        <v>0</v>
      </c>
      <c r="AO766">
        <f t="shared" si="372"/>
        <v>0</v>
      </c>
      <c r="AP766">
        <f t="shared" si="381"/>
        <v>0</v>
      </c>
      <c r="AQ766">
        <f t="shared" ca="1" si="373"/>
        <v>0.99999999999999978</v>
      </c>
      <c r="AR766" t="str">
        <f t="shared" ca="1" si="374"/>
        <v>Supercritical</v>
      </c>
      <c r="AS766">
        <f t="shared" ca="1" si="375"/>
        <v>3.8148159832266538E-3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191</v>
      </c>
      <c r="I767">
        <v>2.7E-2</v>
      </c>
      <c r="J767">
        <f t="shared" si="376"/>
        <v>1.0009999999999764</v>
      </c>
      <c r="K767">
        <f t="shared" si="377"/>
        <v>51</v>
      </c>
      <c r="L767">
        <f t="shared" ca="1" si="378"/>
        <v>0.05</v>
      </c>
      <c r="M767">
        <f t="shared" ca="1" si="351"/>
        <v>0.26</v>
      </c>
      <c r="N767">
        <f t="shared" ca="1" si="352"/>
        <v>4.9056603773584909E-2</v>
      </c>
      <c r="O767">
        <f t="shared" ca="1" si="353"/>
        <v>196.15384615384616</v>
      </c>
      <c r="P767">
        <f t="shared" ca="1" si="354"/>
        <v>632.30349999999999</v>
      </c>
      <c r="Q767">
        <f t="shared" ca="1" si="355"/>
        <v>2593.3805316486623</v>
      </c>
      <c r="R767">
        <f t="shared" ca="1" si="356"/>
        <v>482.07306851378365</v>
      </c>
      <c r="S767">
        <f t="shared" ca="1" si="357"/>
        <v>280.07692026646265</v>
      </c>
      <c r="T767">
        <f t="shared" ca="1" si="358"/>
        <v>1019.7665564573041</v>
      </c>
      <c r="U767">
        <f t="shared" ca="1" si="379"/>
        <v>-482.6428900487108</v>
      </c>
      <c r="V767">
        <f t="shared" ca="1" si="380"/>
        <v>0</v>
      </c>
      <c r="W767">
        <f t="shared" ca="1" si="359"/>
        <v>0.05</v>
      </c>
      <c r="X767">
        <f t="shared" ca="1" si="360"/>
        <v>0.26</v>
      </c>
      <c r="Y767">
        <f t="shared" ca="1" si="361"/>
        <v>4.9056603773584909E-2</v>
      </c>
      <c r="Z767">
        <f t="shared" ca="1" si="362"/>
        <v>196.15384615384616</v>
      </c>
      <c r="AA767">
        <f t="shared" ca="1" si="363"/>
        <v>632.30349999999999</v>
      </c>
      <c r="AB767">
        <f t="shared" ca="1" si="364"/>
        <v>2593.3805316486623</v>
      </c>
      <c r="AC767">
        <f t="shared" ca="1" si="365"/>
        <v>482.07306851378365</v>
      </c>
      <c r="AD767">
        <f t="shared" ca="1" si="366"/>
        <v>280.07692026646265</v>
      </c>
      <c r="AE767">
        <f t="shared" ca="1" si="367"/>
        <v>1019.7665564573041</v>
      </c>
      <c r="AF767">
        <f t="shared" ca="1" si="368"/>
        <v>481.59049544528125</v>
      </c>
      <c r="AG767">
        <f t="shared" ca="1" si="369"/>
        <v>0</v>
      </c>
      <c r="AH767">
        <f ca="1">IF(V32="Supercritical",L767,IF(V32="Subcritical",W767,IF(AND(V767=1,AG767=1),IF(T767&gt;=AE767,L767,W767),IF(V767=1,L767,IF(AG767=1,W767,MAX($D$16,POWER((ABS(K767)^2)/($I$5*MAX(F767,0.1)^2),1/3)))))))</f>
        <v>2.1403668656741068</v>
      </c>
      <c r="AI767">
        <f t="shared" ca="1" si="370"/>
        <v>634.39386686567411</v>
      </c>
      <c r="AJ767">
        <f t="shared" ca="1" si="371"/>
        <v>635.46405029851121</v>
      </c>
      <c r="AM767">
        <v>0</v>
      </c>
      <c r="AN767">
        <v>0</v>
      </c>
      <c r="AO767">
        <f t="shared" si="372"/>
        <v>0</v>
      </c>
      <c r="AP767">
        <f t="shared" si="381"/>
        <v>0</v>
      </c>
      <c r="AQ767">
        <f t="shared" ca="1" si="373"/>
        <v>0.99999999999999978</v>
      </c>
      <c r="AR767" t="str">
        <f t="shared" ca="1" si="374"/>
        <v>Supercritical</v>
      </c>
      <c r="AS767">
        <f t="shared" ca="1" si="375"/>
        <v>3.8148159832266538E-3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191</v>
      </c>
      <c r="I768">
        <v>0</v>
      </c>
      <c r="J768">
        <f t="shared" si="376"/>
        <v>0.99900000000002365</v>
      </c>
      <c r="K768">
        <f t="shared" si="377"/>
        <v>51</v>
      </c>
      <c r="L768">
        <f t="shared" ca="1" si="378"/>
        <v>0.05</v>
      </c>
      <c r="M768">
        <f t="shared" ca="1" si="351"/>
        <v>0.26</v>
      </c>
      <c r="N768">
        <f t="shared" ca="1" si="352"/>
        <v>4.9056603773584909E-2</v>
      </c>
      <c r="O768">
        <f t="shared" ca="1" si="353"/>
        <v>196.15384615384616</v>
      </c>
      <c r="P768">
        <f t="shared" ca="1" si="354"/>
        <v>632.303</v>
      </c>
      <c r="Q768">
        <f t="shared" ca="1" si="355"/>
        <v>2593.3800316486622</v>
      </c>
      <c r="R768">
        <f t="shared" ca="1" si="356"/>
        <v>482.07306851378365</v>
      </c>
      <c r="S768">
        <f t="shared" ca="1" si="357"/>
        <v>280.07692026646265</v>
      </c>
      <c r="T768">
        <f t="shared" ca="1" si="358"/>
        <v>1019.7665564573041</v>
      </c>
      <c r="U768">
        <f t="shared" ca="1" si="379"/>
        <v>-481.59049544528125</v>
      </c>
      <c r="V768">
        <f t="shared" ca="1" si="380"/>
        <v>0</v>
      </c>
      <c r="W768">
        <f t="shared" ca="1" si="359"/>
        <v>0.05</v>
      </c>
      <c r="X768">
        <f t="shared" ca="1" si="360"/>
        <v>0.26</v>
      </c>
      <c r="Y768">
        <f t="shared" ca="1" si="361"/>
        <v>4.9056603773584909E-2</v>
      </c>
      <c r="Z768">
        <f t="shared" ca="1" si="362"/>
        <v>196.15384615384616</v>
      </c>
      <c r="AA768">
        <f t="shared" ca="1" si="363"/>
        <v>632.303</v>
      </c>
      <c r="AB768">
        <f t="shared" ca="1" si="364"/>
        <v>2593.3800316486622</v>
      </c>
      <c r="AC768">
        <f t="shared" ca="1" si="365"/>
        <v>482.07306851378365</v>
      </c>
      <c r="AD768">
        <f t="shared" ca="1" si="366"/>
        <v>280.07692026646265</v>
      </c>
      <c r="AE768">
        <f t="shared" ca="1" si="367"/>
        <v>1019.7665564573041</v>
      </c>
      <c r="AF768">
        <f t="shared" ca="1" si="368"/>
        <v>482.1477431333301</v>
      </c>
      <c r="AG768">
        <f t="shared" ca="1" si="369"/>
        <v>0</v>
      </c>
      <c r="AH768">
        <f ca="1">IF(V32="Supercritical",L768,IF(V32="Subcritical",W768,IF(AND(V768=1,AG768=1),IF(T768&gt;=AE768,L768,W768),IF(V768=1,L768,IF(AG768=1,W768,MAX($D$16,POWER((ABS(K768)^2)/($I$5*MAX(F768,0.1)^2),1/3)))))))</f>
        <v>2.1403668656741068</v>
      </c>
      <c r="AI768">
        <f t="shared" ca="1" si="370"/>
        <v>634.39336686567412</v>
      </c>
      <c r="AJ768">
        <f t="shared" ca="1" si="371"/>
        <v>635.46355029851122</v>
      </c>
      <c r="AM768">
        <v>0</v>
      </c>
      <c r="AN768">
        <v>0</v>
      </c>
      <c r="AO768">
        <f t="shared" si="372"/>
        <v>0</v>
      </c>
      <c r="AP768">
        <f t="shared" si="381"/>
        <v>0</v>
      </c>
      <c r="AQ768">
        <f t="shared" ca="1" si="373"/>
        <v>0.99999999999999978</v>
      </c>
      <c r="AR768" t="str">
        <f t="shared" ca="1" si="374"/>
        <v>Supercritical</v>
      </c>
      <c r="AS768">
        <f t="shared" ca="1" si="375"/>
        <v>3.8148159832266538E-3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191</v>
      </c>
      <c r="I769">
        <v>2.3E-2</v>
      </c>
      <c r="J769">
        <f t="shared" si="376"/>
        <v>1</v>
      </c>
      <c r="K769">
        <f t="shared" si="377"/>
        <v>51</v>
      </c>
      <c r="L769">
        <f t="shared" ca="1" si="378"/>
        <v>0.05</v>
      </c>
      <c r="M769">
        <f t="shared" ca="1" si="351"/>
        <v>0.26</v>
      </c>
      <c r="N769">
        <f t="shared" ca="1" si="352"/>
        <v>4.9056603773584909E-2</v>
      </c>
      <c r="O769">
        <f t="shared" ca="1" si="353"/>
        <v>196.15384615384616</v>
      </c>
      <c r="P769">
        <f t="shared" ca="1" si="354"/>
        <v>632.30250000000001</v>
      </c>
      <c r="Q769">
        <f t="shared" ca="1" si="355"/>
        <v>2593.3795316486621</v>
      </c>
      <c r="R769">
        <f t="shared" ca="1" si="356"/>
        <v>482.07306851378365</v>
      </c>
      <c r="S769">
        <f t="shared" ca="1" si="357"/>
        <v>280.07692026646265</v>
      </c>
      <c r="T769">
        <f t="shared" ca="1" si="358"/>
        <v>1019.7665564573041</v>
      </c>
      <c r="U769">
        <f t="shared" ca="1" si="379"/>
        <v>-482.1477431333301</v>
      </c>
      <c r="V769">
        <f t="shared" ca="1" si="380"/>
        <v>0</v>
      </c>
      <c r="W769">
        <f t="shared" ca="1" si="359"/>
        <v>0.05</v>
      </c>
      <c r="X769">
        <f t="shared" ca="1" si="360"/>
        <v>0.26</v>
      </c>
      <c r="Y769">
        <f t="shared" ca="1" si="361"/>
        <v>4.9056603773584909E-2</v>
      </c>
      <c r="Z769">
        <f t="shared" ca="1" si="362"/>
        <v>196.15384615384616</v>
      </c>
      <c r="AA769">
        <f t="shared" ca="1" si="363"/>
        <v>632.30250000000001</v>
      </c>
      <c r="AB769">
        <f t="shared" ca="1" si="364"/>
        <v>2593.3795316486621</v>
      </c>
      <c r="AC769">
        <f t="shared" ca="1" si="365"/>
        <v>482.07306851378365</v>
      </c>
      <c r="AD769">
        <f t="shared" ca="1" si="366"/>
        <v>280.07692026646265</v>
      </c>
      <c r="AE769">
        <f t="shared" ca="1" si="367"/>
        <v>1019.7665564573041</v>
      </c>
      <c r="AF769">
        <f t="shared" ca="1" si="368"/>
        <v>482.62981620183245</v>
      </c>
      <c r="AG769">
        <f t="shared" ca="1" si="369"/>
        <v>0</v>
      </c>
      <c r="AH769">
        <f ca="1">IF(V32="Supercritical",L769,IF(V32="Subcritical",W769,IF(AND(V769=1,AG769=1),IF(T769&gt;=AE769,L769,W769),IF(V769=1,L769,IF(AG769=1,W769,MAX($D$16,POWER((ABS(K769)^2)/($I$5*MAX(F769,0.1)^2),1/3)))))))</f>
        <v>2.1403668656741068</v>
      </c>
      <c r="AI769">
        <f t="shared" ca="1" si="370"/>
        <v>634.39286686567414</v>
      </c>
      <c r="AJ769">
        <f t="shared" ca="1" si="371"/>
        <v>635.46305029851123</v>
      </c>
      <c r="AM769">
        <v>0</v>
      </c>
      <c r="AN769">
        <v>0</v>
      </c>
      <c r="AO769">
        <f t="shared" si="372"/>
        <v>0</v>
      </c>
      <c r="AP769">
        <f t="shared" si="381"/>
        <v>0</v>
      </c>
      <c r="AQ769">
        <f t="shared" ca="1" si="373"/>
        <v>0.99999999999999978</v>
      </c>
      <c r="AR769" t="str">
        <f t="shared" ca="1" si="374"/>
        <v>Supercritical</v>
      </c>
      <c r="AS769">
        <f t="shared" ca="1" si="375"/>
        <v>3.8148159832266538E-3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191</v>
      </c>
      <c r="I770">
        <v>2.3E-2</v>
      </c>
      <c r="J770">
        <f t="shared" si="376"/>
        <v>1.0009999999999764</v>
      </c>
      <c r="K770">
        <f t="shared" si="377"/>
        <v>51</v>
      </c>
      <c r="L770">
        <f t="shared" ca="1" si="378"/>
        <v>0.05</v>
      </c>
      <c r="M770">
        <f t="shared" ca="1" si="351"/>
        <v>0.26</v>
      </c>
      <c r="N770">
        <f t="shared" ca="1" si="352"/>
        <v>4.9056603773584909E-2</v>
      </c>
      <c r="O770">
        <f t="shared" ca="1" si="353"/>
        <v>196.15384615384616</v>
      </c>
      <c r="P770">
        <f t="shared" ca="1" si="354"/>
        <v>632.30199999999991</v>
      </c>
      <c r="Q770">
        <f t="shared" ca="1" si="355"/>
        <v>2593.379031648662</v>
      </c>
      <c r="R770">
        <f t="shared" ca="1" si="356"/>
        <v>482.07306851378365</v>
      </c>
      <c r="S770">
        <f t="shared" ca="1" si="357"/>
        <v>280.07692026646265</v>
      </c>
      <c r="T770">
        <f t="shared" ca="1" si="358"/>
        <v>1019.7665564573041</v>
      </c>
      <c r="U770">
        <f t="shared" ca="1" si="379"/>
        <v>-482.62981620183245</v>
      </c>
      <c r="V770">
        <f t="shared" ca="1" si="380"/>
        <v>0</v>
      </c>
      <c r="W770">
        <f t="shared" ca="1" si="359"/>
        <v>0.05</v>
      </c>
      <c r="X770">
        <f t="shared" ca="1" si="360"/>
        <v>0.26</v>
      </c>
      <c r="Y770">
        <f t="shared" ca="1" si="361"/>
        <v>4.9056603773584909E-2</v>
      </c>
      <c r="Z770">
        <f t="shared" ca="1" si="362"/>
        <v>196.15384615384616</v>
      </c>
      <c r="AA770">
        <f t="shared" ca="1" si="363"/>
        <v>632.30199999999991</v>
      </c>
      <c r="AB770">
        <f t="shared" ca="1" si="364"/>
        <v>2593.379031648662</v>
      </c>
      <c r="AC770">
        <f t="shared" ca="1" si="365"/>
        <v>482.07306851378365</v>
      </c>
      <c r="AD770">
        <f t="shared" ca="1" si="366"/>
        <v>280.07692026646265</v>
      </c>
      <c r="AE770">
        <f t="shared" ca="1" si="367"/>
        <v>1019.7665564573041</v>
      </c>
      <c r="AF770">
        <f t="shared" ca="1" si="368"/>
        <v>481.67874391170562</v>
      </c>
      <c r="AG770">
        <f t="shared" ca="1" si="369"/>
        <v>0</v>
      </c>
      <c r="AH770">
        <f ca="1">IF(V32="Supercritical",L770,IF(V32="Subcritical",W770,IF(AND(V770=1,AG770=1),IF(T770&gt;=AE770,L770,W770),IF(V770=1,L770,IF(AG770=1,W770,MAX($D$16,POWER((ABS(K770)^2)/($I$5*MAX(F770,0.1)^2),1/3)))))))</f>
        <v>2.1403668656741068</v>
      </c>
      <c r="AI770">
        <f t="shared" ca="1" si="370"/>
        <v>634.39236686567403</v>
      </c>
      <c r="AJ770">
        <f t="shared" ca="1" si="371"/>
        <v>635.46255029851113</v>
      </c>
      <c r="AM770">
        <v>0</v>
      </c>
      <c r="AN770">
        <v>0</v>
      </c>
      <c r="AO770">
        <f t="shared" si="372"/>
        <v>0</v>
      </c>
      <c r="AP770">
        <f t="shared" si="381"/>
        <v>0</v>
      </c>
      <c r="AQ770">
        <f t="shared" ca="1" si="373"/>
        <v>0.99999999999999978</v>
      </c>
      <c r="AR770" t="str">
        <f t="shared" ca="1" si="374"/>
        <v>Supercritical</v>
      </c>
      <c r="AS770">
        <f t="shared" ca="1" si="375"/>
        <v>3.8148159832266538E-3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191</v>
      </c>
      <c r="I771">
        <v>2.7E-2</v>
      </c>
      <c r="J771">
        <f t="shared" si="376"/>
        <v>0.99900000000002365</v>
      </c>
      <c r="K771">
        <f t="shared" si="377"/>
        <v>51</v>
      </c>
      <c r="L771">
        <f t="shared" ca="1" si="378"/>
        <v>0.05</v>
      </c>
      <c r="M771">
        <f t="shared" ca="1" si="351"/>
        <v>0.26</v>
      </c>
      <c r="N771">
        <f t="shared" ca="1" si="352"/>
        <v>4.9056603773584909E-2</v>
      </c>
      <c r="O771">
        <f t="shared" ca="1" si="353"/>
        <v>196.15384615384616</v>
      </c>
      <c r="P771">
        <f t="shared" ca="1" si="354"/>
        <v>632.30149999999992</v>
      </c>
      <c r="Q771">
        <f t="shared" ca="1" si="355"/>
        <v>2593.3785316486619</v>
      </c>
      <c r="R771">
        <f t="shared" ca="1" si="356"/>
        <v>482.07306851378365</v>
      </c>
      <c r="S771">
        <f t="shared" ca="1" si="357"/>
        <v>280.07692026646265</v>
      </c>
      <c r="T771">
        <f t="shared" ca="1" si="358"/>
        <v>1019.7665564573041</v>
      </c>
      <c r="U771">
        <f t="shared" ca="1" si="379"/>
        <v>-481.67874391170562</v>
      </c>
      <c r="V771">
        <f t="shared" ca="1" si="380"/>
        <v>0</v>
      </c>
      <c r="W771">
        <f t="shared" ca="1" si="359"/>
        <v>0.05</v>
      </c>
      <c r="X771">
        <f t="shared" ca="1" si="360"/>
        <v>0.26</v>
      </c>
      <c r="Y771">
        <f t="shared" ca="1" si="361"/>
        <v>4.9056603773584909E-2</v>
      </c>
      <c r="Z771">
        <f t="shared" ca="1" si="362"/>
        <v>196.15384615384616</v>
      </c>
      <c r="AA771">
        <f t="shared" ca="1" si="363"/>
        <v>632.30149999999992</v>
      </c>
      <c r="AB771">
        <f t="shared" ca="1" si="364"/>
        <v>2593.3785316486619</v>
      </c>
      <c r="AC771">
        <f t="shared" ca="1" si="365"/>
        <v>482.07306851378365</v>
      </c>
      <c r="AD771">
        <f t="shared" ca="1" si="366"/>
        <v>280.07692026646265</v>
      </c>
      <c r="AE771">
        <f t="shared" ca="1" si="367"/>
        <v>1019.7665564573041</v>
      </c>
      <c r="AF771">
        <f t="shared" ca="1" si="368"/>
        <v>482.64289004871034</v>
      </c>
      <c r="AG771">
        <f t="shared" ca="1" si="369"/>
        <v>0</v>
      </c>
      <c r="AH771">
        <f ca="1">IF(V32="Supercritical",L771,IF(V32="Subcritical",W771,IF(AND(V771=1,AG771=1),IF(T771&gt;=AE771,L771,W771),IF(V771=1,L771,IF(AG771=1,W771,MAX($D$16,POWER((ABS(K771)^2)/($I$5*MAX(F771,0.1)^2),1/3)))))))</f>
        <v>2.1403668656741068</v>
      </c>
      <c r="AI771">
        <f t="shared" ca="1" si="370"/>
        <v>634.39186686567405</v>
      </c>
      <c r="AJ771">
        <f t="shared" ca="1" si="371"/>
        <v>635.46205029851114</v>
      </c>
      <c r="AM771">
        <v>0</v>
      </c>
      <c r="AN771">
        <v>0</v>
      </c>
      <c r="AO771">
        <f t="shared" si="372"/>
        <v>0</v>
      </c>
      <c r="AP771">
        <f t="shared" si="381"/>
        <v>0</v>
      </c>
      <c r="AQ771">
        <f t="shared" ca="1" si="373"/>
        <v>0.99999999999999978</v>
      </c>
      <c r="AR771" t="str">
        <f t="shared" ca="1" si="374"/>
        <v>Supercritical</v>
      </c>
      <c r="AS771">
        <f t="shared" ca="1" si="375"/>
        <v>3.8148159832266538E-3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191</v>
      </c>
      <c r="I772">
        <v>2.7E-2</v>
      </c>
      <c r="J772">
        <f t="shared" si="376"/>
        <v>1.0009999999999764</v>
      </c>
      <c r="K772">
        <f t="shared" si="377"/>
        <v>51</v>
      </c>
      <c r="L772">
        <f t="shared" ca="1" si="378"/>
        <v>0.05</v>
      </c>
      <c r="M772">
        <f t="shared" ca="1" si="351"/>
        <v>0.26</v>
      </c>
      <c r="N772">
        <f t="shared" ca="1" si="352"/>
        <v>4.9056603773584909E-2</v>
      </c>
      <c r="O772">
        <f t="shared" ca="1" si="353"/>
        <v>196.15384615384616</v>
      </c>
      <c r="P772">
        <f t="shared" ca="1" si="354"/>
        <v>632.30099999999993</v>
      </c>
      <c r="Q772">
        <f t="shared" ca="1" si="355"/>
        <v>2593.3780316486618</v>
      </c>
      <c r="R772">
        <f t="shared" ca="1" si="356"/>
        <v>482.07306851378365</v>
      </c>
      <c r="S772">
        <f t="shared" ca="1" si="357"/>
        <v>280.07692026646265</v>
      </c>
      <c r="T772">
        <f t="shared" ca="1" si="358"/>
        <v>1019.7665564573041</v>
      </c>
      <c r="U772">
        <f t="shared" ca="1" si="379"/>
        <v>-482.64289004871034</v>
      </c>
      <c r="V772">
        <f t="shared" ca="1" si="380"/>
        <v>0</v>
      </c>
      <c r="W772">
        <f t="shared" ca="1" si="359"/>
        <v>0.05</v>
      </c>
      <c r="X772">
        <f t="shared" ca="1" si="360"/>
        <v>0.26</v>
      </c>
      <c r="Y772">
        <f t="shared" ca="1" si="361"/>
        <v>4.9056603773584909E-2</v>
      </c>
      <c r="Z772">
        <f t="shared" ca="1" si="362"/>
        <v>196.15384615384616</v>
      </c>
      <c r="AA772">
        <f t="shared" ca="1" si="363"/>
        <v>632.30099999999993</v>
      </c>
      <c r="AB772">
        <f t="shared" ca="1" si="364"/>
        <v>2593.3780316486618</v>
      </c>
      <c r="AC772">
        <f t="shared" ca="1" si="365"/>
        <v>482.07306851378365</v>
      </c>
      <c r="AD772">
        <f t="shared" ca="1" si="366"/>
        <v>280.07692026646265</v>
      </c>
      <c r="AE772">
        <f t="shared" ca="1" si="367"/>
        <v>1019.7665564573041</v>
      </c>
      <c r="AF772">
        <f t="shared" ca="1" si="368"/>
        <v>481.75391853125257</v>
      </c>
      <c r="AG772">
        <f t="shared" ca="1" si="369"/>
        <v>0</v>
      </c>
      <c r="AH772">
        <f ca="1">IF(V32="Supercritical",L772,IF(V32="Subcritical",W772,IF(AND(V772=1,AG772=1),IF(T772&gt;=AE772,L772,W772),IF(V772=1,L772,IF(AG772=1,W772,MAX($D$16,POWER((ABS(K772)^2)/($I$5*MAX(F772,0.1)^2),1/3)))))))</f>
        <v>2.1403668656741068</v>
      </c>
      <c r="AI772">
        <f t="shared" ca="1" si="370"/>
        <v>634.39136686567406</v>
      </c>
      <c r="AJ772">
        <f t="shared" ca="1" si="371"/>
        <v>635.46155029851116</v>
      </c>
      <c r="AM772">
        <v>0</v>
      </c>
      <c r="AN772">
        <v>0</v>
      </c>
      <c r="AO772">
        <f t="shared" si="372"/>
        <v>0</v>
      </c>
      <c r="AP772">
        <f t="shared" si="381"/>
        <v>0</v>
      </c>
      <c r="AQ772">
        <f t="shared" ca="1" si="373"/>
        <v>0.99999999999999978</v>
      </c>
      <c r="AR772" t="str">
        <f t="shared" ca="1" si="374"/>
        <v>Supercritical</v>
      </c>
      <c r="AS772">
        <f t="shared" ca="1" si="375"/>
        <v>3.8148159832266538E-3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191</v>
      </c>
      <c r="I773">
        <v>0.05</v>
      </c>
      <c r="J773">
        <f t="shared" si="376"/>
        <v>0.99900000000002365</v>
      </c>
      <c r="K773">
        <f t="shared" si="377"/>
        <v>51</v>
      </c>
      <c r="L773">
        <f t="shared" ca="1" si="378"/>
        <v>0.05</v>
      </c>
      <c r="M773">
        <f t="shared" ca="1" si="351"/>
        <v>0.26</v>
      </c>
      <c r="N773">
        <f t="shared" ca="1" si="352"/>
        <v>4.9056603773584909E-2</v>
      </c>
      <c r="O773">
        <f t="shared" ca="1" si="353"/>
        <v>196.15384615384616</v>
      </c>
      <c r="P773">
        <f t="shared" ca="1" si="354"/>
        <v>632.30049999999994</v>
      </c>
      <c r="Q773">
        <f t="shared" ca="1" si="355"/>
        <v>2593.3775316486622</v>
      </c>
      <c r="R773">
        <f t="shared" ca="1" si="356"/>
        <v>482.07306851378365</v>
      </c>
      <c r="S773">
        <f t="shared" ca="1" si="357"/>
        <v>280.07692026646265</v>
      </c>
      <c r="T773">
        <f t="shared" ca="1" si="358"/>
        <v>1019.7665564573041</v>
      </c>
      <c r="U773">
        <f t="shared" ca="1" si="379"/>
        <v>-481.75391853125257</v>
      </c>
      <c r="V773">
        <f t="shared" ca="1" si="380"/>
        <v>0</v>
      </c>
      <c r="W773">
        <f t="shared" ca="1" si="359"/>
        <v>0.05</v>
      </c>
      <c r="X773">
        <f t="shared" ca="1" si="360"/>
        <v>0.26</v>
      </c>
      <c r="Y773">
        <f t="shared" ca="1" si="361"/>
        <v>4.9056603773584909E-2</v>
      </c>
      <c r="Z773">
        <f t="shared" ca="1" si="362"/>
        <v>196.15384615384616</v>
      </c>
      <c r="AA773">
        <f t="shared" ca="1" si="363"/>
        <v>632.30049999999994</v>
      </c>
      <c r="AB773">
        <f t="shared" ca="1" si="364"/>
        <v>2593.3775316486622</v>
      </c>
      <c r="AC773">
        <f t="shared" ca="1" si="365"/>
        <v>482.07306851378365</v>
      </c>
      <c r="AD773">
        <f t="shared" ca="1" si="366"/>
        <v>280.07692026646265</v>
      </c>
      <c r="AE773">
        <f t="shared" ca="1" si="367"/>
        <v>1019.7665564573041</v>
      </c>
      <c r="AF773">
        <f t="shared" ca="1" si="368"/>
        <v>482.32750852789786</v>
      </c>
      <c r="AG773">
        <f t="shared" ca="1" si="369"/>
        <v>0</v>
      </c>
      <c r="AH773">
        <f ca="1">IF(V32="Supercritical",L773,IF(V32="Subcritical",W773,IF(AND(V773=1,AG773=1),IF(T773&gt;=AE773,L773,W773),IF(V773=1,L773,IF(AG773=1,W773,MAX($D$16,POWER((ABS(K773)^2)/($I$5*MAX(F773,0.1)^2),1/3)))))))</f>
        <v>2.1403668656741068</v>
      </c>
      <c r="AI773">
        <f t="shared" ca="1" si="370"/>
        <v>634.39086686567407</v>
      </c>
      <c r="AJ773">
        <f t="shared" ca="1" si="371"/>
        <v>635.46105029851117</v>
      </c>
      <c r="AM773">
        <v>0</v>
      </c>
      <c r="AN773">
        <v>0</v>
      </c>
      <c r="AO773">
        <f t="shared" si="372"/>
        <v>0</v>
      </c>
      <c r="AP773">
        <f t="shared" si="381"/>
        <v>0</v>
      </c>
      <c r="AQ773">
        <f t="shared" ca="1" si="373"/>
        <v>0.99999999999999978</v>
      </c>
      <c r="AR773" t="str">
        <f t="shared" ca="1" si="374"/>
        <v>Supercritical</v>
      </c>
      <c r="AS773">
        <f t="shared" ca="1" si="375"/>
        <v>3.8148159832266538E-3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191</v>
      </c>
      <c r="I774">
        <v>7.8E-2</v>
      </c>
      <c r="J774">
        <f t="shared" si="376"/>
        <v>1</v>
      </c>
      <c r="K774">
        <f t="shared" si="377"/>
        <v>51</v>
      </c>
      <c r="L774">
        <f t="shared" ca="1" si="378"/>
        <v>0.05</v>
      </c>
      <c r="M774">
        <f t="shared" ca="1" si="351"/>
        <v>0.26</v>
      </c>
      <c r="N774">
        <f t="shared" ca="1" si="352"/>
        <v>4.9056603773584909E-2</v>
      </c>
      <c r="O774">
        <f t="shared" ca="1" si="353"/>
        <v>196.15384615384616</v>
      </c>
      <c r="P774">
        <f t="shared" ca="1" si="354"/>
        <v>632.29999999999995</v>
      </c>
      <c r="Q774">
        <f t="shared" ca="1" si="355"/>
        <v>2593.3770316486621</v>
      </c>
      <c r="R774">
        <f t="shared" ca="1" si="356"/>
        <v>482.07306851378365</v>
      </c>
      <c r="S774">
        <f t="shared" ca="1" si="357"/>
        <v>280.07692026646265</v>
      </c>
      <c r="T774">
        <f t="shared" ca="1" si="358"/>
        <v>1019.7665564573041</v>
      </c>
      <c r="U774">
        <f t="shared" ca="1" si="379"/>
        <v>-482.32750852789786</v>
      </c>
      <c r="V774">
        <f t="shared" ca="1" si="380"/>
        <v>0</v>
      </c>
      <c r="W774">
        <f t="shared" ca="1" si="359"/>
        <v>0.05</v>
      </c>
      <c r="X774">
        <f t="shared" ca="1" si="360"/>
        <v>0.26</v>
      </c>
      <c r="Y774">
        <f t="shared" ca="1" si="361"/>
        <v>4.9056603773584909E-2</v>
      </c>
      <c r="Z774">
        <f t="shared" ca="1" si="362"/>
        <v>196.15384615384616</v>
      </c>
      <c r="AA774">
        <f t="shared" ca="1" si="363"/>
        <v>632.29999999999995</v>
      </c>
      <c r="AB774">
        <f t="shared" ca="1" si="364"/>
        <v>2593.3770316486621</v>
      </c>
      <c r="AC774">
        <f t="shared" ca="1" si="365"/>
        <v>482.07306851378365</v>
      </c>
      <c r="AD774">
        <f t="shared" ca="1" si="366"/>
        <v>280.07692026646265</v>
      </c>
      <c r="AE774">
        <f t="shared" ca="1" si="367"/>
        <v>1019.7665564573041</v>
      </c>
      <c r="AF774">
        <f t="shared" ca="1" si="368"/>
        <v>482.64289004871034</v>
      </c>
      <c r="AG774">
        <f t="shared" ca="1" si="369"/>
        <v>0</v>
      </c>
      <c r="AH774">
        <f ca="1">IF(V32="Supercritical",L774,IF(V32="Subcritical",W774,IF(AND(V774=1,AG774=1),IF(T774&gt;=AE774,L774,W774),IF(V774=1,L774,IF(AG774=1,W774,MAX($D$16,POWER((ABS(K774)^2)/($I$5*MAX(F774,0.1)^2),1/3)))))))</f>
        <v>2.1403668656741068</v>
      </c>
      <c r="AI774">
        <f t="shared" ca="1" si="370"/>
        <v>634.39036686567408</v>
      </c>
      <c r="AJ774">
        <f t="shared" ca="1" si="371"/>
        <v>635.46055029851118</v>
      </c>
      <c r="AM774">
        <v>0</v>
      </c>
      <c r="AN774">
        <v>0</v>
      </c>
      <c r="AO774">
        <f t="shared" si="372"/>
        <v>0</v>
      </c>
      <c r="AP774">
        <f t="shared" si="381"/>
        <v>0</v>
      </c>
      <c r="AQ774">
        <f t="shared" ca="1" si="373"/>
        <v>0.99999999999999978</v>
      </c>
      <c r="AR774" t="str">
        <f t="shared" ca="1" si="374"/>
        <v>Supercritical</v>
      </c>
      <c r="AS774">
        <f t="shared" ca="1" si="375"/>
        <v>3.8148159832266538E-3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191</v>
      </c>
      <c r="I775">
        <v>2.7E-2</v>
      </c>
      <c r="J775">
        <f t="shared" si="376"/>
        <v>1.0009999999999764</v>
      </c>
      <c r="K775">
        <f t="shared" si="377"/>
        <v>51</v>
      </c>
      <c r="L775">
        <f t="shared" ca="1" si="378"/>
        <v>0.05</v>
      </c>
      <c r="M775">
        <f t="shared" ca="1" si="351"/>
        <v>0.26</v>
      </c>
      <c r="N775">
        <f t="shared" ca="1" si="352"/>
        <v>4.9056603773584909E-2</v>
      </c>
      <c r="O775">
        <f t="shared" ca="1" si="353"/>
        <v>196.15384615384616</v>
      </c>
      <c r="P775">
        <f t="shared" ca="1" si="354"/>
        <v>632.29949999999997</v>
      </c>
      <c r="Q775">
        <f t="shared" ca="1" si="355"/>
        <v>2593.376531648662</v>
      </c>
      <c r="R775">
        <f t="shared" ca="1" si="356"/>
        <v>482.07306851378365</v>
      </c>
      <c r="S775">
        <f t="shared" ca="1" si="357"/>
        <v>280.07692026646265</v>
      </c>
      <c r="T775">
        <f t="shared" ca="1" si="358"/>
        <v>1019.7665564573041</v>
      </c>
      <c r="U775">
        <f t="shared" ca="1" si="379"/>
        <v>-482.64289004871034</v>
      </c>
      <c r="V775">
        <f t="shared" ca="1" si="380"/>
        <v>0</v>
      </c>
      <c r="W775">
        <f t="shared" ca="1" si="359"/>
        <v>0.05</v>
      </c>
      <c r="X775">
        <f t="shared" ca="1" si="360"/>
        <v>0.26</v>
      </c>
      <c r="Y775">
        <f t="shared" ca="1" si="361"/>
        <v>4.9056603773584909E-2</v>
      </c>
      <c r="Z775">
        <f t="shared" ca="1" si="362"/>
        <v>196.15384615384616</v>
      </c>
      <c r="AA775">
        <f t="shared" ca="1" si="363"/>
        <v>632.29949999999997</v>
      </c>
      <c r="AB775">
        <f t="shared" ca="1" si="364"/>
        <v>2593.376531648662</v>
      </c>
      <c r="AC775">
        <f t="shared" ca="1" si="365"/>
        <v>482.07306851378365</v>
      </c>
      <c r="AD775">
        <f t="shared" ca="1" si="366"/>
        <v>280.07692026646265</v>
      </c>
      <c r="AE775">
        <f t="shared" ca="1" si="367"/>
        <v>1019.7665564573041</v>
      </c>
      <c r="AF775">
        <f t="shared" ca="1" si="368"/>
        <v>481.67874391170608</v>
      </c>
      <c r="AG775">
        <f t="shared" ca="1" si="369"/>
        <v>0</v>
      </c>
      <c r="AH775">
        <f ca="1">IF(V32="Supercritical",L775,IF(V32="Subcritical",W775,IF(AND(V775=1,AG775=1),IF(T775&gt;=AE775,L775,W775),IF(V775=1,L775,IF(AG775=1,W775,MAX($D$16,POWER((ABS(K775)^2)/($I$5*MAX(F775,0.1)^2),1/3)))))))</f>
        <v>2.1403668656741068</v>
      </c>
      <c r="AI775">
        <f t="shared" ca="1" si="370"/>
        <v>634.38986686567409</v>
      </c>
      <c r="AJ775">
        <f t="shared" ca="1" si="371"/>
        <v>635.46005029851119</v>
      </c>
      <c r="AM775">
        <v>0</v>
      </c>
      <c r="AN775">
        <v>0</v>
      </c>
      <c r="AO775">
        <f t="shared" si="372"/>
        <v>0</v>
      </c>
      <c r="AP775">
        <f t="shared" si="381"/>
        <v>0</v>
      </c>
      <c r="AQ775">
        <f t="shared" ca="1" si="373"/>
        <v>0.99999999999999978</v>
      </c>
      <c r="AR775" t="str">
        <f t="shared" ca="1" si="374"/>
        <v>Supercritical</v>
      </c>
      <c r="AS775">
        <f t="shared" ca="1" si="375"/>
        <v>3.8148159832266538E-3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191</v>
      </c>
      <c r="I776">
        <v>2.7E-2</v>
      </c>
      <c r="J776">
        <f t="shared" si="376"/>
        <v>0.99900000000002365</v>
      </c>
      <c r="K776">
        <f t="shared" si="377"/>
        <v>51</v>
      </c>
      <c r="L776">
        <f t="shared" ca="1" si="378"/>
        <v>0.05</v>
      </c>
      <c r="M776">
        <f t="shared" ca="1" si="351"/>
        <v>0.26</v>
      </c>
      <c r="N776">
        <f t="shared" ca="1" si="352"/>
        <v>4.9056603773584909E-2</v>
      </c>
      <c r="O776">
        <f t="shared" ca="1" si="353"/>
        <v>196.15384615384616</v>
      </c>
      <c r="P776">
        <f t="shared" ca="1" si="354"/>
        <v>632.29899999999998</v>
      </c>
      <c r="Q776">
        <f t="shared" ca="1" si="355"/>
        <v>2593.3760316486623</v>
      </c>
      <c r="R776">
        <f t="shared" ca="1" si="356"/>
        <v>482.07306851378365</v>
      </c>
      <c r="S776">
        <f t="shared" ca="1" si="357"/>
        <v>280.07692026646265</v>
      </c>
      <c r="T776">
        <f t="shared" ca="1" si="358"/>
        <v>1019.7665564573041</v>
      </c>
      <c r="U776">
        <f t="shared" ca="1" si="379"/>
        <v>-481.67874391170608</v>
      </c>
      <c r="V776">
        <f t="shared" ca="1" si="380"/>
        <v>0</v>
      </c>
      <c r="W776">
        <f t="shared" ca="1" si="359"/>
        <v>0.05</v>
      </c>
      <c r="X776">
        <f t="shared" ca="1" si="360"/>
        <v>0.26</v>
      </c>
      <c r="Y776">
        <f t="shared" ca="1" si="361"/>
        <v>4.9056603773584909E-2</v>
      </c>
      <c r="Z776">
        <f t="shared" ca="1" si="362"/>
        <v>196.15384615384616</v>
      </c>
      <c r="AA776">
        <f t="shared" ca="1" si="363"/>
        <v>632.29899999999998</v>
      </c>
      <c r="AB776">
        <f t="shared" ca="1" si="364"/>
        <v>2593.3760316486623</v>
      </c>
      <c r="AC776">
        <f t="shared" ca="1" si="365"/>
        <v>482.07306851378365</v>
      </c>
      <c r="AD776">
        <f t="shared" ca="1" si="366"/>
        <v>280.07692026646265</v>
      </c>
      <c r="AE776">
        <f t="shared" ca="1" si="367"/>
        <v>1019.7665564573041</v>
      </c>
      <c r="AF776">
        <f t="shared" ca="1" si="368"/>
        <v>482.64289004871034</v>
      </c>
      <c r="AG776">
        <f t="shared" ca="1" si="369"/>
        <v>0</v>
      </c>
      <c r="AH776">
        <f ca="1">IF(V32="Supercritical",L776,IF(V32="Subcritical",W776,IF(AND(V776=1,AG776=1),IF(T776&gt;=AE776,L776,W776),IF(V776=1,L776,IF(AG776=1,W776,MAX($D$16,POWER((ABS(K776)^2)/($I$5*MAX(F776,0.1)^2),1/3)))))))</f>
        <v>2.1403668656741068</v>
      </c>
      <c r="AI776">
        <f t="shared" ca="1" si="370"/>
        <v>634.38936686567411</v>
      </c>
      <c r="AJ776">
        <f t="shared" ca="1" si="371"/>
        <v>635.4595502985112</v>
      </c>
      <c r="AM776">
        <v>0</v>
      </c>
      <c r="AN776">
        <v>0</v>
      </c>
      <c r="AO776">
        <f t="shared" si="372"/>
        <v>0</v>
      </c>
      <c r="AP776">
        <f t="shared" si="381"/>
        <v>0</v>
      </c>
      <c r="AQ776">
        <f t="shared" ca="1" si="373"/>
        <v>0.99999999999999978</v>
      </c>
      <c r="AR776" t="str">
        <f t="shared" ca="1" si="374"/>
        <v>Supercritical</v>
      </c>
      <c r="AS776">
        <f t="shared" ca="1" si="375"/>
        <v>3.8148159832266538E-3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191</v>
      </c>
      <c r="I777">
        <v>2.7E-2</v>
      </c>
      <c r="J777">
        <f t="shared" si="376"/>
        <v>1.0009999999999764</v>
      </c>
      <c r="K777">
        <f t="shared" si="377"/>
        <v>51</v>
      </c>
      <c r="L777">
        <f t="shared" ca="1" si="378"/>
        <v>0.05</v>
      </c>
      <c r="M777">
        <f t="shared" ca="1" si="351"/>
        <v>0.26</v>
      </c>
      <c r="N777">
        <f t="shared" ca="1" si="352"/>
        <v>4.9056603773584909E-2</v>
      </c>
      <c r="O777">
        <f t="shared" ca="1" si="353"/>
        <v>196.15384615384616</v>
      </c>
      <c r="P777">
        <f t="shared" ca="1" si="354"/>
        <v>632.29849999999999</v>
      </c>
      <c r="Q777">
        <f t="shared" ca="1" si="355"/>
        <v>2593.3755316486622</v>
      </c>
      <c r="R777">
        <f t="shared" ca="1" si="356"/>
        <v>482.07306851378365</v>
      </c>
      <c r="S777">
        <f t="shared" ca="1" si="357"/>
        <v>280.07692026646265</v>
      </c>
      <c r="T777">
        <f t="shared" ca="1" si="358"/>
        <v>1019.7665564573041</v>
      </c>
      <c r="U777">
        <f t="shared" ca="1" si="379"/>
        <v>-482.64289004871034</v>
      </c>
      <c r="V777">
        <f t="shared" ca="1" si="380"/>
        <v>0</v>
      </c>
      <c r="W777">
        <f t="shared" ca="1" si="359"/>
        <v>0.05</v>
      </c>
      <c r="X777">
        <f t="shared" ca="1" si="360"/>
        <v>0.26</v>
      </c>
      <c r="Y777">
        <f t="shared" ca="1" si="361"/>
        <v>4.9056603773584909E-2</v>
      </c>
      <c r="Z777">
        <f t="shared" ca="1" si="362"/>
        <v>196.15384615384616</v>
      </c>
      <c r="AA777">
        <f t="shared" ca="1" si="363"/>
        <v>632.29849999999999</v>
      </c>
      <c r="AB777">
        <f t="shared" ca="1" si="364"/>
        <v>2593.3755316486622</v>
      </c>
      <c r="AC777">
        <f t="shared" ca="1" si="365"/>
        <v>482.07306851378365</v>
      </c>
      <c r="AD777">
        <f t="shared" ca="1" si="366"/>
        <v>280.07692026646265</v>
      </c>
      <c r="AE777">
        <f t="shared" ca="1" si="367"/>
        <v>1019.7665564573041</v>
      </c>
      <c r="AF777">
        <f t="shared" ca="1" si="368"/>
        <v>481.75391853125211</v>
      </c>
      <c r="AG777">
        <f t="shared" ca="1" si="369"/>
        <v>0</v>
      </c>
      <c r="AH777">
        <f ca="1">IF(V32="Supercritical",L777,IF(V32="Subcritical",W777,IF(AND(V777=1,AG777=1),IF(T777&gt;=AE777,L777,W777),IF(V777=1,L777,IF(AG777=1,W777,MAX($D$16,POWER((ABS(K777)^2)/($I$5*MAX(F777,0.1)^2),1/3)))))))</f>
        <v>2.1403668656741068</v>
      </c>
      <c r="AI777">
        <f t="shared" ca="1" si="370"/>
        <v>634.38886686567412</v>
      </c>
      <c r="AJ777">
        <f t="shared" ca="1" si="371"/>
        <v>635.45905029851122</v>
      </c>
      <c r="AM777">
        <v>0</v>
      </c>
      <c r="AN777">
        <v>0</v>
      </c>
      <c r="AO777">
        <f t="shared" si="372"/>
        <v>0</v>
      </c>
      <c r="AP777">
        <f t="shared" si="381"/>
        <v>0</v>
      </c>
      <c r="AQ777">
        <f t="shared" ca="1" si="373"/>
        <v>0.99999999999999978</v>
      </c>
      <c r="AR777" t="str">
        <f t="shared" ca="1" si="374"/>
        <v>Supercritical</v>
      </c>
      <c r="AS777">
        <f t="shared" ca="1" si="375"/>
        <v>3.8148159832266538E-3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191</v>
      </c>
      <c r="I778">
        <v>0.05</v>
      </c>
      <c r="J778">
        <f t="shared" si="376"/>
        <v>0.99900000000002365</v>
      </c>
      <c r="K778">
        <f t="shared" si="377"/>
        <v>51</v>
      </c>
      <c r="L778">
        <f t="shared" ca="1" si="378"/>
        <v>0.05</v>
      </c>
      <c r="M778">
        <f t="shared" ca="1" si="351"/>
        <v>0.26</v>
      </c>
      <c r="N778">
        <f t="shared" ca="1" si="352"/>
        <v>4.9056603773584909E-2</v>
      </c>
      <c r="O778">
        <f t="shared" ca="1" si="353"/>
        <v>196.15384615384616</v>
      </c>
      <c r="P778">
        <f t="shared" ca="1" si="354"/>
        <v>632.298</v>
      </c>
      <c r="Q778">
        <f t="shared" ca="1" si="355"/>
        <v>2593.3750316486621</v>
      </c>
      <c r="R778">
        <f t="shared" ca="1" si="356"/>
        <v>482.07306851378365</v>
      </c>
      <c r="S778">
        <f t="shared" ca="1" si="357"/>
        <v>280.07692026646265</v>
      </c>
      <c r="T778">
        <f t="shared" ca="1" si="358"/>
        <v>1019.7665564573041</v>
      </c>
      <c r="U778">
        <f t="shared" ca="1" si="379"/>
        <v>-481.75391853125211</v>
      </c>
      <c r="V778">
        <f t="shared" ca="1" si="380"/>
        <v>0</v>
      </c>
      <c r="W778">
        <f t="shared" ca="1" si="359"/>
        <v>0.05</v>
      </c>
      <c r="X778">
        <f t="shared" ca="1" si="360"/>
        <v>0.26</v>
      </c>
      <c r="Y778">
        <f t="shared" ca="1" si="361"/>
        <v>4.9056603773584909E-2</v>
      </c>
      <c r="Z778">
        <f t="shared" ca="1" si="362"/>
        <v>196.15384615384616</v>
      </c>
      <c r="AA778">
        <f t="shared" ca="1" si="363"/>
        <v>632.298</v>
      </c>
      <c r="AB778">
        <f t="shared" ca="1" si="364"/>
        <v>2593.3750316486621</v>
      </c>
      <c r="AC778">
        <f t="shared" ca="1" si="365"/>
        <v>482.07306851378365</v>
      </c>
      <c r="AD778">
        <f t="shared" ca="1" si="366"/>
        <v>280.07692026646265</v>
      </c>
      <c r="AE778">
        <f t="shared" ca="1" si="367"/>
        <v>1019.7665564573041</v>
      </c>
      <c r="AF778">
        <f t="shared" ca="1" si="368"/>
        <v>482.32750852789786</v>
      </c>
      <c r="AG778">
        <f t="shared" ca="1" si="369"/>
        <v>0</v>
      </c>
      <c r="AH778">
        <f ca="1">IF(V32="Supercritical",L778,IF(V32="Subcritical",W778,IF(AND(V778=1,AG778=1),IF(T778&gt;=AE778,L778,W778),IF(V778=1,L778,IF(AG778=1,W778,MAX($D$16,POWER((ABS(K778)^2)/($I$5*MAX(F778,0.1)^2),1/3)))))))</f>
        <v>2.1403668656741068</v>
      </c>
      <c r="AI778">
        <f t="shared" ca="1" si="370"/>
        <v>634.38836686567413</v>
      </c>
      <c r="AJ778">
        <f t="shared" ca="1" si="371"/>
        <v>635.45855029851123</v>
      </c>
      <c r="AM778">
        <v>0</v>
      </c>
      <c r="AN778">
        <v>0</v>
      </c>
      <c r="AO778">
        <f t="shared" si="372"/>
        <v>0</v>
      </c>
      <c r="AP778">
        <f t="shared" si="381"/>
        <v>0</v>
      </c>
      <c r="AQ778">
        <f t="shared" ca="1" si="373"/>
        <v>0.99999999999999978</v>
      </c>
      <c r="AR778" t="str">
        <f t="shared" ca="1" si="374"/>
        <v>Supercritical</v>
      </c>
      <c r="AS778">
        <f t="shared" ca="1" si="375"/>
        <v>3.8148159832266538E-3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191</v>
      </c>
      <c r="I779">
        <v>7.8E-2</v>
      </c>
      <c r="J779">
        <f t="shared" si="376"/>
        <v>1</v>
      </c>
      <c r="K779">
        <f t="shared" si="377"/>
        <v>51</v>
      </c>
      <c r="L779">
        <f t="shared" ca="1" si="378"/>
        <v>0.05</v>
      </c>
      <c r="M779">
        <f t="shared" ca="1" si="351"/>
        <v>0.26</v>
      </c>
      <c r="N779">
        <f t="shared" ca="1" si="352"/>
        <v>4.9056603773584909E-2</v>
      </c>
      <c r="O779">
        <f t="shared" ca="1" si="353"/>
        <v>196.15384615384616</v>
      </c>
      <c r="P779">
        <f t="shared" ca="1" si="354"/>
        <v>632.2974999999999</v>
      </c>
      <c r="Q779">
        <f t="shared" ca="1" si="355"/>
        <v>2593.374531648662</v>
      </c>
      <c r="R779">
        <f t="shared" ca="1" si="356"/>
        <v>482.07306851378365</v>
      </c>
      <c r="S779">
        <f t="shared" ca="1" si="357"/>
        <v>280.07692026646265</v>
      </c>
      <c r="T779">
        <f t="shared" ca="1" si="358"/>
        <v>1019.7665564573041</v>
      </c>
      <c r="U779">
        <f t="shared" ca="1" si="379"/>
        <v>-482.32750852789786</v>
      </c>
      <c r="V779">
        <f t="shared" ca="1" si="380"/>
        <v>0</v>
      </c>
      <c r="W779">
        <f t="shared" ca="1" si="359"/>
        <v>0.05</v>
      </c>
      <c r="X779">
        <f t="shared" ca="1" si="360"/>
        <v>0.26</v>
      </c>
      <c r="Y779">
        <f t="shared" ca="1" si="361"/>
        <v>4.9056603773584909E-2</v>
      </c>
      <c r="Z779">
        <f t="shared" ca="1" si="362"/>
        <v>196.15384615384616</v>
      </c>
      <c r="AA779">
        <f t="shared" ca="1" si="363"/>
        <v>632.2974999999999</v>
      </c>
      <c r="AB779">
        <f t="shared" ca="1" si="364"/>
        <v>2593.374531648662</v>
      </c>
      <c r="AC779">
        <f t="shared" ca="1" si="365"/>
        <v>482.07306851378365</v>
      </c>
      <c r="AD779">
        <f t="shared" ca="1" si="366"/>
        <v>280.07692026646265</v>
      </c>
      <c r="AE779">
        <f t="shared" ca="1" si="367"/>
        <v>1019.7665564573041</v>
      </c>
      <c r="AF779">
        <f t="shared" ca="1" si="368"/>
        <v>482.16081698020798</v>
      </c>
      <c r="AG779">
        <f t="shared" ca="1" si="369"/>
        <v>0</v>
      </c>
      <c r="AH779">
        <f ca="1">IF(V32="Supercritical",L779,IF(V32="Subcritical",W779,IF(AND(V779=1,AG779=1),IF(T779&gt;=AE779,L779,W779),IF(V779=1,L779,IF(AG779=1,W779,MAX($D$16,POWER((ABS(K779)^2)/($I$5*MAX(F779,0.1)^2),1/3)))))))</f>
        <v>2.1403668656741068</v>
      </c>
      <c r="AI779">
        <f t="shared" ca="1" si="370"/>
        <v>634.38786686567403</v>
      </c>
      <c r="AJ779">
        <f t="shared" ca="1" si="371"/>
        <v>635.45805029851113</v>
      </c>
      <c r="AM779">
        <v>0</v>
      </c>
      <c r="AN779">
        <v>0</v>
      </c>
      <c r="AO779">
        <f t="shared" si="372"/>
        <v>0</v>
      </c>
      <c r="AP779">
        <f t="shared" si="381"/>
        <v>0</v>
      </c>
      <c r="AQ779">
        <f t="shared" ca="1" si="373"/>
        <v>0.99999999999999978</v>
      </c>
      <c r="AR779" t="str">
        <f t="shared" ca="1" si="374"/>
        <v>Supercritical</v>
      </c>
      <c r="AS779">
        <f t="shared" ca="1" si="375"/>
        <v>3.8148159832266538E-3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191</v>
      </c>
      <c r="I780">
        <v>2.7E-2</v>
      </c>
      <c r="J780">
        <f t="shared" si="376"/>
        <v>1</v>
      </c>
      <c r="K780">
        <f t="shared" si="377"/>
        <v>51</v>
      </c>
      <c r="L780">
        <f t="shared" ca="1" si="378"/>
        <v>0.05</v>
      </c>
      <c r="M780">
        <f t="shared" ca="1" si="351"/>
        <v>0.26</v>
      </c>
      <c r="N780">
        <f t="shared" ca="1" si="352"/>
        <v>4.9056603773584909E-2</v>
      </c>
      <c r="O780">
        <f t="shared" ca="1" si="353"/>
        <v>196.15384615384616</v>
      </c>
      <c r="P780">
        <f t="shared" ca="1" si="354"/>
        <v>632.29699999999991</v>
      </c>
      <c r="Q780">
        <f t="shared" ca="1" si="355"/>
        <v>2593.3740316486619</v>
      </c>
      <c r="R780">
        <f t="shared" ca="1" si="356"/>
        <v>482.07306851378365</v>
      </c>
      <c r="S780">
        <f t="shared" ca="1" si="357"/>
        <v>280.07692026646265</v>
      </c>
      <c r="T780">
        <f t="shared" ca="1" si="358"/>
        <v>1019.7665564573041</v>
      </c>
      <c r="U780">
        <f t="shared" ca="1" si="379"/>
        <v>-482.16081698020798</v>
      </c>
      <c r="V780">
        <f t="shared" ca="1" si="380"/>
        <v>0</v>
      </c>
      <c r="W780">
        <f t="shared" ca="1" si="359"/>
        <v>0.05</v>
      </c>
      <c r="X780">
        <f t="shared" ca="1" si="360"/>
        <v>0.26</v>
      </c>
      <c r="Y780">
        <f t="shared" ca="1" si="361"/>
        <v>4.9056603773584909E-2</v>
      </c>
      <c r="Z780">
        <f t="shared" ca="1" si="362"/>
        <v>196.15384615384616</v>
      </c>
      <c r="AA780">
        <f t="shared" ca="1" si="363"/>
        <v>632.29699999999991</v>
      </c>
      <c r="AB780">
        <f t="shared" ca="1" si="364"/>
        <v>2593.3740316486619</v>
      </c>
      <c r="AC780">
        <f t="shared" ca="1" si="365"/>
        <v>482.07306851378365</v>
      </c>
      <c r="AD780">
        <f t="shared" ca="1" si="366"/>
        <v>280.07692026646265</v>
      </c>
      <c r="AE780">
        <f t="shared" ca="1" si="367"/>
        <v>1019.7665564573041</v>
      </c>
      <c r="AF780">
        <f t="shared" ca="1" si="368"/>
        <v>482.16081698020798</v>
      </c>
      <c r="AG780">
        <f t="shared" ca="1" si="369"/>
        <v>0</v>
      </c>
      <c r="AH780">
        <f ca="1">IF(V32="Supercritical",L780,IF(V32="Subcritical",W780,IF(AND(V780=1,AG780=1),IF(T780&gt;=AE780,L780,W780),IF(V780=1,L780,IF(AG780=1,W780,MAX($D$16,POWER((ABS(K780)^2)/($I$5*MAX(F780,0.1)^2),1/3)))))))</f>
        <v>2.1403668656741068</v>
      </c>
      <c r="AI780">
        <f t="shared" ca="1" si="370"/>
        <v>634.38736686567404</v>
      </c>
      <c r="AJ780">
        <f t="shared" ca="1" si="371"/>
        <v>635.45755029851114</v>
      </c>
      <c r="AM780">
        <v>0</v>
      </c>
      <c r="AN780">
        <v>0</v>
      </c>
      <c r="AO780">
        <f t="shared" si="372"/>
        <v>0</v>
      </c>
      <c r="AP780">
        <f t="shared" si="381"/>
        <v>0</v>
      </c>
      <c r="AQ780">
        <f t="shared" ca="1" si="373"/>
        <v>0.99999999999999978</v>
      </c>
      <c r="AR780" t="str">
        <f t="shared" ca="1" si="374"/>
        <v>Supercritical</v>
      </c>
      <c r="AS780">
        <f t="shared" ca="1" si="375"/>
        <v>3.8148159832266538E-3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191</v>
      </c>
      <c r="I781">
        <v>2.7E-2</v>
      </c>
      <c r="J781">
        <f t="shared" si="376"/>
        <v>1</v>
      </c>
      <c r="K781">
        <f t="shared" si="377"/>
        <v>51</v>
      </c>
      <c r="L781">
        <f t="shared" ca="1" si="378"/>
        <v>0.05</v>
      </c>
      <c r="M781">
        <f t="shared" ca="1" si="351"/>
        <v>0.26</v>
      </c>
      <c r="N781">
        <f t="shared" ca="1" si="352"/>
        <v>4.9056603773584909E-2</v>
      </c>
      <c r="O781">
        <f t="shared" ca="1" si="353"/>
        <v>196.15384615384616</v>
      </c>
      <c r="P781">
        <f t="shared" ca="1" si="354"/>
        <v>632.29649999999992</v>
      </c>
      <c r="Q781">
        <f t="shared" ca="1" si="355"/>
        <v>2593.3735316486618</v>
      </c>
      <c r="R781">
        <f t="shared" ca="1" si="356"/>
        <v>482.07306851378365</v>
      </c>
      <c r="S781">
        <f t="shared" ca="1" si="357"/>
        <v>280.07692026646265</v>
      </c>
      <c r="T781">
        <f t="shared" ca="1" si="358"/>
        <v>1019.7665564573041</v>
      </c>
      <c r="U781">
        <f t="shared" ca="1" si="379"/>
        <v>-482.16081698020798</v>
      </c>
      <c r="V781">
        <f t="shared" ca="1" si="380"/>
        <v>0</v>
      </c>
      <c r="W781">
        <f t="shared" ca="1" si="359"/>
        <v>0.05</v>
      </c>
      <c r="X781">
        <f t="shared" ca="1" si="360"/>
        <v>0.26</v>
      </c>
      <c r="Y781">
        <f t="shared" ca="1" si="361"/>
        <v>4.9056603773584909E-2</v>
      </c>
      <c r="Z781">
        <f t="shared" ca="1" si="362"/>
        <v>196.15384615384616</v>
      </c>
      <c r="AA781">
        <f t="shared" ca="1" si="363"/>
        <v>632.29649999999992</v>
      </c>
      <c r="AB781">
        <f t="shared" ca="1" si="364"/>
        <v>2593.3735316486618</v>
      </c>
      <c r="AC781">
        <f t="shared" ca="1" si="365"/>
        <v>482.07306851378365</v>
      </c>
      <c r="AD781">
        <f t="shared" ca="1" si="366"/>
        <v>280.07692026646265</v>
      </c>
      <c r="AE781">
        <f t="shared" ca="1" si="367"/>
        <v>1019.7665564573041</v>
      </c>
      <c r="AF781">
        <f t="shared" ca="1" si="368"/>
        <v>482.32750852789832</v>
      </c>
      <c r="AG781">
        <f t="shared" ca="1" si="369"/>
        <v>0</v>
      </c>
      <c r="AH781">
        <f ca="1">IF(V32="Supercritical",L781,IF(V32="Subcritical",W781,IF(AND(V781=1,AG781=1),IF(T781&gt;=AE781,L781,W781),IF(V781=1,L781,IF(AG781=1,W781,MAX($D$16,POWER((ABS(K781)^2)/($I$5*MAX(F781,0.1)^2),1/3)))))))</f>
        <v>2.1403668656741068</v>
      </c>
      <c r="AI781">
        <f t="shared" ca="1" si="370"/>
        <v>634.38686686567405</v>
      </c>
      <c r="AJ781">
        <f t="shared" ca="1" si="371"/>
        <v>635.45705029851115</v>
      </c>
      <c r="AM781">
        <v>0</v>
      </c>
      <c r="AN781">
        <v>0</v>
      </c>
      <c r="AO781">
        <f t="shared" si="372"/>
        <v>0</v>
      </c>
      <c r="AP781">
        <f t="shared" si="381"/>
        <v>0</v>
      </c>
      <c r="AQ781">
        <f t="shared" ca="1" si="373"/>
        <v>0.99999999999999978</v>
      </c>
      <c r="AR781" t="str">
        <f t="shared" ca="1" si="374"/>
        <v>Supercritical</v>
      </c>
      <c r="AS781">
        <f t="shared" ca="1" si="375"/>
        <v>3.8148159832266538E-3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191</v>
      </c>
      <c r="I782">
        <v>7.8E-2</v>
      </c>
      <c r="J782">
        <f t="shared" si="376"/>
        <v>1</v>
      </c>
      <c r="K782">
        <f t="shared" si="377"/>
        <v>51</v>
      </c>
      <c r="L782">
        <f t="shared" ca="1" si="378"/>
        <v>0.05</v>
      </c>
      <c r="M782">
        <f t="shared" ca="1" si="351"/>
        <v>0.26</v>
      </c>
      <c r="N782">
        <f t="shared" ca="1" si="352"/>
        <v>4.9056603773584909E-2</v>
      </c>
      <c r="O782">
        <f t="shared" ca="1" si="353"/>
        <v>196.15384615384616</v>
      </c>
      <c r="P782">
        <f t="shared" ca="1" si="354"/>
        <v>632.29599999999994</v>
      </c>
      <c r="Q782">
        <f t="shared" ca="1" si="355"/>
        <v>2593.3730316486622</v>
      </c>
      <c r="R782">
        <f t="shared" ca="1" si="356"/>
        <v>482.07306851378365</v>
      </c>
      <c r="S782">
        <f t="shared" ca="1" si="357"/>
        <v>280.07692026646265</v>
      </c>
      <c r="T782">
        <f t="shared" ca="1" si="358"/>
        <v>1019.7665564573041</v>
      </c>
      <c r="U782">
        <f t="shared" ca="1" si="379"/>
        <v>-482.32750852789832</v>
      </c>
      <c r="V782">
        <f t="shared" ca="1" si="380"/>
        <v>0</v>
      </c>
      <c r="W782">
        <f t="shared" ca="1" si="359"/>
        <v>0.05</v>
      </c>
      <c r="X782">
        <f t="shared" ca="1" si="360"/>
        <v>0.26</v>
      </c>
      <c r="Y782">
        <f t="shared" ca="1" si="361"/>
        <v>4.9056603773584909E-2</v>
      </c>
      <c r="Z782">
        <f t="shared" ca="1" si="362"/>
        <v>196.15384615384616</v>
      </c>
      <c r="AA782">
        <f t="shared" ca="1" si="363"/>
        <v>632.29599999999994</v>
      </c>
      <c r="AB782">
        <f t="shared" ca="1" si="364"/>
        <v>2593.3730316486622</v>
      </c>
      <c r="AC782">
        <f t="shared" ca="1" si="365"/>
        <v>482.07306851378365</v>
      </c>
      <c r="AD782">
        <f t="shared" ca="1" si="366"/>
        <v>280.07692026646265</v>
      </c>
      <c r="AE782">
        <f t="shared" ca="1" si="367"/>
        <v>1019.7665564573041</v>
      </c>
      <c r="AF782">
        <f t="shared" ca="1" si="368"/>
        <v>482.23599159975447</v>
      </c>
      <c r="AG782">
        <f t="shared" ca="1" si="369"/>
        <v>0</v>
      </c>
      <c r="AH782">
        <f ca="1">IF(V32="Supercritical",L782,IF(V32="Subcritical",W782,IF(AND(V782=1,AG782=1),IF(T782&gt;=AE782,L782,W782),IF(V782=1,L782,IF(AG782=1,W782,MAX($D$16,POWER((ABS(K782)^2)/($I$5*MAX(F782,0.1)^2),1/3)))))))</f>
        <v>2.1403668656741068</v>
      </c>
      <c r="AI782">
        <f t="shared" ca="1" si="370"/>
        <v>634.38636686567406</v>
      </c>
      <c r="AJ782">
        <f t="shared" ca="1" si="371"/>
        <v>635.45655029851116</v>
      </c>
      <c r="AM782">
        <v>0</v>
      </c>
      <c r="AN782">
        <v>0</v>
      </c>
      <c r="AO782">
        <f t="shared" si="372"/>
        <v>0</v>
      </c>
      <c r="AP782">
        <f t="shared" si="381"/>
        <v>0</v>
      </c>
      <c r="AQ782">
        <f t="shared" ca="1" si="373"/>
        <v>0.99999999999999978</v>
      </c>
      <c r="AR782" t="str">
        <f t="shared" ca="1" si="374"/>
        <v>Supercritical</v>
      </c>
      <c r="AS782">
        <f t="shared" ca="1" si="375"/>
        <v>3.8148159832266538E-3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191</v>
      </c>
      <c r="I783">
        <v>0.05</v>
      </c>
      <c r="J783">
        <f t="shared" si="376"/>
        <v>1</v>
      </c>
      <c r="K783">
        <f t="shared" si="377"/>
        <v>51</v>
      </c>
      <c r="L783">
        <f t="shared" ca="1" si="378"/>
        <v>0.05</v>
      </c>
      <c r="M783">
        <f t="shared" ca="1" si="351"/>
        <v>0.26</v>
      </c>
      <c r="N783">
        <f t="shared" ca="1" si="352"/>
        <v>4.9056603773584909E-2</v>
      </c>
      <c r="O783">
        <f t="shared" ca="1" si="353"/>
        <v>196.15384615384616</v>
      </c>
      <c r="P783">
        <f t="shared" ca="1" si="354"/>
        <v>632.29549999999995</v>
      </c>
      <c r="Q783">
        <f t="shared" ca="1" si="355"/>
        <v>2593.3725316486621</v>
      </c>
      <c r="R783">
        <f t="shared" ca="1" si="356"/>
        <v>482.07306851378365</v>
      </c>
      <c r="S783">
        <f t="shared" ca="1" si="357"/>
        <v>280.07692026646265</v>
      </c>
      <c r="T783">
        <f t="shared" ca="1" si="358"/>
        <v>1019.7665564573041</v>
      </c>
      <c r="U783">
        <f t="shared" ca="1" si="379"/>
        <v>-482.23599159975447</v>
      </c>
      <c r="V783">
        <f t="shared" ca="1" si="380"/>
        <v>0</v>
      </c>
      <c r="W783">
        <f t="shared" ca="1" si="359"/>
        <v>0.05</v>
      </c>
      <c r="X783">
        <f t="shared" ca="1" si="360"/>
        <v>0.26</v>
      </c>
      <c r="Y783">
        <f t="shared" ca="1" si="361"/>
        <v>4.9056603773584909E-2</v>
      </c>
      <c r="Z783">
        <f t="shared" ca="1" si="362"/>
        <v>196.15384615384616</v>
      </c>
      <c r="AA783">
        <f t="shared" ca="1" si="363"/>
        <v>632.29549999999995</v>
      </c>
      <c r="AB783">
        <f t="shared" ca="1" si="364"/>
        <v>2593.3725316486621</v>
      </c>
      <c r="AC783">
        <f t="shared" ca="1" si="365"/>
        <v>482.07306851378365</v>
      </c>
      <c r="AD783">
        <f t="shared" ca="1" si="366"/>
        <v>280.07692026646265</v>
      </c>
      <c r="AE783">
        <f t="shared" ca="1" si="367"/>
        <v>1019.7665564573041</v>
      </c>
      <c r="AF783">
        <f t="shared" ca="1" si="368"/>
        <v>482.16081698020798</v>
      </c>
      <c r="AG783">
        <f t="shared" ca="1" si="369"/>
        <v>0</v>
      </c>
      <c r="AH783">
        <f ca="1">IF(V32="Supercritical",L783,IF(V32="Subcritical",W783,IF(AND(V783=1,AG783=1),IF(T783&gt;=AE783,L783,W783),IF(V783=1,L783,IF(AG783=1,W783,MAX($D$16,POWER((ABS(K783)^2)/($I$5*MAX(F783,0.1)^2),1/3)))))))</f>
        <v>2.1403668656741068</v>
      </c>
      <c r="AI783">
        <f t="shared" ca="1" si="370"/>
        <v>634.38586686567407</v>
      </c>
      <c r="AJ783">
        <f t="shared" ca="1" si="371"/>
        <v>635.45605029851117</v>
      </c>
      <c r="AM783">
        <v>0</v>
      </c>
      <c r="AN783">
        <v>0</v>
      </c>
      <c r="AO783">
        <f t="shared" si="372"/>
        <v>0</v>
      </c>
      <c r="AP783">
        <f t="shared" si="381"/>
        <v>0</v>
      </c>
      <c r="AQ783">
        <f t="shared" ca="1" si="373"/>
        <v>0.99999999999999978</v>
      </c>
      <c r="AR783" t="str">
        <f t="shared" ca="1" si="374"/>
        <v>Supercritical</v>
      </c>
      <c r="AS783">
        <f t="shared" ca="1" si="375"/>
        <v>3.8148159832266538E-3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191</v>
      </c>
      <c r="I784">
        <v>2.7E-2</v>
      </c>
      <c r="J784">
        <f t="shared" si="376"/>
        <v>1</v>
      </c>
      <c r="K784">
        <f t="shared" si="377"/>
        <v>51</v>
      </c>
      <c r="L784">
        <f t="shared" ca="1" si="378"/>
        <v>0.05</v>
      </c>
      <c r="M784">
        <f t="shared" ca="1" si="351"/>
        <v>0.26</v>
      </c>
      <c r="N784">
        <f t="shared" ca="1" si="352"/>
        <v>4.9056603773584909E-2</v>
      </c>
      <c r="O784">
        <f t="shared" ca="1" si="353"/>
        <v>196.15384615384616</v>
      </c>
      <c r="P784">
        <f t="shared" ca="1" si="354"/>
        <v>632.29499999999996</v>
      </c>
      <c r="Q784">
        <f t="shared" ca="1" si="355"/>
        <v>2593.372031648662</v>
      </c>
      <c r="R784">
        <f t="shared" ca="1" si="356"/>
        <v>482.07306851378365</v>
      </c>
      <c r="S784">
        <f t="shared" ca="1" si="357"/>
        <v>280.07692026646265</v>
      </c>
      <c r="T784">
        <f t="shared" ca="1" si="358"/>
        <v>1019.7665564573041</v>
      </c>
      <c r="U784">
        <f t="shared" ca="1" si="379"/>
        <v>-482.16081698020798</v>
      </c>
      <c r="V784">
        <f t="shared" ca="1" si="380"/>
        <v>0</v>
      </c>
      <c r="W784">
        <f t="shared" ca="1" si="359"/>
        <v>0.05</v>
      </c>
      <c r="X784">
        <f t="shared" ca="1" si="360"/>
        <v>0.26</v>
      </c>
      <c r="Y784">
        <f t="shared" ca="1" si="361"/>
        <v>4.9056603773584909E-2</v>
      </c>
      <c r="Z784">
        <f t="shared" ca="1" si="362"/>
        <v>196.15384615384616</v>
      </c>
      <c r="AA784">
        <f t="shared" ca="1" si="363"/>
        <v>632.29499999999996</v>
      </c>
      <c r="AB784">
        <f t="shared" ca="1" si="364"/>
        <v>2593.372031648662</v>
      </c>
      <c r="AC784">
        <f t="shared" ca="1" si="365"/>
        <v>482.07306851378365</v>
      </c>
      <c r="AD784">
        <f t="shared" ca="1" si="366"/>
        <v>280.07692026646265</v>
      </c>
      <c r="AE784">
        <f t="shared" ca="1" si="367"/>
        <v>1019.7665564573041</v>
      </c>
      <c r="AF784">
        <f t="shared" ca="1" si="368"/>
        <v>482.16081698020844</v>
      </c>
      <c r="AG784">
        <f t="shared" ca="1" si="369"/>
        <v>0</v>
      </c>
      <c r="AH784">
        <f ca="1">IF(V32="Supercritical",L784,IF(V32="Subcritical",W784,IF(AND(V784=1,AG784=1),IF(T784&gt;=AE784,L784,W784),IF(V784=1,L784,IF(AG784=1,W784,MAX($D$16,POWER((ABS(K784)^2)/($I$5*MAX(F784,0.1)^2),1/3)))))))</f>
        <v>2.1403668656741068</v>
      </c>
      <c r="AI784">
        <f t="shared" ca="1" si="370"/>
        <v>634.38536686567409</v>
      </c>
      <c r="AJ784">
        <f t="shared" ca="1" si="371"/>
        <v>635.45555029851118</v>
      </c>
      <c r="AM784">
        <v>0</v>
      </c>
      <c r="AN784">
        <v>0</v>
      </c>
      <c r="AO784">
        <f t="shared" si="372"/>
        <v>0</v>
      </c>
      <c r="AP784">
        <f t="shared" si="381"/>
        <v>0</v>
      </c>
      <c r="AQ784">
        <f t="shared" ca="1" si="373"/>
        <v>0.99999999999999978</v>
      </c>
      <c r="AR784" t="str">
        <f t="shared" ca="1" si="374"/>
        <v>Supercritical</v>
      </c>
      <c r="AS784">
        <f t="shared" ca="1" si="375"/>
        <v>3.8148159832266538E-3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191</v>
      </c>
      <c r="I785">
        <v>2.7E-2</v>
      </c>
      <c r="J785">
        <f t="shared" si="376"/>
        <v>1</v>
      </c>
      <c r="K785">
        <f t="shared" si="377"/>
        <v>51</v>
      </c>
      <c r="L785">
        <f t="shared" ca="1" si="378"/>
        <v>0.05</v>
      </c>
      <c r="M785">
        <f t="shared" ca="1" si="351"/>
        <v>0.26</v>
      </c>
      <c r="N785">
        <f t="shared" ca="1" si="352"/>
        <v>4.9056603773584909E-2</v>
      </c>
      <c r="O785">
        <f t="shared" ca="1" si="353"/>
        <v>196.15384615384616</v>
      </c>
      <c r="P785">
        <f t="shared" ca="1" si="354"/>
        <v>632.29449999999997</v>
      </c>
      <c r="Q785">
        <f t="shared" ca="1" si="355"/>
        <v>2593.3715316486623</v>
      </c>
      <c r="R785">
        <f t="shared" ca="1" si="356"/>
        <v>482.07306851378365</v>
      </c>
      <c r="S785">
        <f t="shared" ca="1" si="357"/>
        <v>280.07692026646265</v>
      </c>
      <c r="T785">
        <f t="shared" ca="1" si="358"/>
        <v>1019.7665564573041</v>
      </c>
      <c r="U785">
        <f t="shared" ca="1" si="379"/>
        <v>-482.16081698020844</v>
      </c>
      <c r="V785">
        <f t="shared" ca="1" si="380"/>
        <v>0</v>
      </c>
      <c r="W785">
        <f t="shared" ca="1" si="359"/>
        <v>0.05</v>
      </c>
      <c r="X785">
        <f t="shared" ca="1" si="360"/>
        <v>0.26</v>
      </c>
      <c r="Y785">
        <f t="shared" ca="1" si="361"/>
        <v>4.9056603773584909E-2</v>
      </c>
      <c r="Z785">
        <f t="shared" ca="1" si="362"/>
        <v>196.15384615384616</v>
      </c>
      <c r="AA785">
        <f t="shared" ca="1" si="363"/>
        <v>632.29449999999997</v>
      </c>
      <c r="AB785">
        <f t="shared" ca="1" si="364"/>
        <v>2593.3715316486623</v>
      </c>
      <c r="AC785">
        <f t="shared" ca="1" si="365"/>
        <v>482.07306851378365</v>
      </c>
      <c r="AD785">
        <f t="shared" ca="1" si="366"/>
        <v>280.07692026646265</v>
      </c>
      <c r="AE785">
        <f t="shared" ca="1" si="367"/>
        <v>1019.7665564573041</v>
      </c>
      <c r="AF785">
        <f t="shared" ca="1" si="368"/>
        <v>482.1477431333301</v>
      </c>
      <c r="AG785">
        <f t="shared" ca="1" si="369"/>
        <v>0</v>
      </c>
      <c r="AH785">
        <f ca="1">IF(V32="Supercritical",L785,IF(V32="Subcritical",W785,IF(AND(V785=1,AG785=1),IF(T785&gt;=AE785,L785,W785),IF(V785=1,L785,IF(AG785=1,W785,MAX($D$16,POWER((ABS(K785)^2)/($I$5*MAX(F785,0.1)^2),1/3)))))))</f>
        <v>2.1403668656741068</v>
      </c>
      <c r="AI785">
        <f t="shared" ca="1" si="370"/>
        <v>634.3848668656741</v>
      </c>
      <c r="AJ785">
        <f t="shared" ca="1" si="371"/>
        <v>635.4550502985112</v>
      </c>
      <c r="AM785">
        <v>0</v>
      </c>
      <c r="AN785">
        <v>0</v>
      </c>
      <c r="AO785">
        <f t="shared" si="372"/>
        <v>0</v>
      </c>
      <c r="AP785">
        <f t="shared" si="381"/>
        <v>0</v>
      </c>
      <c r="AQ785">
        <f t="shared" ca="1" si="373"/>
        <v>0.99999999999999978</v>
      </c>
      <c r="AR785" t="str">
        <f t="shared" ca="1" si="374"/>
        <v>Supercritical</v>
      </c>
      <c r="AS785">
        <f t="shared" ca="1" si="375"/>
        <v>3.8148159832266538E-3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191</v>
      </c>
      <c r="I786">
        <v>2.3E-2</v>
      </c>
      <c r="J786">
        <f t="shared" si="376"/>
        <v>1</v>
      </c>
      <c r="K786">
        <f t="shared" si="377"/>
        <v>51</v>
      </c>
      <c r="L786">
        <f t="shared" ca="1" si="378"/>
        <v>0.05</v>
      </c>
      <c r="M786">
        <f t="shared" ca="1" si="351"/>
        <v>0.26</v>
      </c>
      <c r="N786">
        <f t="shared" ca="1" si="352"/>
        <v>4.9056603773584909E-2</v>
      </c>
      <c r="O786">
        <f t="shared" ca="1" si="353"/>
        <v>196.15384615384616</v>
      </c>
      <c r="P786">
        <f t="shared" ca="1" si="354"/>
        <v>632.29399999999998</v>
      </c>
      <c r="Q786">
        <f t="shared" ca="1" si="355"/>
        <v>2593.3710316486622</v>
      </c>
      <c r="R786">
        <f t="shared" ca="1" si="356"/>
        <v>482.07306851378365</v>
      </c>
      <c r="S786">
        <f t="shared" ca="1" si="357"/>
        <v>280.07692026646265</v>
      </c>
      <c r="T786">
        <f t="shared" ca="1" si="358"/>
        <v>1019.7665564573041</v>
      </c>
      <c r="U786">
        <f t="shared" ca="1" si="379"/>
        <v>-482.1477431333301</v>
      </c>
      <c r="V786">
        <f t="shared" ca="1" si="380"/>
        <v>0</v>
      </c>
      <c r="W786">
        <f t="shared" ca="1" si="359"/>
        <v>0.05</v>
      </c>
      <c r="X786">
        <f t="shared" ca="1" si="360"/>
        <v>0.26</v>
      </c>
      <c r="Y786">
        <f t="shared" ca="1" si="361"/>
        <v>4.9056603773584909E-2</v>
      </c>
      <c r="Z786">
        <f t="shared" ca="1" si="362"/>
        <v>196.15384615384616</v>
      </c>
      <c r="AA786">
        <f t="shared" ca="1" si="363"/>
        <v>632.29399999999998</v>
      </c>
      <c r="AB786">
        <f t="shared" ca="1" si="364"/>
        <v>2593.3710316486622</v>
      </c>
      <c r="AC786">
        <f t="shared" ca="1" si="365"/>
        <v>482.07306851378365</v>
      </c>
      <c r="AD786">
        <f t="shared" ca="1" si="366"/>
        <v>280.07692026646265</v>
      </c>
      <c r="AE786">
        <f t="shared" ca="1" si="367"/>
        <v>1019.7665564573041</v>
      </c>
      <c r="AF786">
        <f t="shared" ca="1" si="368"/>
        <v>482.62981620183245</v>
      </c>
      <c r="AG786">
        <f t="shared" ca="1" si="369"/>
        <v>0</v>
      </c>
      <c r="AH786">
        <f ca="1">IF(V32="Supercritical",L786,IF(V32="Subcritical",W786,IF(AND(V786=1,AG786=1),IF(T786&gt;=AE786,L786,W786),IF(V786=1,L786,IF(AG786=1,W786,MAX($D$16,POWER((ABS(K786)^2)/($I$5*MAX(F786,0.1)^2),1/3)))))))</f>
        <v>2.1403668656741068</v>
      </c>
      <c r="AI786">
        <f t="shared" ca="1" si="370"/>
        <v>634.38436686567411</v>
      </c>
      <c r="AJ786">
        <f t="shared" ca="1" si="371"/>
        <v>635.45455029851121</v>
      </c>
      <c r="AM786">
        <v>0</v>
      </c>
      <c r="AN786">
        <v>0</v>
      </c>
      <c r="AO786">
        <f t="shared" si="372"/>
        <v>0</v>
      </c>
      <c r="AP786">
        <f t="shared" si="381"/>
        <v>0</v>
      </c>
      <c r="AQ786">
        <f t="shared" ca="1" si="373"/>
        <v>0.99999999999999978</v>
      </c>
      <c r="AR786" t="str">
        <f t="shared" ca="1" si="374"/>
        <v>Supercritical</v>
      </c>
      <c r="AS786">
        <f t="shared" ca="1" si="375"/>
        <v>3.8148159832266538E-3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191</v>
      </c>
      <c r="I787">
        <v>2.3E-2</v>
      </c>
      <c r="J787">
        <f t="shared" si="376"/>
        <v>1.0009999999999764</v>
      </c>
      <c r="K787">
        <f t="shared" si="377"/>
        <v>51</v>
      </c>
      <c r="L787">
        <f t="shared" ca="1" si="378"/>
        <v>0.05</v>
      </c>
      <c r="M787">
        <f t="shared" ca="1" si="351"/>
        <v>0.26</v>
      </c>
      <c r="N787">
        <f t="shared" ca="1" si="352"/>
        <v>4.9056603773584909E-2</v>
      </c>
      <c r="O787">
        <f t="shared" ca="1" si="353"/>
        <v>196.15384615384616</v>
      </c>
      <c r="P787">
        <f t="shared" ca="1" si="354"/>
        <v>632.29349999999999</v>
      </c>
      <c r="Q787">
        <f t="shared" ca="1" si="355"/>
        <v>2593.3705316486621</v>
      </c>
      <c r="R787">
        <f t="shared" ca="1" si="356"/>
        <v>482.07306851378365</v>
      </c>
      <c r="S787">
        <f t="shared" ca="1" si="357"/>
        <v>280.07692026646265</v>
      </c>
      <c r="T787">
        <f t="shared" ca="1" si="358"/>
        <v>1019.7665564573041</v>
      </c>
      <c r="U787">
        <f t="shared" ca="1" si="379"/>
        <v>-482.62981620183245</v>
      </c>
      <c r="V787">
        <f t="shared" ca="1" si="380"/>
        <v>0</v>
      </c>
      <c r="W787">
        <f t="shared" ca="1" si="359"/>
        <v>0.05</v>
      </c>
      <c r="X787">
        <f t="shared" ca="1" si="360"/>
        <v>0.26</v>
      </c>
      <c r="Y787">
        <f t="shared" ca="1" si="361"/>
        <v>4.9056603773584909E-2</v>
      </c>
      <c r="Z787">
        <f t="shared" ca="1" si="362"/>
        <v>196.15384615384616</v>
      </c>
      <c r="AA787">
        <f t="shared" ca="1" si="363"/>
        <v>632.29349999999999</v>
      </c>
      <c r="AB787">
        <f t="shared" ca="1" si="364"/>
        <v>2593.3705316486621</v>
      </c>
      <c r="AC787">
        <f t="shared" ca="1" si="365"/>
        <v>482.07306851378365</v>
      </c>
      <c r="AD787">
        <f t="shared" ca="1" si="366"/>
        <v>280.07692026646265</v>
      </c>
      <c r="AE787">
        <f t="shared" ca="1" si="367"/>
        <v>1019.7665564573041</v>
      </c>
      <c r="AF787">
        <f t="shared" ca="1" si="368"/>
        <v>481.59049544528125</v>
      </c>
      <c r="AG787">
        <f t="shared" ca="1" si="369"/>
        <v>0</v>
      </c>
      <c r="AH787">
        <f ca="1">IF(V32="Supercritical",L787,IF(V32="Subcritical",W787,IF(AND(V787=1,AG787=1),IF(T787&gt;=AE787,L787,W787),IF(V787=1,L787,IF(AG787=1,W787,MAX($D$16,POWER((ABS(K787)^2)/($I$5*MAX(F787,0.1)^2),1/3)))))))</f>
        <v>2.1403668656741068</v>
      </c>
      <c r="AI787">
        <f t="shared" ca="1" si="370"/>
        <v>634.38386686567412</v>
      </c>
      <c r="AJ787">
        <f t="shared" ca="1" si="371"/>
        <v>635.45405029851122</v>
      </c>
      <c r="AM787">
        <v>0</v>
      </c>
      <c r="AN787">
        <v>0</v>
      </c>
      <c r="AO787">
        <f t="shared" si="372"/>
        <v>0</v>
      </c>
      <c r="AP787">
        <f t="shared" si="381"/>
        <v>0</v>
      </c>
      <c r="AQ787">
        <f t="shared" ca="1" si="373"/>
        <v>0.99999999999999978</v>
      </c>
      <c r="AR787" t="str">
        <f t="shared" ca="1" si="374"/>
        <v>Supercritical</v>
      </c>
      <c r="AS787">
        <f t="shared" ca="1" si="375"/>
        <v>3.8148159832266538E-3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191</v>
      </c>
      <c r="I788">
        <v>0</v>
      </c>
      <c r="J788">
        <f t="shared" si="376"/>
        <v>0.99900000000002365</v>
      </c>
      <c r="K788">
        <f t="shared" si="377"/>
        <v>51</v>
      </c>
      <c r="L788">
        <f t="shared" ca="1" si="378"/>
        <v>0.05</v>
      </c>
      <c r="M788">
        <f t="shared" ca="1" si="351"/>
        <v>0.26</v>
      </c>
      <c r="N788">
        <f t="shared" ca="1" si="352"/>
        <v>4.9056603773584909E-2</v>
      </c>
      <c r="O788">
        <f t="shared" ca="1" si="353"/>
        <v>196.15384615384616</v>
      </c>
      <c r="P788">
        <f t="shared" ca="1" si="354"/>
        <v>632.29300000000001</v>
      </c>
      <c r="Q788">
        <f t="shared" ca="1" si="355"/>
        <v>2593.370031648662</v>
      </c>
      <c r="R788">
        <f t="shared" ca="1" si="356"/>
        <v>482.07306851378365</v>
      </c>
      <c r="S788">
        <f t="shared" ca="1" si="357"/>
        <v>280.07692026646265</v>
      </c>
      <c r="T788">
        <f t="shared" ca="1" si="358"/>
        <v>1019.7665564573041</v>
      </c>
      <c r="U788">
        <f t="shared" ca="1" si="379"/>
        <v>-481.59049544528125</v>
      </c>
      <c r="V788">
        <f t="shared" ca="1" si="380"/>
        <v>0</v>
      </c>
      <c r="W788">
        <f t="shared" ca="1" si="359"/>
        <v>0.05</v>
      </c>
      <c r="X788">
        <f t="shared" ca="1" si="360"/>
        <v>0.26</v>
      </c>
      <c r="Y788">
        <f t="shared" ca="1" si="361"/>
        <v>4.9056603773584909E-2</v>
      </c>
      <c r="Z788">
        <f t="shared" ca="1" si="362"/>
        <v>196.15384615384616</v>
      </c>
      <c r="AA788">
        <f t="shared" ca="1" si="363"/>
        <v>632.29300000000001</v>
      </c>
      <c r="AB788">
        <f t="shared" ca="1" si="364"/>
        <v>2593.370031648662</v>
      </c>
      <c r="AC788">
        <f t="shared" ca="1" si="365"/>
        <v>482.07306851378365</v>
      </c>
      <c r="AD788">
        <f t="shared" ca="1" si="366"/>
        <v>280.07692026646265</v>
      </c>
      <c r="AE788">
        <f t="shared" ca="1" si="367"/>
        <v>1019.7665564573041</v>
      </c>
      <c r="AF788">
        <f t="shared" ca="1" si="368"/>
        <v>482.16081698020798</v>
      </c>
      <c r="AG788">
        <f t="shared" ca="1" si="369"/>
        <v>0</v>
      </c>
      <c r="AH788">
        <f ca="1">IF(V32="Supercritical",L788,IF(V32="Subcritical",W788,IF(AND(V788=1,AG788=1),IF(T788&gt;=AE788,L788,W788),IF(V788=1,L788,IF(AG788=1,W788,MAX($D$16,POWER((ABS(K788)^2)/($I$5*MAX(F788,0.1)^2),1/3)))))))</f>
        <v>2.1403668656741068</v>
      </c>
      <c r="AI788">
        <f t="shared" ca="1" si="370"/>
        <v>634.38336686567413</v>
      </c>
      <c r="AJ788">
        <f t="shared" ca="1" si="371"/>
        <v>635.45355029851123</v>
      </c>
      <c r="AM788">
        <v>0</v>
      </c>
      <c r="AN788">
        <v>0</v>
      </c>
      <c r="AO788">
        <f t="shared" si="372"/>
        <v>0</v>
      </c>
      <c r="AP788">
        <f t="shared" si="381"/>
        <v>0</v>
      </c>
      <c r="AQ788">
        <f t="shared" ca="1" si="373"/>
        <v>0.99999999999999978</v>
      </c>
      <c r="AR788" t="str">
        <f t="shared" ca="1" si="374"/>
        <v>Supercritical</v>
      </c>
      <c r="AS788">
        <f t="shared" ca="1" si="375"/>
        <v>3.8148159832266538E-3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191</v>
      </c>
      <c r="I789">
        <v>2.7E-2</v>
      </c>
      <c r="J789">
        <f t="shared" si="376"/>
        <v>1</v>
      </c>
      <c r="K789">
        <f t="shared" si="377"/>
        <v>51</v>
      </c>
      <c r="L789">
        <f t="shared" ca="1" si="378"/>
        <v>0.05</v>
      </c>
      <c r="M789">
        <f t="shared" ca="1" si="351"/>
        <v>0.26</v>
      </c>
      <c r="N789">
        <f t="shared" ca="1" si="352"/>
        <v>4.9056603773584909E-2</v>
      </c>
      <c r="O789">
        <f t="shared" ca="1" si="353"/>
        <v>196.15384615384616</v>
      </c>
      <c r="P789">
        <f t="shared" ca="1" si="354"/>
        <v>632.2924999999999</v>
      </c>
      <c r="Q789">
        <f t="shared" ca="1" si="355"/>
        <v>2593.3695316486619</v>
      </c>
      <c r="R789">
        <f t="shared" ca="1" si="356"/>
        <v>482.07306851378365</v>
      </c>
      <c r="S789">
        <f t="shared" ca="1" si="357"/>
        <v>280.07692026646265</v>
      </c>
      <c r="T789">
        <f t="shared" ca="1" si="358"/>
        <v>1019.7665564573041</v>
      </c>
      <c r="U789">
        <f t="shared" ca="1" si="379"/>
        <v>-482.16081698020798</v>
      </c>
      <c r="V789">
        <f t="shared" ca="1" si="380"/>
        <v>0</v>
      </c>
      <c r="W789">
        <f t="shared" ca="1" si="359"/>
        <v>0.05</v>
      </c>
      <c r="X789">
        <f t="shared" ca="1" si="360"/>
        <v>0.26</v>
      </c>
      <c r="Y789">
        <f t="shared" ca="1" si="361"/>
        <v>4.9056603773584909E-2</v>
      </c>
      <c r="Z789">
        <f t="shared" ca="1" si="362"/>
        <v>196.15384615384616</v>
      </c>
      <c r="AA789">
        <f t="shared" ca="1" si="363"/>
        <v>632.2924999999999</v>
      </c>
      <c r="AB789">
        <f t="shared" ca="1" si="364"/>
        <v>2593.3695316486619</v>
      </c>
      <c r="AC789">
        <f t="shared" ca="1" si="365"/>
        <v>482.07306851378365</v>
      </c>
      <c r="AD789">
        <f t="shared" ca="1" si="366"/>
        <v>280.07692026646265</v>
      </c>
      <c r="AE789">
        <f t="shared" ca="1" si="367"/>
        <v>1019.7665564573041</v>
      </c>
      <c r="AF789">
        <f t="shared" ca="1" si="368"/>
        <v>482.16081698020798</v>
      </c>
      <c r="AG789">
        <f t="shared" ca="1" si="369"/>
        <v>0</v>
      </c>
      <c r="AH789">
        <f ca="1">IF(V32="Supercritical",L789,IF(V32="Subcritical",W789,IF(AND(V789=1,AG789=1),IF(T789&gt;=AE789,L789,W789),IF(V789=1,L789,IF(AG789=1,W789,MAX($D$16,POWER((ABS(K789)^2)/($I$5*MAX(F789,0.1)^2),1/3)))))))</f>
        <v>2.1403668656741068</v>
      </c>
      <c r="AI789">
        <f t="shared" ca="1" si="370"/>
        <v>634.38286686567403</v>
      </c>
      <c r="AJ789">
        <f t="shared" ca="1" si="371"/>
        <v>635.45305029851113</v>
      </c>
      <c r="AM789">
        <v>0</v>
      </c>
      <c r="AN789">
        <v>0</v>
      </c>
      <c r="AO789">
        <f t="shared" si="372"/>
        <v>0</v>
      </c>
      <c r="AP789">
        <f t="shared" si="381"/>
        <v>0</v>
      </c>
      <c r="AQ789">
        <f t="shared" ca="1" si="373"/>
        <v>0.99999999999999978</v>
      </c>
      <c r="AR789" t="str">
        <f t="shared" ca="1" si="374"/>
        <v>Supercritical</v>
      </c>
      <c r="AS789">
        <f t="shared" ca="1" si="375"/>
        <v>3.8148159832266538E-3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191</v>
      </c>
      <c r="I790">
        <v>2.7E-2</v>
      </c>
      <c r="J790">
        <f t="shared" si="376"/>
        <v>1</v>
      </c>
      <c r="K790">
        <f t="shared" si="377"/>
        <v>51</v>
      </c>
      <c r="L790">
        <f t="shared" ca="1" si="378"/>
        <v>0.05</v>
      </c>
      <c r="M790">
        <f t="shared" ref="M790:M853" ca="1" si="382">((F790)+(G790)*(L790))*(L790)</f>
        <v>0.26</v>
      </c>
      <c r="N790">
        <f t="shared" ref="N790:N853" ca="1" si="383">(((F790)+(G790)*(L790))*(L790))/MAX((F790)+2*(L790)*SQRT(1+(G790)^2),0.000001)</f>
        <v>4.9056603773584909E-2</v>
      </c>
      <c r="O790">
        <f t="shared" ref="O790:O853" ca="1" si="384">ABS(K790)/MAX(((F790)+(G790)*(L790))*(L790),0.000001)</f>
        <v>196.15384615384616</v>
      </c>
      <c r="P790">
        <f t="shared" ref="P790:P853" ca="1" si="385">E790+L790</f>
        <v>632.29199999999992</v>
      </c>
      <c r="Q790">
        <f t="shared" ref="Q790:Q853" ca="1" si="386">P790+((ABS(K790)/MAX(((F790)+(G790)*(L790))*(L790),0.000001))^2)/(2*$I$5)</f>
        <v>2593.3690316486618</v>
      </c>
      <c r="R790">
        <f t="shared" ref="R790:R853" ca="1" si="387">((ABS(K790)*$D$6)/(MAX(((F790)+(G790)*(L790))*(L790),0.000001)*MAX(((((F790)+(G790)*(L790))*(L790))/MAX((F790)+2*(L790)*SQRT(1+(G790)^2),0.000001))^(2/3),0.000001)))^2</f>
        <v>482.07306851378365</v>
      </c>
      <c r="S790">
        <f t="shared" ref="S790:S853" ca="1" si="388">ABS(ABS(K790)/MAX(((F790)+(G790)*(L790))*(L790),0.000001))/SQRT($I$5*MAX((((F790)+(G790)*(L790))*(L790))/MAX((F790)+2*(G790)*(L790),0.000001),0.000001))</f>
        <v>280.07692026646265</v>
      </c>
      <c r="T790">
        <f t="shared" ref="T790:T853" ca="1" si="389">((F790)*(L790)^2)/2+(G790)*(L790)^3/3+(ABS(K790)^2)/($I$5*MAX(((F790)+(G790)*(L790))*(L790),0.000001))</f>
        <v>1019.7665564573041</v>
      </c>
      <c r="U790">
        <f t="shared" ca="1" si="379"/>
        <v>-482.16081698020798</v>
      </c>
      <c r="V790">
        <f t="shared" ca="1" si="380"/>
        <v>0</v>
      </c>
      <c r="W790">
        <f t="shared" ref="W790:W853" ca="1" si="390">IF(OR($D$20=0,AG791=0),W791,IF(OR(W790=0,AD791&gt;1),MAX($D$16,POWER((ABS(K790)^2)/($I$5*MAX(F790,0.1)^2),1/3)),IF(AF790&gt;0,MAX($D$16,W790+((AF790)*$D$18*IF((AD790)&lt;1,1,-1))),IF(AF790&lt;0,IF(ABS((MAX($D$16,POWER((ABS(K790)^2)/($I$5*MAX(F790,0.1)^2),1/3)))-W790)&gt;$D$19,MAX($D$16,W790+($D$18*((MAX($D$16,POWER((ABS(K790)^2)/($I$5*MAX(F790,0.1)^2),1/3)))-W790))),MAX($D$16,POWER((ABS(K790)^2)/($I$5*MAX(F790,0.1)^2),1/3))),W790))))</f>
        <v>0.05</v>
      </c>
      <c r="X790">
        <f t="shared" ref="X790:X853" ca="1" si="391">((F790)+(G790)*(W790))*(W790)</f>
        <v>0.26</v>
      </c>
      <c r="Y790">
        <f t="shared" ref="Y790:Y853" ca="1" si="392">(((F790)+(G790)*(W790))*(W790))/MAX((F790)+2*(W790)*SQRT(1+(G790)^2),0.000001)</f>
        <v>4.9056603773584909E-2</v>
      </c>
      <c r="Z790">
        <f t="shared" ref="Z790:Z853" ca="1" si="393">ABS(K790)/MAX(((F790)+(G790)*(W790))*(W790),0.000001)</f>
        <v>196.15384615384616</v>
      </c>
      <c r="AA790">
        <f t="shared" ref="AA790:AA853" ca="1" si="394">E790+W790</f>
        <v>632.29199999999992</v>
      </c>
      <c r="AB790">
        <f t="shared" ref="AB790:AB853" ca="1" si="395">AA790+((ABS(K790)/MAX(((F790)+(G790)*(W790))*(W790),0.000001))^2)/(2*$I$5)</f>
        <v>2593.3690316486618</v>
      </c>
      <c r="AC790">
        <f t="shared" ref="AC790:AC853" ca="1" si="396">((ABS(K790)*$D$6)/(MAX(((F790)+(G790)*(W790))*(W790),0.000001)*MAX(((((F790)+(G790)*(W790))*(W790))/MAX((F790)+2*(W790)*SQRT(1+(G790)^2),0.000001))^(2/3),0.000001)))^2</f>
        <v>482.07306851378365</v>
      </c>
      <c r="AD790">
        <f t="shared" ref="AD790:AD853" ca="1" si="397">ABS(ABS(K790)/MAX(((F790)+(G790)*(W790))*(W790),0.000001))/SQRT($I$5*MAX((((F790)+(G790)*(W790))*(W790))/MAX((F790)+2*(G790)*(W790),0.000001),0.000001))</f>
        <v>280.07692026646265</v>
      </c>
      <c r="AE790">
        <f t="shared" ref="AE790:AE853" ca="1" si="398">((F790)*(W790)^2)/2+(G790)*(W790)^3/3+(ABS(K790)^2)/($I$5*MAX(((F790)+(G790)*(W790))*(W790),0.000001))</f>
        <v>1019.7665564573041</v>
      </c>
      <c r="AF790">
        <f t="shared" ref="AF790:AF853" ca="1" si="399">AB791+(((AC790+AC791)/2)*J791)+(IF(Z790&gt;Z791,$D$8*((Z790^2-Z791^2)/(2*$I$5)),$D$9*((Z791^2-Z790^2)/(2*$I$5)))+($D$10*(ABS(I791)/90)*(MAX(Z790^2,Z791^2)/(2*$I$5))))-AB790</f>
        <v>482.14774313333055</v>
      </c>
      <c r="AG790">
        <f t="shared" ref="AG790:AG853" ca="1" si="400">IF(ROUND(AD790,3)=1,1,IF(AND(ABS(AF790)&lt;$D$19,AD790&lt;1),1,0))</f>
        <v>0</v>
      </c>
      <c r="AH790">
        <f ca="1">IF(V32="Supercritical",L790,IF(V32="Subcritical",W790,IF(AND(V790=1,AG790=1),IF(T790&gt;=AE790,L790,W790),IF(V790=1,L790,IF(AG790=1,W790,MAX($D$16,POWER((ABS(K790)^2)/($I$5*MAX(F790,0.1)^2),1/3)))))))</f>
        <v>2.1403668656741068</v>
      </c>
      <c r="AI790">
        <f t="shared" ref="AI790:AI853" ca="1" si="401">E790+AH790</f>
        <v>634.38236686567404</v>
      </c>
      <c r="AJ790">
        <f t="shared" ref="AJ790:AJ853" ca="1" si="402">AI790+((ABS(K790)/MAX(((F790)+(G790)*(AH790))*(AH790),0.000001))^2)/(2*$I$5)</f>
        <v>635.45255029851114</v>
      </c>
      <c r="AM790">
        <v>0</v>
      </c>
      <c r="AN790">
        <v>0</v>
      </c>
      <c r="AO790">
        <f t="shared" ref="AO790:AO853" si="403">AM790+AN790</f>
        <v>0</v>
      </c>
      <c r="AP790">
        <f t="shared" si="381"/>
        <v>0</v>
      </c>
      <c r="AQ790">
        <f t="shared" ref="AQ790:AQ853" ca="1" si="404">ABS(ABS(K790)/MAX(((F790)+(G790)*(AH790))*(AH790),0.000001))/SQRT($I$5*MAX((((F790)+(G790)*(AH790))*(AH790))/MAX((F790)+2*(G790)*(AH790),0.000001),0.000001))</f>
        <v>0.99999999999999978</v>
      </c>
      <c r="AR790" t="str">
        <f t="shared" ref="AR790:AR853" ca="1" si="405">IF(AQ790&lt;1,"Subcritical","Supercritical")</f>
        <v>Supercritical</v>
      </c>
      <c r="AS790">
        <f t="shared" ref="AS790:AS853" ca="1" si="406">((ABS(K790)*$D$6)/(MAX(((F790)+(G790)*(AH790))*(AH790),0.000001)*MAX(((((F790)+(G790)*(AH790))*(AH790))/MAX((F790)+2*(AH790)*SQRT(1+(G790)^2),0.000001))^(2/3),0.000001)))^2</f>
        <v>3.8148159832266538E-3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191</v>
      </c>
      <c r="I791">
        <v>2.3E-2</v>
      </c>
      <c r="J791">
        <f t="shared" ref="J791:J854" si="407">B791-B790</f>
        <v>1</v>
      </c>
      <c r="K791">
        <f t="shared" ref="K791:K854" si="408">MAX(0,K790-AO790)</f>
        <v>51</v>
      </c>
      <c r="L791">
        <f t="shared" ref="L791:L854" ca="1" si="409">IF(OR($D$20=0,V790=0),L790,IF(OR(L791=0,S790&lt;1,S791&lt;1),MAX($D$16,POWER((ABS(K791)^2)/($I$5*MAX(F791,0.1)^2),1/3)),IF(U791&gt;0,MAX($D$16,L791+((U791)*$D$18*IF((S791)&lt;1,1,-1))),IF(U791&lt;0,IF(ABS((MAX($D$16,POWER((ABS(K791)^2)/($I$5*MAX(F791,0.1)^2),1/3)))-L791)&gt;$D$19,MAX($D$16,L791+($D$18*((MAX($D$16,POWER((ABS(K791)^2)/($I$5*MAX(F791,0.1)^2),1/3)))-L791))),MAX($D$16,POWER((ABS(K791)^2)/($I$5*MAX(F791,0.1)^2),1/3))),L791))))</f>
        <v>0.05</v>
      </c>
      <c r="M791">
        <f t="shared" ca="1" si="382"/>
        <v>0.26</v>
      </c>
      <c r="N791">
        <f t="shared" ca="1" si="383"/>
        <v>4.9056603773584909E-2</v>
      </c>
      <c r="O791">
        <f t="shared" ca="1" si="384"/>
        <v>196.15384615384616</v>
      </c>
      <c r="P791">
        <f t="shared" ca="1" si="385"/>
        <v>632.29149999999993</v>
      </c>
      <c r="Q791">
        <f t="shared" ca="1" si="386"/>
        <v>2593.3685316486622</v>
      </c>
      <c r="R791">
        <f t="shared" ca="1" si="387"/>
        <v>482.07306851378365</v>
      </c>
      <c r="S791">
        <f t="shared" ca="1" si="388"/>
        <v>280.07692026646265</v>
      </c>
      <c r="T791">
        <f t="shared" ca="1" si="389"/>
        <v>1019.7665564573041</v>
      </c>
      <c r="U791">
        <f t="shared" ref="U791:U854" ca="1" si="410">Q790-(((R790+R791)/2)*J791)-(IF(O790&gt;O791,$D$8*((O790^2-O791^2)/(2*$I$5)),$D$9*((O791^2-O790^2)/(2*$I$5)))+($D$10*(ABS(I791)/90)*(MAX(O790^2,O791^2)/(2*$I$5))))-Q791</f>
        <v>-482.14774313333055</v>
      </c>
      <c r="V791">
        <f t="shared" ref="V791:V854" ca="1" si="411">IF(ROUND(S791,3)=1,1,IF(AND(ABS(U791)&lt;$D$19,S791&gt;1),1,0))</f>
        <v>0</v>
      </c>
      <c r="W791">
        <f t="shared" ca="1" si="390"/>
        <v>0.05</v>
      </c>
      <c r="X791">
        <f t="shared" ca="1" si="391"/>
        <v>0.26</v>
      </c>
      <c r="Y791">
        <f t="shared" ca="1" si="392"/>
        <v>4.9056603773584909E-2</v>
      </c>
      <c r="Z791">
        <f t="shared" ca="1" si="393"/>
        <v>196.15384615384616</v>
      </c>
      <c r="AA791">
        <f t="shared" ca="1" si="394"/>
        <v>632.29149999999993</v>
      </c>
      <c r="AB791">
        <f t="shared" ca="1" si="395"/>
        <v>2593.3685316486622</v>
      </c>
      <c r="AC791">
        <f t="shared" ca="1" si="396"/>
        <v>482.07306851378365</v>
      </c>
      <c r="AD791">
        <f t="shared" ca="1" si="397"/>
        <v>280.07692026646265</v>
      </c>
      <c r="AE791">
        <f t="shared" ca="1" si="398"/>
        <v>1019.7665564573041</v>
      </c>
      <c r="AF791">
        <f t="shared" ca="1" si="399"/>
        <v>482.62981620183245</v>
      </c>
      <c r="AG791">
        <f t="shared" ca="1" si="400"/>
        <v>0</v>
      </c>
      <c r="AH791">
        <f ca="1">IF(V32="Supercritical",L791,IF(V32="Subcritical",W791,IF(AND(V791=1,AG791=1),IF(T791&gt;=AE791,L791,W791),IF(V791=1,L791,IF(AG791=1,W791,MAX($D$16,POWER((ABS(K791)^2)/($I$5*MAX(F791,0.1)^2),1/3)))))))</f>
        <v>2.1403668656741068</v>
      </c>
      <c r="AI791">
        <f t="shared" ca="1" si="401"/>
        <v>634.38186686567406</v>
      </c>
      <c r="AJ791">
        <f t="shared" ca="1" si="402"/>
        <v>635.45205029851115</v>
      </c>
      <c r="AM791">
        <v>0</v>
      </c>
      <c r="AN791">
        <v>0</v>
      </c>
      <c r="AO791">
        <f t="shared" si="403"/>
        <v>0</v>
      </c>
      <c r="AP791">
        <f t="shared" ref="AP791:AP854" si="412">AP790+AO791</f>
        <v>0</v>
      </c>
      <c r="AQ791">
        <f t="shared" ca="1" si="404"/>
        <v>0.99999999999999978</v>
      </c>
      <c r="AR791" t="str">
        <f t="shared" ca="1" si="405"/>
        <v>Supercritical</v>
      </c>
      <c r="AS791">
        <f t="shared" ca="1" si="406"/>
        <v>3.8148159832266538E-3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191</v>
      </c>
      <c r="I792">
        <v>2.3E-2</v>
      </c>
      <c r="J792">
        <f t="shared" si="407"/>
        <v>1.0009999999999764</v>
      </c>
      <c r="K792">
        <f t="shared" si="408"/>
        <v>51</v>
      </c>
      <c r="L792">
        <f t="shared" ca="1" si="409"/>
        <v>0.05</v>
      </c>
      <c r="M792">
        <f t="shared" ca="1" si="382"/>
        <v>0.26</v>
      </c>
      <c r="N792">
        <f t="shared" ca="1" si="383"/>
        <v>4.9056603773584909E-2</v>
      </c>
      <c r="O792">
        <f t="shared" ca="1" si="384"/>
        <v>196.15384615384616</v>
      </c>
      <c r="P792">
        <f t="shared" ca="1" si="385"/>
        <v>632.29099999999994</v>
      </c>
      <c r="Q792">
        <f t="shared" ca="1" si="386"/>
        <v>2593.3680316486621</v>
      </c>
      <c r="R792">
        <f t="shared" ca="1" si="387"/>
        <v>482.07306851378365</v>
      </c>
      <c r="S792">
        <f t="shared" ca="1" si="388"/>
        <v>280.07692026646265</v>
      </c>
      <c r="T792">
        <f t="shared" ca="1" si="389"/>
        <v>1019.7665564573041</v>
      </c>
      <c r="U792">
        <f t="shared" ca="1" si="410"/>
        <v>-482.62981620183245</v>
      </c>
      <c r="V792">
        <f t="shared" ca="1" si="411"/>
        <v>0</v>
      </c>
      <c r="W792">
        <f t="shared" ca="1" si="390"/>
        <v>0.05</v>
      </c>
      <c r="X792">
        <f t="shared" ca="1" si="391"/>
        <v>0.26</v>
      </c>
      <c r="Y792">
        <f t="shared" ca="1" si="392"/>
        <v>4.9056603773584909E-2</v>
      </c>
      <c r="Z792">
        <f t="shared" ca="1" si="393"/>
        <v>196.15384615384616</v>
      </c>
      <c r="AA792">
        <f t="shared" ca="1" si="394"/>
        <v>632.29099999999994</v>
      </c>
      <c r="AB792">
        <f t="shared" ca="1" si="395"/>
        <v>2593.3680316486621</v>
      </c>
      <c r="AC792">
        <f t="shared" ca="1" si="396"/>
        <v>482.07306851378365</v>
      </c>
      <c r="AD792">
        <f t="shared" ca="1" si="397"/>
        <v>280.07692026646265</v>
      </c>
      <c r="AE792">
        <f t="shared" ca="1" si="398"/>
        <v>1019.7665564573041</v>
      </c>
      <c r="AF792">
        <f t="shared" ca="1" si="399"/>
        <v>481.59049544528125</v>
      </c>
      <c r="AG792">
        <f t="shared" ca="1" si="400"/>
        <v>0</v>
      </c>
      <c r="AH792">
        <f ca="1">IF(V32="Supercritical",L792,IF(V32="Subcritical",W792,IF(AND(V792=1,AG792=1),IF(T792&gt;=AE792,L792,W792),IF(V792=1,L792,IF(AG792=1,W792,MAX($D$16,POWER((ABS(K792)^2)/($I$5*MAX(F792,0.1)^2),1/3)))))))</f>
        <v>2.1403668656741068</v>
      </c>
      <c r="AI792">
        <f t="shared" ca="1" si="401"/>
        <v>634.38136686567407</v>
      </c>
      <c r="AJ792">
        <f t="shared" ca="1" si="402"/>
        <v>635.45155029851117</v>
      </c>
      <c r="AM792">
        <v>0</v>
      </c>
      <c r="AN792">
        <v>0</v>
      </c>
      <c r="AO792">
        <f t="shared" si="403"/>
        <v>0</v>
      </c>
      <c r="AP792">
        <f t="shared" si="412"/>
        <v>0</v>
      </c>
      <c r="AQ792">
        <f t="shared" ca="1" si="404"/>
        <v>0.99999999999999978</v>
      </c>
      <c r="AR792" t="str">
        <f t="shared" ca="1" si="405"/>
        <v>Supercritical</v>
      </c>
      <c r="AS792">
        <f t="shared" ca="1" si="406"/>
        <v>3.8148159832266538E-3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191</v>
      </c>
      <c r="I793">
        <v>0</v>
      </c>
      <c r="J793">
        <f t="shared" si="407"/>
        <v>0.99900000000002365</v>
      </c>
      <c r="K793">
        <f t="shared" si="408"/>
        <v>51</v>
      </c>
      <c r="L793">
        <f t="shared" ca="1" si="409"/>
        <v>0.05</v>
      </c>
      <c r="M793">
        <f t="shared" ca="1" si="382"/>
        <v>0.26</v>
      </c>
      <c r="N793">
        <f t="shared" ca="1" si="383"/>
        <v>4.9056603773584909E-2</v>
      </c>
      <c r="O793">
        <f t="shared" ca="1" si="384"/>
        <v>196.15384615384616</v>
      </c>
      <c r="P793">
        <f t="shared" ca="1" si="385"/>
        <v>632.29049999999995</v>
      </c>
      <c r="Q793">
        <f t="shared" ca="1" si="386"/>
        <v>2593.367531648662</v>
      </c>
      <c r="R793">
        <f t="shared" ca="1" si="387"/>
        <v>482.07306851378365</v>
      </c>
      <c r="S793">
        <f t="shared" ca="1" si="388"/>
        <v>280.07692026646265</v>
      </c>
      <c r="T793">
        <f t="shared" ca="1" si="389"/>
        <v>1019.7665564573041</v>
      </c>
      <c r="U793">
        <f t="shared" ca="1" si="410"/>
        <v>-481.59049544528125</v>
      </c>
      <c r="V793">
        <f t="shared" ca="1" si="411"/>
        <v>0</v>
      </c>
      <c r="W793">
        <f t="shared" ca="1" si="390"/>
        <v>0.05</v>
      </c>
      <c r="X793">
        <f t="shared" ca="1" si="391"/>
        <v>0.26</v>
      </c>
      <c r="Y793">
        <f t="shared" ca="1" si="392"/>
        <v>4.9056603773584909E-2</v>
      </c>
      <c r="Z793">
        <f t="shared" ca="1" si="393"/>
        <v>196.15384615384616</v>
      </c>
      <c r="AA793">
        <f t="shared" ca="1" si="394"/>
        <v>632.29049999999995</v>
      </c>
      <c r="AB793">
        <f t="shared" ca="1" si="395"/>
        <v>2593.367531648662</v>
      </c>
      <c r="AC793">
        <f t="shared" ca="1" si="396"/>
        <v>482.07306851378365</v>
      </c>
      <c r="AD793">
        <f t="shared" ca="1" si="397"/>
        <v>280.07692026646265</v>
      </c>
      <c r="AE793">
        <f t="shared" ca="1" si="398"/>
        <v>1019.7665564573041</v>
      </c>
      <c r="AF793">
        <f t="shared" ca="1" si="399"/>
        <v>482.16081698020844</v>
      </c>
      <c r="AG793">
        <f t="shared" ca="1" si="400"/>
        <v>0</v>
      </c>
      <c r="AH793">
        <f ca="1">IF(V32="Supercritical",L793,IF(V32="Subcritical",W793,IF(AND(V793=1,AG793=1),IF(T793&gt;=AE793,L793,W793),IF(V793=1,L793,IF(AG793=1,W793,MAX($D$16,POWER((ABS(K793)^2)/($I$5*MAX(F793,0.1)^2),1/3)))))))</f>
        <v>2.1403668656741068</v>
      </c>
      <c r="AI793">
        <f t="shared" ca="1" si="401"/>
        <v>634.38086686567408</v>
      </c>
      <c r="AJ793">
        <f t="shared" ca="1" si="402"/>
        <v>635.45105029851118</v>
      </c>
      <c r="AM793">
        <v>0</v>
      </c>
      <c r="AN793">
        <v>0</v>
      </c>
      <c r="AO793">
        <f t="shared" si="403"/>
        <v>0</v>
      </c>
      <c r="AP793">
        <f t="shared" si="412"/>
        <v>0</v>
      </c>
      <c r="AQ793">
        <f t="shared" ca="1" si="404"/>
        <v>0.99999999999999978</v>
      </c>
      <c r="AR793" t="str">
        <f t="shared" ca="1" si="405"/>
        <v>Supercritical</v>
      </c>
      <c r="AS793">
        <f t="shared" ca="1" si="406"/>
        <v>3.8148159832266538E-3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191</v>
      </c>
      <c r="I794">
        <v>2.7E-2</v>
      </c>
      <c r="J794">
        <f t="shared" si="407"/>
        <v>1</v>
      </c>
      <c r="K794">
        <f t="shared" si="408"/>
        <v>51</v>
      </c>
      <c r="L794">
        <f t="shared" ca="1" si="409"/>
        <v>0.05</v>
      </c>
      <c r="M794">
        <f t="shared" ca="1" si="382"/>
        <v>0.26</v>
      </c>
      <c r="N794">
        <f t="shared" ca="1" si="383"/>
        <v>4.9056603773584909E-2</v>
      </c>
      <c r="O794">
        <f t="shared" ca="1" si="384"/>
        <v>196.15384615384616</v>
      </c>
      <c r="P794">
        <f t="shared" ca="1" si="385"/>
        <v>632.29</v>
      </c>
      <c r="Q794">
        <f t="shared" ca="1" si="386"/>
        <v>2593.3670316486623</v>
      </c>
      <c r="R794">
        <f t="shared" ca="1" si="387"/>
        <v>482.07306851378365</v>
      </c>
      <c r="S794">
        <f t="shared" ca="1" si="388"/>
        <v>280.07692026646265</v>
      </c>
      <c r="T794">
        <f t="shared" ca="1" si="389"/>
        <v>1019.7665564573041</v>
      </c>
      <c r="U794">
        <f t="shared" ca="1" si="410"/>
        <v>-482.16081698020844</v>
      </c>
      <c r="V794">
        <f t="shared" ca="1" si="411"/>
        <v>0</v>
      </c>
      <c r="W794">
        <f t="shared" ca="1" si="390"/>
        <v>0.05</v>
      </c>
      <c r="X794">
        <f t="shared" ca="1" si="391"/>
        <v>0.26</v>
      </c>
      <c r="Y794">
        <f t="shared" ca="1" si="392"/>
        <v>4.9056603773584909E-2</v>
      </c>
      <c r="Z794">
        <f t="shared" ca="1" si="393"/>
        <v>196.15384615384616</v>
      </c>
      <c r="AA794">
        <f t="shared" ca="1" si="394"/>
        <v>632.29</v>
      </c>
      <c r="AB794">
        <f t="shared" ca="1" si="395"/>
        <v>2593.3670316486623</v>
      </c>
      <c r="AC794">
        <f t="shared" ca="1" si="396"/>
        <v>482.07306851378365</v>
      </c>
      <c r="AD794">
        <f t="shared" ca="1" si="397"/>
        <v>280.07692026646265</v>
      </c>
      <c r="AE794">
        <f t="shared" ca="1" si="398"/>
        <v>1019.7665564573041</v>
      </c>
      <c r="AF794">
        <f t="shared" ca="1" si="399"/>
        <v>482.32750852789786</v>
      </c>
      <c r="AG794">
        <f t="shared" ca="1" si="400"/>
        <v>0</v>
      </c>
      <c r="AH794">
        <f ca="1">IF(V32="Supercritical",L794,IF(V32="Subcritical",W794,IF(AND(V794=1,AG794=1),IF(T794&gt;=AE794,L794,W794),IF(V794=1,L794,IF(AG794=1,W794,MAX($D$16,POWER((ABS(K794)^2)/($I$5*MAX(F794,0.1)^2),1/3)))))))</f>
        <v>2.1403668656741068</v>
      </c>
      <c r="AI794">
        <f t="shared" ca="1" si="401"/>
        <v>634.38036686567409</v>
      </c>
      <c r="AJ794">
        <f t="shared" ca="1" si="402"/>
        <v>635.45055029851119</v>
      </c>
      <c r="AM794">
        <v>0</v>
      </c>
      <c r="AN794">
        <v>0</v>
      </c>
      <c r="AO794">
        <f t="shared" si="403"/>
        <v>0</v>
      </c>
      <c r="AP794">
        <f t="shared" si="412"/>
        <v>0</v>
      </c>
      <c r="AQ794">
        <f t="shared" ca="1" si="404"/>
        <v>0.99999999999999978</v>
      </c>
      <c r="AR794" t="str">
        <f t="shared" ca="1" si="405"/>
        <v>Supercritical</v>
      </c>
      <c r="AS794">
        <f t="shared" ca="1" si="406"/>
        <v>3.8148159832266538E-3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191</v>
      </c>
      <c r="I795">
        <v>7.8E-2</v>
      </c>
      <c r="J795">
        <f t="shared" si="407"/>
        <v>1</v>
      </c>
      <c r="K795">
        <f t="shared" si="408"/>
        <v>51</v>
      </c>
      <c r="L795">
        <f t="shared" ca="1" si="409"/>
        <v>0.05</v>
      </c>
      <c r="M795">
        <f t="shared" ca="1" si="382"/>
        <v>0.26</v>
      </c>
      <c r="N795">
        <f t="shared" ca="1" si="383"/>
        <v>4.9056603773584909E-2</v>
      </c>
      <c r="O795">
        <f t="shared" ca="1" si="384"/>
        <v>196.15384615384616</v>
      </c>
      <c r="P795">
        <f t="shared" ca="1" si="385"/>
        <v>632.28949999999998</v>
      </c>
      <c r="Q795">
        <f t="shared" ca="1" si="386"/>
        <v>2593.3665316486622</v>
      </c>
      <c r="R795">
        <f t="shared" ca="1" si="387"/>
        <v>482.07306851378365</v>
      </c>
      <c r="S795">
        <f t="shared" ca="1" si="388"/>
        <v>280.07692026646265</v>
      </c>
      <c r="T795">
        <f t="shared" ca="1" si="389"/>
        <v>1019.7665564573041</v>
      </c>
      <c r="U795">
        <f t="shared" ca="1" si="410"/>
        <v>-482.32750852789786</v>
      </c>
      <c r="V795">
        <f t="shared" ca="1" si="411"/>
        <v>0</v>
      </c>
      <c r="W795">
        <f t="shared" ca="1" si="390"/>
        <v>0.05</v>
      </c>
      <c r="X795">
        <f t="shared" ca="1" si="391"/>
        <v>0.26</v>
      </c>
      <c r="Y795">
        <f t="shared" ca="1" si="392"/>
        <v>4.9056603773584909E-2</v>
      </c>
      <c r="Z795">
        <f t="shared" ca="1" si="393"/>
        <v>196.15384615384616</v>
      </c>
      <c r="AA795">
        <f t="shared" ca="1" si="394"/>
        <v>632.28949999999998</v>
      </c>
      <c r="AB795">
        <f t="shared" ca="1" si="395"/>
        <v>2593.3665316486622</v>
      </c>
      <c r="AC795">
        <f t="shared" ca="1" si="396"/>
        <v>482.07306851378365</v>
      </c>
      <c r="AD795">
        <f t="shared" ca="1" si="397"/>
        <v>280.07692026646265</v>
      </c>
      <c r="AE795">
        <f t="shared" ca="1" si="398"/>
        <v>1019.7665564573041</v>
      </c>
      <c r="AF795">
        <f t="shared" ca="1" si="399"/>
        <v>482.32750852789786</v>
      </c>
      <c r="AG795">
        <f t="shared" ca="1" si="400"/>
        <v>0</v>
      </c>
      <c r="AH795">
        <f ca="1">IF(V32="Supercritical",L795,IF(V32="Subcritical",W795,IF(AND(V795=1,AG795=1),IF(T795&gt;=AE795,L795,W795),IF(V795=1,L795,IF(AG795=1,W795,MAX($D$16,POWER((ABS(K795)^2)/($I$5*MAX(F795,0.1)^2),1/3)))))))</f>
        <v>2.1403668656741068</v>
      </c>
      <c r="AI795">
        <f t="shared" ca="1" si="401"/>
        <v>634.3798668656741</v>
      </c>
      <c r="AJ795">
        <f t="shared" ca="1" si="402"/>
        <v>635.4500502985112</v>
      </c>
      <c r="AM795">
        <v>0</v>
      </c>
      <c r="AN795">
        <v>0</v>
      </c>
      <c r="AO795">
        <f t="shared" si="403"/>
        <v>0</v>
      </c>
      <c r="AP795">
        <f t="shared" si="412"/>
        <v>0</v>
      </c>
      <c r="AQ795">
        <f t="shared" ca="1" si="404"/>
        <v>0.99999999999999978</v>
      </c>
      <c r="AR795" t="str">
        <f t="shared" ca="1" si="405"/>
        <v>Supercritical</v>
      </c>
      <c r="AS795">
        <f t="shared" ca="1" si="406"/>
        <v>3.8148159832266538E-3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191</v>
      </c>
      <c r="I796">
        <v>7.8E-2</v>
      </c>
      <c r="J796">
        <f t="shared" si="407"/>
        <v>1</v>
      </c>
      <c r="K796">
        <f t="shared" si="408"/>
        <v>51</v>
      </c>
      <c r="L796">
        <f t="shared" ca="1" si="409"/>
        <v>0.05</v>
      </c>
      <c r="M796">
        <f t="shared" ca="1" si="382"/>
        <v>0.26</v>
      </c>
      <c r="N796">
        <f t="shared" ca="1" si="383"/>
        <v>4.9056603773584909E-2</v>
      </c>
      <c r="O796">
        <f t="shared" ca="1" si="384"/>
        <v>196.15384615384616</v>
      </c>
      <c r="P796">
        <f t="shared" ca="1" si="385"/>
        <v>632.28899999999999</v>
      </c>
      <c r="Q796">
        <f t="shared" ca="1" si="386"/>
        <v>2593.3660316486621</v>
      </c>
      <c r="R796">
        <f t="shared" ca="1" si="387"/>
        <v>482.07306851378365</v>
      </c>
      <c r="S796">
        <f t="shared" ca="1" si="388"/>
        <v>280.07692026646265</v>
      </c>
      <c r="T796">
        <f t="shared" ca="1" si="389"/>
        <v>1019.7665564573041</v>
      </c>
      <c r="U796">
        <f t="shared" ca="1" si="410"/>
        <v>-482.32750852789786</v>
      </c>
      <c r="V796">
        <f t="shared" ca="1" si="411"/>
        <v>0</v>
      </c>
      <c r="W796">
        <f t="shared" ca="1" si="390"/>
        <v>0.05</v>
      </c>
      <c r="X796">
        <f t="shared" ca="1" si="391"/>
        <v>0.26</v>
      </c>
      <c r="Y796">
        <f t="shared" ca="1" si="392"/>
        <v>4.9056603773584909E-2</v>
      </c>
      <c r="Z796">
        <f t="shared" ca="1" si="393"/>
        <v>196.15384615384616</v>
      </c>
      <c r="AA796">
        <f t="shared" ca="1" si="394"/>
        <v>632.28899999999999</v>
      </c>
      <c r="AB796">
        <f t="shared" ca="1" si="395"/>
        <v>2593.3660316486621</v>
      </c>
      <c r="AC796">
        <f t="shared" ca="1" si="396"/>
        <v>482.07306851378365</v>
      </c>
      <c r="AD796">
        <f t="shared" ca="1" si="397"/>
        <v>280.07692026646265</v>
      </c>
      <c r="AE796">
        <f t="shared" ca="1" si="398"/>
        <v>1019.7665564573041</v>
      </c>
      <c r="AF796">
        <f t="shared" ca="1" si="399"/>
        <v>482.64289004871034</v>
      </c>
      <c r="AG796">
        <f t="shared" ca="1" si="400"/>
        <v>0</v>
      </c>
      <c r="AH796">
        <f ca="1">IF(V32="Supercritical",L796,IF(V32="Subcritical",W796,IF(AND(V796=1,AG796=1),IF(T796&gt;=AE796,L796,W796),IF(V796=1,L796,IF(AG796=1,W796,MAX($D$16,POWER((ABS(K796)^2)/($I$5*MAX(F796,0.1)^2),1/3)))))))</f>
        <v>2.1403668656741068</v>
      </c>
      <c r="AI796">
        <f t="shared" ca="1" si="401"/>
        <v>634.37936686567411</v>
      </c>
      <c r="AJ796">
        <f t="shared" ca="1" si="402"/>
        <v>635.44955029851121</v>
      </c>
      <c r="AM796">
        <v>0</v>
      </c>
      <c r="AN796">
        <v>0</v>
      </c>
      <c r="AO796">
        <f t="shared" si="403"/>
        <v>0</v>
      </c>
      <c r="AP796">
        <f t="shared" si="412"/>
        <v>0</v>
      </c>
      <c r="AQ796">
        <f t="shared" ca="1" si="404"/>
        <v>0.99999999999999978</v>
      </c>
      <c r="AR796" t="str">
        <f t="shared" ca="1" si="405"/>
        <v>Supercritical</v>
      </c>
      <c r="AS796">
        <f t="shared" ca="1" si="406"/>
        <v>3.8148159832266538E-3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191</v>
      </c>
      <c r="I797">
        <v>2.7E-2</v>
      </c>
      <c r="J797">
        <f t="shared" si="407"/>
        <v>1.0009999999999764</v>
      </c>
      <c r="K797">
        <f t="shared" si="408"/>
        <v>51</v>
      </c>
      <c r="L797">
        <f t="shared" ca="1" si="409"/>
        <v>0.05</v>
      </c>
      <c r="M797">
        <f t="shared" ca="1" si="382"/>
        <v>0.26</v>
      </c>
      <c r="N797">
        <f t="shared" ca="1" si="383"/>
        <v>4.9056603773584909E-2</v>
      </c>
      <c r="O797">
        <f t="shared" ca="1" si="384"/>
        <v>196.15384615384616</v>
      </c>
      <c r="P797">
        <f t="shared" ca="1" si="385"/>
        <v>632.2885</v>
      </c>
      <c r="Q797">
        <f t="shared" ca="1" si="386"/>
        <v>2593.365531648662</v>
      </c>
      <c r="R797">
        <f t="shared" ca="1" si="387"/>
        <v>482.07306851378365</v>
      </c>
      <c r="S797">
        <f t="shared" ca="1" si="388"/>
        <v>280.07692026646265</v>
      </c>
      <c r="T797">
        <f t="shared" ca="1" si="389"/>
        <v>1019.7665564573041</v>
      </c>
      <c r="U797">
        <f t="shared" ca="1" si="410"/>
        <v>-482.64289004871034</v>
      </c>
      <c r="V797">
        <f t="shared" ca="1" si="411"/>
        <v>0</v>
      </c>
      <c r="W797">
        <f t="shared" ca="1" si="390"/>
        <v>0.05</v>
      </c>
      <c r="X797">
        <f t="shared" ca="1" si="391"/>
        <v>0.26</v>
      </c>
      <c r="Y797">
        <f t="shared" ca="1" si="392"/>
        <v>4.9056603773584909E-2</v>
      </c>
      <c r="Z797">
        <f t="shared" ca="1" si="393"/>
        <v>196.15384615384616</v>
      </c>
      <c r="AA797">
        <f t="shared" ca="1" si="394"/>
        <v>632.2885</v>
      </c>
      <c r="AB797">
        <f t="shared" ca="1" si="395"/>
        <v>2593.365531648662</v>
      </c>
      <c r="AC797">
        <f t="shared" ca="1" si="396"/>
        <v>482.07306851378365</v>
      </c>
      <c r="AD797">
        <f t="shared" ca="1" si="397"/>
        <v>280.07692026646265</v>
      </c>
      <c r="AE797">
        <f t="shared" ca="1" si="398"/>
        <v>1019.7665564573041</v>
      </c>
      <c r="AF797">
        <f t="shared" ca="1" si="399"/>
        <v>481.59049544528125</v>
      </c>
      <c r="AG797">
        <f t="shared" ca="1" si="400"/>
        <v>0</v>
      </c>
      <c r="AH797">
        <f ca="1">IF(V32="Supercritical",L797,IF(V32="Subcritical",W797,IF(AND(V797=1,AG797=1),IF(T797&gt;=AE797,L797,W797),IF(V797=1,L797,IF(AG797=1,W797,MAX($D$16,POWER((ABS(K797)^2)/($I$5*MAX(F797,0.1)^2),1/3)))))))</f>
        <v>2.1403668656741068</v>
      </c>
      <c r="AI797">
        <f t="shared" ca="1" si="401"/>
        <v>634.37886686567413</v>
      </c>
      <c r="AJ797">
        <f t="shared" ca="1" si="402"/>
        <v>635.44905029851122</v>
      </c>
      <c r="AM797">
        <v>0</v>
      </c>
      <c r="AN797">
        <v>0</v>
      </c>
      <c r="AO797">
        <f t="shared" si="403"/>
        <v>0</v>
      </c>
      <c r="AP797">
        <f t="shared" si="412"/>
        <v>0</v>
      </c>
      <c r="AQ797">
        <f t="shared" ca="1" si="404"/>
        <v>0.99999999999999978</v>
      </c>
      <c r="AR797" t="str">
        <f t="shared" ca="1" si="405"/>
        <v>Supercritical</v>
      </c>
      <c r="AS797">
        <f t="shared" ca="1" si="406"/>
        <v>3.8148159832266538E-3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191</v>
      </c>
      <c r="I798">
        <v>0</v>
      </c>
      <c r="J798">
        <f t="shared" si="407"/>
        <v>0.99900000000002365</v>
      </c>
      <c r="K798">
        <f t="shared" si="408"/>
        <v>51</v>
      </c>
      <c r="L798">
        <f t="shared" ca="1" si="409"/>
        <v>0.05</v>
      </c>
      <c r="M798">
        <f t="shared" ca="1" si="382"/>
        <v>0.26</v>
      </c>
      <c r="N798">
        <f t="shared" ca="1" si="383"/>
        <v>4.9056603773584909E-2</v>
      </c>
      <c r="O798">
        <f t="shared" ca="1" si="384"/>
        <v>196.15384615384616</v>
      </c>
      <c r="P798">
        <f t="shared" ca="1" si="385"/>
        <v>632.28800000000001</v>
      </c>
      <c r="Q798">
        <f t="shared" ca="1" si="386"/>
        <v>2593.3650316486619</v>
      </c>
      <c r="R798">
        <f t="shared" ca="1" si="387"/>
        <v>482.07306851378365</v>
      </c>
      <c r="S798">
        <f t="shared" ca="1" si="388"/>
        <v>280.07692026646265</v>
      </c>
      <c r="T798">
        <f t="shared" ca="1" si="389"/>
        <v>1019.7665564573041</v>
      </c>
      <c r="U798">
        <f t="shared" ca="1" si="410"/>
        <v>-481.59049544528125</v>
      </c>
      <c r="V798">
        <f t="shared" ca="1" si="411"/>
        <v>0</v>
      </c>
      <c r="W798">
        <f t="shared" ca="1" si="390"/>
        <v>0.05</v>
      </c>
      <c r="X798">
        <f t="shared" ca="1" si="391"/>
        <v>0.26</v>
      </c>
      <c r="Y798">
        <f t="shared" ca="1" si="392"/>
        <v>4.9056603773584909E-2</v>
      </c>
      <c r="Z798">
        <f t="shared" ca="1" si="393"/>
        <v>196.15384615384616</v>
      </c>
      <c r="AA798">
        <f t="shared" ca="1" si="394"/>
        <v>632.28800000000001</v>
      </c>
      <c r="AB798">
        <f t="shared" ca="1" si="395"/>
        <v>2593.3650316486619</v>
      </c>
      <c r="AC798">
        <f t="shared" ca="1" si="396"/>
        <v>482.07306851378365</v>
      </c>
      <c r="AD798">
        <f t="shared" ca="1" si="397"/>
        <v>280.07692026646265</v>
      </c>
      <c r="AE798">
        <f t="shared" ca="1" si="398"/>
        <v>1019.7665564573041</v>
      </c>
      <c r="AF798">
        <f t="shared" ca="1" si="399"/>
        <v>482.1477431333301</v>
      </c>
      <c r="AG798">
        <f t="shared" ca="1" si="400"/>
        <v>0</v>
      </c>
      <c r="AH798">
        <f ca="1">IF(V32="Supercritical",L798,IF(V32="Subcritical",W798,IF(AND(V798=1,AG798=1),IF(T798&gt;=AE798,L798,W798),IF(V798=1,L798,IF(AG798=1,W798,MAX($D$16,POWER((ABS(K798)^2)/($I$5*MAX(F798,0.1)^2),1/3)))))))</f>
        <v>2.1403668656741068</v>
      </c>
      <c r="AI798">
        <f t="shared" ca="1" si="401"/>
        <v>634.37836686567414</v>
      </c>
      <c r="AJ798">
        <f t="shared" ca="1" si="402"/>
        <v>635.44855029851124</v>
      </c>
      <c r="AM798">
        <v>0</v>
      </c>
      <c r="AN798">
        <v>0</v>
      </c>
      <c r="AO798">
        <f t="shared" si="403"/>
        <v>0</v>
      </c>
      <c r="AP798">
        <f t="shared" si="412"/>
        <v>0</v>
      </c>
      <c r="AQ798">
        <f t="shared" ca="1" si="404"/>
        <v>0.99999999999999978</v>
      </c>
      <c r="AR798" t="str">
        <f t="shared" ca="1" si="405"/>
        <v>Supercritical</v>
      </c>
      <c r="AS798">
        <f t="shared" ca="1" si="406"/>
        <v>3.8148159832266538E-3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191</v>
      </c>
      <c r="I799">
        <v>2.3E-2</v>
      </c>
      <c r="J799">
        <f t="shared" si="407"/>
        <v>1</v>
      </c>
      <c r="K799">
        <f t="shared" si="408"/>
        <v>51</v>
      </c>
      <c r="L799">
        <f t="shared" ca="1" si="409"/>
        <v>0.05</v>
      </c>
      <c r="M799">
        <f t="shared" ca="1" si="382"/>
        <v>0.26</v>
      </c>
      <c r="N799">
        <f t="shared" ca="1" si="383"/>
        <v>4.9056603773584909E-2</v>
      </c>
      <c r="O799">
        <f t="shared" ca="1" si="384"/>
        <v>196.15384615384616</v>
      </c>
      <c r="P799">
        <f t="shared" ca="1" si="385"/>
        <v>632.28749999999991</v>
      </c>
      <c r="Q799">
        <f t="shared" ca="1" si="386"/>
        <v>2593.3645316486618</v>
      </c>
      <c r="R799">
        <f t="shared" ca="1" si="387"/>
        <v>482.07306851378365</v>
      </c>
      <c r="S799">
        <f t="shared" ca="1" si="388"/>
        <v>280.07692026646265</v>
      </c>
      <c r="T799">
        <f t="shared" ca="1" si="389"/>
        <v>1019.7665564573041</v>
      </c>
      <c r="U799">
        <f t="shared" ca="1" si="410"/>
        <v>-482.1477431333301</v>
      </c>
      <c r="V799">
        <f t="shared" ca="1" si="411"/>
        <v>0</v>
      </c>
      <c r="W799">
        <f t="shared" ca="1" si="390"/>
        <v>0.05</v>
      </c>
      <c r="X799">
        <f t="shared" ca="1" si="391"/>
        <v>0.26</v>
      </c>
      <c r="Y799">
        <f t="shared" ca="1" si="392"/>
        <v>4.9056603773584909E-2</v>
      </c>
      <c r="Z799">
        <f t="shared" ca="1" si="393"/>
        <v>196.15384615384616</v>
      </c>
      <c r="AA799">
        <f t="shared" ca="1" si="394"/>
        <v>632.28749999999991</v>
      </c>
      <c r="AB799">
        <f t="shared" ca="1" si="395"/>
        <v>2593.3645316486618</v>
      </c>
      <c r="AC799">
        <f t="shared" ca="1" si="396"/>
        <v>482.07306851378365</v>
      </c>
      <c r="AD799">
        <f t="shared" ca="1" si="397"/>
        <v>280.07692026646265</v>
      </c>
      <c r="AE799">
        <f t="shared" ca="1" si="398"/>
        <v>1019.7665564573041</v>
      </c>
      <c r="AF799">
        <f t="shared" ca="1" si="399"/>
        <v>482.62981620183291</v>
      </c>
      <c r="AG799">
        <f t="shared" ca="1" si="400"/>
        <v>0</v>
      </c>
      <c r="AH799">
        <f ca="1">IF(V32="Supercritical",L799,IF(V32="Subcritical",W799,IF(AND(V799=1,AG799=1),IF(T799&gt;=AE799,L799,W799),IF(V799=1,L799,IF(AG799=1,W799,MAX($D$16,POWER((ABS(K799)^2)/($I$5*MAX(F799,0.1)^2),1/3)))))))</f>
        <v>2.1403668656741068</v>
      </c>
      <c r="AI799">
        <f t="shared" ca="1" si="401"/>
        <v>634.37786686567404</v>
      </c>
      <c r="AJ799">
        <f t="shared" ca="1" si="402"/>
        <v>635.44805029851113</v>
      </c>
      <c r="AM799">
        <v>0</v>
      </c>
      <c r="AN799">
        <v>0</v>
      </c>
      <c r="AO799">
        <f t="shared" si="403"/>
        <v>0</v>
      </c>
      <c r="AP799">
        <f t="shared" si="412"/>
        <v>0</v>
      </c>
      <c r="AQ799">
        <f t="shared" ca="1" si="404"/>
        <v>0.99999999999999978</v>
      </c>
      <c r="AR799" t="str">
        <f t="shared" ca="1" si="405"/>
        <v>Supercritical</v>
      </c>
      <c r="AS799">
        <f t="shared" ca="1" si="406"/>
        <v>3.8148159832266538E-3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191</v>
      </c>
      <c r="I800">
        <v>2.3E-2</v>
      </c>
      <c r="J800">
        <f t="shared" si="407"/>
        <v>1.0009999999999764</v>
      </c>
      <c r="K800">
        <f t="shared" si="408"/>
        <v>51</v>
      </c>
      <c r="L800">
        <f t="shared" ca="1" si="409"/>
        <v>0.05</v>
      </c>
      <c r="M800">
        <f t="shared" ca="1" si="382"/>
        <v>0.26</v>
      </c>
      <c r="N800">
        <f t="shared" ca="1" si="383"/>
        <v>4.9056603773584909E-2</v>
      </c>
      <c r="O800">
        <f t="shared" ca="1" si="384"/>
        <v>196.15384615384616</v>
      </c>
      <c r="P800">
        <f t="shared" ca="1" si="385"/>
        <v>632.28699999999992</v>
      </c>
      <c r="Q800">
        <f t="shared" ca="1" si="386"/>
        <v>2593.3640316486621</v>
      </c>
      <c r="R800">
        <f t="shared" ca="1" si="387"/>
        <v>482.07306851378365</v>
      </c>
      <c r="S800">
        <f t="shared" ca="1" si="388"/>
        <v>280.07692026646265</v>
      </c>
      <c r="T800">
        <f t="shared" ca="1" si="389"/>
        <v>1019.7665564573041</v>
      </c>
      <c r="U800">
        <f t="shared" ca="1" si="410"/>
        <v>-482.62981620183291</v>
      </c>
      <c r="V800">
        <f t="shared" ca="1" si="411"/>
        <v>0</v>
      </c>
      <c r="W800">
        <f t="shared" ca="1" si="390"/>
        <v>0.05</v>
      </c>
      <c r="X800">
        <f t="shared" ca="1" si="391"/>
        <v>0.26</v>
      </c>
      <c r="Y800">
        <f t="shared" ca="1" si="392"/>
        <v>4.9056603773584909E-2</v>
      </c>
      <c r="Z800">
        <f t="shared" ca="1" si="393"/>
        <v>196.15384615384616</v>
      </c>
      <c r="AA800">
        <f t="shared" ca="1" si="394"/>
        <v>632.28699999999992</v>
      </c>
      <c r="AB800">
        <f t="shared" ca="1" si="395"/>
        <v>2593.3640316486621</v>
      </c>
      <c r="AC800">
        <f t="shared" ca="1" si="396"/>
        <v>482.07306851378365</v>
      </c>
      <c r="AD800">
        <f t="shared" ca="1" si="397"/>
        <v>280.07692026646265</v>
      </c>
      <c r="AE800">
        <f t="shared" ca="1" si="398"/>
        <v>1019.7665564573041</v>
      </c>
      <c r="AF800">
        <f t="shared" ca="1" si="399"/>
        <v>481.67874391170562</v>
      </c>
      <c r="AG800">
        <f t="shared" ca="1" si="400"/>
        <v>0</v>
      </c>
      <c r="AH800">
        <f ca="1">IF(V32="Supercritical",L800,IF(V32="Subcritical",W800,IF(AND(V800=1,AG800=1),IF(T800&gt;=AE800,L800,W800),IF(V800=1,L800,IF(AG800=1,W800,MAX($D$16,POWER((ABS(K800)^2)/($I$5*MAX(F800,0.1)^2),1/3)))))))</f>
        <v>2.1403668656741068</v>
      </c>
      <c r="AI800">
        <f t="shared" ca="1" si="401"/>
        <v>634.37736686567405</v>
      </c>
      <c r="AJ800">
        <f t="shared" ca="1" si="402"/>
        <v>635.44755029851115</v>
      </c>
      <c r="AM800">
        <v>0</v>
      </c>
      <c r="AN800">
        <v>0</v>
      </c>
      <c r="AO800">
        <f t="shared" si="403"/>
        <v>0</v>
      </c>
      <c r="AP800">
        <f t="shared" si="412"/>
        <v>0</v>
      </c>
      <c r="AQ800">
        <f t="shared" ca="1" si="404"/>
        <v>0.99999999999999978</v>
      </c>
      <c r="AR800" t="str">
        <f t="shared" ca="1" si="405"/>
        <v>Supercritical</v>
      </c>
      <c r="AS800">
        <f t="shared" ca="1" si="406"/>
        <v>3.8148159832266538E-3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191</v>
      </c>
      <c r="I801">
        <v>2.7E-2</v>
      </c>
      <c r="J801">
        <f t="shared" si="407"/>
        <v>0.99900000000002365</v>
      </c>
      <c r="K801">
        <f t="shared" si="408"/>
        <v>51</v>
      </c>
      <c r="L801">
        <f t="shared" ca="1" si="409"/>
        <v>0.05</v>
      </c>
      <c r="M801">
        <f t="shared" ca="1" si="382"/>
        <v>0.26</v>
      </c>
      <c r="N801">
        <f t="shared" ca="1" si="383"/>
        <v>4.9056603773584909E-2</v>
      </c>
      <c r="O801">
        <f t="shared" ca="1" si="384"/>
        <v>196.15384615384616</v>
      </c>
      <c r="P801">
        <f t="shared" ca="1" si="385"/>
        <v>632.28649999999993</v>
      </c>
      <c r="Q801">
        <f t="shared" ca="1" si="386"/>
        <v>2593.363531648662</v>
      </c>
      <c r="R801">
        <f t="shared" ca="1" si="387"/>
        <v>482.07306851378365</v>
      </c>
      <c r="S801">
        <f t="shared" ca="1" si="388"/>
        <v>280.07692026646265</v>
      </c>
      <c r="T801">
        <f t="shared" ca="1" si="389"/>
        <v>1019.7665564573041</v>
      </c>
      <c r="U801">
        <f t="shared" ca="1" si="410"/>
        <v>-481.67874391170562</v>
      </c>
      <c r="V801">
        <f t="shared" ca="1" si="411"/>
        <v>0</v>
      </c>
      <c r="W801">
        <f t="shared" ca="1" si="390"/>
        <v>0.05</v>
      </c>
      <c r="X801">
        <f t="shared" ca="1" si="391"/>
        <v>0.26</v>
      </c>
      <c r="Y801">
        <f t="shared" ca="1" si="392"/>
        <v>4.9056603773584909E-2</v>
      </c>
      <c r="Z801">
        <f t="shared" ca="1" si="393"/>
        <v>196.15384615384616</v>
      </c>
      <c r="AA801">
        <f t="shared" ca="1" si="394"/>
        <v>632.28649999999993</v>
      </c>
      <c r="AB801">
        <f t="shared" ca="1" si="395"/>
        <v>2593.363531648662</v>
      </c>
      <c r="AC801">
        <f t="shared" ca="1" si="396"/>
        <v>482.07306851378365</v>
      </c>
      <c r="AD801">
        <f t="shared" ca="1" si="397"/>
        <v>280.07692026646265</v>
      </c>
      <c r="AE801">
        <f t="shared" ca="1" si="398"/>
        <v>1019.7665564573041</v>
      </c>
      <c r="AF801">
        <f t="shared" ca="1" si="399"/>
        <v>482.64289004871034</v>
      </c>
      <c r="AG801">
        <f t="shared" ca="1" si="400"/>
        <v>0</v>
      </c>
      <c r="AH801">
        <f ca="1">IF(V32="Supercritical",L801,IF(V32="Subcritical",W801,IF(AND(V801=1,AG801=1),IF(T801&gt;=AE801,L801,W801),IF(V801=1,L801,IF(AG801=1,W801,MAX($D$16,POWER((ABS(K801)^2)/($I$5*MAX(F801,0.1)^2),1/3)))))))</f>
        <v>2.1403668656741068</v>
      </c>
      <c r="AI801">
        <f t="shared" ca="1" si="401"/>
        <v>634.37686686567406</v>
      </c>
      <c r="AJ801">
        <f t="shared" ca="1" si="402"/>
        <v>635.44705029851116</v>
      </c>
      <c r="AM801">
        <v>0</v>
      </c>
      <c r="AN801">
        <v>0</v>
      </c>
      <c r="AO801">
        <f t="shared" si="403"/>
        <v>0</v>
      </c>
      <c r="AP801">
        <f t="shared" si="412"/>
        <v>0</v>
      </c>
      <c r="AQ801">
        <f t="shared" ca="1" si="404"/>
        <v>0.99999999999999978</v>
      </c>
      <c r="AR801" t="str">
        <f t="shared" ca="1" si="405"/>
        <v>Supercritical</v>
      </c>
      <c r="AS801">
        <f t="shared" ca="1" si="406"/>
        <v>3.8148159832266538E-3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191</v>
      </c>
      <c r="I802">
        <v>2.7E-2</v>
      </c>
      <c r="J802">
        <f t="shared" si="407"/>
        <v>1.0009999999999764</v>
      </c>
      <c r="K802">
        <f t="shared" si="408"/>
        <v>51</v>
      </c>
      <c r="L802">
        <f t="shared" ca="1" si="409"/>
        <v>0.05</v>
      </c>
      <c r="M802">
        <f t="shared" ca="1" si="382"/>
        <v>0.26</v>
      </c>
      <c r="N802">
        <f t="shared" ca="1" si="383"/>
        <v>4.9056603773584909E-2</v>
      </c>
      <c r="O802">
        <f t="shared" ca="1" si="384"/>
        <v>196.15384615384616</v>
      </c>
      <c r="P802">
        <f t="shared" ca="1" si="385"/>
        <v>632.28599999999994</v>
      </c>
      <c r="Q802">
        <f t="shared" ca="1" si="386"/>
        <v>2593.3630316486619</v>
      </c>
      <c r="R802">
        <f t="shared" ca="1" si="387"/>
        <v>482.07306851378365</v>
      </c>
      <c r="S802">
        <f t="shared" ca="1" si="388"/>
        <v>280.07692026646265</v>
      </c>
      <c r="T802">
        <f t="shared" ca="1" si="389"/>
        <v>1019.7665564573041</v>
      </c>
      <c r="U802">
        <f t="shared" ca="1" si="410"/>
        <v>-482.64289004871034</v>
      </c>
      <c r="V802">
        <f t="shared" ca="1" si="411"/>
        <v>0</v>
      </c>
      <c r="W802">
        <f t="shared" ca="1" si="390"/>
        <v>0.05</v>
      </c>
      <c r="X802">
        <f t="shared" ca="1" si="391"/>
        <v>0.26</v>
      </c>
      <c r="Y802">
        <f t="shared" ca="1" si="392"/>
        <v>4.9056603773584909E-2</v>
      </c>
      <c r="Z802">
        <f t="shared" ca="1" si="393"/>
        <v>196.15384615384616</v>
      </c>
      <c r="AA802">
        <f t="shared" ca="1" si="394"/>
        <v>632.28599999999994</v>
      </c>
      <c r="AB802">
        <f t="shared" ca="1" si="395"/>
        <v>2593.3630316486619</v>
      </c>
      <c r="AC802">
        <f t="shared" ca="1" si="396"/>
        <v>482.07306851378365</v>
      </c>
      <c r="AD802">
        <f t="shared" ca="1" si="397"/>
        <v>280.07692026646265</v>
      </c>
      <c r="AE802">
        <f t="shared" ca="1" si="398"/>
        <v>1019.7665564573041</v>
      </c>
      <c r="AF802">
        <f t="shared" ca="1" si="399"/>
        <v>481.5904954452817</v>
      </c>
      <c r="AG802">
        <f t="shared" ca="1" si="400"/>
        <v>0</v>
      </c>
      <c r="AH802">
        <f ca="1">IF(V32="Supercritical",L802,IF(V32="Subcritical",W802,IF(AND(V802=1,AG802=1),IF(T802&gt;=AE802,L802,W802),IF(V802=1,L802,IF(AG802=1,W802,MAX($D$16,POWER((ABS(K802)^2)/($I$5*MAX(F802,0.1)^2),1/3)))))))</f>
        <v>2.1403668656741068</v>
      </c>
      <c r="AI802">
        <f t="shared" ca="1" si="401"/>
        <v>634.37636686567407</v>
      </c>
      <c r="AJ802">
        <f t="shared" ca="1" si="402"/>
        <v>635.44655029851117</v>
      </c>
      <c r="AM802">
        <v>0</v>
      </c>
      <c r="AN802">
        <v>0</v>
      </c>
      <c r="AO802">
        <f t="shared" si="403"/>
        <v>0</v>
      </c>
      <c r="AP802">
        <f t="shared" si="412"/>
        <v>0</v>
      </c>
      <c r="AQ802">
        <f t="shared" ca="1" si="404"/>
        <v>0.99999999999999978</v>
      </c>
      <c r="AR802" t="str">
        <f t="shared" ca="1" si="405"/>
        <v>Supercritical</v>
      </c>
      <c r="AS802">
        <f t="shared" ca="1" si="406"/>
        <v>3.8148159832266538E-3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191</v>
      </c>
      <c r="I803">
        <v>0</v>
      </c>
      <c r="J803">
        <f t="shared" si="407"/>
        <v>0.99900000000002365</v>
      </c>
      <c r="K803">
        <f t="shared" si="408"/>
        <v>51</v>
      </c>
      <c r="L803">
        <f t="shared" ca="1" si="409"/>
        <v>0.05</v>
      </c>
      <c r="M803">
        <f t="shared" ca="1" si="382"/>
        <v>0.26</v>
      </c>
      <c r="N803">
        <f t="shared" ca="1" si="383"/>
        <v>4.9056603773584909E-2</v>
      </c>
      <c r="O803">
        <f t="shared" ca="1" si="384"/>
        <v>196.15384615384616</v>
      </c>
      <c r="P803">
        <f t="shared" ca="1" si="385"/>
        <v>632.28549999999996</v>
      </c>
      <c r="Q803">
        <f t="shared" ca="1" si="386"/>
        <v>2593.3625316486623</v>
      </c>
      <c r="R803">
        <f t="shared" ca="1" si="387"/>
        <v>482.07306851378365</v>
      </c>
      <c r="S803">
        <f t="shared" ca="1" si="388"/>
        <v>280.07692026646265</v>
      </c>
      <c r="T803">
        <f t="shared" ca="1" si="389"/>
        <v>1019.7665564573041</v>
      </c>
      <c r="U803">
        <f t="shared" ca="1" si="410"/>
        <v>-481.5904954452817</v>
      </c>
      <c r="V803">
        <f t="shared" ca="1" si="411"/>
        <v>0</v>
      </c>
      <c r="W803">
        <f t="shared" ca="1" si="390"/>
        <v>0.05</v>
      </c>
      <c r="X803">
        <f t="shared" ca="1" si="391"/>
        <v>0.26</v>
      </c>
      <c r="Y803">
        <f t="shared" ca="1" si="392"/>
        <v>4.9056603773584909E-2</v>
      </c>
      <c r="Z803">
        <f t="shared" ca="1" si="393"/>
        <v>196.15384615384616</v>
      </c>
      <c r="AA803">
        <f t="shared" ca="1" si="394"/>
        <v>632.28549999999996</v>
      </c>
      <c r="AB803">
        <f t="shared" ca="1" si="395"/>
        <v>2593.3625316486623</v>
      </c>
      <c r="AC803">
        <f t="shared" ca="1" si="396"/>
        <v>482.07306851378365</v>
      </c>
      <c r="AD803">
        <f t="shared" ca="1" si="397"/>
        <v>280.07692026646265</v>
      </c>
      <c r="AE803">
        <f t="shared" ca="1" si="398"/>
        <v>1019.7665564573041</v>
      </c>
      <c r="AF803">
        <f t="shared" ca="1" si="399"/>
        <v>482.1477431333301</v>
      </c>
      <c r="AG803">
        <f t="shared" ca="1" si="400"/>
        <v>0</v>
      </c>
      <c r="AH803">
        <f ca="1">IF(V32="Supercritical",L803,IF(V32="Subcritical",W803,IF(AND(V803=1,AG803=1),IF(T803&gt;=AE803,L803,W803),IF(V803=1,L803,IF(AG803=1,W803,MAX($D$16,POWER((ABS(K803)^2)/($I$5*MAX(F803,0.1)^2),1/3)))))))</f>
        <v>2.1403668656741068</v>
      </c>
      <c r="AI803">
        <f t="shared" ca="1" si="401"/>
        <v>634.37586686567408</v>
      </c>
      <c r="AJ803">
        <f t="shared" ca="1" si="402"/>
        <v>635.44605029851118</v>
      </c>
      <c r="AM803">
        <v>0</v>
      </c>
      <c r="AN803">
        <v>0</v>
      </c>
      <c r="AO803">
        <f t="shared" si="403"/>
        <v>0</v>
      </c>
      <c r="AP803">
        <f t="shared" si="412"/>
        <v>0</v>
      </c>
      <c r="AQ803">
        <f t="shared" ca="1" si="404"/>
        <v>0.99999999999999978</v>
      </c>
      <c r="AR803" t="str">
        <f t="shared" ca="1" si="405"/>
        <v>Supercritical</v>
      </c>
      <c r="AS803">
        <f t="shared" ca="1" si="406"/>
        <v>3.8148159832266538E-3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191</v>
      </c>
      <c r="I804">
        <v>2.3E-2</v>
      </c>
      <c r="J804">
        <f t="shared" si="407"/>
        <v>1</v>
      </c>
      <c r="K804">
        <f t="shared" si="408"/>
        <v>51</v>
      </c>
      <c r="L804">
        <f t="shared" ca="1" si="409"/>
        <v>0.05</v>
      </c>
      <c r="M804">
        <f t="shared" ca="1" si="382"/>
        <v>0.26</v>
      </c>
      <c r="N804">
        <f t="shared" ca="1" si="383"/>
        <v>4.9056603773584909E-2</v>
      </c>
      <c r="O804">
        <f t="shared" ca="1" si="384"/>
        <v>196.15384615384616</v>
      </c>
      <c r="P804">
        <f t="shared" ca="1" si="385"/>
        <v>632.28499999999997</v>
      </c>
      <c r="Q804">
        <f t="shared" ca="1" si="386"/>
        <v>2593.3620316486622</v>
      </c>
      <c r="R804">
        <f t="shared" ca="1" si="387"/>
        <v>482.07306851378365</v>
      </c>
      <c r="S804">
        <f t="shared" ca="1" si="388"/>
        <v>280.07692026646265</v>
      </c>
      <c r="T804">
        <f t="shared" ca="1" si="389"/>
        <v>1019.7665564573041</v>
      </c>
      <c r="U804">
        <f t="shared" ca="1" si="410"/>
        <v>-482.1477431333301</v>
      </c>
      <c r="V804">
        <f t="shared" ca="1" si="411"/>
        <v>0</v>
      </c>
      <c r="W804">
        <f t="shared" ca="1" si="390"/>
        <v>0.05</v>
      </c>
      <c r="X804">
        <f t="shared" ca="1" si="391"/>
        <v>0.26</v>
      </c>
      <c r="Y804">
        <f t="shared" ca="1" si="392"/>
        <v>4.9056603773584909E-2</v>
      </c>
      <c r="Z804">
        <f t="shared" ca="1" si="393"/>
        <v>196.15384615384616</v>
      </c>
      <c r="AA804">
        <f t="shared" ca="1" si="394"/>
        <v>632.28499999999997</v>
      </c>
      <c r="AB804">
        <f t="shared" ca="1" si="395"/>
        <v>2593.3620316486622</v>
      </c>
      <c r="AC804">
        <f t="shared" ca="1" si="396"/>
        <v>482.07306851378365</v>
      </c>
      <c r="AD804">
        <f t="shared" ca="1" si="397"/>
        <v>280.07692026646265</v>
      </c>
      <c r="AE804">
        <f t="shared" ca="1" si="398"/>
        <v>1019.7665564573041</v>
      </c>
      <c r="AF804">
        <f t="shared" ca="1" si="399"/>
        <v>482.62981620183245</v>
      </c>
      <c r="AG804">
        <f t="shared" ca="1" si="400"/>
        <v>0</v>
      </c>
      <c r="AH804">
        <f ca="1">IF(V32="Supercritical",L804,IF(V32="Subcritical",W804,IF(AND(V804=1,AG804=1),IF(T804&gt;=AE804,L804,W804),IF(V804=1,L804,IF(AG804=1,W804,MAX($D$16,POWER((ABS(K804)^2)/($I$5*MAX(F804,0.1)^2),1/3)))))))</f>
        <v>2.1403668656741068</v>
      </c>
      <c r="AI804">
        <f t="shared" ca="1" si="401"/>
        <v>634.3753668656741</v>
      </c>
      <c r="AJ804">
        <f t="shared" ca="1" si="402"/>
        <v>635.44555029851119</v>
      </c>
      <c r="AM804">
        <v>0</v>
      </c>
      <c r="AN804">
        <v>0</v>
      </c>
      <c r="AO804">
        <f t="shared" si="403"/>
        <v>0</v>
      </c>
      <c r="AP804">
        <f t="shared" si="412"/>
        <v>0</v>
      </c>
      <c r="AQ804">
        <f t="shared" ca="1" si="404"/>
        <v>0.99999999999999978</v>
      </c>
      <c r="AR804" t="str">
        <f t="shared" ca="1" si="405"/>
        <v>Supercritical</v>
      </c>
      <c r="AS804">
        <f t="shared" ca="1" si="406"/>
        <v>3.8148159832266538E-3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191</v>
      </c>
      <c r="I805">
        <v>2.3E-2</v>
      </c>
      <c r="J805">
        <f t="shared" si="407"/>
        <v>1.0009999999999764</v>
      </c>
      <c r="K805">
        <f t="shared" si="408"/>
        <v>51</v>
      </c>
      <c r="L805">
        <f t="shared" ca="1" si="409"/>
        <v>0.05</v>
      </c>
      <c r="M805">
        <f t="shared" ca="1" si="382"/>
        <v>0.26</v>
      </c>
      <c r="N805">
        <f t="shared" ca="1" si="383"/>
        <v>4.9056603773584909E-2</v>
      </c>
      <c r="O805">
        <f t="shared" ca="1" si="384"/>
        <v>196.15384615384616</v>
      </c>
      <c r="P805">
        <f t="shared" ca="1" si="385"/>
        <v>632.28449999999998</v>
      </c>
      <c r="Q805">
        <f t="shared" ca="1" si="386"/>
        <v>2593.3615316486621</v>
      </c>
      <c r="R805">
        <f t="shared" ca="1" si="387"/>
        <v>482.07306851378365</v>
      </c>
      <c r="S805">
        <f t="shared" ca="1" si="388"/>
        <v>280.07692026646265</v>
      </c>
      <c r="T805">
        <f t="shared" ca="1" si="389"/>
        <v>1019.7665564573041</v>
      </c>
      <c r="U805">
        <f t="shared" ca="1" si="410"/>
        <v>-482.62981620183245</v>
      </c>
      <c r="V805">
        <f t="shared" ca="1" si="411"/>
        <v>0</v>
      </c>
      <c r="W805">
        <f t="shared" ca="1" si="390"/>
        <v>0.05</v>
      </c>
      <c r="X805">
        <f t="shared" ca="1" si="391"/>
        <v>0.26</v>
      </c>
      <c r="Y805">
        <f t="shared" ca="1" si="392"/>
        <v>4.9056603773584909E-2</v>
      </c>
      <c r="Z805">
        <f t="shared" ca="1" si="393"/>
        <v>196.15384615384616</v>
      </c>
      <c r="AA805">
        <f t="shared" ca="1" si="394"/>
        <v>632.28449999999998</v>
      </c>
      <c r="AB805">
        <f t="shared" ca="1" si="395"/>
        <v>2593.3615316486621</v>
      </c>
      <c r="AC805">
        <f t="shared" ca="1" si="396"/>
        <v>482.07306851378365</v>
      </c>
      <c r="AD805">
        <f t="shared" ca="1" si="397"/>
        <v>280.07692026646265</v>
      </c>
      <c r="AE805">
        <f t="shared" ca="1" si="398"/>
        <v>1019.7665564573041</v>
      </c>
      <c r="AF805">
        <f t="shared" ca="1" si="399"/>
        <v>481.67874391170562</v>
      </c>
      <c r="AG805">
        <f t="shared" ca="1" si="400"/>
        <v>0</v>
      </c>
      <c r="AH805">
        <f ca="1">IF(V32="Supercritical",L805,IF(V32="Subcritical",W805,IF(AND(V805=1,AG805=1),IF(T805&gt;=AE805,L805,W805),IF(V805=1,L805,IF(AG805=1,W805,MAX($D$16,POWER((ABS(K805)^2)/($I$5*MAX(F805,0.1)^2),1/3)))))))</f>
        <v>2.1403668656741068</v>
      </c>
      <c r="AI805">
        <f t="shared" ca="1" si="401"/>
        <v>634.37486686567411</v>
      </c>
      <c r="AJ805">
        <f t="shared" ca="1" si="402"/>
        <v>635.44505029851121</v>
      </c>
      <c r="AM805">
        <v>0</v>
      </c>
      <c r="AN805">
        <v>0</v>
      </c>
      <c r="AO805">
        <f t="shared" si="403"/>
        <v>0</v>
      </c>
      <c r="AP805">
        <f t="shared" si="412"/>
        <v>0</v>
      </c>
      <c r="AQ805">
        <f t="shared" ca="1" si="404"/>
        <v>0.99999999999999978</v>
      </c>
      <c r="AR805" t="str">
        <f t="shared" ca="1" si="405"/>
        <v>Supercritical</v>
      </c>
      <c r="AS805">
        <f t="shared" ca="1" si="406"/>
        <v>3.8148159832266538E-3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191</v>
      </c>
      <c r="I806">
        <v>2.7E-2</v>
      </c>
      <c r="J806">
        <f t="shared" si="407"/>
        <v>0.99900000000002365</v>
      </c>
      <c r="K806">
        <f t="shared" si="408"/>
        <v>51</v>
      </c>
      <c r="L806">
        <f t="shared" ca="1" si="409"/>
        <v>0.05</v>
      </c>
      <c r="M806">
        <f t="shared" ca="1" si="382"/>
        <v>0.26</v>
      </c>
      <c r="N806">
        <f t="shared" ca="1" si="383"/>
        <v>4.9056603773584909E-2</v>
      </c>
      <c r="O806">
        <f t="shared" ca="1" si="384"/>
        <v>196.15384615384616</v>
      </c>
      <c r="P806">
        <f t="shared" ca="1" si="385"/>
        <v>632.28399999999999</v>
      </c>
      <c r="Q806">
        <f t="shared" ca="1" si="386"/>
        <v>2593.361031648662</v>
      </c>
      <c r="R806">
        <f t="shared" ca="1" si="387"/>
        <v>482.07306851378365</v>
      </c>
      <c r="S806">
        <f t="shared" ca="1" si="388"/>
        <v>280.07692026646265</v>
      </c>
      <c r="T806">
        <f t="shared" ca="1" si="389"/>
        <v>1019.7665564573041</v>
      </c>
      <c r="U806">
        <f t="shared" ca="1" si="410"/>
        <v>-481.67874391170562</v>
      </c>
      <c r="V806">
        <f t="shared" ca="1" si="411"/>
        <v>0</v>
      </c>
      <c r="W806">
        <f t="shared" ca="1" si="390"/>
        <v>0.05</v>
      </c>
      <c r="X806">
        <f t="shared" ca="1" si="391"/>
        <v>0.26</v>
      </c>
      <c r="Y806">
        <f t="shared" ca="1" si="392"/>
        <v>4.9056603773584909E-2</v>
      </c>
      <c r="Z806">
        <f t="shared" ca="1" si="393"/>
        <v>196.15384615384616</v>
      </c>
      <c r="AA806">
        <f t="shared" ca="1" si="394"/>
        <v>632.28399999999999</v>
      </c>
      <c r="AB806">
        <f t="shared" ca="1" si="395"/>
        <v>2593.361031648662</v>
      </c>
      <c r="AC806">
        <f t="shared" ca="1" si="396"/>
        <v>482.07306851378365</v>
      </c>
      <c r="AD806">
        <f t="shared" ca="1" si="397"/>
        <v>280.07692026646265</v>
      </c>
      <c r="AE806">
        <f t="shared" ca="1" si="398"/>
        <v>1019.7665564573041</v>
      </c>
      <c r="AF806">
        <f t="shared" ca="1" si="399"/>
        <v>482.64289004871034</v>
      </c>
      <c r="AG806">
        <f t="shared" ca="1" si="400"/>
        <v>0</v>
      </c>
      <c r="AH806">
        <f ca="1">IF(V32="Supercritical",L806,IF(V32="Subcritical",W806,IF(AND(V806=1,AG806=1),IF(T806&gt;=AE806,L806,W806),IF(V806=1,L806,IF(AG806=1,W806,MAX($D$16,POWER((ABS(K806)^2)/($I$5*MAX(F806,0.1)^2),1/3)))))))</f>
        <v>2.1403668656741068</v>
      </c>
      <c r="AI806">
        <f t="shared" ca="1" si="401"/>
        <v>634.37436686567412</v>
      </c>
      <c r="AJ806">
        <f t="shared" ca="1" si="402"/>
        <v>635.44455029851122</v>
      </c>
      <c r="AM806">
        <v>0</v>
      </c>
      <c r="AN806">
        <v>0</v>
      </c>
      <c r="AO806">
        <f t="shared" si="403"/>
        <v>0</v>
      </c>
      <c r="AP806">
        <f t="shared" si="412"/>
        <v>0</v>
      </c>
      <c r="AQ806">
        <f t="shared" ca="1" si="404"/>
        <v>0.99999999999999978</v>
      </c>
      <c r="AR806" t="str">
        <f t="shared" ca="1" si="405"/>
        <v>Supercritical</v>
      </c>
      <c r="AS806">
        <f t="shared" ca="1" si="406"/>
        <v>3.8148159832266538E-3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191</v>
      </c>
      <c r="I807">
        <v>2.7E-2</v>
      </c>
      <c r="J807">
        <f t="shared" si="407"/>
        <v>1.0009999999999764</v>
      </c>
      <c r="K807">
        <f t="shared" si="408"/>
        <v>51</v>
      </c>
      <c r="L807">
        <f t="shared" ca="1" si="409"/>
        <v>0.05</v>
      </c>
      <c r="M807">
        <f t="shared" ca="1" si="382"/>
        <v>0.26</v>
      </c>
      <c r="N807">
        <f t="shared" ca="1" si="383"/>
        <v>4.9056603773584909E-2</v>
      </c>
      <c r="O807">
        <f t="shared" ca="1" si="384"/>
        <v>196.15384615384616</v>
      </c>
      <c r="P807">
        <f t="shared" ca="1" si="385"/>
        <v>632.2835</v>
      </c>
      <c r="Q807">
        <f t="shared" ca="1" si="386"/>
        <v>2593.3605316486619</v>
      </c>
      <c r="R807">
        <f t="shared" ca="1" si="387"/>
        <v>482.07306851378365</v>
      </c>
      <c r="S807">
        <f t="shared" ca="1" si="388"/>
        <v>280.07692026646265</v>
      </c>
      <c r="T807">
        <f t="shared" ca="1" si="389"/>
        <v>1019.7665564573041</v>
      </c>
      <c r="U807">
        <f t="shared" ca="1" si="410"/>
        <v>-482.64289004871034</v>
      </c>
      <c r="V807">
        <f t="shared" ca="1" si="411"/>
        <v>0</v>
      </c>
      <c r="W807">
        <f t="shared" ca="1" si="390"/>
        <v>0.05</v>
      </c>
      <c r="X807">
        <f t="shared" ca="1" si="391"/>
        <v>0.26</v>
      </c>
      <c r="Y807">
        <f t="shared" ca="1" si="392"/>
        <v>4.9056603773584909E-2</v>
      </c>
      <c r="Z807">
        <f t="shared" ca="1" si="393"/>
        <v>196.15384615384616</v>
      </c>
      <c r="AA807">
        <f t="shared" ca="1" si="394"/>
        <v>632.2835</v>
      </c>
      <c r="AB807">
        <f t="shared" ca="1" si="395"/>
        <v>2593.3605316486619</v>
      </c>
      <c r="AC807">
        <f t="shared" ca="1" si="396"/>
        <v>482.07306851378365</v>
      </c>
      <c r="AD807">
        <f t="shared" ca="1" si="397"/>
        <v>280.07692026646265</v>
      </c>
      <c r="AE807">
        <f t="shared" ca="1" si="398"/>
        <v>1019.7665564573041</v>
      </c>
      <c r="AF807">
        <f t="shared" ca="1" si="399"/>
        <v>481.75391853125211</v>
      </c>
      <c r="AG807">
        <f t="shared" ca="1" si="400"/>
        <v>0</v>
      </c>
      <c r="AH807">
        <f ca="1">IF(V32="Supercritical",L807,IF(V32="Subcritical",W807,IF(AND(V807=1,AG807=1),IF(T807&gt;=AE807,L807,W807),IF(V807=1,L807,IF(AG807=1,W807,MAX($D$16,POWER((ABS(K807)^2)/($I$5*MAX(F807,0.1)^2),1/3)))))))</f>
        <v>2.1403668656741068</v>
      </c>
      <c r="AI807">
        <f t="shared" ca="1" si="401"/>
        <v>634.37386686567413</v>
      </c>
      <c r="AJ807">
        <f t="shared" ca="1" si="402"/>
        <v>635.44405029851123</v>
      </c>
      <c r="AM807">
        <v>0</v>
      </c>
      <c r="AN807">
        <v>0</v>
      </c>
      <c r="AO807">
        <f t="shared" si="403"/>
        <v>0</v>
      </c>
      <c r="AP807">
        <f t="shared" si="412"/>
        <v>0</v>
      </c>
      <c r="AQ807">
        <f t="shared" ca="1" si="404"/>
        <v>0.99999999999999978</v>
      </c>
      <c r="AR807" t="str">
        <f t="shared" ca="1" si="405"/>
        <v>Supercritical</v>
      </c>
      <c r="AS807">
        <f t="shared" ca="1" si="406"/>
        <v>3.8148159832266538E-3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191</v>
      </c>
      <c r="I808">
        <v>0.05</v>
      </c>
      <c r="J808">
        <f t="shared" si="407"/>
        <v>0.99900000000002365</v>
      </c>
      <c r="K808">
        <f t="shared" si="408"/>
        <v>51</v>
      </c>
      <c r="L808">
        <f t="shared" ca="1" si="409"/>
        <v>0.05</v>
      </c>
      <c r="M808">
        <f t="shared" ca="1" si="382"/>
        <v>0.26</v>
      </c>
      <c r="N808">
        <f t="shared" ca="1" si="383"/>
        <v>4.9056603773584909E-2</v>
      </c>
      <c r="O808">
        <f t="shared" ca="1" si="384"/>
        <v>196.15384615384616</v>
      </c>
      <c r="P808">
        <f t="shared" ca="1" si="385"/>
        <v>632.2829999999999</v>
      </c>
      <c r="Q808">
        <f t="shared" ca="1" si="386"/>
        <v>2593.3600316486618</v>
      </c>
      <c r="R808">
        <f t="shared" ca="1" si="387"/>
        <v>482.07306851378365</v>
      </c>
      <c r="S808">
        <f t="shared" ca="1" si="388"/>
        <v>280.07692026646265</v>
      </c>
      <c r="T808">
        <f t="shared" ca="1" si="389"/>
        <v>1019.7665564573041</v>
      </c>
      <c r="U808">
        <f t="shared" ca="1" si="410"/>
        <v>-481.75391853125211</v>
      </c>
      <c r="V808">
        <f t="shared" ca="1" si="411"/>
        <v>0</v>
      </c>
      <c r="W808">
        <f t="shared" ca="1" si="390"/>
        <v>0.05</v>
      </c>
      <c r="X808">
        <f t="shared" ca="1" si="391"/>
        <v>0.26</v>
      </c>
      <c r="Y808">
        <f t="shared" ca="1" si="392"/>
        <v>4.9056603773584909E-2</v>
      </c>
      <c r="Z808">
        <f t="shared" ca="1" si="393"/>
        <v>196.15384615384616</v>
      </c>
      <c r="AA808">
        <f t="shared" ca="1" si="394"/>
        <v>632.2829999999999</v>
      </c>
      <c r="AB808">
        <f t="shared" ca="1" si="395"/>
        <v>2593.3600316486618</v>
      </c>
      <c r="AC808">
        <f t="shared" ca="1" si="396"/>
        <v>482.07306851378365</v>
      </c>
      <c r="AD808">
        <f t="shared" ca="1" si="397"/>
        <v>280.07692026646265</v>
      </c>
      <c r="AE808">
        <f t="shared" ca="1" si="398"/>
        <v>1019.7665564573041</v>
      </c>
      <c r="AF808">
        <f t="shared" ca="1" si="399"/>
        <v>482.32750852789832</v>
      </c>
      <c r="AG808">
        <f t="shared" ca="1" si="400"/>
        <v>0</v>
      </c>
      <c r="AH808">
        <f ca="1">IF(V32="Supercritical",L808,IF(V32="Subcritical",W808,IF(AND(V808=1,AG808=1),IF(T808&gt;=AE808,L808,W808),IF(V808=1,L808,IF(AG808=1,W808,MAX($D$16,POWER((ABS(K808)^2)/($I$5*MAX(F808,0.1)^2),1/3)))))))</f>
        <v>2.1403668656741068</v>
      </c>
      <c r="AI808">
        <f t="shared" ca="1" si="401"/>
        <v>634.37336686567403</v>
      </c>
      <c r="AJ808">
        <f t="shared" ca="1" si="402"/>
        <v>635.44355029851113</v>
      </c>
      <c r="AM808">
        <v>0</v>
      </c>
      <c r="AN808">
        <v>0</v>
      </c>
      <c r="AO808">
        <f t="shared" si="403"/>
        <v>0</v>
      </c>
      <c r="AP808">
        <f t="shared" si="412"/>
        <v>0</v>
      </c>
      <c r="AQ808">
        <f t="shared" ca="1" si="404"/>
        <v>0.99999999999999978</v>
      </c>
      <c r="AR808" t="str">
        <f t="shared" ca="1" si="405"/>
        <v>Supercritical</v>
      </c>
      <c r="AS808">
        <f t="shared" ca="1" si="406"/>
        <v>3.8148159832266538E-3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191</v>
      </c>
      <c r="I809">
        <v>7.8E-2</v>
      </c>
      <c r="J809">
        <f t="shared" si="407"/>
        <v>1</v>
      </c>
      <c r="K809">
        <f t="shared" si="408"/>
        <v>51</v>
      </c>
      <c r="L809">
        <f t="shared" ca="1" si="409"/>
        <v>0.05</v>
      </c>
      <c r="M809">
        <f t="shared" ca="1" si="382"/>
        <v>0.26</v>
      </c>
      <c r="N809">
        <f t="shared" ca="1" si="383"/>
        <v>4.9056603773584909E-2</v>
      </c>
      <c r="O809">
        <f t="shared" ca="1" si="384"/>
        <v>196.15384615384616</v>
      </c>
      <c r="P809">
        <f t="shared" ca="1" si="385"/>
        <v>632.28249999999991</v>
      </c>
      <c r="Q809">
        <f t="shared" ca="1" si="386"/>
        <v>2593.3595316486621</v>
      </c>
      <c r="R809">
        <f t="shared" ca="1" si="387"/>
        <v>482.07306851378365</v>
      </c>
      <c r="S809">
        <f t="shared" ca="1" si="388"/>
        <v>280.07692026646265</v>
      </c>
      <c r="T809">
        <f t="shared" ca="1" si="389"/>
        <v>1019.7665564573041</v>
      </c>
      <c r="U809">
        <f t="shared" ca="1" si="410"/>
        <v>-482.32750852789832</v>
      </c>
      <c r="V809">
        <f t="shared" ca="1" si="411"/>
        <v>0</v>
      </c>
      <c r="W809">
        <f t="shared" ca="1" si="390"/>
        <v>0.05</v>
      </c>
      <c r="X809">
        <f t="shared" ca="1" si="391"/>
        <v>0.26</v>
      </c>
      <c r="Y809">
        <f t="shared" ca="1" si="392"/>
        <v>4.9056603773584909E-2</v>
      </c>
      <c r="Z809">
        <f t="shared" ca="1" si="393"/>
        <v>196.15384615384616</v>
      </c>
      <c r="AA809">
        <f t="shared" ca="1" si="394"/>
        <v>632.28249999999991</v>
      </c>
      <c r="AB809">
        <f t="shared" ca="1" si="395"/>
        <v>2593.3595316486621</v>
      </c>
      <c r="AC809">
        <f t="shared" ca="1" si="396"/>
        <v>482.07306851378365</v>
      </c>
      <c r="AD809">
        <f t="shared" ca="1" si="397"/>
        <v>280.07692026646265</v>
      </c>
      <c r="AE809">
        <f t="shared" ca="1" si="398"/>
        <v>1019.7665564573041</v>
      </c>
      <c r="AF809">
        <f t="shared" ca="1" si="399"/>
        <v>482.64289004871034</v>
      </c>
      <c r="AG809">
        <f t="shared" ca="1" si="400"/>
        <v>0</v>
      </c>
      <c r="AH809">
        <f ca="1">IF(V32="Supercritical",L809,IF(V32="Subcritical",W809,IF(AND(V809=1,AG809=1),IF(T809&gt;=AE809,L809,W809),IF(V809=1,L809,IF(AG809=1,W809,MAX($D$16,POWER((ABS(K809)^2)/($I$5*MAX(F809,0.1)^2),1/3)))))))</f>
        <v>2.1403668656741068</v>
      </c>
      <c r="AI809">
        <f t="shared" ca="1" si="401"/>
        <v>634.37286686567404</v>
      </c>
      <c r="AJ809">
        <f t="shared" ca="1" si="402"/>
        <v>635.44305029851114</v>
      </c>
      <c r="AM809">
        <v>0</v>
      </c>
      <c r="AN809">
        <v>0</v>
      </c>
      <c r="AO809">
        <f t="shared" si="403"/>
        <v>0</v>
      </c>
      <c r="AP809">
        <f t="shared" si="412"/>
        <v>0</v>
      </c>
      <c r="AQ809">
        <f t="shared" ca="1" si="404"/>
        <v>0.99999999999999978</v>
      </c>
      <c r="AR809" t="str">
        <f t="shared" ca="1" si="405"/>
        <v>Supercritical</v>
      </c>
      <c r="AS809">
        <f t="shared" ca="1" si="406"/>
        <v>3.8148159832266538E-3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191</v>
      </c>
      <c r="I810">
        <v>2.7E-2</v>
      </c>
      <c r="J810">
        <f t="shared" si="407"/>
        <v>1.0009999999999764</v>
      </c>
      <c r="K810">
        <f t="shared" si="408"/>
        <v>51</v>
      </c>
      <c r="L810">
        <f t="shared" ca="1" si="409"/>
        <v>0.05</v>
      </c>
      <c r="M810">
        <f t="shared" ca="1" si="382"/>
        <v>0.26</v>
      </c>
      <c r="N810">
        <f t="shared" ca="1" si="383"/>
        <v>4.9056603773584909E-2</v>
      </c>
      <c r="O810">
        <f t="shared" ca="1" si="384"/>
        <v>196.15384615384616</v>
      </c>
      <c r="P810">
        <f t="shared" ca="1" si="385"/>
        <v>632.28199999999993</v>
      </c>
      <c r="Q810">
        <f t="shared" ca="1" si="386"/>
        <v>2593.359031648662</v>
      </c>
      <c r="R810">
        <f t="shared" ca="1" si="387"/>
        <v>482.07306851378365</v>
      </c>
      <c r="S810">
        <f t="shared" ca="1" si="388"/>
        <v>280.07692026646265</v>
      </c>
      <c r="T810">
        <f t="shared" ca="1" si="389"/>
        <v>1019.7665564573041</v>
      </c>
      <c r="U810">
        <f t="shared" ca="1" si="410"/>
        <v>-482.64289004871034</v>
      </c>
      <c r="V810">
        <f t="shared" ca="1" si="411"/>
        <v>0</v>
      </c>
      <c r="W810">
        <f t="shared" ca="1" si="390"/>
        <v>0.05</v>
      </c>
      <c r="X810">
        <f t="shared" ca="1" si="391"/>
        <v>0.26</v>
      </c>
      <c r="Y810">
        <f t="shared" ca="1" si="392"/>
        <v>4.9056603773584909E-2</v>
      </c>
      <c r="Z810">
        <f t="shared" ca="1" si="393"/>
        <v>196.15384615384616</v>
      </c>
      <c r="AA810">
        <f t="shared" ca="1" si="394"/>
        <v>632.28199999999993</v>
      </c>
      <c r="AB810">
        <f t="shared" ca="1" si="395"/>
        <v>2593.359031648662</v>
      </c>
      <c r="AC810">
        <f t="shared" ca="1" si="396"/>
        <v>482.07306851378365</v>
      </c>
      <c r="AD810">
        <f t="shared" ca="1" si="397"/>
        <v>280.07692026646265</v>
      </c>
      <c r="AE810">
        <f t="shared" ca="1" si="398"/>
        <v>1019.7665564573041</v>
      </c>
      <c r="AF810">
        <f t="shared" ca="1" si="399"/>
        <v>481.67874391170562</v>
      </c>
      <c r="AG810">
        <f t="shared" ca="1" si="400"/>
        <v>0</v>
      </c>
      <c r="AH810">
        <f ca="1">IF(V32="Supercritical",L810,IF(V32="Subcritical",W810,IF(AND(V810=1,AG810=1),IF(T810&gt;=AE810,L810,W810),IF(V810=1,L810,IF(AG810=1,W810,MAX($D$16,POWER((ABS(K810)^2)/($I$5*MAX(F810,0.1)^2),1/3)))))))</f>
        <v>2.1403668656741068</v>
      </c>
      <c r="AI810">
        <f t="shared" ca="1" si="401"/>
        <v>634.37236686567405</v>
      </c>
      <c r="AJ810">
        <f t="shared" ca="1" si="402"/>
        <v>635.44255029851115</v>
      </c>
      <c r="AM810">
        <v>0</v>
      </c>
      <c r="AN810">
        <v>0</v>
      </c>
      <c r="AO810">
        <f t="shared" si="403"/>
        <v>0</v>
      </c>
      <c r="AP810">
        <f t="shared" si="412"/>
        <v>0</v>
      </c>
      <c r="AQ810">
        <f t="shared" ca="1" si="404"/>
        <v>0.99999999999999978</v>
      </c>
      <c r="AR810" t="str">
        <f t="shared" ca="1" si="405"/>
        <v>Supercritical</v>
      </c>
      <c r="AS810">
        <f t="shared" ca="1" si="406"/>
        <v>3.8148159832266538E-3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191</v>
      </c>
      <c r="I811">
        <v>2.7E-2</v>
      </c>
      <c r="J811">
        <f t="shared" si="407"/>
        <v>0.99900000000002365</v>
      </c>
      <c r="K811">
        <f t="shared" si="408"/>
        <v>51</v>
      </c>
      <c r="L811">
        <f t="shared" ca="1" si="409"/>
        <v>0.05</v>
      </c>
      <c r="M811">
        <f t="shared" ca="1" si="382"/>
        <v>0.26</v>
      </c>
      <c r="N811">
        <f t="shared" ca="1" si="383"/>
        <v>4.9056603773584909E-2</v>
      </c>
      <c r="O811">
        <f t="shared" ca="1" si="384"/>
        <v>196.15384615384616</v>
      </c>
      <c r="P811">
        <f t="shared" ca="1" si="385"/>
        <v>632.28149999999994</v>
      </c>
      <c r="Q811">
        <f t="shared" ca="1" si="386"/>
        <v>2593.3585316486619</v>
      </c>
      <c r="R811">
        <f t="shared" ca="1" si="387"/>
        <v>482.07306851378365</v>
      </c>
      <c r="S811">
        <f t="shared" ca="1" si="388"/>
        <v>280.07692026646265</v>
      </c>
      <c r="T811">
        <f t="shared" ca="1" si="389"/>
        <v>1019.7665564573041</v>
      </c>
      <c r="U811">
        <f t="shared" ca="1" si="410"/>
        <v>-481.67874391170562</v>
      </c>
      <c r="V811">
        <f t="shared" ca="1" si="411"/>
        <v>0</v>
      </c>
      <c r="W811">
        <f t="shared" ca="1" si="390"/>
        <v>0.05</v>
      </c>
      <c r="X811">
        <f t="shared" ca="1" si="391"/>
        <v>0.26</v>
      </c>
      <c r="Y811">
        <f t="shared" ca="1" si="392"/>
        <v>4.9056603773584909E-2</v>
      </c>
      <c r="Z811">
        <f t="shared" ca="1" si="393"/>
        <v>196.15384615384616</v>
      </c>
      <c r="AA811">
        <f t="shared" ca="1" si="394"/>
        <v>632.28149999999994</v>
      </c>
      <c r="AB811">
        <f t="shared" ca="1" si="395"/>
        <v>2593.3585316486619</v>
      </c>
      <c r="AC811">
        <f t="shared" ca="1" si="396"/>
        <v>482.07306851378365</v>
      </c>
      <c r="AD811">
        <f t="shared" ca="1" si="397"/>
        <v>280.07692026646265</v>
      </c>
      <c r="AE811">
        <f t="shared" ca="1" si="398"/>
        <v>1019.7665564573041</v>
      </c>
      <c r="AF811">
        <f t="shared" ca="1" si="399"/>
        <v>482.32750852789832</v>
      </c>
      <c r="AG811">
        <f t="shared" ca="1" si="400"/>
        <v>0</v>
      </c>
      <c r="AH811">
        <f ca="1">IF(V32="Supercritical",L811,IF(V32="Subcritical",W811,IF(AND(V811=1,AG811=1),IF(T811&gt;=AE811,L811,W811),IF(V811=1,L811,IF(AG811=1,W811,MAX($D$16,POWER((ABS(K811)^2)/($I$5*MAX(F811,0.1)^2),1/3)))))))</f>
        <v>2.1403668656741068</v>
      </c>
      <c r="AI811">
        <f t="shared" ca="1" si="401"/>
        <v>634.37186686567406</v>
      </c>
      <c r="AJ811">
        <f t="shared" ca="1" si="402"/>
        <v>635.44205029851116</v>
      </c>
      <c r="AM811">
        <v>0</v>
      </c>
      <c r="AN811">
        <v>0</v>
      </c>
      <c r="AO811">
        <f t="shared" si="403"/>
        <v>0</v>
      </c>
      <c r="AP811">
        <f t="shared" si="412"/>
        <v>0</v>
      </c>
      <c r="AQ811">
        <f t="shared" ca="1" si="404"/>
        <v>0.99999999999999978</v>
      </c>
      <c r="AR811" t="str">
        <f t="shared" ca="1" si="405"/>
        <v>Supercritical</v>
      </c>
      <c r="AS811">
        <f t="shared" ca="1" si="406"/>
        <v>3.8148159832266538E-3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191</v>
      </c>
      <c r="I812">
        <v>7.8E-2</v>
      </c>
      <c r="J812">
        <f t="shared" si="407"/>
        <v>1</v>
      </c>
      <c r="K812">
        <f t="shared" si="408"/>
        <v>51</v>
      </c>
      <c r="L812">
        <f t="shared" ca="1" si="409"/>
        <v>0.05</v>
      </c>
      <c r="M812">
        <f t="shared" ca="1" si="382"/>
        <v>0.26</v>
      </c>
      <c r="N812">
        <f t="shared" ca="1" si="383"/>
        <v>4.9056603773584909E-2</v>
      </c>
      <c r="O812">
        <f t="shared" ca="1" si="384"/>
        <v>196.15384615384616</v>
      </c>
      <c r="P812">
        <f t="shared" ca="1" si="385"/>
        <v>632.28099999999995</v>
      </c>
      <c r="Q812">
        <f t="shared" ca="1" si="386"/>
        <v>2593.3580316486623</v>
      </c>
      <c r="R812">
        <f t="shared" ca="1" si="387"/>
        <v>482.07306851378365</v>
      </c>
      <c r="S812">
        <f t="shared" ca="1" si="388"/>
        <v>280.07692026646265</v>
      </c>
      <c r="T812">
        <f t="shared" ca="1" si="389"/>
        <v>1019.7665564573041</v>
      </c>
      <c r="U812">
        <f t="shared" ca="1" si="410"/>
        <v>-482.32750852789832</v>
      </c>
      <c r="V812">
        <f t="shared" ca="1" si="411"/>
        <v>0</v>
      </c>
      <c r="W812">
        <f t="shared" ca="1" si="390"/>
        <v>0.05</v>
      </c>
      <c r="X812">
        <f t="shared" ca="1" si="391"/>
        <v>0.26</v>
      </c>
      <c r="Y812">
        <f t="shared" ca="1" si="392"/>
        <v>4.9056603773584909E-2</v>
      </c>
      <c r="Z812">
        <f t="shared" ca="1" si="393"/>
        <v>196.15384615384616</v>
      </c>
      <c r="AA812">
        <f t="shared" ca="1" si="394"/>
        <v>632.28099999999995</v>
      </c>
      <c r="AB812">
        <f t="shared" ca="1" si="395"/>
        <v>2593.3580316486623</v>
      </c>
      <c r="AC812">
        <f t="shared" ca="1" si="396"/>
        <v>482.07306851378365</v>
      </c>
      <c r="AD812">
        <f t="shared" ca="1" si="397"/>
        <v>280.07692026646265</v>
      </c>
      <c r="AE812">
        <f t="shared" ca="1" si="398"/>
        <v>1019.7665564573041</v>
      </c>
      <c r="AF812">
        <f t="shared" ca="1" si="399"/>
        <v>482.23599159975447</v>
      </c>
      <c r="AG812">
        <f t="shared" ca="1" si="400"/>
        <v>0</v>
      </c>
      <c r="AH812">
        <f ca="1">IF(V32="Supercritical",L812,IF(V32="Subcritical",W812,IF(AND(V812=1,AG812=1),IF(T812&gt;=AE812,L812,W812),IF(V812=1,L812,IF(AG812=1,W812,MAX($D$16,POWER((ABS(K812)^2)/($I$5*MAX(F812,0.1)^2),1/3)))))))</f>
        <v>2.1403668656741068</v>
      </c>
      <c r="AI812">
        <f t="shared" ca="1" si="401"/>
        <v>634.37136686567408</v>
      </c>
      <c r="AJ812">
        <f t="shared" ca="1" si="402"/>
        <v>635.44155029851117</v>
      </c>
      <c r="AM812">
        <v>0</v>
      </c>
      <c r="AN812">
        <v>0</v>
      </c>
      <c r="AO812">
        <f t="shared" si="403"/>
        <v>0</v>
      </c>
      <c r="AP812">
        <f t="shared" si="412"/>
        <v>0</v>
      </c>
      <c r="AQ812">
        <f t="shared" ca="1" si="404"/>
        <v>0.99999999999999978</v>
      </c>
      <c r="AR812" t="str">
        <f t="shared" ca="1" si="405"/>
        <v>Supercritical</v>
      </c>
      <c r="AS812">
        <f t="shared" ca="1" si="406"/>
        <v>3.8148159832266538E-3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191</v>
      </c>
      <c r="I813">
        <v>0.05</v>
      </c>
      <c r="J813">
        <f t="shared" si="407"/>
        <v>1</v>
      </c>
      <c r="K813">
        <f t="shared" si="408"/>
        <v>51</v>
      </c>
      <c r="L813">
        <f t="shared" ca="1" si="409"/>
        <v>0.05</v>
      </c>
      <c r="M813">
        <f t="shared" ca="1" si="382"/>
        <v>0.26</v>
      </c>
      <c r="N813">
        <f t="shared" ca="1" si="383"/>
        <v>4.9056603773584909E-2</v>
      </c>
      <c r="O813">
        <f t="shared" ca="1" si="384"/>
        <v>196.15384615384616</v>
      </c>
      <c r="P813">
        <f t="shared" ca="1" si="385"/>
        <v>632.28049999999996</v>
      </c>
      <c r="Q813">
        <f t="shared" ca="1" si="386"/>
        <v>2593.3575316486622</v>
      </c>
      <c r="R813">
        <f t="shared" ca="1" si="387"/>
        <v>482.07306851378365</v>
      </c>
      <c r="S813">
        <f t="shared" ca="1" si="388"/>
        <v>280.07692026646265</v>
      </c>
      <c r="T813">
        <f t="shared" ca="1" si="389"/>
        <v>1019.7665564573041</v>
      </c>
      <c r="U813">
        <f t="shared" ca="1" si="410"/>
        <v>-482.23599159975447</v>
      </c>
      <c r="V813">
        <f t="shared" ca="1" si="411"/>
        <v>0</v>
      </c>
      <c r="W813">
        <f t="shared" ca="1" si="390"/>
        <v>0.05</v>
      </c>
      <c r="X813">
        <f t="shared" ca="1" si="391"/>
        <v>0.26</v>
      </c>
      <c r="Y813">
        <f t="shared" ca="1" si="392"/>
        <v>4.9056603773584909E-2</v>
      </c>
      <c r="Z813">
        <f t="shared" ca="1" si="393"/>
        <v>196.15384615384616</v>
      </c>
      <c r="AA813">
        <f t="shared" ca="1" si="394"/>
        <v>632.28049999999996</v>
      </c>
      <c r="AB813">
        <f t="shared" ca="1" si="395"/>
        <v>2593.3575316486622</v>
      </c>
      <c r="AC813">
        <f t="shared" ca="1" si="396"/>
        <v>482.07306851378365</v>
      </c>
      <c r="AD813">
        <f t="shared" ca="1" si="397"/>
        <v>280.07692026646265</v>
      </c>
      <c r="AE813">
        <f t="shared" ca="1" si="398"/>
        <v>1019.7665564573041</v>
      </c>
      <c r="AF813">
        <f t="shared" ca="1" si="399"/>
        <v>482.16081698020798</v>
      </c>
      <c r="AG813">
        <f t="shared" ca="1" si="400"/>
        <v>0</v>
      </c>
      <c r="AH813">
        <f ca="1">IF(V32="Supercritical",L813,IF(V32="Subcritical",W813,IF(AND(V813=1,AG813=1),IF(T813&gt;=AE813,L813,W813),IF(V813=1,L813,IF(AG813=1,W813,MAX($D$16,POWER((ABS(K813)^2)/($I$5*MAX(F813,0.1)^2),1/3)))))))</f>
        <v>2.1403668656741068</v>
      </c>
      <c r="AI813">
        <f t="shared" ca="1" si="401"/>
        <v>634.37086686567409</v>
      </c>
      <c r="AJ813">
        <f t="shared" ca="1" si="402"/>
        <v>635.44105029851119</v>
      </c>
      <c r="AM813">
        <v>0</v>
      </c>
      <c r="AN813">
        <v>0</v>
      </c>
      <c r="AO813">
        <f t="shared" si="403"/>
        <v>0</v>
      </c>
      <c r="AP813">
        <f t="shared" si="412"/>
        <v>0</v>
      </c>
      <c r="AQ813">
        <f t="shared" ca="1" si="404"/>
        <v>0.99999999999999978</v>
      </c>
      <c r="AR813" t="str">
        <f t="shared" ca="1" si="405"/>
        <v>Supercritical</v>
      </c>
      <c r="AS813">
        <f t="shared" ca="1" si="406"/>
        <v>3.8148159832266538E-3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191</v>
      </c>
      <c r="I814">
        <v>2.7E-2</v>
      </c>
      <c r="J814">
        <f t="shared" si="407"/>
        <v>1</v>
      </c>
      <c r="K814">
        <f t="shared" si="408"/>
        <v>51</v>
      </c>
      <c r="L814">
        <f t="shared" ca="1" si="409"/>
        <v>0.05</v>
      </c>
      <c r="M814">
        <f t="shared" ca="1" si="382"/>
        <v>0.26</v>
      </c>
      <c r="N814">
        <f t="shared" ca="1" si="383"/>
        <v>4.9056603773584909E-2</v>
      </c>
      <c r="O814">
        <f t="shared" ca="1" si="384"/>
        <v>196.15384615384616</v>
      </c>
      <c r="P814">
        <f t="shared" ca="1" si="385"/>
        <v>632.28</v>
      </c>
      <c r="Q814">
        <f t="shared" ca="1" si="386"/>
        <v>2593.3570316486621</v>
      </c>
      <c r="R814">
        <f t="shared" ca="1" si="387"/>
        <v>482.07306851378365</v>
      </c>
      <c r="S814">
        <f t="shared" ca="1" si="388"/>
        <v>280.07692026646265</v>
      </c>
      <c r="T814">
        <f t="shared" ca="1" si="389"/>
        <v>1019.7665564573041</v>
      </c>
      <c r="U814">
        <f t="shared" ca="1" si="410"/>
        <v>-482.16081698020798</v>
      </c>
      <c r="V814">
        <f t="shared" ca="1" si="411"/>
        <v>0</v>
      </c>
      <c r="W814">
        <f t="shared" ca="1" si="390"/>
        <v>0.05</v>
      </c>
      <c r="X814">
        <f t="shared" ca="1" si="391"/>
        <v>0.26</v>
      </c>
      <c r="Y814">
        <f t="shared" ca="1" si="392"/>
        <v>4.9056603773584909E-2</v>
      </c>
      <c r="Z814">
        <f t="shared" ca="1" si="393"/>
        <v>196.15384615384616</v>
      </c>
      <c r="AA814">
        <f t="shared" ca="1" si="394"/>
        <v>632.28</v>
      </c>
      <c r="AB814">
        <f t="shared" ca="1" si="395"/>
        <v>2593.3570316486621</v>
      </c>
      <c r="AC814">
        <f t="shared" ca="1" si="396"/>
        <v>482.07306851378365</v>
      </c>
      <c r="AD814">
        <f t="shared" ca="1" si="397"/>
        <v>280.07692026646265</v>
      </c>
      <c r="AE814">
        <f t="shared" ca="1" si="398"/>
        <v>1019.7665564573041</v>
      </c>
      <c r="AF814">
        <f t="shared" ca="1" si="399"/>
        <v>482.16081698020798</v>
      </c>
      <c r="AG814">
        <f t="shared" ca="1" si="400"/>
        <v>0</v>
      </c>
      <c r="AH814">
        <f ca="1">IF(V32="Supercritical",L814,IF(V32="Subcritical",W814,IF(AND(V814=1,AG814=1),IF(T814&gt;=AE814,L814,W814),IF(V814=1,L814,IF(AG814=1,W814,MAX($D$16,POWER((ABS(K814)^2)/($I$5*MAX(F814,0.1)^2),1/3)))))))</f>
        <v>2.1403668656741068</v>
      </c>
      <c r="AI814">
        <f t="shared" ca="1" si="401"/>
        <v>634.3703668656741</v>
      </c>
      <c r="AJ814">
        <f t="shared" ca="1" si="402"/>
        <v>635.4405502985112</v>
      </c>
      <c r="AM814">
        <v>0</v>
      </c>
      <c r="AN814">
        <v>0</v>
      </c>
      <c r="AO814">
        <f t="shared" si="403"/>
        <v>0</v>
      </c>
      <c r="AP814">
        <f t="shared" si="412"/>
        <v>0</v>
      </c>
      <c r="AQ814">
        <f t="shared" ca="1" si="404"/>
        <v>0.99999999999999978</v>
      </c>
      <c r="AR814" t="str">
        <f t="shared" ca="1" si="405"/>
        <v>Supercritical</v>
      </c>
      <c r="AS814">
        <f t="shared" ca="1" si="406"/>
        <v>3.8148159832266538E-3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191</v>
      </c>
      <c r="I815">
        <v>2.7E-2</v>
      </c>
      <c r="J815">
        <f t="shared" si="407"/>
        <v>1</v>
      </c>
      <c r="K815">
        <f t="shared" si="408"/>
        <v>51</v>
      </c>
      <c r="L815">
        <f t="shared" ca="1" si="409"/>
        <v>0.05</v>
      </c>
      <c r="M815">
        <f t="shared" ca="1" si="382"/>
        <v>0.26</v>
      </c>
      <c r="N815">
        <f t="shared" ca="1" si="383"/>
        <v>4.9056603773584909E-2</v>
      </c>
      <c r="O815">
        <f t="shared" ca="1" si="384"/>
        <v>196.15384615384616</v>
      </c>
      <c r="P815">
        <f t="shared" ca="1" si="385"/>
        <v>632.27949999999998</v>
      </c>
      <c r="Q815">
        <f t="shared" ca="1" si="386"/>
        <v>2593.356531648662</v>
      </c>
      <c r="R815">
        <f t="shared" ca="1" si="387"/>
        <v>482.07306851378365</v>
      </c>
      <c r="S815">
        <f t="shared" ca="1" si="388"/>
        <v>280.07692026646265</v>
      </c>
      <c r="T815">
        <f t="shared" ca="1" si="389"/>
        <v>1019.7665564573041</v>
      </c>
      <c r="U815">
        <f t="shared" ca="1" si="410"/>
        <v>-482.16081698020798</v>
      </c>
      <c r="V815">
        <f t="shared" ca="1" si="411"/>
        <v>0</v>
      </c>
      <c r="W815">
        <f t="shared" ca="1" si="390"/>
        <v>0.05</v>
      </c>
      <c r="X815">
        <f t="shared" ca="1" si="391"/>
        <v>0.26</v>
      </c>
      <c r="Y815">
        <f t="shared" ca="1" si="392"/>
        <v>4.9056603773584909E-2</v>
      </c>
      <c r="Z815">
        <f t="shared" ca="1" si="393"/>
        <v>196.15384615384616</v>
      </c>
      <c r="AA815">
        <f t="shared" ca="1" si="394"/>
        <v>632.27949999999998</v>
      </c>
      <c r="AB815">
        <f t="shared" ca="1" si="395"/>
        <v>2593.356531648662</v>
      </c>
      <c r="AC815">
        <f t="shared" ca="1" si="396"/>
        <v>482.07306851378365</v>
      </c>
      <c r="AD815">
        <f t="shared" ca="1" si="397"/>
        <v>280.07692026646265</v>
      </c>
      <c r="AE815">
        <f t="shared" ca="1" si="398"/>
        <v>1019.7665564573041</v>
      </c>
      <c r="AF815">
        <f t="shared" ca="1" si="399"/>
        <v>482.16081698020798</v>
      </c>
      <c r="AG815">
        <f t="shared" ca="1" si="400"/>
        <v>0</v>
      </c>
      <c r="AH815">
        <f ca="1">IF(V32="Supercritical",L815,IF(V32="Subcritical",W815,IF(AND(V815=1,AG815=1),IF(T815&gt;=AE815,L815,W815),IF(V815=1,L815,IF(AG815=1,W815,MAX($D$16,POWER((ABS(K815)^2)/($I$5*MAX(F815,0.1)^2),1/3)))))))</f>
        <v>2.1403668656741068</v>
      </c>
      <c r="AI815">
        <f t="shared" ca="1" si="401"/>
        <v>634.36986686567411</v>
      </c>
      <c r="AJ815">
        <f t="shared" ca="1" si="402"/>
        <v>635.44005029851121</v>
      </c>
      <c r="AM815">
        <v>0</v>
      </c>
      <c r="AN815">
        <v>0</v>
      </c>
      <c r="AO815">
        <f t="shared" si="403"/>
        <v>0</v>
      </c>
      <c r="AP815">
        <f t="shared" si="412"/>
        <v>0</v>
      </c>
      <c r="AQ815">
        <f t="shared" ca="1" si="404"/>
        <v>0.99999999999999978</v>
      </c>
      <c r="AR815" t="str">
        <f t="shared" ca="1" si="405"/>
        <v>Supercritical</v>
      </c>
      <c r="AS815">
        <f t="shared" ca="1" si="406"/>
        <v>3.8148159832266538E-3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191</v>
      </c>
      <c r="I816">
        <v>2.7E-2</v>
      </c>
      <c r="J816">
        <f t="shared" si="407"/>
        <v>1</v>
      </c>
      <c r="K816">
        <f t="shared" si="408"/>
        <v>51</v>
      </c>
      <c r="L816">
        <f t="shared" ca="1" si="409"/>
        <v>0.05</v>
      </c>
      <c r="M816">
        <f t="shared" ca="1" si="382"/>
        <v>0.26</v>
      </c>
      <c r="N816">
        <f t="shared" ca="1" si="383"/>
        <v>4.9056603773584909E-2</v>
      </c>
      <c r="O816">
        <f t="shared" ca="1" si="384"/>
        <v>196.15384615384616</v>
      </c>
      <c r="P816">
        <f t="shared" ca="1" si="385"/>
        <v>632.279</v>
      </c>
      <c r="Q816">
        <f t="shared" ca="1" si="386"/>
        <v>2593.3560316486619</v>
      </c>
      <c r="R816">
        <f t="shared" ca="1" si="387"/>
        <v>482.07306851378365</v>
      </c>
      <c r="S816">
        <f t="shared" ca="1" si="388"/>
        <v>280.07692026646265</v>
      </c>
      <c r="T816">
        <f t="shared" ca="1" si="389"/>
        <v>1019.7665564573041</v>
      </c>
      <c r="U816">
        <f t="shared" ca="1" si="410"/>
        <v>-482.16081698020798</v>
      </c>
      <c r="V816">
        <f t="shared" ca="1" si="411"/>
        <v>0</v>
      </c>
      <c r="W816">
        <f t="shared" ca="1" si="390"/>
        <v>0.05</v>
      </c>
      <c r="X816">
        <f t="shared" ca="1" si="391"/>
        <v>0.26</v>
      </c>
      <c r="Y816">
        <f t="shared" ca="1" si="392"/>
        <v>4.9056603773584909E-2</v>
      </c>
      <c r="Z816">
        <f t="shared" ca="1" si="393"/>
        <v>196.15384615384616</v>
      </c>
      <c r="AA816">
        <f t="shared" ca="1" si="394"/>
        <v>632.279</v>
      </c>
      <c r="AB816">
        <f t="shared" ca="1" si="395"/>
        <v>2593.3560316486619</v>
      </c>
      <c r="AC816">
        <f t="shared" ca="1" si="396"/>
        <v>482.07306851378365</v>
      </c>
      <c r="AD816">
        <f t="shared" ca="1" si="397"/>
        <v>280.07692026646265</v>
      </c>
      <c r="AE816">
        <f t="shared" ca="1" si="398"/>
        <v>1019.7665564573041</v>
      </c>
      <c r="AF816">
        <f t="shared" ca="1" si="399"/>
        <v>482.32750852789832</v>
      </c>
      <c r="AG816">
        <f t="shared" ca="1" si="400"/>
        <v>0</v>
      </c>
      <c r="AH816">
        <f ca="1">IF(V32="Supercritical",L816,IF(V32="Subcritical",W816,IF(AND(V816=1,AG816=1),IF(T816&gt;=AE816,L816,W816),IF(V816=1,L816,IF(AG816=1,W816,MAX($D$16,POWER((ABS(K816)^2)/($I$5*MAX(F816,0.1)^2),1/3)))))))</f>
        <v>2.1403668656741068</v>
      </c>
      <c r="AI816">
        <f t="shared" ca="1" si="401"/>
        <v>634.36936686567412</v>
      </c>
      <c r="AJ816">
        <f t="shared" ca="1" si="402"/>
        <v>635.43955029851122</v>
      </c>
      <c r="AM816">
        <v>0</v>
      </c>
      <c r="AN816">
        <v>0</v>
      </c>
      <c r="AO816">
        <f t="shared" si="403"/>
        <v>0</v>
      </c>
      <c r="AP816">
        <f t="shared" si="412"/>
        <v>0</v>
      </c>
      <c r="AQ816">
        <f t="shared" ca="1" si="404"/>
        <v>0.99999999999999978</v>
      </c>
      <c r="AR816" t="str">
        <f t="shared" ca="1" si="405"/>
        <v>Supercritical</v>
      </c>
      <c r="AS816">
        <f t="shared" ca="1" si="406"/>
        <v>3.8148159832266538E-3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191</v>
      </c>
      <c r="I817">
        <v>7.8E-2</v>
      </c>
      <c r="J817">
        <f t="shared" si="407"/>
        <v>1</v>
      </c>
      <c r="K817">
        <f t="shared" si="408"/>
        <v>51</v>
      </c>
      <c r="L817">
        <f t="shared" ca="1" si="409"/>
        <v>0.05</v>
      </c>
      <c r="M817">
        <f t="shared" ca="1" si="382"/>
        <v>0.26</v>
      </c>
      <c r="N817">
        <f t="shared" ca="1" si="383"/>
        <v>4.9056603773584909E-2</v>
      </c>
      <c r="O817">
        <f t="shared" ca="1" si="384"/>
        <v>196.15384615384616</v>
      </c>
      <c r="P817">
        <f t="shared" ca="1" si="385"/>
        <v>632.27850000000001</v>
      </c>
      <c r="Q817">
        <f t="shared" ca="1" si="386"/>
        <v>2593.3555316486622</v>
      </c>
      <c r="R817">
        <f t="shared" ca="1" si="387"/>
        <v>482.07306851378365</v>
      </c>
      <c r="S817">
        <f t="shared" ca="1" si="388"/>
        <v>280.07692026646265</v>
      </c>
      <c r="T817">
        <f t="shared" ca="1" si="389"/>
        <v>1019.7665564573041</v>
      </c>
      <c r="U817">
        <f t="shared" ca="1" si="410"/>
        <v>-482.32750852789832</v>
      </c>
      <c r="V817">
        <f t="shared" ca="1" si="411"/>
        <v>0</v>
      </c>
      <c r="W817">
        <f t="shared" ca="1" si="390"/>
        <v>0.05</v>
      </c>
      <c r="X817">
        <f t="shared" ca="1" si="391"/>
        <v>0.26</v>
      </c>
      <c r="Y817">
        <f t="shared" ca="1" si="392"/>
        <v>4.9056603773584909E-2</v>
      </c>
      <c r="Z817">
        <f t="shared" ca="1" si="393"/>
        <v>196.15384615384616</v>
      </c>
      <c r="AA817">
        <f t="shared" ca="1" si="394"/>
        <v>632.27850000000001</v>
      </c>
      <c r="AB817">
        <f t="shared" ca="1" si="395"/>
        <v>2593.3555316486622</v>
      </c>
      <c r="AC817">
        <f t="shared" ca="1" si="396"/>
        <v>482.07306851378365</v>
      </c>
      <c r="AD817">
        <f t="shared" ca="1" si="397"/>
        <v>280.07692026646265</v>
      </c>
      <c r="AE817">
        <f t="shared" ca="1" si="398"/>
        <v>1019.7665564573041</v>
      </c>
      <c r="AF817">
        <f t="shared" ca="1" si="399"/>
        <v>482.23599159975447</v>
      </c>
      <c r="AG817">
        <f t="shared" ca="1" si="400"/>
        <v>0</v>
      </c>
      <c r="AH817">
        <f ca="1">IF(V32="Supercritical",L817,IF(V32="Subcritical",W817,IF(AND(V817=1,AG817=1),IF(T817&gt;=AE817,L817,W817),IF(V817=1,L817,IF(AG817=1,W817,MAX($D$16,POWER((ABS(K817)^2)/($I$5*MAX(F817,0.1)^2),1/3)))))))</f>
        <v>2.1403668656741068</v>
      </c>
      <c r="AI817">
        <f t="shared" ca="1" si="401"/>
        <v>634.36886686567414</v>
      </c>
      <c r="AJ817">
        <f t="shared" ca="1" si="402"/>
        <v>635.43905029851123</v>
      </c>
      <c r="AM817">
        <v>0</v>
      </c>
      <c r="AN817">
        <v>0</v>
      </c>
      <c r="AO817">
        <f t="shared" si="403"/>
        <v>0</v>
      </c>
      <c r="AP817">
        <f t="shared" si="412"/>
        <v>0</v>
      </c>
      <c r="AQ817">
        <f t="shared" ca="1" si="404"/>
        <v>0.99999999999999978</v>
      </c>
      <c r="AR817" t="str">
        <f t="shared" ca="1" si="405"/>
        <v>Supercritical</v>
      </c>
      <c r="AS817">
        <f t="shared" ca="1" si="406"/>
        <v>3.8148159832266538E-3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191</v>
      </c>
      <c r="I818">
        <v>0.05</v>
      </c>
      <c r="J818">
        <f t="shared" si="407"/>
        <v>1</v>
      </c>
      <c r="K818">
        <f t="shared" si="408"/>
        <v>51</v>
      </c>
      <c r="L818">
        <f t="shared" ca="1" si="409"/>
        <v>0.05</v>
      </c>
      <c r="M818">
        <f t="shared" ca="1" si="382"/>
        <v>0.26</v>
      </c>
      <c r="N818">
        <f t="shared" ca="1" si="383"/>
        <v>4.9056603773584909E-2</v>
      </c>
      <c r="O818">
        <f t="shared" ca="1" si="384"/>
        <v>196.15384615384616</v>
      </c>
      <c r="P818">
        <f t="shared" ca="1" si="385"/>
        <v>632.27799999999991</v>
      </c>
      <c r="Q818">
        <f t="shared" ca="1" si="386"/>
        <v>2593.3550316486621</v>
      </c>
      <c r="R818">
        <f t="shared" ca="1" si="387"/>
        <v>482.07306851378365</v>
      </c>
      <c r="S818">
        <f t="shared" ca="1" si="388"/>
        <v>280.07692026646265</v>
      </c>
      <c r="T818">
        <f t="shared" ca="1" si="389"/>
        <v>1019.7665564573041</v>
      </c>
      <c r="U818">
        <f t="shared" ca="1" si="410"/>
        <v>-482.23599159975447</v>
      </c>
      <c r="V818">
        <f t="shared" ca="1" si="411"/>
        <v>0</v>
      </c>
      <c r="W818">
        <f t="shared" ca="1" si="390"/>
        <v>0.05</v>
      </c>
      <c r="X818">
        <f t="shared" ca="1" si="391"/>
        <v>0.26</v>
      </c>
      <c r="Y818">
        <f t="shared" ca="1" si="392"/>
        <v>4.9056603773584909E-2</v>
      </c>
      <c r="Z818">
        <f t="shared" ca="1" si="393"/>
        <v>196.15384615384616</v>
      </c>
      <c r="AA818">
        <f t="shared" ca="1" si="394"/>
        <v>632.27799999999991</v>
      </c>
      <c r="AB818">
        <f t="shared" ca="1" si="395"/>
        <v>2593.3550316486621</v>
      </c>
      <c r="AC818">
        <f t="shared" ca="1" si="396"/>
        <v>482.07306851378365</v>
      </c>
      <c r="AD818">
        <f t="shared" ca="1" si="397"/>
        <v>280.07692026646265</v>
      </c>
      <c r="AE818">
        <f t="shared" ca="1" si="398"/>
        <v>1019.7665564573041</v>
      </c>
      <c r="AF818">
        <f t="shared" ca="1" si="399"/>
        <v>482.16081698020798</v>
      </c>
      <c r="AG818">
        <f t="shared" ca="1" si="400"/>
        <v>0</v>
      </c>
      <c r="AH818">
        <f ca="1">IF(V32="Supercritical",L818,IF(V32="Subcritical",W818,IF(AND(V818=1,AG818=1),IF(T818&gt;=AE818,L818,W818),IF(V818=1,L818,IF(AG818=1,W818,MAX($D$16,POWER((ABS(K818)^2)/($I$5*MAX(F818,0.1)^2),1/3)))))))</f>
        <v>2.1403668656741068</v>
      </c>
      <c r="AI818">
        <f t="shared" ca="1" si="401"/>
        <v>634.36836686567403</v>
      </c>
      <c r="AJ818">
        <f t="shared" ca="1" si="402"/>
        <v>635.43855029851113</v>
      </c>
      <c r="AM818">
        <v>0</v>
      </c>
      <c r="AN818">
        <v>0</v>
      </c>
      <c r="AO818">
        <f t="shared" si="403"/>
        <v>0</v>
      </c>
      <c r="AP818">
        <f t="shared" si="412"/>
        <v>0</v>
      </c>
      <c r="AQ818">
        <f t="shared" ca="1" si="404"/>
        <v>0.99999999999999978</v>
      </c>
      <c r="AR818" t="str">
        <f t="shared" ca="1" si="405"/>
        <v>Supercritical</v>
      </c>
      <c r="AS818">
        <f t="shared" ca="1" si="406"/>
        <v>3.8148159832266538E-3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191</v>
      </c>
      <c r="I819">
        <v>2.7E-2</v>
      </c>
      <c r="J819">
        <f t="shared" si="407"/>
        <v>1</v>
      </c>
      <c r="K819">
        <f t="shared" si="408"/>
        <v>51</v>
      </c>
      <c r="L819">
        <f t="shared" ca="1" si="409"/>
        <v>0.05</v>
      </c>
      <c r="M819">
        <f t="shared" ca="1" si="382"/>
        <v>0.26</v>
      </c>
      <c r="N819">
        <f t="shared" ca="1" si="383"/>
        <v>4.9056603773584909E-2</v>
      </c>
      <c r="O819">
        <f t="shared" ca="1" si="384"/>
        <v>196.15384615384616</v>
      </c>
      <c r="P819">
        <f t="shared" ca="1" si="385"/>
        <v>632.27749999999992</v>
      </c>
      <c r="Q819">
        <f t="shared" ca="1" si="386"/>
        <v>2593.354531648662</v>
      </c>
      <c r="R819">
        <f t="shared" ca="1" si="387"/>
        <v>482.07306851378365</v>
      </c>
      <c r="S819">
        <f t="shared" ca="1" si="388"/>
        <v>280.07692026646265</v>
      </c>
      <c r="T819">
        <f t="shared" ca="1" si="389"/>
        <v>1019.7665564573041</v>
      </c>
      <c r="U819">
        <f t="shared" ca="1" si="410"/>
        <v>-482.16081698020798</v>
      </c>
      <c r="V819">
        <f t="shared" ca="1" si="411"/>
        <v>0</v>
      </c>
      <c r="W819">
        <f t="shared" ca="1" si="390"/>
        <v>0.05</v>
      </c>
      <c r="X819">
        <f t="shared" ca="1" si="391"/>
        <v>0.26</v>
      </c>
      <c r="Y819">
        <f t="shared" ca="1" si="392"/>
        <v>4.9056603773584909E-2</v>
      </c>
      <c r="Z819">
        <f t="shared" ca="1" si="393"/>
        <v>196.15384615384616</v>
      </c>
      <c r="AA819">
        <f t="shared" ca="1" si="394"/>
        <v>632.27749999999992</v>
      </c>
      <c r="AB819">
        <f t="shared" ca="1" si="395"/>
        <v>2593.354531648662</v>
      </c>
      <c r="AC819">
        <f t="shared" ca="1" si="396"/>
        <v>482.07306851378365</v>
      </c>
      <c r="AD819">
        <f t="shared" ca="1" si="397"/>
        <v>280.07692026646265</v>
      </c>
      <c r="AE819">
        <f t="shared" ca="1" si="398"/>
        <v>1019.7665564573041</v>
      </c>
      <c r="AF819">
        <f t="shared" ca="1" si="399"/>
        <v>482.16081698020798</v>
      </c>
      <c r="AG819">
        <f t="shared" ca="1" si="400"/>
        <v>0</v>
      </c>
      <c r="AH819">
        <f ca="1">IF(V32="Supercritical",L819,IF(V32="Subcritical",W819,IF(AND(V819=1,AG819=1),IF(T819&gt;=AE819,L819,W819),IF(V819=1,L819,IF(AG819=1,W819,MAX($D$16,POWER((ABS(K819)^2)/($I$5*MAX(F819,0.1)^2),1/3)))))))</f>
        <v>2.1403668656741068</v>
      </c>
      <c r="AI819">
        <f t="shared" ca="1" si="401"/>
        <v>634.36786686567405</v>
      </c>
      <c r="AJ819">
        <f t="shared" ca="1" si="402"/>
        <v>635.43805029851114</v>
      </c>
      <c r="AM819">
        <v>0</v>
      </c>
      <c r="AN819">
        <v>0</v>
      </c>
      <c r="AO819">
        <f t="shared" si="403"/>
        <v>0</v>
      </c>
      <c r="AP819">
        <f t="shared" si="412"/>
        <v>0</v>
      </c>
      <c r="AQ819">
        <f t="shared" ca="1" si="404"/>
        <v>0.99999999999999978</v>
      </c>
      <c r="AR819" t="str">
        <f t="shared" ca="1" si="405"/>
        <v>Supercritical</v>
      </c>
      <c r="AS819">
        <f t="shared" ca="1" si="406"/>
        <v>3.8148159832266538E-3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191</v>
      </c>
      <c r="I820">
        <v>2.7E-2</v>
      </c>
      <c r="J820">
        <f t="shared" si="407"/>
        <v>1</v>
      </c>
      <c r="K820">
        <f t="shared" si="408"/>
        <v>51</v>
      </c>
      <c r="L820">
        <f t="shared" ca="1" si="409"/>
        <v>0.05</v>
      </c>
      <c r="M820">
        <f t="shared" ca="1" si="382"/>
        <v>0.26</v>
      </c>
      <c r="N820">
        <f t="shared" ca="1" si="383"/>
        <v>4.9056603773584909E-2</v>
      </c>
      <c r="O820">
        <f t="shared" ca="1" si="384"/>
        <v>196.15384615384616</v>
      </c>
      <c r="P820">
        <f t="shared" ca="1" si="385"/>
        <v>632.27699999999993</v>
      </c>
      <c r="Q820">
        <f t="shared" ca="1" si="386"/>
        <v>2593.3540316486619</v>
      </c>
      <c r="R820">
        <f t="shared" ca="1" si="387"/>
        <v>482.07306851378365</v>
      </c>
      <c r="S820">
        <f t="shared" ca="1" si="388"/>
        <v>280.07692026646265</v>
      </c>
      <c r="T820">
        <f t="shared" ca="1" si="389"/>
        <v>1019.7665564573041</v>
      </c>
      <c r="U820">
        <f t="shared" ca="1" si="410"/>
        <v>-482.16081698020798</v>
      </c>
      <c r="V820">
        <f t="shared" ca="1" si="411"/>
        <v>0</v>
      </c>
      <c r="W820">
        <f t="shared" ca="1" si="390"/>
        <v>0.05</v>
      </c>
      <c r="X820">
        <f t="shared" ca="1" si="391"/>
        <v>0.26</v>
      </c>
      <c r="Y820">
        <f t="shared" ca="1" si="392"/>
        <v>4.9056603773584909E-2</v>
      </c>
      <c r="Z820">
        <f t="shared" ca="1" si="393"/>
        <v>196.15384615384616</v>
      </c>
      <c r="AA820">
        <f t="shared" ca="1" si="394"/>
        <v>632.27699999999993</v>
      </c>
      <c r="AB820">
        <f t="shared" ca="1" si="395"/>
        <v>2593.3540316486619</v>
      </c>
      <c r="AC820">
        <f t="shared" ca="1" si="396"/>
        <v>482.07306851378365</v>
      </c>
      <c r="AD820">
        <f t="shared" ca="1" si="397"/>
        <v>280.07692026646265</v>
      </c>
      <c r="AE820">
        <f t="shared" ca="1" si="398"/>
        <v>1019.7665564573041</v>
      </c>
      <c r="AF820">
        <f t="shared" ca="1" si="399"/>
        <v>482.14774313333055</v>
      </c>
      <c r="AG820">
        <f t="shared" ca="1" si="400"/>
        <v>0</v>
      </c>
      <c r="AH820">
        <f ca="1">IF(V32="Supercritical",L820,IF(V32="Subcritical",W820,IF(AND(V820=1,AG820=1),IF(T820&gt;=AE820,L820,W820),IF(V820=1,L820,IF(AG820=1,W820,MAX($D$16,POWER((ABS(K820)^2)/($I$5*MAX(F820,0.1)^2),1/3)))))))</f>
        <v>2.1403668656741068</v>
      </c>
      <c r="AI820">
        <f t="shared" ca="1" si="401"/>
        <v>634.36736686567406</v>
      </c>
      <c r="AJ820">
        <f t="shared" ca="1" si="402"/>
        <v>635.43755029851116</v>
      </c>
      <c r="AM820">
        <v>0</v>
      </c>
      <c r="AN820">
        <v>0</v>
      </c>
      <c r="AO820">
        <f t="shared" si="403"/>
        <v>0</v>
      </c>
      <c r="AP820">
        <f t="shared" si="412"/>
        <v>0</v>
      </c>
      <c r="AQ820">
        <f t="shared" ca="1" si="404"/>
        <v>0.99999999999999978</v>
      </c>
      <c r="AR820" t="str">
        <f t="shared" ca="1" si="405"/>
        <v>Supercritical</v>
      </c>
      <c r="AS820">
        <f t="shared" ca="1" si="406"/>
        <v>3.8148159832266538E-3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191</v>
      </c>
      <c r="I821">
        <v>2.3E-2</v>
      </c>
      <c r="J821">
        <f t="shared" si="407"/>
        <v>1</v>
      </c>
      <c r="K821">
        <f t="shared" si="408"/>
        <v>51</v>
      </c>
      <c r="L821">
        <f t="shared" ca="1" si="409"/>
        <v>0.05</v>
      </c>
      <c r="M821">
        <f t="shared" ca="1" si="382"/>
        <v>0.26</v>
      </c>
      <c r="N821">
        <f t="shared" ca="1" si="383"/>
        <v>4.9056603773584909E-2</v>
      </c>
      <c r="O821">
        <f t="shared" ca="1" si="384"/>
        <v>196.15384615384616</v>
      </c>
      <c r="P821">
        <f t="shared" ca="1" si="385"/>
        <v>632.27649999999994</v>
      </c>
      <c r="Q821">
        <f t="shared" ca="1" si="386"/>
        <v>2593.3535316486623</v>
      </c>
      <c r="R821">
        <f t="shared" ca="1" si="387"/>
        <v>482.07306851378365</v>
      </c>
      <c r="S821">
        <f t="shared" ca="1" si="388"/>
        <v>280.07692026646265</v>
      </c>
      <c r="T821">
        <f t="shared" ca="1" si="389"/>
        <v>1019.7665564573041</v>
      </c>
      <c r="U821">
        <f t="shared" ca="1" si="410"/>
        <v>-482.14774313333055</v>
      </c>
      <c r="V821">
        <f t="shared" ca="1" si="411"/>
        <v>0</v>
      </c>
      <c r="W821">
        <f t="shared" ca="1" si="390"/>
        <v>0.05</v>
      </c>
      <c r="X821">
        <f t="shared" ca="1" si="391"/>
        <v>0.26</v>
      </c>
      <c r="Y821">
        <f t="shared" ca="1" si="392"/>
        <v>4.9056603773584909E-2</v>
      </c>
      <c r="Z821">
        <f t="shared" ca="1" si="393"/>
        <v>196.15384615384616</v>
      </c>
      <c r="AA821">
        <f t="shared" ca="1" si="394"/>
        <v>632.27649999999994</v>
      </c>
      <c r="AB821">
        <f t="shared" ca="1" si="395"/>
        <v>2593.3535316486623</v>
      </c>
      <c r="AC821">
        <f t="shared" ca="1" si="396"/>
        <v>482.07306851378365</v>
      </c>
      <c r="AD821">
        <f t="shared" ca="1" si="397"/>
        <v>280.07692026646265</v>
      </c>
      <c r="AE821">
        <f t="shared" ca="1" si="398"/>
        <v>1019.7665564573041</v>
      </c>
      <c r="AF821">
        <f t="shared" ca="1" si="399"/>
        <v>482.62981620183245</v>
      </c>
      <c r="AG821">
        <f t="shared" ca="1" si="400"/>
        <v>0</v>
      </c>
      <c r="AH821">
        <f ca="1">IF(V32="Supercritical",L821,IF(V32="Subcritical",W821,IF(AND(V821=1,AG821=1),IF(T821&gt;=AE821,L821,W821),IF(V821=1,L821,IF(AG821=1,W821,MAX($D$16,POWER((ABS(K821)^2)/($I$5*MAX(F821,0.1)^2),1/3)))))))</f>
        <v>2.1403668656741068</v>
      </c>
      <c r="AI821">
        <f t="shared" ca="1" si="401"/>
        <v>634.36686686567407</v>
      </c>
      <c r="AJ821">
        <f t="shared" ca="1" si="402"/>
        <v>635.43705029851117</v>
      </c>
      <c r="AM821">
        <v>0</v>
      </c>
      <c r="AN821">
        <v>0</v>
      </c>
      <c r="AO821">
        <f t="shared" si="403"/>
        <v>0</v>
      </c>
      <c r="AP821">
        <f t="shared" si="412"/>
        <v>0</v>
      </c>
      <c r="AQ821">
        <f t="shared" ca="1" si="404"/>
        <v>0.99999999999999978</v>
      </c>
      <c r="AR821" t="str">
        <f t="shared" ca="1" si="405"/>
        <v>Supercritical</v>
      </c>
      <c r="AS821">
        <f t="shared" ca="1" si="406"/>
        <v>3.8148159832266538E-3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191</v>
      </c>
      <c r="I822">
        <v>2.3E-2</v>
      </c>
      <c r="J822">
        <f t="shared" si="407"/>
        <v>1.0009999999999764</v>
      </c>
      <c r="K822">
        <f t="shared" si="408"/>
        <v>51</v>
      </c>
      <c r="L822">
        <f t="shared" ca="1" si="409"/>
        <v>0.05</v>
      </c>
      <c r="M822">
        <f t="shared" ca="1" si="382"/>
        <v>0.26</v>
      </c>
      <c r="N822">
        <f t="shared" ca="1" si="383"/>
        <v>4.9056603773584909E-2</v>
      </c>
      <c r="O822">
        <f t="shared" ca="1" si="384"/>
        <v>196.15384615384616</v>
      </c>
      <c r="P822">
        <f t="shared" ca="1" si="385"/>
        <v>632.27599999999995</v>
      </c>
      <c r="Q822">
        <f t="shared" ca="1" si="386"/>
        <v>2593.3530316486622</v>
      </c>
      <c r="R822">
        <f t="shared" ca="1" si="387"/>
        <v>482.07306851378365</v>
      </c>
      <c r="S822">
        <f t="shared" ca="1" si="388"/>
        <v>280.07692026646265</v>
      </c>
      <c r="T822">
        <f t="shared" ca="1" si="389"/>
        <v>1019.7665564573041</v>
      </c>
      <c r="U822">
        <f t="shared" ca="1" si="410"/>
        <v>-482.62981620183245</v>
      </c>
      <c r="V822">
        <f t="shared" ca="1" si="411"/>
        <v>0</v>
      </c>
      <c r="W822">
        <f t="shared" ca="1" si="390"/>
        <v>0.05</v>
      </c>
      <c r="X822">
        <f t="shared" ca="1" si="391"/>
        <v>0.26</v>
      </c>
      <c r="Y822">
        <f t="shared" ca="1" si="392"/>
        <v>4.9056603773584909E-2</v>
      </c>
      <c r="Z822">
        <f t="shared" ca="1" si="393"/>
        <v>196.15384615384616</v>
      </c>
      <c r="AA822">
        <f t="shared" ca="1" si="394"/>
        <v>632.27599999999995</v>
      </c>
      <c r="AB822">
        <f t="shared" ca="1" si="395"/>
        <v>2593.3530316486622</v>
      </c>
      <c r="AC822">
        <f t="shared" ca="1" si="396"/>
        <v>482.07306851378365</v>
      </c>
      <c r="AD822">
        <f t="shared" ca="1" si="397"/>
        <v>280.07692026646265</v>
      </c>
      <c r="AE822">
        <f t="shared" ca="1" si="398"/>
        <v>1019.7665564573041</v>
      </c>
      <c r="AF822">
        <f t="shared" ca="1" si="399"/>
        <v>481.59049544528125</v>
      </c>
      <c r="AG822">
        <f t="shared" ca="1" si="400"/>
        <v>0</v>
      </c>
      <c r="AH822">
        <f ca="1">IF(V32="Supercritical",L822,IF(V32="Subcritical",W822,IF(AND(V822=1,AG822=1),IF(T822&gt;=AE822,L822,W822),IF(V822=1,L822,IF(AG822=1,W822,MAX($D$16,POWER((ABS(K822)^2)/($I$5*MAX(F822,0.1)^2),1/3)))))))</f>
        <v>2.1403668656741068</v>
      </c>
      <c r="AI822">
        <f t="shared" ca="1" si="401"/>
        <v>634.36636686567408</v>
      </c>
      <c r="AJ822">
        <f t="shared" ca="1" si="402"/>
        <v>635.43655029851118</v>
      </c>
      <c r="AM822">
        <v>0</v>
      </c>
      <c r="AN822">
        <v>0</v>
      </c>
      <c r="AO822">
        <f t="shared" si="403"/>
        <v>0</v>
      </c>
      <c r="AP822">
        <f t="shared" si="412"/>
        <v>0</v>
      </c>
      <c r="AQ822">
        <f t="shared" ca="1" si="404"/>
        <v>0.99999999999999978</v>
      </c>
      <c r="AR822" t="str">
        <f t="shared" ca="1" si="405"/>
        <v>Supercritical</v>
      </c>
      <c r="AS822">
        <f t="shared" ca="1" si="406"/>
        <v>3.8148159832266538E-3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191</v>
      </c>
      <c r="I823">
        <v>0</v>
      </c>
      <c r="J823">
        <f t="shared" si="407"/>
        <v>0.99900000000002365</v>
      </c>
      <c r="K823">
        <f t="shared" si="408"/>
        <v>51</v>
      </c>
      <c r="L823">
        <f t="shared" ca="1" si="409"/>
        <v>0.05</v>
      </c>
      <c r="M823">
        <f t="shared" ca="1" si="382"/>
        <v>0.26</v>
      </c>
      <c r="N823">
        <f t="shared" ca="1" si="383"/>
        <v>4.9056603773584909E-2</v>
      </c>
      <c r="O823">
        <f t="shared" ca="1" si="384"/>
        <v>196.15384615384616</v>
      </c>
      <c r="P823">
        <f t="shared" ca="1" si="385"/>
        <v>632.27549999999997</v>
      </c>
      <c r="Q823">
        <f t="shared" ca="1" si="386"/>
        <v>2593.3525316486621</v>
      </c>
      <c r="R823">
        <f t="shared" ca="1" si="387"/>
        <v>482.07306851378365</v>
      </c>
      <c r="S823">
        <f t="shared" ca="1" si="388"/>
        <v>280.07692026646265</v>
      </c>
      <c r="T823">
        <f t="shared" ca="1" si="389"/>
        <v>1019.7665564573041</v>
      </c>
      <c r="U823">
        <f t="shared" ca="1" si="410"/>
        <v>-481.59049544528125</v>
      </c>
      <c r="V823">
        <f t="shared" ca="1" si="411"/>
        <v>0</v>
      </c>
      <c r="W823">
        <f t="shared" ca="1" si="390"/>
        <v>0.05</v>
      </c>
      <c r="X823">
        <f t="shared" ca="1" si="391"/>
        <v>0.26</v>
      </c>
      <c r="Y823">
        <f t="shared" ca="1" si="392"/>
        <v>4.9056603773584909E-2</v>
      </c>
      <c r="Z823">
        <f t="shared" ca="1" si="393"/>
        <v>196.15384615384616</v>
      </c>
      <c r="AA823">
        <f t="shared" ca="1" si="394"/>
        <v>632.27549999999997</v>
      </c>
      <c r="AB823">
        <f t="shared" ca="1" si="395"/>
        <v>2593.3525316486621</v>
      </c>
      <c r="AC823">
        <f t="shared" ca="1" si="396"/>
        <v>482.07306851378365</v>
      </c>
      <c r="AD823">
        <f t="shared" ca="1" si="397"/>
        <v>280.07692026646265</v>
      </c>
      <c r="AE823">
        <f t="shared" ca="1" si="398"/>
        <v>1019.7665564573041</v>
      </c>
      <c r="AF823">
        <f t="shared" ca="1" si="399"/>
        <v>482.16081698020798</v>
      </c>
      <c r="AG823">
        <f t="shared" ca="1" si="400"/>
        <v>0</v>
      </c>
      <c r="AH823">
        <f ca="1">IF(V32="Supercritical",L823,IF(V32="Subcritical",W823,IF(AND(V823=1,AG823=1),IF(T823&gt;=AE823,L823,W823),IF(V823=1,L823,IF(AG823=1,W823,MAX($D$16,POWER((ABS(K823)^2)/($I$5*MAX(F823,0.1)^2),1/3)))))))</f>
        <v>2.1403668656741068</v>
      </c>
      <c r="AI823">
        <f t="shared" ca="1" si="401"/>
        <v>634.36586686567409</v>
      </c>
      <c r="AJ823">
        <f t="shared" ca="1" si="402"/>
        <v>635.43605029851119</v>
      </c>
      <c r="AM823">
        <v>0</v>
      </c>
      <c r="AN823">
        <v>0</v>
      </c>
      <c r="AO823">
        <f t="shared" si="403"/>
        <v>0</v>
      </c>
      <c r="AP823">
        <f t="shared" si="412"/>
        <v>0</v>
      </c>
      <c r="AQ823">
        <f t="shared" ca="1" si="404"/>
        <v>0.99999999999999978</v>
      </c>
      <c r="AR823" t="str">
        <f t="shared" ca="1" si="405"/>
        <v>Supercritical</v>
      </c>
      <c r="AS823">
        <f t="shared" ca="1" si="406"/>
        <v>3.8148159832266538E-3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191</v>
      </c>
      <c r="I824">
        <v>2.7E-2</v>
      </c>
      <c r="J824">
        <f t="shared" si="407"/>
        <v>1</v>
      </c>
      <c r="K824">
        <f t="shared" si="408"/>
        <v>51</v>
      </c>
      <c r="L824">
        <f t="shared" ca="1" si="409"/>
        <v>0.05</v>
      </c>
      <c r="M824">
        <f t="shared" ca="1" si="382"/>
        <v>0.26</v>
      </c>
      <c r="N824">
        <f t="shared" ca="1" si="383"/>
        <v>4.9056603773584909E-2</v>
      </c>
      <c r="O824">
        <f t="shared" ca="1" si="384"/>
        <v>196.15384615384616</v>
      </c>
      <c r="P824">
        <f t="shared" ca="1" si="385"/>
        <v>632.27499999999998</v>
      </c>
      <c r="Q824">
        <f t="shared" ca="1" si="386"/>
        <v>2593.352031648662</v>
      </c>
      <c r="R824">
        <f t="shared" ca="1" si="387"/>
        <v>482.07306851378365</v>
      </c>
      <c r="S824">
        <f t="shared" ca="1" si="388"/>
        <v>280.07692026646265</v>
      </c>
      <c r="T824">
        <f t="shared" ca="1" si="389"/>
        <v>1019.7665564573041</v>
      </c>
      <c r="U824">
        <f t="shared" ca="1" si="410"/>
        <v>-482.16081698020798</v>
      </c>
      <c r="V824">
        <f t="shared" ca="1" si="411"/>
        <v>0</v>
      </c>
      <c r="W824">
        <f t="shared" ca="1" si="390"/>
        <v>0.05</v>
      </c>
      <c r="X824">
        <f t="shared" ca="1" si="391"/>
        <v>0.26</v>
      </c>
      <c r="Y824">
        <f t="shared" ca="1" si="392"/>
        <v>4.9056603773584909E-2</v>
      </c>
      <c r="Z824">
        <f t="shared" ca="1" si="393"/>
        <v>196.15384615384616</v>
      </c>
      <c r="AA824">
        <f t="shared" ca="1" si="394"/>
        <v>632.27499999999998</v>
      </c>
      <c r="AB824">
        <f t="shared" ca="1" si="395"/>
        <v>2593.352031648662</v>
      </c>
      <c r="AC824">
        <f t="shared" ca="1" si="396"/>
        <v>482.07306851378365</v>
      </c>
      <c r="AD824">
        <f t="shared" ca="1" si="397"/>
        <v>280.07692026646265</v>
      </c>
      <c r="AE824">
        <f t="shared" ca="1" si="398"/>
        <v>1019.7665564573041</v>
      </c>
      <c r="AF824">
        <f t="shared" ca="1" si="399"/>
        <v>482.32750852789786</v>
      </c>
      <c r="AG824">
        <f t="shared" ca="1" si="400"/>
        <v>0</v>
      </c>
      <c r="AH824">
        <f ca="1">IF(V32="Supercritical",L824,IF(V32="Subcritical",W824,IF(AND(V824=1,AG824=1),IF(T824&gt;=AE824,L824,W824),IF(V824=1,L824,IF(AG824=1,W824,MAX($D$16,POWER((ABS(K824)^2)/($I$5*MAX(F824,0.1)^2),1/3)))))))</f>
        <v>2.1403668656741068</v>
      </c>
      <c r="AI824">
        <f t="shared" ca="1" si="401"/>
        <v>634.3653668656741</v>
      </c>
      <c r="AJ824">
        <f t="shared" ca="1" si="402"/>
        <v>635.4355502985112</v>
      </c>
      <c r="AM824">
        <v>0</v>
      </c>
      <c r="AN824">
        <v>0</v>
      </c>
      <c r="AO824">
        <f t="shared" si="403"/>
        <v>0</v>
      </c>
      <c r="AP824">
        <f t="shared" si="412"/>
        <v>0</v>
      </c>
      <c r="AQ824">
        <f t="shared" ca="1" si="404"/>
        <v>0.99999999999999978</v>
      </c>
      <c r="AR824" t="str">
        <f t="shared" ca="1" si="405"/>
        <v>Supercritical</v>
      </c>
      <c r="AS824">
        <f t="shared" ca="1" si="406"/>
        <v>3.8148159832266538E-3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191</v>
      </c>
      <c r="I825">
        <v>7.8E-2</v>
      </c>
      <c r="J825">
        <f t="shared" si="407"/>
        <v>1</v>
      </c>
      <c r="K825">
        <f t="shared" si="408"/>
        <v>51</v>
      </c>
      <c r="L825">
        <f t="shared" ca="1" si="409"/>
        <v>0.05</v>
      </c>
      <c r="M825">
        <f t="shared" ca="1" si="382"/>
        <v>0.26</v>
      </c>
      <c r="N825">
        <f t="shared" ca="1" si="383"/>
        <v>4.9056603773584909E-2</v>
      </c>
      <c r="O825">
        <f t="shared" ca="1" si="384"/>
        <v>196.15384615384616</v>
      </c>
      <c r="P825">
        <f t="shared" ca="1" si="385"/>
        <v>632.27449999999999</v>
      </c>
      <c r="Q825">
        <f t="shared" ca="1" si="386"/>
        <v>2593.3515316486619</v>
      </c>
      <c r="R825">
        <f t="shared" ca="1" si="387"/>
        <v>482.07306851378365</v>
      </c>
      <c r="S825">
        <f t="shared" ca="1" si="388"/>
        <v>280.07692026646265</v>
      </c>
      <c r="T825">
        <f t="shared" ca="1" si="389"/>
        <v>1019.7665564573041</v>
      </c>
      <c r="U825">
        <f t="shared" ca="1" si="410"/>
        <v>-482.32750852789786</v>
      </c>
      <c r="V825">
        <f t="shared" ca="1" si="411"/>
        <v>0</v>
      </c>
      <c r="W825">
        <f t="shared" ca="1" si="390"/>
        <v>0.05</v>
      </c>
      <c r="X825">
        <f t="shared" ca="1" si="391"/>
        <v>0.26</v>
      </c>
      <c r="Y825">
        <f t="shared" ca="1" si="392"/>
        <v>4.9056603773584909E-2</v>
      </c>
      <c r="Z825">
        <f t="shared" ca="1" si="393"/>
        <v>196.15384615384616</v>
      </c>
      <c r="AA825">
        <f t="shared" ca="1" si="394"/>
        <v>632.27449999999999</v>
      </c>
      <c r="AB825">
        <f t="shared" ca="1" si="395"/>
        <v>2593.3515316486619</v>
      </c>
      <c r="AC825">
        <f t="shared" ca="1" si="396"/>
        <v>482.07306851378365</v>
      </c>
      <c r="AD825">
        <f t="shared" ca="1" si="397"/>
        <v>280.07692026646265</v>
      </c>
      <c r="AE825">
        <f t="shared" ca="1" si="398"/>
        <v>1019.7665564573041</v>
      </c>
      <c r="AF825">
        <f t="shared" ca="1" si="399"/>
        <v>482.32750852789832</v>
      </c>
      <c r="AG825">
        <f t="shared" ca="1" si="400"/>
        <v>0</v>
      </c>
      <c r="AH825">
        <f ca="1">IF(V32="Supercritical",L825,IF(V32="Subcritical",W825,IF(AND(V825=1,AG825=1),IF(T825&gt;=AE825,L825,W825),IF(V825=1,L825,IF(AG825=1,W825,MAX($D$16,POWER((ABS(K825)^2)/($I$5*MAX(F825,0.1)^2),1/3)))))))</f>
        <v>2.1403668656741068</v>
      </c>
      <c r="AI825">
        <f t="shared" ca="1" si="401"/>
        <v>634.36486686567412</v>
      </c>
      <c r="AJ825">
        <f t="shared" ca="1" si="402"/>
        <v>635.43505029851121</v>
      </c>
      <c r="AM825">
        <v>0</v>
      </c>
      <c r="AN825">
        <v>0</v>
      </c>
      <c r="AO825">
        <f t="shared" si="403"/>
        <v>0</v>
      </c>
      <c r="AP825">
        <f t="shared" si="412"/>
        <v>0</v>
      </c>
      <c r="AQ825">
        <f t="shared" ca="1" si="404"/>
        <v>0.99999999999999978</v>
      </c>
      <c r="AR825" t="str">
        <f t="shared" ca="1" si="405"/>
        <v>Supercritical</v>
      </c>
      <c r="AS825">
        <f t="shared" ca="1" si="406"/>
        <v>3.8148159832266538E-3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191</v>
      </c>
      <c r="I826">
        <v>7.8E-2</v>
      </c>
      <c r="J826">
        <f t="shared" si="407"/>
        <v>1</v>
      </c>
      <c r="K826">
        <f t="shared" si="408"/>
        <v>51</v>
      </c>
      <c r="L826">
        <f t="shared" ca="1" si="409"/>
        <v>0.05</v>
      </c>
      <c r="M826">
        <f t="shared" ca="1" si="382"/>
        <v>0.26</v>
      </c>
      <c r="N826">
        <f t="shared" ca="1" si="383"/>
        <v>4.9056603773584909E-2</v>
      </c>
      <c r="O826">
        <f t="shared" ca="1" si="384"/>
        <v>196.15384615384616</v>
      </c>
      <c r="P826">
        <f t="shared" ca="1" si="385"/>
        <v>632.274</v>
      </c>
      <c r="Q826">
        <f t="shared" ca="1" si="386"/>
        <v>2593.3510316486622</v>
      </c>
      <c r="R826">
        <f t="shared" ca="1" si="387"/>
        <v>482.07306851378365</v>
      </c>
      <c r="S826">
        <f t="shared" ca="1" si="388"/>
        <v>280.07692026646265</v>
      </c>
      <c r="T826">
        <f t="shared" ca="1" si="389"/>
        <v>1019.7665564573041</v>
      </c>
      <c r="U826">
        <f t="shared" ca="1" si="410"/>
        <v>-482.32750852789832</v>
      </c>
      <c r="V826">
        <f t="shared" ca="1" si="411"/>
        <v>0</v>
      </c>
      <c r="W826">
        <f t="shared" ca="1" si="390"/>
        <v>0.05</v>
      </c>
      <c r="X826">
        <f t="shared" ca="1" si="391"/>
        <v>0.26</v>
      </c>
      <c r="Y826">
        <f t="shared" ca="1" si="392"/>
        <v>4.9056603773584909E-2</v>
      </c>
      <c r="Z826">
        <f t="shared" ca="1" si="393"/>
        <v>196.15384615384616</v>
      </c>
      <c r="AA826">
        <f t="shared" ca="1" si="394"/>
        <v>632.274</v>
      </c>
      <c r="AB826">
        <f t="shared" ca="1" si="395"/>
        <v>2593.3510316486622</v>
      </c>
      <c r="AC826">
        <f t="shared" ca="1" si="396"/>
        <v>482.07306851378365</v>
      </c>
      <c r="AD826">
        <f t="shared" ca="1" si="397"/>
        <v>280.07692026646265</v>
      </c>
      <c r="AE826">
        <f t="shared" ca="1" si="398"/>
        <v>1019.7665564573041</v>
      </c>
      <c r="AF826">
        <f t="shared" ca="1" si="399"/>
        <v>482.64289004871034</v>
      </c>
      <c r="AG826">
        <f t="shared" ca="1" si="400"/>
        <v>0</v>
      </c>
      <c r="AH826">
        <f ca="1">IF(V32="Supercritical",L826,IF(V32="Subcritical",W826,IF(AND(V826=1,AG826=1),IF(T826&gt;=AE826,L826,W826),IF(V826=1,L826,IF(AG826=1,W826,MAX($D$16,POWER((ABS(K826)^2)/($I$5*MAX(F826,0.1)^2),1/3)))))))</f>
        <v>2.1403668656741068</v>
      </c>
      <c r="AI826">
        <f t="shared" ca="1" si="401"/>
        <v>634.36436686567413</v>
      </c>
      <c r="AJ826">
        <f t="shared" ca="1" si="402"/>
        <v>635.43455029851123</v>
      </c>
      <c r="AM826">
        <v>0</v>
      </c>
      <c r="AN826">
        <v>0</v>
      </c>
      <c r="AO826">
        <f t="shared" si="403"/>
        <v>0</v>
      </c>
      <c r="AP826">
        <f t="shared" si="412"/>
        <v>0</v>
      </c>
      <c r="AQ826">
        <f t="shared" ca="1" si="404"/>
        <v>0.99999999999999978</v>
      </c>
      <c r="AR826" t="str">
        <f t="shared" ca="1" si="405"/>
        <v>Supercritical</v>
      </c>
      <c r="AS826">
        <f t="shared" ca="1" si="406"/>
        <v>3.8148159832266538E-3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191</v>
      </c>
      <c r="I827">
        <v>2.7E-2</v>
      </c>
      <c r="J827">
        <f t="shared" si="407"/>
        <v>1.0009999999999764</v>
      </c>
      <c r="K827">
        <f t="shared" si="408"/>
        <v>51</v>
      </c>
      <c r="L827">
        <f t="shared" ca="1" si="409"/>
        <v>0.05</v>
      </c>
      <c r="M827">
        <f t="shared" ca="1" si="382"/>
        <v>0.26</v>
      </c>
      <c r="N827">
        <f t="shared" ca="1" si="383"/>
        <v>4.9056603773584909E-2</v>
      </c>
      <c r="O827">
        <f t="shared" ca="1" si="384"/>
        <v>196.15384615384616</v>
      </c>
      <c r="P827">
        <f t="shared" ca="1" si="385"/>
        <v>632.2734999999999</v>
      </c>
      <c r="Q827">
        <f t="shared" ca="1" si="386"/>
        <v>2593.3505316486621</v>
      </c>
      <c r="R827">
        <f t="shared" ca="1" si="387"/>
        <v>482.07306851378365</v>
      </c>
      <c r="S827">
        <f t="shared" ca="1" si="388"/>
        <v>280.07692026646265</v>
      </c>
      <c r="T827">
        <f t="shared" ca="1" si="389"/>
        <v>1019.7665564573041</v>
      </c>
      <c r="U827">
        <f t="shared" ca="1" si="410"/>
        <v>-482.64289004871034</v>
      </c>
      <c r="V827">
        <f t="shared" ca="1" si="411"/>
        <v>0</v>
      </c>
      <c r="W827">
        <f t="shared" ca="1" si="390"/>
        <v>0.05</v>
      </c>
      <c r="X827">
        <f t="shared" ca="1" si="391"/>
        <v>0.26</v>
      </c>
      <c r="Y827">
        <f t="shared" ca="1" si="392"/>
        <v>4.9056603773584909E-2</v>
      </c>
      <c r="Z827">
        <f t="shared" ca="1" si="393"/>
        <v>196.15384615384616</v>
      </c>
      <c r="AA827">
        <f t="shared" ca="1" si="394"/>
        <v>632.2734999999999</v>
      </c>
      <c r="AB827">
        <f t="shared" ca="1" si="395"/>
        <v>2593.3505316486621</v>
      </c>
      <c r="AC827">
        <f t="shared" ca="1" si="396"/>
        <v>482.07306851378365</v>
      </c>
      <c r="AD827">
        <f t="shared" ca="1" si="397"/>
        <v>280.07692026646265</v>
      </c>
      <c r="AE827">
        <f t="shared" ca="1" si="398"/>
        <v>1019.7665564573041</v>
      </c>
      <c r="AF827">
        <f t="shared" ca="1" si="399"/>
        <v>481.59049544528125</v>
      </c>
      <c r="AG827">
        <f t="shared" ca="1" si="400"/>
        <v>0</v>
      </c>
      <c r="AH827">
        <f ca="1">IF(V32="Supercritical",L827,IF(V32="Subcritical",W827,IF(AND(V827=1,AG827=1),IF(T827&gt;=AE827,L827,W827),IF(V827=1,L827,IF(AG827=1,W827,MAX($D$16,POWER((ABS(K827)^2)/($I$5*MAX(F827,0.1)^2),1/3)))))))</f>
        <v>2.1403668656741068</v>
      </c>
      <c r="AI827">
        <f t="shared" ca="1" si="401"/>
        <v>634.36386686567403</v>
      </c>
      <c r="AJ827">
        <f t="shared" ca="1" si="402"/>
        <v>635.43405029851112</v>
      </c>
      <c r="AM827">
        <v>0</v>
      </c>
      <c r="AN827">
        <v>0</v>
      </c>
      <c r="AO827">
        <f t="shared" si="403"/>
        <v>0</v>
      </c>
      <c r="AP827">
        <f t="shared" si="412"/>
        <v>0</v>
      </c>
      <c r="AQ827">
        <f t="shared" ca="1" si="404"/>
        <v>0.99999999999999978</v>
      </c>
      <c r="AR827" t="str">
        <f t="shared" ca="1" si="405"/>
        <v>Supercritical</v>
      </c>
      <c r="AS827">
        <f t="shared" ca="1" si="406"/>
        <v>3.8148159832266538E-3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191</v>
      </c>
      <c r="I828">
        <v>0</v>
      </c>
      <c r="J828">
        <f t="shared" si="407"/>
        <v>0.99900000000002365</v>
      </c>
      <c r="K828">
        <f t="shared" si="408"/>
        <v>51</v>
      </c>
      <c r="L828">
        <f t="shared" ca="1" si="409"/>
        <v>0.05</v>
      </c>
      <c r="M828">
        <f t="shared" ca="1" si="382"/>
        <v>0.26</v>
      </c>
      <c r="N828">
        <f t="shared" ca="1" si="383"/>
        <v>4.9056603773584909E-2</v>
      </c>
      <c r="O828">
        <f t="shared" ca="1" si="384"/>
        <v>196.15384615384616</v>
      </c>
      <c r="P828">
        <f t="shared" ca="1" si="385"/>
        <v>632.27299999999991</v>
      </c>
      <c r="Q828">
        <f t="shared" ca="1" si="386"/>
        <v>2593.350031648662</v>
      </c>
      <c r="R828">
        <f t="shared" ca="1" si="387"/>
        <v>482.07306851378365</v>
      </c>
      <c r="S828">
        <f t="shared" ca="1" si="388"/>
        <v>280.07692026646265</v>
      </c>
      <c r="T828">
        <f t="shared" ca="1" si="389"/>
        <v>1019.7665564573041</v>
      </c>
      <c r="U828">
        <f t="shared" ca="1" si="410"/>
        <v>-481.59049544528125</v>
      </c>
      <c r="V828">
        <f t="shared" ca="1" si="411"/>
        <v>0</v>
      </c>
      <c r="W828">
        <f t="shared" ca="1" si="390"/>
        <v>0.05</v>
      </c>
      <c r="X828">
        <f t="shared" ca="1" si="391"/>
        <v>0.26</v>
      </c>
      <c r="Y828">
        <f t="shared" ca="1" si="392"/>
        <v>4.9056603773584909E-2</v>
      </c>
      <c r="Z828">
        <f t="shared" ca="1" si="393"/>
        <v>196.15384615384616</v>
      </c>
      <c r="AA828">
        <f t="shared" ca="1" si="394"/>
        <v>632.27299999999991</v>
      </c>
      <c r="AB828">
        <f t="shared" ca="1" si="395"/>
        <v>2593.350031648662</v>
      </c>
      <c r="AC828">
        <f t="shared" ca="1" si="396"/>
        <v>482.07306851378365</v>
      </c>
      <c r="AD828">
        <f t="shared" ca="1" si="397"/>
        <v>280.07692026646265</v>
      </c>
      <c r="AE828">
        <f t="shared" ca="1" si="398"/>
        <v>1019.7665564573041</v>
      </c>
      <c r="AF828">
        <f t="shared" ca="1" si="399"/>
        <v>482.16081698020798</v>
      </c>
      <c r="AG828">
        <f t="shared" ca="1" si="400"/>
        <v>0</v>
      </c>
      <c r="AH828">
        <f ca="1">IF(V32="Supercritical",L828,IF(V32="Subcritical",W828,IF(AND(V828=1,AG828=1),IF(T828&gt;=AE828,L828,W828),IF(V828=1,L828,IF(AG828=1,W828,MAX($D$16,POWER((ABS(K828)^2)/($I$5*MAX(F828,0.1)^2),1/3)))))))</f>
        <v>2.1403668656741068</v>
      </c>
      <c r="AI828">
        <f t="shared" ca="1" si="401"/>
        <v>634.36336686567404</v>
      </c>
      <c r="AJ828">
        <f t="shared" ca="1" si="402"/>
        <v>635.43355029851114</v>
      </c>
      <c r="AM828">
        <v>0</v>
      </c>
      <c r="AN828">
        <v>0</v>
      </c>
      <c r="AO828">
        <f t="shared" si="403"/>
        <v>0</v>
      </c>
      <c r="AP828">
        <f t="shared" si="412"/>
        <v>0</v>
      </c>
      <c r="AQ828">
        <f t="shared" ca="1" si="404"/>
        <v>0.99999999999999978</v>
      </c>
      <c r="AR828" t="str">
        <f t="shared" ca="1" si="405"/>
        <v>Supercritical</v>
      </c>
      <c r="AS828">
        <f t="shared" ca="1" si="406"/>
        <v>3.8148159832266538E-3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191</v>
      </c>
      <c r="I829">
        <v>2.7E-2</v>
      </c>
      <c r="J829">
        <f t="shared" si="407"/>
        <v>1</v>
      </c>
      <c r="K829">
        <f t="shared" si="408"/>
        <v>51</v>
      </c>
      <c r="L829">
        <f t="shared" ca="1" si="409"/>
        <v>0.05</v>
      </c>
      <c r="M829">
        <f t="shared" ca="1" si="382"/>
        <v>0.26</v>
      </c>
      <c r="N829">
        <f t="shared" ca="1" si="383"/>
        <v>4.9056603773584909E-2</v>
      </c>
      <c r="O829">
        <f t="shared" ca="1" si="384"/>
        <v>196.15384615384616</v>
      </c>
      <c r="P829">
        <f t="shared" ca="1" si="385"/>
        <v>632.27249999999992</v>
      </c>
      <c r="Q829">
        <f t="shared" ca="1" si="386"/>
        <v>2593.3495316486619</v>
      </c>
      <c r="R829">
        <f t="shared" ca="1" si="387"/>
        <v>482.07306851378365</v>
      </c>
      <c r="S829">
        <f t="shared" ca="1" si="388"/>
        <v>280.07692026646265</v>
      </c>
      <c r="T829">
        <f t="shared" ca="1" si="389"/>
        <v>1019.7665564573041</v>
      </c>
      <c r="U829">
        <f t="shared" ca="1" si="410"/>
        <v>-482.16081698020798</v>
      </c>
      <c r="V829">
        <f t="shared" ca="1" si="411"/>
        <v>0</v>
      </c>
      <c r="W829">
        <f t="shared" ca="1" si="390"/>
        <v>0.05</v>
      </c>
      <c r="X829">
        <f t="shared" ca="1" si="391"/>
        <v>0.26</v>
      </c>
      <c r="Y829">
        <f t="shared" ca="1" si="392"/>
        <v>4.9056603773584909E-2</v>
      </c>
      <c r="Z829">
        <f t="shared" ca="1" si="393"/>
        <v>196.15384615384616</v>
      </c>
      <c r="AA829">
        <f t="shared" ca="1" si="394"/>
        <v>632.27249999999992</v>
      </c>
      <c r="AB829">
        <f t="shared" ca="1" si="395"/>
        <v>2593.3495316486619</v>
      </c>
      <c r="AC829">
        <f t="shared" ca="1" si="396"/>
        <v>482.07306851378365</v>
      </c>
      <c r="AD829">
        <f t="shared" ca="1" si="397"/>
        <v>280.07692026646265</v>
      </c>
      <c r="AE829">
        <f t="shared" ca="1" si="398"/>
        <v>1019.7665564573041</v>
      </c>
      <c r="AF829">
        <f t="shared" ca="1" si="399"/>
        <v>482.32750852789832</v>
      </c>
      <c r="AG829">
        <f t="shared" ca="1" si="400"/>
        <v>0</v>
      </c>
      <c r="AH829">
        <f ca="1">IF(V32="Supercritical",L829,IF(V32="Subcritical",W829,IF(AND(V829=1,AG829=1),IF(T829&gt;=AE829,L829,W829),IF(V829=1,L829,IF(AG829=1,W829,MAX($D$16,POWER((ABS(K829)^2)/($I$5*MAX(F829,0.1)^2),1/3)))))))</f>
        <v>2.1403668656741068</v>
      </c>
      <c r="AI829">
        <f t="shared" ca="1" si="401"/>
        <v>634.36286686567405</v>
      </c>
      <c r="AJ829">
        <f t="shared" ca="1" si="402"/>
        <v>635.43305029851115</v>
      </c>
      <c r="AM829">
        <v>0</v>
      </c>
      <c r="AN829">
        <v>0</v>
      </c>
      <c r="AO829">
        <f t="shared" si="403"/>
        <v>0</v>
      </c>
      <c r="AP829">
        <f t="shared" si="412"/>
        <v>0</v>
      </c>
      <c r="AQ829">
        <f t="shared" ca="1" si="404"/>
        <v>0.99999999999999978</v>
      </c>
      <c r="AR829" t="str">
        <f t="shared" ca="1" si="405"/>
        <v>Supercritical</v>
      </c>
      <c r="AS829">
        <f t="shared" ca="1" si="406"/>
        <v>3.8148159832266538E-3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191</v>
      </c>
      <c r="I830">
        <v>7.8E-2</v>
      </c>
      <c r="J830">
        <f t="shared" si="407"/>
        <v>1</v>
      </c>
      <c r="K830">
        <f t="shared" si="408"/>
        <v>51</v>
      </c>
      <c r="L830">
        <f t="shared" ca="1" si="409"/>
        <v>0.05</v>
      </c>
      <c r="M830">
        <f t="shared" ca="1" si="382"/>
        <v>0.26</v>
      </c>
      <c r="N830">
        <f t="shared" ca="1" si="383"/>
        <v>4.9056603773584909E-2</v>
      </c>
      <c r="O830">
        <f t="shared" ca="1" si="384"/>
        <v>196.15384615384616</v>
      </c>
      <c r="P830">
        <f t="shared" ca="1" si="385"/>
        <v>632.27199999999993</v>
      </c>
      <c r="Q830">
        <f t="shared" ca="1" si="386"/>
        <v>2593.3490316486623</v>
      </c>
      <c r="R830">
        <f t="shared" ca="1" si="387"/>
        <v>482.07306851378365</v>
      </c>
      <c r="S830">
        <f t="shared" ca="1" si="388"/>
        <v>280.07692026646265</v>
      </c>
      <c r="T830">
        <f t="shared" ca="1" si="389"/>
        <v>1019.7665564573041</v>
      </c>
      <c r="U830">
        <f t="shared" ca="1" si="410"/>
        <v>-482.32750852789832</v>
      </c>
      <c r="V830">
        <f t="shared" ca="1" si="411"/>
        <v>0</v>
      </c>
      <c r="W830">
        <f t="shared" ca="1" si="390"/>
        <v>0.05</v>
      </c>
      <c r="X830">
        <f t="shared" ca="1" si="391"/>
        <v>0.26</v>
      </c>
      <c r="Y830">
        <f t="shared" ca="1" si="392"/>
        <v>4.9056603773584909E-2</v>
      </c>
      <c r="Z830">
        <f t="shared" ca="1" si="393"/>
        <v>196.15384615384616</v>
      </c>
      <c r="AA830">
        <f t="shared" ca="1" si="394"/>
        <v>632.27199999999993</v>
      </c>
      <c r="AB830">
        <f t="shared" ca="1" si="395"/>
        <v>2593.3490316486623</v>
      </c>
      <c r="AC830">
        <f t="shared" ca="1" si="396"/>
        <v>482.07306851378365</v>
      </c>
      <c r="AD830">
        <f t="shared" ca="1" si="397"/>
        <v>280.07692026646265</v>
      </c>
      <c r="AE830">
        <f t="shared" ca="1" si="398"/>
        <v>1019.7665564573041</v>
      </c>
      <c r="AF830">
        <f t="shared" ca="1" si="399"/>
        <v>482.32750852789786</v>
      </c>
      <c r="AG830">
        <f t="shared" ca="1" si="400"/>
        <v>0</v>
      </c>
      <c r="AH830">
        <f ca="1">IF(V32="Supercritical",L830,IF(V32="Subcritical",W830,IF(AND(V830=1,AG830=1),IF(T830&gt;=AE830,L830,W830),IF(V830=1,L830,IF(AG830=1,W830,MAX($D$16,POWER((ABS(K830)^2)/($I$5*MAX(F830,0.1)^2),1/3)))))))</f>
        <v>2.1403668656741068</v>
      </c>
      <c r="AI830">
        <f t="shared" ca="1" si="401"/>
        <v>634.36236686567406</v>
      </c>
      <c r="AJ830">
        <f t="shared" ca="1" si="402"/>
        <v>635.43255029851116</v>
      </c>
      <c r="AM830">
        <v>0</v>
      </c>
      <c r="AN830">
        <v>0</v>
      </c>
      <c r="AO830">
        <f t="shared" si="403"/>
        <v>0</v>
      </c>
      <c r="AP830">
        <f t="shared" si="412"/>
        <v>0</v>
      </c>
      <c r="AQ830">
        <f t="shared" ca="1" si="404"/>
        <v>0.99999999999999978</v>
      </c>
      <c r="AR830" t="str">
        <f t="shared" ca="1" si="405"/>
        <v>Supercritical</v>
      </c>
      <c r="AS830">
        <f t="shared" ca="1" si="406"/>
        <v>3.8148159832266538E-3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191</v>
      </c>
      <c r="I831">
        <v>7.8E-2</v>
      </c>
      <c r="J831">
        <f t="shared" si="407"/>
        <v>1</v>
      </c>
      <c r="K831">
        <f t="shared" si="408"/>
        <v>51</v>
      </c>
      <c r="L831">
        <f t="shared" ca="1" si="409"/>
        <v>0.05</v>
      </c>
      <c r="M831">
        <f t="shared" ca="1" si="382"/>
        <v>0.26</v>
      </c>
      <c r="N831">
        <f t="shared" ca="1" si="383"/>
        <v>4.9056603773584909E-2</v>
      </c>
      <c r="O831">
        <f t="shared" ca="1" si="384"/>
        <v>196.15384615384616</v>
      </c>
      <c r="P831">
        <f t="shared" ca="1" si="385"/>
        <v>632.27149999999995</v>
      </c>
      <c r="Q831">
        <f t="shared" ca="1" si="386"/>
        <v>2593.3485316486622</v>
      </c>
      <c r="R831">
        <f t="shared" ca="1" si="387"/>
        <v>482.07306851378365</v>
      </c>
      <c r="S831">
        <f t="shared" ca="1" si="388"/>
        <v>280.07692026646265</v>
      </c>
      <c r="T831">
        <f t="shared" ca="1" si="389"/>
        <v>1019.7665564573041</v>
      </c>
      <c r="U831">
        <f t="shared" ca="1" si="410"/>
        <v>-482.32750852789786</v>
      </c>
      <c r="V831">
        <f t="shared" ca="1" si="411"/>
        <v>0</v>
      </c>
      <c r="W831">
        <f t="shared" ca="1" si="390"/>
        <v>0.05</v>
      </c>
      <c r="X831">
        <f t="shared" ca="1" si="391"/>
        <v>0.26</v>
      </c>
      <c r="Y831">
        <f t="shared" ca="1" si="392"/>
        <v>4.9056603773584909E-2</v>
      </c>
      <c r="Z831">
        <f t="shared" ca="1" si="393"/>
        <v>196.15384615384616</v>
      </c>
      <c r="AA831">
        <f t="shared" ca="1" si="394"/>
        <v>632.27149999999995</v>
      </c>
      <c r="AB831">
        <f t="shared" ca="1" si="395"/>
        <v>2593.3485316486622</v>
      </c>
      <c r="AC831">
        <f t="shared" ca="1" si="396"/>
        <v>482.07306851378365</v>
      </c>
      <c r="AD831">
        <f t="shared" ca="1" si="397"/>
        <v>280.07692026646265</v>
      </c>
      <c r="AE831">
        <f t="shared" ca="1" si="398"/>
        <v>1019.7665564573041</v>
      </c>
      <c r="AF831">
        <f t="shared" ca="1" si="399"/>
        <v>482.64289004871034</v>
      </c>
      <c r="AG831">
        <f t="shared" ca="1" si="400"/>
        <v>0</v>
      </c>
      <c r="AH831">
        <f ca="1">IF(V32="Supercritical",L831,IF(V32="Subcritical",W831,IF(AND(V831=1,AG831=1),IF(T831&gt;=AE831,L831,W831),IF(V831=1,L831,IF(AG831=1,W831,MAX($D$16,POWER((ABS(K831)^2)/($I$5*MAX(F831,0.1)^2),1/3)))))))</f>
        <v>2.1403668656741068</v>
      </c>
      <c r="AI831">
        <f t="shared" ca="1" si="401"/>
        <v>634.36186686567407</v>
      </c>
      <c r="AJ831">
        <f t="shared" ca="1" si="402"/>
        <v>635.43205029851117</v>
      </c>
      <c r="AM831">
        <v>0</v>
      </c>
      <c r="AN831">
        <v>0</v>
      </c>
      <c r="AO831">
        <f t="shared" si="403"/>
        <v>0</v>
      </c>
      <c r="AP831">
        <f t="shared" si="412"/>
        <v>0</v>
      </c>
      <c r="AQ831">
        <f t="shared" ca="1" si="404"/>
        <v>0.99999999999999978</v>
      </c>
      <c r="AR831" t="str">
        <f t="shared" ca="1" si="405"/>
        <v>Supercritical</v>
      </c>
      <c r="AS831">
        <f t="shared" ca="1" si="406"/>
        <v>3.8148159832266538E-3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191</v>
      </c>
      <c r="I832">
        <v>2.7E-2</v>
      </c>
      <c r="J832">
        <f t="shared" si="407"/>
        <v>1.0009999999999764</v>
      </c>
      <c r="K832">
        <f t="shared" si="408"/>
        <v>51</v>
      </c>
      <c r="L832">
        <f t="shared" ca="1" si="409"/>
        <v>0.05</v>
      </c>
      <c r="M832">
        <f t="shared" ca="1" si="382"/>
        <v>0.26</v>
      </c>
      <c r="N832">
        <f t="shared" ca="1" si="383"/>
        <v>4.9056603773584909E-2</v>
      </c>
      <c r="O832">
        <f t="shared" ca="1" si="384"/>
        <v>196.15384615384616</v>
      </c>
      <c r="P832">
        <f t="shared" ca="1" si="385"/>
        <v>632.27099999999996</v>
      </c>
      <c r="Q832">
        <f t="shared" ca="1" si="386"/>
        <v>2593.3480316486621</v>
      </c>
      <c r="R832">
        <f t="shared" ca="1" si="387"/>
        <v>482.07306851378365</v>
      </c>
      <c r="S832">
        <f t="shared" ca="1" si="388"/>
        <v>280.07692026646265</v>
      </c>
      <c r="T832">
        <f t="shared" ca="1" si="389"/>
        <v>1019.7665564573041</v>
      </c>
      <c r="U832">
        <f t="shared" ca="1" si="410"/>
        <v>-482.64289004871034</v>
      </c>
      <c r="V832">
        <f t="shared" ca="1" si="411"/>
        <v>0</v>
      </c>
      <c r="W832">
        <f t="shared" ca="1" si="390"/>
        <v>0.05</v>
      </c>
      <c r="X832">
        <f t="shared" ca="1" si="391"/>
        <v>0.26</v>
      </c>
      <c r="Y832">
        <f t="shared" ca="1" si="392"/>
        <v>4.9056603773584909E-2</v>
      </c>
      <c r="Z832">
        <f t="shared" ca="1" si="393"/>
        <v>196.15384615384616</v>
      </c>
      <c r="AA832">
        <f t="shared" ca="1" si="394"/>
        <v>632.27099999999996</v>
      </c>
      <c r="AB832">
        <f t="shared" ca="1" si="395"/>
        <v>2593.3480316486621</v>
      </c>
      <c r="AC832">
        <f t="shared" ca="1" si="396"/>
        <v>482.07306851378365</v>
      </c>
      <c r="AD832">
        <f t="shared" ca="1" si="397"/>
        <v>280.07692026646265</v>
      </c>
      <c r="AE832">
        <f t="shared" ca="1" si="398"/>
        <v>1019.7665564573041</v>
      </c>
      <c r="AF832">
        <f t="shared" ca="1" si="399"/>
        <v>481.59049544528125</v>
      </c>
      <c r="AG832">
        <f t="shared" ca="1" si="400"/>
        <v>0</v>
      </c>
      <c r="AH832">
        <f ca="1">IF(V32="Supercritical",L832,IF(V32="Subcritical",W832,IF(AND(V832=1,AG832=1),IF(T832&gt;=AE832,L832,W832),IF(V832=1,L832,IF(AG832=1,W832,MAX($D$16,POWER((ABS(K832)^2)/($I$5*MAX(F832,0.1)^2),1/3)))))))</f>
        <v>2.1403668656741068</v>
      </c>
      <c r="AI832">
        <f t="shared" ca="1" si="401"/>
        <v>634.36136686567409</v>
      </c>
      <c r="AJ832">
        <f t="shared" ca="1" si="402"/>
        <v>635.43155029851118</v>
      </c>
      <c r="AM832">
        <v>0</v>
      </c>
      <c r="AN832">
        <v>0</v>
      </c>
      <c r="AO832">
        <f t="shared" si="403"/>
        <v>0</v>
      </c>
      <c r="AP832">
        <f t="shared" si="412"/>
        <v>0</v>
      </c>
      <c r="AQ832">
        <f t="shared" ca="1" si="404"/>
        <v>0.99999999999999978</v>
      </c>
      <c r="AR832" t="str">
        <f t="shared" ca="1" si="405"/>
        <v>Supercritical</v>
      </c>
      <c r="AS832">
        <f t="shared" ca="1" si="406"/>
        <v>3.8148159832266538E-3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191</v>
      </c>
      <c r="I833">
        <v>0</v>
      </c>
      <c r="J833">
        <f t="shared" si="407"/>
        <v>0.99900000000002365</v>
      </c>
      <c r="K833">
        <f t="shared" si="408"/>
        <v>51</v>
      </c>
      <c r="L833">
        <f t="shared" ca="1" si="409"/>
        <v>0.05</v>
      </c>
      <c r="M833">
        <f t="shared" ca="1" si="382"/>
        <v>0.26</v>
      </c>
      <c r="N833">
        <f t="shared" ca="1" si="383"/>
        <v>4.9056603773584909E-2</v>
      </c>
      <c r="O833">
        <f t="shared" ca="1" si="384"/>
        <v>196.15384615384616</v>
      </c>
      <c r="P833">
        <f t="shared" ca="1" si="385"/>
        <v>632.27049999999997</v>
      </c>
      <c r="Q833">
        <f t="shared" ca="1" si="386"/>
        <v>2593.347531648662</v>
      </c>
      <c r="R833">
        <f t="shared" ca="1" si="387"/>
        <v>482.07306851378365</v>
      </c>
      <c r="S833">
        <f t="shared" ca="1" si="388"/>
        <v>280.07692026646265</v>
      </c>
      <c r="T833">
        <f t="shared" ca="1" si="389"/>
        <v>1019.7665564573041</v>
      </c>
      <c r="U833">
        <f t="shared" ca="1" si="410"/>
        <v>-481.59049544528125</v>
      </c>
      <c r="V833">
        <f t="shared" ca="1" si="411"/>
        <v>0</v>
      </c>
      <c r="W833">
        <f t="shared" ca="1" si="390"/>
        <v>0.05</v>
      </c>
      <c r="X833">
        <f t="shared" ca="1" si="391"/>
        <v>0.26</v>
      </c>
      <c r="Y833">
        <f t="shared" ca="1" si="392"/>
        <v>4.9056603773584909E-2</v>
      </c>
      <c r="Z833">
        <f t="shared" ca="1" si="393"/>
        <v>196.15384615384616</v>
      </c>
      <c r="AA833">
        <f t="shared" ca="1" si="394"/>
        <v>632.27049999999997</v>
      </c>
      <c r="AB833">
        <f t="shared" ca="1" si="395"/>
        <v>2593.347531648662</v>
      </c>
      <c r="AC833">
        <f t="shared" ca="1" si="396"/>
        <v>482.07306851378365</v>
      </c>
      <c r="AD833">
        <f t="shared" ca="1" si="397"/>
        <v>280.07692026646265</v>
      </c>
      <c r="AE833">
        <f t="shared" ca="1" si="398"/>
        <v>1019.7665564573041</v>
      </c>
      <c r="AF833">
        <f t="shared" ca="1" si="399"/>
        <v>482.1477431333301</v>
      </c>
      <c r="AG833">
        <f t="shared" ca="1" si="400"/>
        <v>0</v>
      </c>
      <c r="AH833">
        <f ca="1">IF(V32="Supercritical",L833,IF(V32="Subcritical",W833,IF(AND(V833=1,AG833=1),IF(T833&gt;=AE833,L833,W833),IF(V833=1,L833,IF(AG833=1,W833,MAX($D$16,POWER((ABS(K833)^2)/($I$5*MAX(F833,0.1)^2),1/3)))))))</f>
        <v>2.1403668656741068</v>
      </c>
      <c r="AI833">
        <f t="shared" ca="1" si="401"/>
        <v>634.3608668656741</v>
      </c>
      <c r="AJ833">
        <f t="shared" ca="1" si="402"/>
        <v>635.4310502985112</v>
      </c>
      <c r="AM833">
        <v>0</v>
      </c>
      <c r="AN833">
        <v>0</v>
      </c>
      <c r="AO833">
        <f t="shared" si="403"/>
        <v>0</v>
      </c>
      <c r="AP833">
        <f t="shared" si="412"/>
        <v>0</v>
      </c>
      <c r="AQ833">
        <f t="shared" ca="1" si="404"/>
        <v>0.99999999999999978</v>
      </c>
      <c r="AR833" t="str">
        <f t="shared" ca="1" si="405"/>
        <v>Supercritical</v>
      </c>
      <c r="AS833">
        <f t="shared" ca="1" si="406"/>
        <v>3.8148159832266538E-3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191</v>
      </c>
      <c r="I834">
        <v>2.3E-2</v>
      </c>
      <c r="J834">
        <f t="shared" si="407"/>
        <v>1</v>
      </c>
      <c r="K834">
        <f t="shared" si="408"/>
        <v>51</v>
      </c>
      <c r="L834">
        <f t="shared" ca="1" si="409"/>
        <v>0.05</v>
      </c>
      <c r="M834">
        <f t="shared" ca="1" si="382"/>
        <v>0.26</v>
      </c>
      <c r="N834">
        <f t="shared" ca="1" si="383"/>
        <v>4.9056603773584909E-2</v>
      </c>
      <c r="O834">
        <f t="shared" ca="1" si="384"/>
        <v>196.15384615384616</v>
      </c>
      <c r="P834">
        <f t="shared" ca="1" si="385"/>
        <v>632.27</v>
      </c>
      <c r="Q834">
        <f t="shared" ca="1" si="386"/>
        <v>2593.3470316486619</v>
      </c>
      <c r="R834">
        <f t="shared" ca="1" si="387"/>
        <v>482.07306851378365</v>
      </c>
      <c r="S834">
        <f t="shared" ca="1" si="388"/>
        <v>280.07692026646265</v>
      </c>
      <c r="T834">
        <f t="shared" ca="1" si="389"/>
        <v>1019.7665564573041</v>
      </c>
      <c r="U834">
        <f t="shared" ca="1" si="410"/>
        <v>-482.1477431333301</v>
      </c>
      <c r="V834">
        <f t="shared" ca="1" si="411"/>
        <v>0</v>
      </c>
      <c r="W834">
        <f t="shared" ca="1" si="390"/>
        <v>0.05</v>
      </c>
      <c r="X834">
        <f t="shared" ca="1" si="391"/>
        <v>0.26</v>
      </c>
      <c r="Y834">
        <f t="shared" ca="1" si="392"/>
        <v>4.9056603773584909E-2</v>
      </c>
      <c r="Z834">
        <f t="shared" ca="1" si="393"/>
        <v>196.15384615384616</v>
      </c>
      <c r="AA834">
        <f t="shared" ca="1" si="394"/>
        <v>632.27</v>
      </c>
      <c r="AB834">
        <f t="shared" ca="1" si="395"/>
        <v>2593.3470316486619</v>
      </c>
      <c r="AC834">
        <f t="shared" ca="1" si="396"/>
        <v>482.07306851378365</v>
      </c>
      <c r="AD834">
        <f t="shared" ca="1" si="397"/>
        <v>280.07692026646265</v>
      </c>
      <c r="AE834">
        <f t="shared" ca="1" si="398"/>
        <v>1019.7665564573041</v>
      </c>
      <c r="AF834">
        <f t="shared" ca="1" si="399"/>
        <v>482.62981620183291</v>
      </c>
      <c r="AG834">
        <f t="shared" ca="1" si="400"/>
        <v>0</v>
      </c>
      <c r="AH834">
        <f ca="1">IF(V32="Supercritical",L834,IF(V32="Subcritical",W834,IF(AND(V834=1,AG834=1),IF(T834&gt;=AE834,L834,W834),IF(V834=1,L834,IF(AG834=1,W834,MAX($D$16,POWER((ABS(K834)^2)/($I$5*MAX(F834,0.1)^2),1/3)))))))</f>
        <v>2.1403668656741068</v>
      </c>
      <c r="AI834">
        <f t="shared" ca="1" si="401"/>
        <v>634.36036686567411</v>
      </c>
      <c r="AJ834">
        <f t="shared" ca="1" si="402"/>
        <v>635.43055029851121</v>
      </c>
      <c r="AM834">
        <v>0</v>
      </c>
      <c r="AN834">
        <v>0</v>
      </c>
      <c r="AO834">
        <f t="shared" si="403"/>
        <v>0</v>
      </c>
      <c r="AP834">
        <f t="shared" si="412"/>
        <v>0</v>
      </c>
      <c r="AQ834">
        <f t="shared" ca="1" si="404"/>
        <v>0.99999999999999978</v>
      </c>
      <c r="AR834" t="str">
        <f t="shared" ca="1" si="405"/>
        <v>Supercritical</v>
      </c>
      <c r="AS834">
        <f t="shared" ca="1" si="406"/>
        <v>3.8148159832266538E-3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191</v>
      </c>
      <c r="I835">
        <v>2.3E-2</v>
      </c>
      <c r="J835">
        <f t="shared" si="407"/>
        <v>1.0009999999999764</v>
      </c>
      <c r="K835">
        <f t="shared" si="408"/>
        <v>51</v>
      </c>
      <c r="L835">
        <f t="shared" ca="1" si="409"/>
        <v>0.05</v>
      </c>
      <c r="M835">
        <f t="shared" ca="1" si="382"/>
        <v>0.26</v>
      </c>
      <c r="N835">
        <f t="shared" ca="1" si="383"/>
        <v>4.9056603773584909E-2</v>
      </c>
      <c r="O835">
        <f t="shared" ca="1" si="384"/>
        <v>196.15384615384616</v>
      </c>
      <c r="P835">
        <f t="shared" ca="1" si="385"/>
        <v>632.26949999999999</v>
      </c>
      <c r="Q835">
        <f t="shared" ca="1" si="386"/>
        <v>2593.3465316486622</v>
      </c>
      <c r="R835">
        <f t="shared" ca="1" si="387"/>
        <v>482.07306851378365</v>
      </c>
      <c r="S835">
        <f t="shared" ca="1" si="388"/>
        <v>280.07692026646265</v>
      </c>
      <c r="T835">
        <f t="shared" ca="1" si="389"/>
        <v>1019.7665564573041</v>
      </c>
      <c r="U835">
        <f t="shared" ca="1" si="410"/>
        <v>-482.62981620183291</v>
      </c>
      <c r="V835">
        <f t="shared" ca="1" si="411"/>
        <v>0</v>
      </c>
      <c r="W835">
        <f t="shared" ca="1" si="390"/>
        <v>0.05</v>
      </c>
      <c r="X835">
        <f t="shared" ca="1" si="391"/>
        <v>0.26</v>
      </c>
      <c r="Y835">
        <f t="shared" ca="1" si="392"/>
        <v>4.9056603773584909E-2</v>
      </c>
      <c r="Z835">
        <f t="shared" ca="1" si="393"/>
        <v>196.15384615384616</v>
      </c>
      <c r="AA835">
        <f t="shared" ca="1" si="394"/>
        <v>632.26949999999999</v>
      </c>
      <c r="AB835">
        <f t="shared" ca="1" si="395"/>
        <v>2593.3465316486622</v>
      </c>
      <c r="AC835">
        <f t="shared" ca="1" si="396"/>
        <v>482.07306851378365</v>
      </c>
      <c r="AD835">
        <f t="shared" ca="1" si="397"/>
        <v>280.07692026646265</v>
      </c>
      <c r="AE835">
        <f t="shared" ca="1" si="398"/>
        <v>1019.7665564573041</v>
      </c>
      <c r="AF835">
        <f t="shared" ca="1" si="399"/>
        <v>481.67874391170562</v>
      </c>
      <c r="AG835">
        <f t="shared" ca="1" si="400"/>
        <v>0</v>
      </c>
      <c r="AH835">
        <f ca="1">IF(V32="Supercritical",L835,IF(V32="Subcritical",W835,IF(AND(V835=1,AG835=1),IF(T835&gt;=AE835,L835,W835),IF(V835=1,L835,IF(AG835=1,W835,MAX($D$16,POWER((ABS(K835)^2)/($I$5*MAX(F835,0.1)^2),1/3)))))))</f>
        <v>2.1403668656741068</v>
      </c>
      <c r="AI835">
        <f t="shared" ca="1" si="401"/>
        <v>634.35986686567412</v>
      </c>
      <c r="AJ835">
        <f t="shared" ca="1" si="402"/>
        <v>635.43005029851122</v>
      </c>
      <c r="AM835">
        <v>0</v>
      </c>
      <c r="AN835">
        <v>0</v>
      </c>
      <c r="AO835">
        <f t="shared" si="403"/>
        <v>0</v>
      </c>
      <c r="AP835">
        <f t="shared" si="412"/>
        <v>0</v>
      </c>
      <c r="AQ835">
        <f t="shared" ca="1" si="404"/>
        <v>0.99999999999999978</v>
      </c>
      <c r="AR835" t="str">
        <f t="shared" ca="1" si="405"/>
        <v>Supercritical</v>
      </c>
      <c r="AS835">
        <f t="shared" ca="1" si="406"/>
        <v>3.8148159832266538E-3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191</v>
      </c>
      <c r="I836">
        <v>2.7E-2</v>
      </c>
      <c r="J836">
        <f t="shared" si="407"/>
        <v>0.99900000000002365</v>
      </c>
      <c r="K836">
        <f t="shared" si="408"/>
        <v>51</v>
      </c>
      <c r="L836">
        <f t="shared" ca="1" si="409"/>
        <v>0.05</v>
      </c>
      <c r="M836">
        <f t="shared" ca="1" si="382"/>
        <v>0.26</v>
      </c>
      <c r="N836">
        <f t="shared" ca="1" si="383"/>
        <v>4.9056603773584909E-2</v>
      </c>
      <c r="O836">
        <f t="shared" ca="1" si="384"/>
        <v>196.15384615384616</v>
      </c>
      <c r="P836">
        <f t="shared" ca="1" si="385"/>
        <v>632.26900000000001</v>
      </c>
      <c r="Q836">
        <f t="shared" ca="1" si="386"/>
        <v>2593.3460316486621</v>
      </c>
      <c r="R836">
        <f t="shared" ca="1" si="387"/>
        <v>482.07306851378365</v>
      </c>
      <c r="S836">
        <f t="shared" ca="1" si="388"/>
        <v>280.07692026646265</v>
      </c>
      <c r="T836">
        <f t="shared" ca="1" si="389"/>
        <v>1019.7665564573041</v>
      </c>
      <c r="U836">
        <f t="shared" ca="1" si="410"/>
        <v>-481.67874391170562</v>
      </c>
      <c r="V836">
        <f t="shared" ca="1" si="411"/>
        <v>0</v>
      </c>
      <c r="W836">
        <f t="shared" ca="1" si="390"/>
        <v>0.05</v>
      </c>
      <c r="X836">
        <f t="shared" ca="1" si="391"/>
        <v>0.26</v>
      </c>
      <c r="Y836">
        <f t="shared" ca="1" si="392"/>
        <v>4.9056603773584909E-2</v>
      </c>
      <c r="Z836">
        <f t="shared" ca="1" si="393"/>
        <v>196.15384615384616</v>
      </c>
      <c r="AA836">
        <f t="shared" ca="1" si="394"/>
        <v>632.26900000000001</v>
      </c>
      <c r="AB836">
        <f t="shared" ca="1" si="395"/>
        <v>2593.3460316486621</v>
      </c>
      <c r="AC836">
        <f t="shared" ca="1" si="396"/>
        <v>482.07306851378365</v>
      </c>
      <c r="AD836">
        <f t="shared" ca="1" si="397"/>
        <v>280.07692026646265</v>
      </c>
      <c r="AE836">
        <f t="shared" ca="1" si="398"/>
        <v>1019.7665564573041</v>
      </c>
      <c r="AF836">
        <f t="shared" ca="1" si="399"/>
        <v>482.64289004871034</v>
      </c>
      <c r="AG836">
        <f t="shared" ca="1" si="400"/>
        <v>0</v>
      </c>
      <c r="AH836">
        <f ca="1">IF(V32="Supercritical",L836,IF(V32="Subcritical",W836,IF(AND(V836=1,AG836=1),IF(T836&gt;=AE836,L836,W836),IF(V836=1,L836,IF(AG836=1,W836,MAX($D$16,POWER((ABS(K836)^2)/($I$5*MAX(F836,0.1)^2),1/3)))))))</f>
        <v>2.1403668656741068</v>
      </c>
      <c r="AI836">
        <f t="shared" ca="1" si="401"/>
        <v>634.35936686567413</v>
      </c>
      <c r="AJ836">
        <f t="shared" ca="1" si="402"/>
        <v>635.42955029851123</v>
      </c>
      <c r="AM836">
        <v>0</v>
      </c>
      <c r="AN836">
        <v>0</v>
      </c>
      <c r="AO836">
        <f t="shared" si="403"/>
        <v>0</v>
      </c>
      <c r="AP836">
        <f t="shared" si="412"/>
        <v>0</v>
      </c>
      <c r="AQ836">
        <f t="shared" ca="1" si="404"/>
        <v>0.99999999999999978</v>
      </c>
      <c r="AR836" t="str">
        <f t="shared" ca="1" si="405"/>
        <v>Supercritical</v>
      </c>
      <c r="AS836">
        <f t="shared" ca="1" si="406"/>
        <v>3.8148159832266538E-3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191</v>
      </c>
      <c r="I837">
        <v>2.7E-2</v>
      </c>
      <c r="J837">
        <f t="shared" si="407"/>
        <v>1.0009999999999764</v>
      </c>
      <c r="K837">
        <f t="shared" si="408"/>
        <v>51</v>
      </c>
      <c r="L837">
        <f t="shared" ca="1" si="409"/>
        <v>0.05</v>
      </c>
      <c r="M837">
        <f t="shared" ca="1" si="382"/>
        <v>0.26</v>
      </c>
      <c r="N837">
        <f t="shared" ca="1" si="383"/>
        <v>4.9056603773584909E-2</v>
      </c>
      <c r="O837">
        <f t="shared" ca="1" si="384"/>
        <v>196.15384615384616</v>
      </c>
      <c r="P837">
        <f t="shared" ca="1" si="385"/>
        <v>632.2684999999999</v>
      </c>
      <c r="Q837">
        <f t="shared" ca="1" si="386"/>
        <v>2593.345531648662</v>
      </c>
      <c r="R837">
        <f t="shared" ca="1" si="387"/>
        <v>482.07306851378365</v>
      </c>
      <c r="S837">
        <f t="shared" ca="1" si="388"/>
        <v>280.07692026646265</v>
      </c>
      <c r="T837">
        <f t="shared" ca="1" si="389"/>
        <v>1019.7665564573041</v>
      </c>
      <c r="U837">
        <f t="shared" ca="1" si="410"/>
        <v>-482.64289004871034</v>
      </c>
      <c r="V837">
        <f t="shared" ca="1" si="411"/>
        <v>0</v>
      </c>
      <c r="W837">
        <f t="shared" ca="1" si="390"/>
        <v>0.05</v>
      </c>
      <c r="X837">
        <f t="shared" ca="1" si="391"/>
        <v>0.26</v>
      </c>
      <c r="Y837">
        <f t="shared" ca="1" si="392"/>
        <v>4.9056603773584909E-2</v>
      </c>
      <c r="Z837">
        <f t="shared" ca="1" si="393"/>
        <v>196.15384615384616</v>
      </c>
      <c r="AA837">
        <f t="shared" ca="1" si="394"/>
        <v>632.2684999999999</v>
      </c>
      <c r="AB837">
        <f t="shared" ca="1" si="395"/>
        <v>2593.345531648662</v>
      </c>
      <c r="AC837">
        <f t="shared" ca="1" si="396"/>
        <v>482.07306851378365</v>
      </c>
      <c r="AD837">
        <f t="shared" ca="1" si="397"/>
        <v>280.07692026646265</v>
      </c>
      <c r="AE837">
        <f t="shared" ca="1" si="398"/>
        <v>1019.7665564573041</v>
      </c>
      <c r="AF837">
        <f t="shared" ca="1" si="399"/>
        <v>481.75391853125211</v>
      </c>
      <c r="AG837">
        <f t="shared" ca="1" si="400"/>
        <v>0</v>
      </c>
      <c r="AH837">
        <f ca="1">IF(V32="Supercritical",L837,IF(V32="Subcritical",W837,IF(AND(V837=1,AG837=1),IF(T837&gt;=AE837,L837,W837),IF(V837=1,L837,IF(AG837=1,W837,MAX($D$16,POWER((ABS(K837)^2)/($I$5*MAX(F837,0.1)^2),1/3)))))))</f>
        <v>2.1403668656741068</v>
      </c>
      <c r="AI837">
        <f t="shared" ca="1" si="401"/>
        <v>634.35886686567403</v>
      </c>
      <c r="AJ837">
        <f t="shared" ca="1" si="402"/>
        <v>635.42905029851113</v>
      </c>
      <c r="AM837">
        <v>0</v>
      </c>
      <c r="AN837">
        <v>0</v>
      </c>
      <c r="AO837">
        <f t="shared" si="403"/>
        <v>0</v>
      </c>
      <c r="AP837">
        <f t="shared" si="412"/>
        <v>0</v>
      </c>
      <c r="AQ837">
        <f t="shared" ca="1" si="404"/>
        <v>0.99999999999999978</v>
      </c>
      <c r="AR837" t="str">
        <f t="shared" ca="1" si="405"/>
        <v>Supercritical</v>
      </c>
      <c r="AS837">
        <f t="shared" ca="1" si="406"/>
        <v>3.8148159832266538E-3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191</v>
      </c>
      <c r="I838">
        <v>0.05</v>
      </c>
      <c r="J838">
        <f t="shared" si="407"/>
        <v>0.99900000000002365</v>
      </c>
      <c r="K838">
        <f t="shared" si="408"/>
        <v>51</v>
      </c>
      <c r="L838">
        <f t="shared" ca="1" si="409"/>
        <v>0.05</v>
      </c>
      <c r="M838">
        <f t="shared" ca="1" si="382"/>
        <v>0.26</v>
      </c>
      <c r="N838">
        <f t="shared" ca="1" si="383"/>
        <v>4.9056603773584909E-2</v>
      </c>
      <c r="O838">
        <f t="shared" ca="1" si="384"/>
        <v>196.15384615384616</v>
      </c>
      <c r="P838">
        <f t="shared" ca="1" si="385"/>
        <v>632.26799999999992</v>
      </c>
      <c r="Q838">
        <f t="shared" ca="1" si="386"/>
        <v>2593.3450316486619</v>
      </c>
      <c r="R838">
        <f t="shared" ca="1" si="387"/>
        <v>482.07306851378365</v>
      </c>
      <c r="S838">
        <f t="shared" ca="1" si="388"/>
        <v>280.07692026646265</v>
      </c>
      <c r="T838">
        <f t="shared" ca="1" si="389"/>
        <v>1019.7665564573041</v>
      </c>
      <c r="U838">
        <f t="shared" ca="1" si="410"/>
        <v>-481.75391853125211</v>
      </c>
      <c r="V838">
        <f t="shared" ca="1" si="411"/>
        <v>0</v>
      </c>
      <c r="W838">
        <f t="shared" ca="1" si="390"/>
        <v>0.05</v>
      </c>
      <c r="X838">
        <f t="shared" ca="1" si="391"/>
        <v>0.26</v>
      </c>
      <c r="Y838">
        <f t="shared" ca="1" si="392"/>
        <v>4.9056603773584909E-2</v>
      </c>
      <c r="Z838">
        <f t="shared" ca="1" si="393"/>
        <v>196.15384615384616</v>
      </c>
      <c r="AA838">
        <f t="shared" ca="1" si="394"/>
        <v>632.26799999999992</v>
      </c>
      <c r="AB838">
        <f t="shared" ca="1" si="395"/>
        <v>2593.3450316486619</v>
      </c>
      <c r="AC838">
        <f t="shared" ca="1" si="396"/>
        <v>482.07306851378365</v>
      </c>
      <c r="AD838">
        <f t="shared" ca="1" si="397"/>
        <v>280.07692026646265</v>
      </c>
      <c r="AE838">
        <f t="shared" ca="1" si="398"/>
        <v>1019.7665564573041</v>
      </c>
      <c r="AF838">
        <f t="shared" ca="1" si="399"/>
        <v>482.32750852789832</v>
      </c>
      <c r="AG838">
        <f t="shared" ca="1" si="400"/>
        <v>0</v>
      </c>
      <c r="AH838">
        <f ca="1">IF(V32="Supercritical",L838,IF(V32="Subcritical",W838,IF(AND(V838=1,AG838=1),IF(T838&gt;=AE838,L838,W838),IF(V838=1,L838,IF(AG838=1,W838,MAX($D$16,POWER((ABS(K838)^2)/($I$5*MAX(F838,0.1)^2),1/3)))))))</f>
        <v>2.1403668656741068</v>
      </c>
      <c r="AI838">
        <f t="shared" ca="1" si="401"/>
        <v>634.35836686567404</v>
      </c>
      <c r="AJ838">
        <f t="shared" ca="1" si="402"/>
        <v>635.42855029851114</v>
      </c>
      <c r="AM838">
        <v>0</v>
      </c>
      <c r="AN838">
        <v>0</v>
      </c>
      <c r="AO838">
        <f t="shared" si="403"/>
        <v>0</v>
      </c>
      <c r="AP838">
        <f t="shared" si="412"/>
        <v>0</v>
      </c>
      <c r="AQ838">
        <f t="shared" ca="1" si="404"/>
        <v>0.99999999999999978</v>
      </c>
      <c r="AR838" t="str">
        <f t="shared" ca="1" si="405"/>
        <v>Supercritical</v>
      </c>
      <c r="AS838">
        <f t="shared" ca="1" si="406"/>
        <v>3.8148159832266538E-3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191</v>
      </c>
      <c r="I839">
        <v>7.8E-2</v>
      </c>
      <c r="J839">
        <f t="shared" si="407"/>
        <v>1</v>
      </c>
      <c r="K839">
        <f t="shared" si="408"/>
        <v>51</v>
      </c>
      <c r="L839">
        <f t="shared" ca="1" si="409"/>
        <v>0.05</v>
      </c>
      <c r="M839">
        <f t="shared" ca="1" si="382"/>
        <v>0.26</v>
      </c>
      <c r="N839">
        <f t="shared" ca="1" si="383"/>
        <v>4.9056603773584909E-2</v>
      </c>
      <c r="O839">
        <f t="shared" ca="1" si="384"/>
        <v>196.15384615384616</v>
      </c>
      <c r="P839">
        <f t="shared" ca="1" si="385"/>
        <v>632.26749999999993</v>
      </c>
      <c r="Q839">
        <f t="shared" ca="1" si="386"/>
        <v>2593.3445316486623</v>
      </c>
      <c r="R839">
        <f t="shared" ca="1" si="387"/>
        <v>482.07306851378365</v>
      </c>
      <c r="S839">
        <f t="shared" ca="1" si="388"/>
        <v>280.07692026646265</v>
      </c>
      <c r="T839">
        <f t="shared" ca="1" si="389"/>
        <v>1019.7665564573041</v>
      </c>
      <c r="U839">
        <f t="shared" ca="1" si="410"/>
        <v>-482.32750852789832</v>
      </c>
      <c r="V839">
        <f t="shared" ca="1" si="411"/>
        <v>0</v>
      </c>
      <c r="W839">
        <f t="shared" ca="1" si="390"/>
        <v>0.05</v>
      </c>
      <c r="X839">
        <f t="shared" ca="1" si="391"/>
        <v>0.26</v>
      </c>
      <c r="Y839">
        <f t="shared" ca="1" si="392"/>
        <v>4.9056603773584909E-2</v>
      </c>
      <c r="Z839">
        <f t="shared" ca="1" si="393"/>
        <v>196.15384615384616</v>
      </c>
      <c r="AA839">
        <f t="shared" ca="1" si="394"/>
        <v>632.26749999999993</v>
      </c>
      <c r="AB839">
        <f t="shared" ca="1" si="395"/>
        <v>2593.3445316486623</v>
      </c>
      <c r="AC839">
        <f t="shared" ca="1" si="396"/>
        <v>482.07306851378365</v>
      </c>
      <c r="AD839">
        <f t="shared" ca="1" si="397"/>
        <v>280.07692026646265</v>
      </c>
      <c r="AE839">
        <f t="shared" ca="1" si="398"/>
        <v>1019.7665564573041</v>
      </c>
      <c r="AF839">
        <f t="shared" ca="1" si="399"/>
        <v>482.64289004871034</v>
      </c>
      <c r="AG839">
        <f t="shared" ca="1" si="400"/>
        <v>0</v>
      </c>
      <c r="AH839">
        <f ca="1">IF(V32="Supercritical",L839,IF(V32="Subcritical",W839,IF(AND(V839=1,AG839=1),IF(T839&gt;=AE839,L839,W839),IF(V839=1,L839,IF(AG839=1,W839,MAX($D$16,POWER((ABS(K839)^2)/($I$5*MAX(F839,0.1)^2),1/3)))))))</f>
        <v>2.1403668656741068</v>
      </c>
      <c r="AI839">
        <f t="shared" ca="1" si="401"/>
        <v>634.35786686567405</v>
      </c>
      <c r="AJ839">
        <f t="shared" ca="1" si="402"/>
        <v>635.42805029851115</v>
      </c>
      <c r="AM839">
        <v>0</v>
      </c>
      <c r="AN839">
        <v>0</v>
      </c>
      <c r="AO839">
        <f t="shared" si="403"/>
        <v>0</v>
      </c>
      <c r="AP839">
        <f t="shared" si="412"/>
        <v>0</v>
      </c>
      <c r="AQ839">
        <f t="shared" ca="1" si="404"/>
        <v>0.99999999999999978</v>
      </c>
      <c r="AR839" t="str">
        <f t="shared" ca="1" si="405"/>
        <v>Supercritical</v>
      </c>
      <c r="AS839">
        <f t="shared" ca="1" si="406"/>
        <v>3.8148159832266538E-3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191</v>
      </c>
      <c r="I840">
        <v>2.7E-2</v>
      </c>
      <c r="J840">
        <f t="shared" si="407"/>
        <v>1.0009999999999764</v>
      </c>
      <c r="K840">
        <f t="shared" si="408"/>
        <v>51</v>
      </c>
      <c r="L840">
        <f t="shared" ca="1" si="409"/>
        <v>0.05</v>
      </c>
      <c r="M840">
        <f t="shared" ca="1" si="382"/>
        <v>0.26</v>
      </c>
      <c r="N840">
        <f t="shared" ca="1" si="383"/>
        <v>4.9056603773584909E-2</v>
      </c>
      <c r="O840">
        <f t="shared" ca="1" si="384"/>
        <v>196.15384615384616</v>
      </c>
      <c r="P840">
        <f t="shared" ca="1" si="385"/>
        <v>632.26699999999994</v>
      </c>
      <c r="Q840">
        <f t="shared" ca="1" si="386"/>
        <v>2593.3440316486622</v>
      </c>
      <c r="R840">
        <f t="shared" ca="1" si="387"/>
        <v>482.07306851378365</v>
      </c>
      <c r="S840">
        <f t="shared" ca="1" si="388"/>
        <v>280.07692026646265</v>
      </c>
      <c r="T840">
        <f t="shared" ca="1" si="389"/>
        <v>1019.7665564573041</v>
      </c>
      <c r="U840">
        <f t="shared" ca="1" si="410"/>
        <v>-482.64289004871034</v>
      </c>
      <c r="V840">
        <f t="shared" ca="1" si="411"/>
        <v>0</v>
      </c>
      <c r="W840">
        <f t="shared" ca="1" si="390"/>
        <v>0.05</v>
      </c>
      <c r="X840">
        <f t="shared" ca="1" si="391"/>
        <v>0.26</v>
      </c>
      <c r="Y840">
        <f t="shared" ca="1" si="392"/>
        <v>4.9056603773584909E-2</v>
      </c>
      <c r="Z840">
        <f t="shared" ca="1" si="393"/>
        <v>196.15384615384616</v>
      </c>
      <c r="AA840">
        <f t="shared" ca="1" si="394"/>
        <v>632.26699999999994</v>
      </c>
      <c r="AB840">
        <f t="shared" ca="1" si="395"/>
        <v>2593.3440316486622</v>
      </c>
      <c r="AC840">
        <f t="shared" ca="1" si="396"/>
        <v>482.07306851378365</v>
      </c>
      <c r="AD840">
        <f t="shared" ca="1" si="397"/>
        <v>280.07692026646265</v>
      </c>
      <c r="AE840">
        <f t="shared" ca="1" si="398"/>
        <v>1019.7665564573041</v>
      </c>
      <c r="AF840">
        <f t="shared" ca="1" si="399"/>
        <v>481.67874391170562</v>
      </c>
      <c r="AG840">
        <f t="shared" ca="1" si="400"/>
        <v>0</v>
      </c>
      <c r="AH840">
        <f ca="1">IF(V32="Supercritical",L840,IF(V32="Subcritical",W840,IF(AND(V840=1,AG840=1),IF(T840&gt;=AE840,L840,W840),IF(V840=1,L840,IF(AG840=1,W840,MAX($D$16,POWER((ABS(K840)^2)/($I$5*MAX(F840,0.1)^2),1/3)))))))</f>
        <v>2.1403668656741068</v>
      </c>
      <c r="AI840">
        <f t="shared" ca="1" si="401"/>
        <v>634.35736686567407</v>
      </c>
      <c r="AJ840">
        <f t="shared" ca="1" si="402"/>
        <v>635.42755029851116</v>
      </c>
      <c r="AM840">
        <v>0</v>
      </c>
      <c r="AN840">
        <v>0</v>
      </c>
      <c r="AO840">
        <f t="shared" si="403"/>
        <v>0</v>
      </c>
      <c r="AP840">
        <f t="shared" si="412"/>
        <v>0</v>
      </c>
      <c r="AQ840">
        <f t="shared" ca="1" si="404"/>
        <v>0.99999999999999978</v>
      </c>
      <c r="AR840" t="str">
        <f t="shared" ca="1" si="405"/>
        <v>Supercritical</v>
      </c>
      <c r="AS840">
        <f t="shared" ca="1" si="406"/>
        <v>3.8148159832266538E-3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191</v>
      </c>
      <c r="I841">
        <v>2.7E-2</v>
      </c>
      <c r="J841">
        <f t="shared" si="407"/>
        <v>0.99900000000002365</v>
      </c>
      <c r="K841">
        <f t="shared" si="408"/>
        <v>51</v>
      </c>
      <c r="L841">
        <f t="shared" ca="1" si="409"/>
        <v>0.05</v>
      </c>
      <c r="M841">
        <f t="shared" ca="1" si="382"/>
        <v>0.26</v>
      </c>
      <c r="N841">
        <f t="shared" ca="1" si="383"/>
        <v>4.9056603773584909E-2</v>
      </c>
      <c r="O841">
        <f t="shared" ca="1" si="384"/>
        <v>196.15384615384616</v>
      </c>
      <c r="P841">
        <f t="shared" ca="1" si="385"/>
        <v>632.26649999999995</v>
      </c>
      <c r="Q841">
        <f t="shared" ca="1" si="386"/>
        <v>2593.3435316486621</v>
      </c>
      <c r="R841">
        <f t="shared" ca="1" si="387"/>
        <v>482.07306851378365</v>
      </c>
      <c r="S841">
        <f t="shared" ca="1" si="388"/>
        <v>280.07692026646265</v>
      </c>
      <c r="T841">
        <f t="shared" ca="1" si="389"/>
        <v>1019.7665564573041</v>
      </c>
      <c r="U841">
        <f t="shared" ca="1" si="410"/>
        <v>-481.67874391170562</v>
      </c>
      <c r="V841">
        <f t="shared" ca="1" si="411"/>
        <v>0</v>
      </c>
      <c r="W841">
        <f t="shared" ca="1" si="390"/>
        <v>0.05</v>
      </c>
      <c r="X841">
        <f t="shared" ca="1" si="391"/>
        <v>0.26</v>
      </c>
      <c r="Y841">
        <f t="shared" ca="1" si="392"/>
        <v>4.9056603773584909E-2</v>
      </c>
      <c r="Z841">
        <f t="shared" ca="1" si="393"/>
        <v>196.15384615384616</v>
      </c>
      <c r="AA841">
        <f t="shared" ca="1" si="394"/>
        <v>632.26649999999995</v>
      </c>
      <c r="AB841">
        <f t="shared" ca="1" si="395"/>
        <v>2593.3435316486621</v>
      </c>
      <c r="AC841">
        <f t="shared" ca="1" si="396"/>
        <v>482.07306851378365</v>
      </c>
      <c r="AD841">
        <f t="shared" ca="1" si="397"/>
        <v>280.07692026646265</v>
      </c>
      <c r="AE841">
        <f t="shared" ca="1" si="398"/>
        <v>1019.7665564573041</v>
      </c>
      <c r="AF841">
        <f t="shared" ca="1" si="399"/>
        <v>482.16081698020798</v>
      </c>
      <c r="AG841">
        <f t="shared" ca="1" si="400"/>
        <v>0</v>
      </c>
      <c r="AH841">
        <f ca="1">IF(V32="Supercritical",L841,IF(V32="Subcritical",W841,IF(AND(V841=1,AG841=1),IF(T841&gt;=AE841,L841,W841),IF(V841=1,L841,IF(AG841=1,W841,MAX($D$16,POWER((ABS(K841)^2)/($I$5*MAX(F841,0.1)^2),1/3)))))))</f>
        <v>2.1403668656741068</v>
      </c>
      <c r="AI841">
        <f t="shared" ca="1" si="401"/>
        <v>634.35686686567408</v>
      </c>
      <c r="AJ841">
        <f t="shared" ca="1" si="402"/>
        <v>635.42705029851118</v>
      </c>
      <c r="AM841">
        <v>0</v>
      </c>
      <c r="AN841">
        <v>0</v>
      </c>
      <c r="AO841">
        <f t="shared" si="403"/>
        <v>0</v>
      </c>
      <c r="AP841">
        <f t="shared" si="412"/>
        <v>0</v>
      </c>
      <c r="AQ841">
        <f t="shared" ca="1" si="404"/>
        <v>0.99999999999999978</v>
      </c>
      <c r="AR841" t="str">
        <f t="shared" ca="1" si="405"/>
        <v>Supercritical</v>
      </c>
      <c r="AS841">
        <f t="shared" ca="1" si="406"/>
        <v>3.8148159832266538E-3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191</v>
      </c>
      <c r="I842">
        <v>2.7E-2</v>
      </c>
      <c r="J842">
        <f t="shared" si="407"/>
        <v>1</v>
      </c>
      <c r="K842">
        <f t="shared" si="408"/>
        <v>51</v>
      </c>
      <c r="L842">
        <f t="shared" ca="1" si="409"/>
        <v>0.05</v>
      </c>
      <c r="M842">
        <f t="shared" ca="1" si="382"/>
        <v>0.26</v>
      </c>
      <c r="N842">
        <f t="shared" ca="1" si="383"/>
        <v>4.9056603773584909E-2</v>
      </c>
      <c r="O842">
        <f t="shared" ca="1" si="384"/>
        <v>196.15384615384616</v>
      </c>
      <c r="P842">
        <f t="shared" ca="1" si="385"/>
        <v>632.26599999999996</v>
      </c>
      <c r="Q842">
        <f t="shared" ca="1" si="386"/>
        <v>2593.343031648662</v>
      </c>
      <c r="R842">
        <f t="shared" ca="1" si="387"/>
        <v>482.07306851378365</v>
      </c>
      <c r="S842">
        <f t="shared" ca="1" si="388"/>
        <v>280.07692026646265</v>
      </c>
      <c r="T842">
        <f t="shared" ca="1" si="389"/>
        <v>1019.7665564573041</v>
      </c>
      <c r="U842">
        <f t="shared" ca="1" si="410"/>
        <v>-482.16081698020798</v>
      </c>
      <c r="V842">
        <f t="shared" ca="1" si="411"/>
        <v>0</v>
      </c>
      <c r="W842">
        <f t="shared" ca="1" si="390"/>
        <v>0.05</v>
      </c>
      <c r="X842">
        <f t="shared" ca="1" si="391"/>
        <v>0.26</v>
      </c>
      <c r="Y842">
        <f t="shared" ca="1" si="392"/>
        <v>4.9056603773584909E-2</v>
      </c>
      <c r="Z842">
        <f t="shared" ca="1" si="393"/>
        <v>196.15384615384616</v>
      </c>
      <c r="AA842">
        <f t="shared" ca="1" si="394"/>
        <v>632.26599999999996</v>
      </c>
      <c r="AB842">
        <f t="shared" ca="1" si="395"/>
        <v>2593.343031648662</v>
      </c>
      <c r="AC842">
        <f t="shared" ca="1" si="396"/>
        <v>482.07306851378365</v>
      </c>
      <c r="AD842">
        <f t="shared" ca="1" si="397"/>
        <v>280.07692026646265</v>
      </c>
      <c r="AE842">
        <f t="shared" ca="1" si="398"/>
        <v>1019.7665564573041</v>
      </c>
      <c r="AF842">
        <f t="shared" ca="1" si="399"/>
        <v>482.23599159975447</v>
      </c>
      <c r="AG842">
        <f t="shared" ca="1" si="400"/>
        <v>0</v>
      </c>
      <c r="AH842">
        <f ca="1">IF(V32="Supercritical",L842,IF(V32="Subcritical",W842,IF(AND(V842=1,AG842=1),IF(T842&gt;=AE842,L842,W842),IF(V842=1,L842,IF(AG842=1,W842,MAX($D$16,POWER((ABS(K842)^2)/($I$5*MAX(F842,0.1)^2),1/3)))))))</f>
        <v>2.1403668656741068</v>
      </c>
      <c r="AI842">
        <f t="shared" ca="1" si="401"/>
        <v>634.35636686567409</v>
      </c>
      <c r="AJ842">
        <f t="shared" ca="1" si="402"/>
        <v>635.42655029851119</v>
      </c>
      <c r="AM842">
        <v>0</v>
      </c>
      <c r="AN842">
        <v>0</v>
      </c>
      <c r="AO842">
        <f t="shared" si="403"/>
        <v>0</v>
      </c>
      <c r="AP842">
        <f t="shared" si="412"/>
        <v>0</v>
      </c>
      <c r="AQ842">
        <f t="shared" ca="1" si="404"/>
        <v>0.99999999999999978</v>
      </c>
      <c r="AR842" t="str">
        <f t="shared" ca="1" si="405"/>
        <v>Supercritical</v>
      </c>
      <c r="AS842">
        <f t="shared" ca="1" si="406"/>
        <v>3.8148159832266538E-3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191</v>
      </c>
      <c r="I843">
        <v>0.05</v>
      </c>
      <c r="J843">
        <f t="shared" si="407"/>
        <v>1</v>
      </c>
      <c r="K843">
        <f t="shared" si="408"/>
        <v>51</v>
      </c>
      <c r="L843">
        <f t="shared" ca="1" si="409"/>
        <v>0.05</v>
      </c>
      <c r="M843">
        <f t="shared" ca="1" si="382"/>
        <v>0.26</v>
      </c>
      <c r="N843">
        <f t="shared" ca="1" si="383"/>
        <v>4.9056603773584909E-2</v>
      </c>
      <c r="O843">
        <f t="shared" ca="1" si="384"/>
        <v>196.15384615384616</v>
      </c>
      <c r="P843">
        <f t="shared" ca="1" si="385"/>
        <v>632.26549999999997</v>
      </c>
      <c r="Q843">
        <f t="shared" ca="1" si="386"/>
        <v>2593.3425316486619</v>
      </c>
      <c r="R843">
        <f t="shared" ca="1" si="387"/>
        <v>482.07306851378365</v>
      </c>
      <c r="S843">
        <f t="shared" ca="1" si="388"/>
        <v>280.07692026646265</v>
      </c>
      <c r="T843">
        <f t="shared" ca="1" si="389"/>
        <v>1019.7665564573041</v>
      </c>
      <c r="U843">
        <f t="shared" ca="1" si="410"/>
        <v>-482.23599159975447</v>
      </c>
      <c r="V843">
        <f t="shared" ca="1" si="411"/>
        <v>0</v>
      </c>
      <c r="W843">
        <f t="shared" ca="1" si="390"/>
        <v>0.05</v>
      </c>
      <c r="X843">
        <f t="shared" ca="1" si="391"/>
        <v>0.26</v>
      </c>
      <c r="Y843">
        <f t="shared" ca="1" si="392"/>
        <v>4.9056603773584909E-2</v>
      </c>
      <c r="Z843">
        <f t="shared" ca="1" si="393"/>
        <v>196.15384615384616</v>
      </c>
      <c r="AA843">
        <f t="shared" ca="1" si="394"/>
        <v>632.26549999999997</v>
      </c>
      <c r="AB843">
        <f t="shared" ca="1" si="395"/>
        <v>2593.3425316486619</v>
      </c>
      <c r="AC843">
        <f t="shared" ca="1" si="396"/>
        <v>482.07306851378365</v>
      </c>
      <c r="AD843">
        <f t="shared" ca="1" si="397"/>
        <v>280.07692026646265</v>
      </c>
      <c r="AE843">
        <f t="shared" ca="1" si="398"/>
        <v>1019.7665564573041</v>
      </c>
      <c r="AF843">
        <f t="shared" ca="1" si="399"/>
        <v>482.32750852789832</v>
      </c>
      <c r="AG843">
        <f t="shared" ca="1" si="400"/>
        <v>0</v>
      </c>
      <c r="AH843">
        <f ca="1">IF(V32="Supercritical",L843,IF(V32="Subcritical",W843,IF(AND(V843=1,AG843=1),IF(T843&gt;=AE843,L843,W843),IF(V843=1,L843,IF(AG843=1,W843,MAX($D$16,POWER((ABS(K843)^2)/($I$5*MAX(F843,0.1)^2),1/3)))))))</f>
        <v>2.1403668656741068</v>
      </c>
      <c r="AI843">
        <f t="shared" ca="1" si="401"/>
        <v>634.3558668656741</v>
      </c>
      <c r="AJ843">
        <f t="shared" ca="1" si="402"/>
        <v>635.4260502985112</v>
      </c>
      <c r="AM843">
        <v>0</v>
      </c>
      <c r="AN843">
        <v>0</v>
      </c>
      <c r="AO843">
        <f t="shared" si="403"/>
        <v>0</v>
      </c>
      <c r="AP843">
        <f t="shared" si="412"/>
        <v>0</v>
      </c>
      <c r="AQ843">
        <f t="shared" ca="1" si="404"/>
        <v>0.99999999999999978</v>
      </c>
      <c r="AR843" t="str">
        <f t="shared" ca="1" si="405"/>
        <v>Supercritical</v>
      </c>
      <c r="AS843">
        <f t="shared" ca="1" si="406"/>
        <v>3.8148159832266538E-3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191</v>
      </c>
      <c r="I844">
        <v>7.8E-2</v>
      </c>
      <c r="J844">
        <f t="shared" si="407"/>
        <v>1</v>
      </c>
      <c r="K844">
        <f t="shared" si="408"/>
        <v>51</v>
      </c>
      <c r="L844">
        <f t="shared" ca="1" si="409"/>
        <v>0.05</v>
      </c>
      <c r="M844">
        <f t="shared" ca="1" si="382"/>
        <v>0.26</v>
      </c>
      <c r="N844">
        <f t="shared" ca="1" si="383"/>
        <v>4.9056603773584909E-2</v>
      </c>
      <c r="O844">
        <f t="shared" ca="1" si="384"/>
        <v>196.15384615384616</v>
      </c>
      <c r="P844">
        <f t="shared" ca="1" si="385"/>
        <v>632.26499999999999</v>
      </c>
      <c r="Q844">
        <f t="shared" ca="1" si="386"/>
        <v>2593.3420316486622</v>
      </c>
      <c r="R844">
        <f t="shared" ca="1" si="387"/>
        <v>482.07306851378365</v>
      </c>
      <c r="S844">
        <f t="shared" ca="1" si="388"/>
        <v>280.07692026646265</v>
      </c>
      <c r="T844">
        <f t="shared" ca="1" si="389"/>
        <v>1019.7665564573041</v>
      </c>
      <c r="U844">
        <f t="shared" ca="1" si="410"/>
        <v>-482.32750852789832</v>
      </c>
      <c r="V844">
        <f t="shared" ca="1" si="411"/>
        <v>0</v>
      </c>
      <c r="W844">
        <f t="shared" ca="1" si="390"/>
        <v>0.05</v>
      </c>
      <c r="X844">
        <f t="shared" ca="1" si="391"/>
        <v>0.26</v>
      </c>
      <c r="Y844">
        <f t="shared" ca="1" si="392"/>
        <v>4.9056603773584909E-2</v>
      </c>
      <c r="Z844">
        <f t="shared" ca="1" si="393"/>
        <v>196.15384615384616</v>
      </c>
      <c r="AA844">
        <f t="shared" ca="1" si="394"/>
        <v>632.26499999999999</v>
      </c>
      <c r="AB844">
        <f t="shared" ca="1" si="395"/>
        <v>2593.3420316486622</v>
      </c>
      <c r="AC844">
        <f t="shared" ca="1" si="396"/>
        <v>482.07306851378365</v>
      </c>
      <c r="AD844">
        <f t="shared" ca="1" si="397"/>
        <v>280.07692026646265</v>
      </c>
      <c r="AE844">
        <f t="shared" ca="1" si="398"/>
        <v>1019.7665564573041</v>
      </c>
      <c r="AF844">
        <f t="shared" ca="1" si="399"/>
        <v>482.16081698020798</v>
      </c>
      <c r="AG844">
        <f t="shared" ca="1" si="400"/>
        <v>0</v>
      </c>
      <c r="AH844">
        <f ca="1">IF(V32="Supercritical",L844,IF(V32="Subcritical",W844,IF(AND(V844=1,AG844=1),IF(T844&gt;=AE844,L844,W844),IF(V844=1,L844,IF(AG844=1,W844,MAX($D$16,POWER((ABS(K844)^2)/($I$5*MAX(F844,0.1)^2),1/3)))))))</f>
        <v>2.1403668656741068</v>
      </c>
      <c r="AI844">
        <f t="shared" ca="1" si="401"/>
        <v>634.35536686567411</v>
      </c>
      <c r="AJ844">
        <f t="shared" ca="1" si="402"/>
        <v>635.42555029851121</v>
      </c>
      <c r="AM844">
        <v>0</v>
      </c>
      <c r="AN844">
        <v>0</v>
      </c>
      <c r="AO844">
        <f t="shared" si="403"/>
        <v>0</v>
      </c>
      <c r="AP844">
        <f t="shared" si="412"/>
        <v>0</v>
      </c>
      <c r="AQ844">
        <f t="shared" ca="1" si="404"/>
        <v>0.99999999999999978</v>
      </c>
      <c r="AR844" t="str">
        <f t="shared" ca="1" si="405"/>
        <v>Supercritical</v>
      </c>
      <c r="AS844">
        <f t="shared" ca="1" si="406"/>
        <v>3.8148159832266538E-3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191</v>
      </c>
      <c r="I845">
        <v>2.7E-2</v>
      </c>
      <c r="J845">
        <f t="shared" si="407"/>
        <v>1</v>
      </c>
      <c r="K845">
        <f t="shared" si="408"/>
        <v>51</v>
      </c>
      <c r="L845">
        <f t="shared" ca="1" si="409"/>
        <v>0.05</v>
      </c>
      <c r="M845">
        <f t="shared" ca="1" si="382"/>
        <v>0.26</v>
      </c>
      <c r="N845">
        <f t="shared" ca="1" si="383"/>
        <v>4.9056603773584909E-2</v>
      </c>
      <c r="O845">
        <f t="shared" ca="1" si="384"/>
        <v>196.15384615384616</v>
      </c>
      <c r="P845">
        <f t="shared" ca="1" si="385"/>
        <v>632.2645</v>
      </c>
      <c r="Q845">
        <f t="shared" ca="1" si="386"/>
        <v>2593.3415316486621</v>
      </c>
      <c r="R845">
        <f t="shared" ca="1" si="387"/>
        <v>482.07306851378365</v>
      </c>
      <c r="S845">
        <f t="shared" ca="1" si="388"/>
        <v>280.07692026646265</v>
      </c>
      <c r="T845">
        <f t="shared" ca="1" si="389"/>
        <v>1019.7665564573041</v>
      </c>
      <c r="U845">
        <f t="shared" ca="1" si="410"/>
        <v>-482.16081698020798</v>
      </c>
      <c r="V845">
        <f t="shared" ca="1" si="411"/>
        <v>0</v>
      </c>
      <c r="W845">
        <f t="shared" ca="1" si="390"/>
        <v>0.05</v>
      </c>
      <c r="X845">
        <f t="shared" ca="1" si="391"/>
        <v>0.26</v>
      </c>
      <c r="Y845">
        <f t="shared" ca="1" si="392"/>
        <v>4.9056603773584909E-2</v>
      </c>
      <c r="Z845">
        <f t="shared" ca="1" si="393"/>
        <v>196.15384615384616</v>
      </c>
      <c r="AA845">
        <f t="shared" ca="1" si="394"/>
        <v>632.2645</v>
      </c>
      <c r="AB845">
        <f t="shared" ca="1" si="395"/>
        <v>2593.3415316486621</v>
      </c>
      <c r="AC845">
        <f t="shared" ca="1" si="396"/>
        <v>482.07306851378365</v>
      </c>
      <c r="AD845">
        <f t="shared" ca="1" si="397"/>
        <v>280.07692026646265</v>
      </c>
      <c r="AE845">
        <f t="shared" ca="1" si="398"/>
        <v>1019.7665564573041</v>
      </c>
      <c r="AF845">
        <f t="shared" ca="1" si="399"/>
        <v>482.16081698020798</v>
      </c>
      <c r="AG845">
        <f t="shared" ca="1" si="400"/>
        <v>0</v>
      </c>
      <c r="AH845">
        <f ca="1">IF(V32="Supercritical",L845,IF(V32="Subcritical",W845,IF(AND(V845=1,AG845=1),IF(T845&gt;=AE845,L845,W845),IF(V845=1,L845,IF(AG845=1,W845,MAX($D$16,POWER((ABS(K845)^2)/($I$5*MAX(F845,0.1)^2),1/3)))))))</f>
        <v>2.1403668656741068</v>
      </c>
      <c r="AI845">
        <f t="shared" ca="1" si="401"/>
        <v>634.35486686567413</v>
      </c>
      <c r="AJ845">
        <f t="shared" ca="1" si="402"/>
        <v>635.42505029851122</v>
      </c>
      <c r="AM845">
        <v>0</v>
      </c>
      <c r="AN845">
        <v>0</v>
      </c>
      <c r="AO845">
        <f t="shared" si="403"/>
        <v>0</v>
      </c>
      <c r="AP845">
        <f t="shared" si="412"/>
        <v>0</v>
      </c>
      <c r="AQ845">
        <f t="shared" ca="1" si="404"/>
        <v>0.99999999999999978</v>
      </c>
      <c r="AR845" t="str">
        <f t="shared" ca="1" si="405"/>
        <v>Supercritical</v>
      </c>
      <c r="AS845">
        <f t="shared" ca="1" si="406"/>
        <v>3.8148159832266538E-3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191</v>
      </c>
      <c r="I846">
        <v>2.7E-2</v>
      </c>
      <c r="J846">
        <f t="shared" si="407"/>
        <v>1</v>
      </c>
      <c r="K846">
        <f t="shared" si="408"/>
        <v>51</v>
      </c>
      <c r="L846">
        <f t="shared" ca="1" si="409"/>
        <v>0.05</v>
      </c>
      <c r="M846">
        <f t="shared" ca="1" si="382"/>
        <v>0.26</v>
      </c>
      <c r="N846">
        <f t="shared" ca="1" si="383"/>
        <v>4.9056603773584909E-2</v>
      </c>
      <c r="O846">
        <f t="shared" ca="1" si="384"/>
        <v>196.15384615384616</v>
      </c>
      <c r="P846">
        <f t="shared" ca="1" si="385"/>
        <v>632.26400000000001</v>
      </c>
      <c r="Q846">
        <f t="shared" ca="1" si="386"/>
        <v>2593.341031648662</v>
      </c>
      <c r="R846">
        <f t="shared" ca="1" si="387"/>
        <v>482.07306851378365</v>
      </c>
      <c r="S846">
        <f t="shared" ca="1" si="388"/>
        <v>280.07692026646265</v>
      </c>
      <c r="T846">
        <f t="shared" ca="1" si="389"/>
        <v>1019.7665564573041</v>
      </c>
      <c r="U846">
        <f t="shared" ca="1" si="410"/>
        <v>-482.16081698020798</v>
      </c>
      <c r="V846">
        <f t="shared" ca="1" si="411"/>
        <v>0</v>
      </c>
      <c r="W846">
        <f t="shared" ca="1" si="390"/>
        <v>0.05</v>
      </c>
      <c r="X846">
        <f t="shared" ca="1" si="391"/>
        <v>0.26</v>
      </c>
      <c r="Y846">
        <f t="shared" ca="1" si="392"/>
        <v>4.9056603773584909E-2</v>
      </c>
      <c r="Z846">
        <f t="shared" ca="1" si="393"/>
        <v>196.15384615384616</v>
      </c>
      <c r="AA846">
        <f t="shared" ca="1" si="394"/>
        <v>632.26400000000001</v>
      </c>
      <c r="AB846">
        <f t="shared" ca="1" si="395"/>
        <v>2593.341031648662</v>
      </c>
      <c r="AC846">
        <f t="shared" ca="1" si="396"/>
        <v>482.07306851378365</v>
      </c>
      <c r="AD846">
        <f t="shared" ca="1" si="397"/>
        <v>280.07692026646265</v>
      </c>
      <c r="AE846">
        <f t="shared" ca="1" si="398"/>
        <v>1019.7665564573041</v>
      </c>
      <c r="AF846">
        <f t="shared" ca="1" si="399"/>
        <v>482.32750852789786</v>
      </c>
      <c r="AG846">
        <f t="shared" ca="1" si="400"/>
        <v>0</v>
      </c>
      <c r="AH846">
        <f ca="1">IF(V32="Supercritical",L846,IF(V32="Subcritical",W846,IF(AND(V846=1,AG846=1),IF(T846&gt;=AE846,L846,W846),IF(V846=1,L846,IF(AG846=1,W846,MAX($D$16,POWER((ABS(K846)^2)/($I$5*MAX(F846,0.1)^2),1/3)))))))</f>
        <v>2.1403668656741068</v>
      </c>
      <c r="AI846">
        <f t="shared" ca="1" si="401"/>
        <v>634.35436686567414</v>
      </c>
      <c r="AJ846">
        <f t="shared" ca="1" si="402"/>
        <v>635.42455029851124</v>
      </c>
      <c r="AM846">
        <v>0</v>
      </c>
      <c r="AN846">
        <v>0</v>
      </c>
      <c r="AO846">
        <f t="shared" si="403"/>
        <v>0</v>
      </c>
      <c r="AP846">
        <f t="shared" si="412"/>
        <v>0</v>
      </c>
      <c r="AQ846">
        <f t="shared" ca="1" si="404"/>
        <v>0.99999999999999978</v>
      </c>
      <c r="AR846" t="str">
        <f t="shared" ca="1" si="405"/>
        <v>Supercritical</v>
      </c>
      <c r="AS846">
        <f t="shared" ca="1" si="406"/>
        <v>3.8148159832266538E-3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191</v>
      </c>
      <c r="I847">
        <v>7.8E-2</v>
      </c>
      <c r="J847">
        <f t="shared" si="407"/>
        <v>1</v>
      </c>
      <c r="K847">
        <f t="shared" si="408"/>
        <v>51</v>
      </c>
      <c r="L847">
        <f t="shared" ca="1" si="409"/>
        <v>0.05</v>
      </c>
      <c r="M847">
        <f t="shared" ca="1" si="382"/>
        <v>0.26</v>
      </c>
      <c r="N847">
        <f t="shared" ca="1" si="383"/>
        <v>4.9056603773584909E-2</v>
      </c>
      <c r="O847">
        <f t="shared" ca="1" si="384"/>
        <v>196.15384615384616</v>
      </c>
      <c r="P847">
        <f t="shared" ca="1" si="385"/>
        <v>632.26349999999991</v>
      </c>
      <c r="Q847">
        <f t="shared" ca="1" si="386"/>
        <v>2593.3405316486619</v>
      </c>
      <c r="R847">
        <f t="shared" ca="1" si="387"/>
        <v>482.07306851378365</v>
      </c>
      <c r="S847">
        <f t="shared" ca="1" si="388"/>
        <v>280.07692026646265</v>
      </c>
      <c r="T847">
        <f t="shared" ca="1" si="389"/>
        <v>1019.7665564573041</v>
      </c>
      <c r="U847">
        <f t="shared" ca="1" si="410"/>
        <v>-482.32750852789786</v>
      </c>
      <c r="V847">
        <f t="shared" ca="1" si="411"/>
        <v>0</v>
      </c>
      <c r="W847">
        <f t="shared" ca="1" si="390"/>
        <v>0.05</v>
      </c>
      <c r="X847">
        <f t="shared" ca="1" si="391"/>
        <v>0.26</v>
      </c>
      <c r="Y847">
        <f t="shared" ca="1" si="392"/>
        <v>4.9056603773584909E-2</v>
      </c>
      <c r="Z847">
        <f t="shared" ca="1" si="393"/>
        <v>196.15384615384616</v>
      </c>
      <c r="AA847">
        <f t="shared" ca="1" si="394"/>
        <v>632.26349999999991</v>
      </c>
      <c r="AB847">
        <f t="shared" ca="1" si="395"/>
        <v>2593.3405316486619</v>
      </c>
      <c r="AC847">
        <f t="shared" ca="1" si="396"/>
        <v>482.07306851378365</v>
      </c>
      <c r="AD847">
        <f t="shared" ca="1" si="397"/>
        <v>280.07692026646265</v>
      </c>
      <c r="AE847">
        <f t="shared" ca="1" si="398"/>
        <v>1019.7665564573041</v>
      </c>
      <c r="AF847">
        <f t="shared" ca="1" si="399"/>
        <v>482.23599159975493</v>
      </c>
      <c r="AG847">
        <f t="shared" ca="1" si="400"/>
        <v>0</v>
      </c>
      <c r="AH847">
        <f ca="1">IF(V32="Supercritical",L847,IF(V32="Subcritical",W847,IF(AND(V847=1,AG847=1),IF(T847&gt;=AE847,L847,W847),IF(V847=1,L847,IF(AG847=1,W847,MAX($D$16,POWER((ABS(K847)^2)/($I$5*MAX(F847,0.1)^2),1/3)))))))</f>
        <v>2.1403668656741068</v>
      </c>
      <c r="AI847">
        <f t="shared" ca="1" si="401"/>
        <v>634.35386686567404</v>
      </c>
      <c r="AJ847">
        <f t="shared" ca="1" si="402"/>
        <v>635.42405029851113</v>
      </c>
      <c r="AM847">
        <v>0</v>
      </c>
      <c r="AN847">
        <v>0</v>
      </c>
      <c r="AO847">
        <f t="shared" si="403"/>
        <v>0</v>
      </c>
      <c r="AP847">
        <f t="shared" si="412"/>
        <v>0</v>
      </c>
      <c r="AQ847">
        <f t="shared" ca="1" si="404"/>
        <v>0.99999999999999978</v>
      </c>
      <c r="AR847" t="str">
        <f t="shared" ca="1" si="405"/>
        <v>Supercritical</v>
      </c>
      <c r="AS847">
        <f t="shared" ca="1" si="406"/>
        <v>3.8148159832266538E-3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191</v>
      </c>
      <c r="I848">
        <v>0.05</v>
      </c>
      <c r="J848">
        <f t="shared" si="407"/>
        <v>1</v>
      </c>
      <c r="K848">
        <f t="shared" si="408"/>
        <v>51</v>
      </c>
      <c r="L848">
        <f t="shared" ca="1" si="409"/>
        <v>0.05</v>
      </c>
      <c r="M848">
        <f t="shared" ca="1" si="382"/>
        <v>0.26</v>
      </c>
      <c r="N848">
        <f t="shared" ca="1" si="383"/>
        <v>4.9056603773584909E-2</v>
      </c>
      <c r="O848">
        <f t="shared" ca="1" si="384"/>
        <v>196.15384615384616</v>
      </c>
      <c r="P848">
        <f t="shared" ca="1" si="385"/>
        <v>632.26299999999992</v>
      </c>
      <c r="Q848">
        <f t="shared" ca="1" si="386"/>
        <v>2593.3400316486623</v>
      </c>
      <c r="R848">
        <f t="shared" ca="1" si="387"/>
        <v>482.07306851378365</v>
      </c>
      <c r="S848">
        <f t="shared" ca="1" si="388"/>
        <v>280.07692026646265</v>
      </c>
      <c r="T848">
        <f t="shared" ca="1" si="389"/>
        <v>1019.7665564573041</v>
      </c>
      <c r="U848">
        <f t="shared" ca="1" si="410"/>
        <v>-482.23599159975493</v>
      </c>
      <c r="V848">
        <f t="shared" ca="1" si="411"/>
        <v>0</v>
      </c>
      <c r="W848">
        <f t="shared" ca="1" si="390"/>
        <v>0.05</v>
      </c>
      <c r="X848">
        <f t="shared" ca="1" si="391"/>
        <v>0.26</v>
      </c>
      <c r="Y848">
        <f t="shared" ca="1" si="392"/>
        <v>4.9056603773584909E-2</v>
      </c>
      <c r="Z848">
        <f t="shared" ca="1" si="393"/>
        <v>196.15384615384616</v>
      </c>
      <c r="AA848">
        <f t="shared" ca="1" si="394"/>
        <v>632.26299999999992</v>
      </c>
      <c r="AB848">
        <f t="shared" ca="1" si="395"/>
        <v>2593.3400316486623</v>
      </c>
      <c r="AC848">
        <f t="shared" ca="1" si="396"/>
        <v>482.07306851378365</v>
      </c>
      <c r="AD848">
        <f t="shared" ca="1" si="397"/>
        <v>280.07692026646265</v>
      </c>
      <c r="AE848">
        <f t="shared" ca="1" si="398"/>
        <v>1019.7665564573041</v>
      </c>
      <c r="AF848">
        <f t="shared" ca="1" si="399"/>
        <v>482.16081698020798</v>
      </c>
      <c r="AG848">
        <f t="shared" ca="1" si="400"/>
        <v>0</v>
      </c>
      <c r="AH848">
        <f ca="1">IF(V32="Supercritical",L848,IF(V32="Subcritical",W848,IF(AND(V848=1,AG848=1),IF(T848&gt;=AE848,L848,W848),IF(V848=1,L848,IF(AG848=1,W848,MAX($D$16,POWER((ABS(K848)^2)/($I$5*MAX(F848,0.1)^2),1/3)))))))</f>
        <v>2.1403668656741068</v>
      </c>
      <c r="AI848">
        <f t="shared" ca="1" si="401"/>
        <v>634.35336686567405</v>
      </c>
      <c r="AJ848">
        <f t="shared" ca="1" si="402"/>
        <v>635.42355029851115</v>
      </c>
      <c r="AM848">
        <v>0</v>
      </c>
      <c r="AN848">
        <v>0</v>
      </c>
      <c r="AO848">
        <f t="shared" si="403"/>
        <v>0</v>
      </c>
      <c r="AP848">
        <f t="shared" si="412"/>
        <v>0</v>
      </c>
      <c r="AQ848">
        <f t="shared" ca="1" si="404"/>
        <v>0.99999999999999978</v>
      </c>
      <c r="AR848" t="str">
        <f t="shared" ca="1" si="405"/>
        <v>Supercritical</v>
      </c>
      <c r="AS848">
        <f t="shared" ca="1" si="406"/>
        <v>3.8148159832266538E-3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191</v>
      </c>
      <c r="I849">
        <v>2.7E-2</v>
      </c>
      <c r="J849">
        <f t="shared" si="407"/>
        <v>1</v>
      </c>
      <c r="K849">
        <f t="shared" si="408"/>
        <v>51</v>
      </c>
      <c r="L849">
        <f t="shared" ca="1" si="409"/>
        <v>0.05</v>
      </c>
      <c r="M849">
        <f t="shared" ca="1" si="382"/>
        <v>0.26</v>
      </c>
      <c r="N849">
        <f t="shared" ca="1" si="383"/>
        <v>4.9056603773584909E-2</v>
      </c>
      <c r="O849">
        <f t="shared" ca="1" si="384"/>
        <v>196.15384615384616</v>
      </c>
      <c r="P849">
        <f t="shared" ca="1" si="385"/>
        <v>632.26249999999993</v>
      </c>
      <c r="Q849">
        <f t="shared" ca="1" si="386"/>
        <v>2593.3395316486622</v>
      </c>
      <c r="R849">
        <f t="shared" ca="1" si="387"/>
        <v>482.07306851378365</v>
      </c>
      <c r="S849">
        <f t="shared" ca="1" si="388"/>
        <v>280.07692026646265</v>
      </c>
      <c r="T849">
        <f t="shared" ca="1" si="389"/>
        <v>1019.7665564573041</v>
      </c>
      <c r="U849">
        <f t="shared" ca="1" si="410"/>
        <v>-482.16081698020798</v>
      </c>
      <c r="V849">
        <f t="shared" ca="1" si="411"/>
        <v>0</v>
      </c>
      <c r="W849">
        <f t="shared" ca="1" si="390"/>
        <v>0.05</v>
      </c>
      <c r="X849">
        <f t="shared" ca="1" si="391"/>
        <v>0.26</v>
      </c>
      <c r="Y849">
        <f t="shared" ca="1" si="392"/>
        <v>4.9056603773584909E-2</v>
      </c>
      <c r="Z849">
        <f t="shared" ca="1" si="393"/>
        <v>196.15384615384616</v>
      </c>
      <c r="AA849">
        <f t="shared" ca="1" si="394"/>
        <v>632.26249999999993</v>
      </c>
      <c r="AB849">
        <f t="shared" ca="1" si="395"/>
        <v>2593.3395316486622</v>
      </c>
      <c r="AC849">
        <f t="shared" ca="1" si="396"/>
        <v>482.07306851378365</v>
      </c>
      <c r="AD849">
        <f t="shared" ca="1" si="397"/>
        <v>280.07692026646265</v>
      </c>
      <c r="AE849">
        <f t="shared" ca="1" si="398"/>
        <v>1019.7665564573041</v>
      </c>
      <c r="AF849">
        <f t="shared" ca="1" si="399"/>
        <v>482.16081698020798</v>
      </c>
      <c r="AG849">
        <f t="shared" ca="1" si="400"/>
        <v>0</v>
      </c>
      <c r="AH849">
        <f ca="1">IF(V32="Supercritical",L849,IF(V32="Subcritical",W849,IF(AND(V849=1,AG849=1),IF(T849&gt;=AE849,L849,W849),IF(V849=1,L849,IF(AG849=1,W849,MAX($D$16,POWER((ABS(K849)^2)/($I$5*MAX(F849,0.1)^2),1/3)))))))</f>
        <v>2.1403668656741068</v>
      </c>
      <c r="AI849">
        <f t="shared" ca="1" si="401"/>
        <v>634.35286686567406</v>
      </c>
      <c r="AJ849">
        <f t="shared" ca="1" si="402"/>
        <v>635.42305029851116</v>
      </c>
      <c r="AM849">
        <v>0</v>
      </c>
      <c r="AN849">
        <v>0</v>
      </c>
      <c r="AO849">
        <f t="shared" si="403"/>
        <v>0</v>
      </c>
      <c r="AP849">
        <f t="shared" si="412"/>
        <v>0</v>
      </c>
      <c r="AQ849">
        <f t="shared" ca="1" si="404"/>
        <v>0.99999999999999978</v>
      </c>
      <c r="AR849" t="str">
        <f t="shared" ca="1" si="405"/>
        <v>Supercritical</v>
      </c>
      <c r="AS849">
        <f t="shared" ca="1" si="406"/>
        <v>3.8148159832266538E-3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191</v>
      </c>
      <c r="I850">
        <v>2.7E-2</v>
      </c>
      <c r="J850">
        <f t="shared" si="407"/>
        <v>1</v>
      </c>
      <c r="K850">
        <f t="shared" si="408"/>
        <v>51</v>
      </c>
      <c r="L850">
        <f t="shared" ca="1" si="409"/>
        <v>0.05</v>
      </c>
      <c r="M850">
        <f t="shared" ca="1" si="382"/>
        <v>0.26</v>
      </c>
      <c r="N850">
        <f t="shared" ca="1" si="383"/>
        <v>4.9056603773584909E-2</v>
      </c>
      <c r="O850">
        <f t="shared" ca="1" si="384"/>
        <v>196.15384615384616</v>
      </c>
      <c r="P850">
        <f t="shared" ca="1" si="385"/>
        <v>632.26199999999994</v>
      </c>
      <c r="Q850">
        <f t="shared" ca="1" si="386"/>
        <v>2593.3390316486621</v>
      </c>
      <c r="R850">
        <f t="shared" ca="1" si="387"/>
        <v>482.07306851378365</v>
      </c>
      <c r="S850">
        <f t="shared" ca="1" si="388"/>
        <v>280.07692026646265</v>
      </c>
      <c r="T850">
        <f t="shared" ca="1" si="389"/>
        <v>1019.7665564573041</v>
      </c>
      <c r="U850">
        <f t="shared" ca="1" si="410"/>
        <v>-482.16081698020798</v>
      </c>
      <c r="V850">
        <f t="shared" ca="1" si="411"/>
        <v>0</v>
      </c>
      <c r="W850">
        <f t="shared" ca="1" si="390"/>
        <v>0.05</v>
      </c>
      <c r="X850">
        <f t="shared" ca="1" si="391"/>
        <v>0.26</v>
      </c>
      <c r="Y850">
        <f t="shared" ca="1" si="392"/>
        <v>4.9056603773584909E-2</v>
      </c>
      <c r="Z850">
        <f t="shared" ca="1" si="393"/>
        <v>196.15384615384616</v>
      </c>
      <c r="AA850">
        <f t="shared" ca="1" si="394"/>
        <v>632.26199999999994</v>
      </c>
      <c r="AB850">
        <f t="shared" ca="1" si="395"/>
        <v>2593.3390316486621</v>
      </c>
      <c r="AC850">
        <f t="shared" ca="1" si="396"/>
        <v>482.07306851378365</v>
      </c>
      <c r="AD850">
        <f t="shared" ca="1" si="397"/>
        <v>280.07692026646265</v>
      </c>
      <c r="AE850">
        <f t="shared" ca="1" si="398"/>
        <v>1019.7665564573041</v>
      </c>
      <c r="AF850">
        <f t="shared" ca="1" si="399"/>
        <v>482.1477431333301</v>
      </c>
      <c r="AG850">
        <f t="shared" ca="1" si="400"/>
        <v>0</v>
      </c>
      <c r="AH850">
        <f ca="1">IF(V32="Supercritical",L850,IF(V32="Subcritical",W850,IF(AND(V850=1,AG850=1),IF(T850&gt;=AE850,L850,W850),IF(V850=1,L850,IF(AG850=1,W850,MAX($D$16,POWER((ABS(K850)^2)/($I$5*MAX(F850,0.1)^2),1/3)))))))</f>
        <v>2.1403668656741068</v>
      </c>
      <c r="AI850">
        <f t="shared" ca="1" si="401"/>
        <v>634.35236686567407</v>
      </c>
      <c r="AJ850">
        <f t="shared" ca="1" si="402"/>
        <v>635.42255029851117</v>
      </c>
      <c r="AM850">
        <v>0</v>
      </c>
      <c r="AN850">
        <v>0</v>
      </c>
      <c r="AO850">
        <f t="shared" si="403"/>
        <v>0</v>
      </c>
      <c r="AP850">
        <f t="shared" si="412"/>
        <v>0</v>
      </c>
      <c r="AQ850">
        <f t="shared" ca="1" si="404"/>
        <v>0.99999999999999978</v>
      </c>
      <c r="AR850" t="str">
        <f t="shared" ca="1" si="405"/>
        <v>Supercritical</v>
      </c>
      <c r="AS850">
        <f t="shared" ca="1" si="406"/>
        <v>3.8148159832266538E-3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191</v>
      </c>
      <c r="I851">
        <v>2.3E-2</v>
      </c>
      <c r="J851">
        <f t="shared" si="407"/>
        <v>1</v>
      </c>
      <c r="K851">
        <f t="shared" si="408"/>
        <v>51</v>
      </c>
      <c r="L851">
        <f t="shared" ca="1" si="409"/>
        <v>0.05</v>
      </c>
      <c r="M851">
        <f t="shared" ca="1" si="382"/>
        <v>0.26</v>
      </c>
      <c r="N851">
        <f t="shared" ca="1" si="383"/>
        <v>4.9056603773584909E-2</v>
      </c>
      <c r="O851">
        <f t="shared" ca="1" si="384"/>
        <v>196.15384615384616</v>
      </c>
      <c r="P851">
        <f t="shared" ca="1" si="385"/>
        <v>632.26149999999996</v>
      </c>
      <c r="Q851">
        <f t="shared" ca="1" si="386"/>
        <v>2593.338531648662</v>
      </c>
      <c r="R851">
        <f t="shared" ca="1" si="387"/>
        <v>482.07306851378365</v>
      </c>
      <c r="S851">
        <f t="shared" ca="1" si="388"/>
        <v>280.07692026646265</v>
      </c>
      <c r="T851">
        <f t="shared" ca="1" si="389"/>
        <v>1019.7665564573041</v>
      </c>
      <c r="U851">
        <f t="shared" ca="1" si="410"/>
        <v>-482.1477431333301</v>
      </c>
      <c r="V851">
        <f t="shared" ca="1" si="411"/>
        <v>0</v>
      </c>
      <c r="W851">
        <f t="shared" ca="1" si="390"/>
        <v>0.05</v>
      </c>
      <c r="X851">
        <f t="shared" ca="1" si="391"/>
        <v>0.26</v>
      </c>
      <c r="Y851">
        <f t="shared" ca="1" si="392"/>
        <v>4.9056603773584909E-2</v>
      </c>
      <c r="Z851">
        <f t="shared" ca="1" si="393"/>
        <v>196.15384615384616</v>
      </c>
      <c r="AA851">
        <f t="shared" ca="1" si="394"/>
        <v>632.26149999999996</v>
      </c>
      <c r="AB851">
        <f t="shared" ca="1" si="395"/>
        <v>2593.338531648662</v>
      </c>
      <c r="AC851">
        <f t="shared" ca="1" si="396"/>
        <v>482.07306851378365</v>
      </c>
      <c r="AD851">
        <f t="shared" ca="1" si="397"/>
        <v>280.07692026646265</v>
      </c>
      <c r="AE851">
        <f t="shared" ca="1" si="398"/>
        <v>1019.7665564573041</v>
      </c>
      <c r="AF851">
        <f t="shared" ca="1" si="399"/>
        <v>482.62981620183245</v>
      </c>
      <c r="AG851">
        <f t="shared" ca="1" si="400"/>
        <v>0</v>
      </c>
      <c r="AH851">
        <f ca="1">IF(V32="Supercritical",L851,IF(V32="Subcritical",W851,IF(AND(V851=1,AG851=1),IF(T851&gt;=AE851,L851,W851),IF(V851=1,L851,IF(AG851=1,W851,MAX($D$16,POWER((ABS(K851)^2)/($I$5*MAX(F851,0.1)^2),1/3)))))))</f>
        <v>2.1403668656741068</v>
      </c>
      <c r="AI851">
        <f t="shared" ca="1" si="401"/>
        <v>634.35186686567408</v>
      </c>
      <c r="AJ851">
        <f t="shared" ca="1" si="402"/>
        <v>635.42205029851118</v>
      </c>
      <c r="AM851">
        <v>0</v>
      </c>
      <c r="AN851">
        <v>0</v>
      </c>
      <c r="AO851">
        <f t="shared" si="403"/>
        <v>0</v>
      </c>
      <c r="AP851">
        <f t="shared" si="412"/>
        <v>0</v>
      </c>
      <c r="AQ851">
        <f t="shared" ca="1" si="404"/>
        <v>0.99999999999999978</v>
      </c>
      <c r="AR851" t="str">
        <f t="shared" ca="1" si="405"/>
        <v>Supercritical</v>
      </c>
      <c r="AS851">
        <f t="shared" ca="1" si="406"/>
        <v>3.8148159832266538E-3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191</v>
      </c>
      <c r="I852">
        <v>2.3E-2</v>
      </c>
      <c r="J852">
        <f t="shared" si="407"/>
        <v>1.0009999999999764</v>
      </c>
      <c r="K852">
        <f t="shared" si="408"/>
        <v>51</v>
      </c>
      <c r="L852">
        <f t="shared" ca="1" si="409"/>
        <v>0.05</v>
      </c>
      <c r="M852">
        <f t="shared" ca="1" si="382"/>
        <v>0.26</v>
      </c>
      <c r="N852">
        <f t="shared" ca="1" si="383"/>
        <v>4.9056603773584909E-2</v>
      </c>
      <c r="O852">
        <f t="shared" ca="1" si="384"/>
        <v>196.15384615384616</v>
      </c>
      <c r="P852">
        <f t="shared" ca="1" si="385"/>
        <v>632.26099999999997</v>
      </c>
      <c r="Q852">
        <f t="shared" ca="1" si="386"/>
        <v>2593.3380316486619</v>
      </c>
      <c r="R852">
        <f t="shared" ca="1" si="387"/>
        <v>482.07306851378365</v>
      </c>
      <c r="S852">
        <f t="shared" ca="1" si="388"/>
        <v>280.07692026646265</v>
      </c>
      <c r="T852">
        <f t="shared" ca="1" si="389"/>
        <v>1019.7665564573041</v>
      </c>
      <c r="U852">
        <f t="shared" ca="1" si="410"/>
        <v>-482.62981620183245</v>
      </c>
      <c r="V852">
        <f t="shared" ca="1" si="411"/>
        <v>0</v>
      </c>
      <c r="W852">
        <f t="shared" ca="1" si="390"/>
        <v>0.05</v>
      </c>
      <c r="X852">
        <f t="shared" ca="1" si="391"/>
        <v>0.26</v>
      </c>
      <c r="Y852">
        <f t="shared" ca="1" si="392"/>
        <v>4.9056603773584909E-2</v>
      </c>
      <c r="Z852">
        <f t="shared" ca="1" si="393"/>
        <v>196.15384615384616</v>
      </c>
      <c r="AA852">
        <f t="shared" ca="1" si="394"/>
        <v>632.26099999999997</v>
      </c>
      <c r="AB852">
        <f t="shared" ca="1" si="395"/>
        <v>2593.3380316486619</v>
      </c>
      <c r="AC852">
        <f t="shared" ca="1" si="396"/>
        <v>482.07306851378365</v>
      </c>
      <c r="AD852">
        <f t="shared" ca="1" si="397"/>
        <v>280.07692026646265</v>
      </c>
      <c r="AE852">
        <f t="shared" ca="1" si="398"/>
        <v>1019.7665564573041</v>
      </c>
      <c r="AF852">
        <f t="shared" ca="1" si="399"/>
        <v>481.5904954452817</v>
      </c>
      <c r="AG852">
        <f t="shared" ca="1" si="400"/>
        <v>0</v>
      </c>
      <c r="AH852">
        <f ca="1">IF(V32="Supercritical",L852,IF(V32="Subcritical",W852,IF(AND(V852=1,AG852=1),IF(T852&gt;=AE852,L852,W852),IF(V852=1,L852,IF(AG852=1,W852,MAX($D$16,POWER((ABS(K852)^2)/($I$5*MAX(F852,0.1)^2),1/3)))))))</f>
        <v>2.1403668656741068</v>
      </c>
      <c r="AI852">
        <f t="shared" ca="1" si="401"/>
        <v>634.35136686567409</v>
      </c>
      <c r="AJ852">
        <f t="shared" ca="1" si="402"/>
        <v>635.42155029851119</v>
      </c>
      <c r="AM852">
        <v>0</v>
      </c>
      <c r="AN852">
        <v>0</v>
      </c>
      <c r="AO852">
        <f t="shared" si="403"/>
        <v>0</v>
      </c>
      <c r="AP852">
        <f t="shared" si="412"/>
        <v>0</v>
      </c>
      <c r="AQ852">
        <f t="shared" ca="1" si="404"/>
        <v>0.99999999999999978</v>
      </c>
      <c r="AR852" t="str">
        <f t="shared" ca="1" si="405"/>
        <v>Supercritical</v>
      </c>
      <c r="AS852">
        <f t="shared" ca="1" si="406"/>
        <v>3.8148159832266538E-3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191</v>
      </c>
      <c r="I853">
        <v>0</v>
      </c>
      <c r="J853">
        <f t="shared" si="407"/>
        <v>0.99900000000002365</v>
      </c>
      <c r="K853">
        <f t="shared" si="408"/>
        <v>51</v>
      </c>
      <c r="L853">
        <f t="shared" ca="1" si="409"/>
        <v>0.05</v>
      </c>
      <c r="M853">
        <f t="shared" ca="1" si="382"/>
        <v>0.26</v>
      </c>
      <c r="N853">
        <f t="shared" ca="1" si="383"/>
        <v>4.9056603773584909E-2</v>
      </c>
      <c r="O853">
        <f t="shared" ca="1" si="384"/>
        <v>196.15384615384616</v>
      </c>
      <c r="P853">
        <f t="shared" ca="1" si="385"/>
        <v>632.26049999999998</v>
      </c>
      <c r="Q853">
        <f t="shared" ca="1" si="386"/>
        <v>2593.3375316486622</v>
      </c>
      <c r="R853">
        <f t="shared" ca="1" si="387"/>
        <v>482.07306851378365</v>
      </c>
      <c r="S853">
        <f t="shared" ca="1" si="388"/>
        <v>280.07692026646265</v>
      </c>
      <c r="T853">
        <f t="shared" ca="1" si="389"/>
        <v>1019.7665564573041</v>
      </c>
      <c r="U853">
        <f t="shared" ca="1" si="410"/>
        <v>-481.5904954452817</v>
      </c>
      <c r="V853">
        <f t="shared" ca="1" si="411"/>
        <v>0</v>
      </c>
      <c r="W853">
        <f t="shared" ca="1" si="390"/>
        <v>0.05</v>
      </c>
      <c r="X853">
        <f t="shared" ca="1" si="391"/>
        <v>0.26</v>
      </c>
      <c r="Y853">
        <f t="shared" ca="1" si="392"/>
        <v>4.9056603773584909E-2</v>
      </c>
      <c r="Z853">
        <f t="shared" ca="1" si="393"/>
        <v>196.15384615384616</v>
      </c>
      <c r="AA853">
        <f t="shared" ca="1" si="394"/>
        <v>632.26049999999998</v>
      </c>
      <c r="AB853">
        <f t="shared" ca="1" si="395"/>
        <v>2593.3375316486622</v>
      </c>
      <c r="AC853">
        <f t="shared" ca="1" si="396"/>
        <v>482.07306851378365</v>
      </c>
      <c r="AD853">
        <f t="shared" ca="1" si="397"/>
        <v>280.07692026646265</v>
      </c>
      <c r="AE853">
        <f t="shared" ca="1" si="398"/>
        <v>1019.7665564573041</v>
      </c>
      <c r="AF853">
        <f t="shared" ca="1" si="399"/>
        <v>482.16081698020798</v>
      </c>
      <c r="AG853">
        <f t="shared" ca="1" si="400"/>
        <v>0</v>
      </c>
      <c r="AH853">
        <f ca="1">IF(V32="Supercritical",L853,IF(V32="Subcritical",W853,IF(AND(V853=1,AG853=1),IF(T853&gt;=AE853,L853,W853),IF(V853=1,L853,IF(AG853=1,W853,MAX($D$16,POWER((ABS(K853)^2)/($I$5*MAX(F853,0.1)^2),1/3)))))))</f>
        <v>2.1403668656741068</v>
      </c>
      <c r="AI853">
        <f t="shared" ca="1" si="401"/>
        <v>634.35086686567411</v>
      </c>
      <c r="AJ853">
        <f t="shared" ca="1" si="402"/>
        <v>635.4210502985112</v>
      </c>
      <c r="AM853">
        <v>0</v>
      </c>
      <c r="AN853">
        <v>0</v>
      </c>
      <c r="AO853">
        <f t="shared" si="403"/>
        <v>0</v>
      </c>
      <c r="AP853">
        <f t="shared" si="412"/>
        <v>0</v>
      </c>
      <c r="AQ853">
        <f t="shared" ca="1" si="404"/>
        <v>0.99999999999999978</v>
      </c>
      <c r="AR853" t="str">
        <f t="shared" ca="1" si="405"/>
        <v>Supercritical</v>
      </c>
      <c r="AS853">
        <f t="shared" ca="1" si="406"/>
        <v>3.8148159832266538E-3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191</v>
      </c>
      <c r="I854">
        <v>2.7E-2</v>
      </c>
      <c r="J854">
        <f t="shared" si="407"/>
        <v>1</v>
      </c>
      <c r="K854">
        <f t="shared" si="408"/>
        <v>51</v>
      </c>
      <c r="L854">
        <f t="shared" ca="1" si="409"/>
        <v>0.05</v>
      </c>
      <c r="M854">
        <f t="shared" ref="M854:M917" ca="1" si="413">((F854)+(G854)*(L854))*(L854)</f>
        <v>0.26</v>
      </c>
      <c r="N854">
        <f t="shared" ref="N854:N917" ca="1" si="414">(((F854)+(G854)*(L854))*(L854))/MAX((F854)+2*(L854)*SQRT(1+(G854)^2),0.000001)</f>
        <v>4.9056603773584909E-2</v>
      </c>
      <c r="O854">
        <f t="shared" ref="O854:O917" ca="1" si="415">ABS(K854)/MAX(((F854)+(G854)*(L854))*(L854),0.000001)</f>
        <v>196.15384615384616</v>
      </c>
      <c r="P854">
        <f t="shared" ref="P854:P917" ca="1" si="416">E854+L854</f>
        <v>632.26</v>
      </c>
      <c r="Q854">
        <f t="shared" ref="Q854:Q917" ca="1" si="417">P854+((ABS(K854)/MAX(((F854)+(G854)*(L854))*(L854),0.000001))^2)/(2*$I$5)</f>
        <v>2593.3370316486621</v>
      </c>
      <c r="R854">
        <f t="shared" ref="R854:R917" ca="1" si="418">((ABS(K854)*$D$6)/(MAX(((F854)+(G854)*(L854))*(L854),0.000001)*MAX(((((F854)+(G854)*(L854))*(L854))/MAX((F854)+2*(L854)*SQRT(1+(G854)^2),0.000001))^(2/3),0.000001)))^2</f>
        <v>482.07306851378365</v>
      </c>
      <c r="S854">
        <f t="shared" ref="S854:S917" ca="1" si="419">ABS(ABS(K854)/MAX(((F854)+(G854)*(L854))*(L854),0.000001))/SQRT($I$5*MAX((((F854)+(G854)*(L854))*(L854))/MAX((F854)+2*(G854)*(L854),0.000001),0.000001))</f>
        <v>280.07692026646265</v>
      </c>
      <c r="T854">
        <f t="shared" ref="T854:T917" ca="1" si="420">((F854)*(L854)^2)/2+(G854)*(L854)^3/3+(ABS(K854)^2)/($I$5*MAX(((F854)+(G854)*(L854))*(L854),0.000001))</f>
        <v>1019.7665564573041</v>
      </c>
      <c r="U854">
        <f t="shared" ca="1" si="410"/>
        <v>-482.16081698020798</v>
      </c>
      <c r="V854">
        <f t="shared" ca="1" si="411"/>
        <v>0</v>
      </c>
      <c r="W854">
        <f t="shared" ref="W854:W917" ca="1" si="421">IF(OR($D$20=0,AG855=0),W855,IF(OR(W854=0,AD855&gt;1),MAX($D$16,POWER((ABS(K854)^2)/($I$5*MAX(F854,0.1)^2),1/3)),IF(AF854&gt;0,MAX($D$16,W854+((AF854)*$D$18*IF((AD854)&lt;1,1,-1))),IF(AF854&lt;0,IF(ABS((MAX($D$16,POWER((ABS(K854)^2)/($I$5*MAX(F854,0.1)^2),1/3)))-W854)&gt;$D$19,MAX($D$16,W854+($D$18*((MAX($D$16,POWER((ABS(K854)^2)/($I$5*MAX(F854,0.1)^2),1/3)))-W854))),MAX($D$16,POWER((ABS(K854)^2)/($I$5*MAX(F854,0.1)^2),1/3))),W854))))</f>
        <v>0.05</v>
      </c>
      <c r="X854">
        <f t="shared" ref="X854:X917" ca="1" si="422">((F854)+(G854)*(W854))*(W854)</f>
        <v>0.26</v>
      </c>
      <c r="Y854">
        <f t="shared" ref="Y854:Y917" ca="1" si="423">(((F854)+(G854)*(W854))*(W854))/MAX((F854)+2*(W854)*SQRT(1+(G854)^2),0.000001)</f>
        <v>4.9056603773584909E-2</v>
      </c>
      <c r="Z854">
        <f t="shared" ref="Z854:Z917" ca="1" si="424">ABS(K854)/MAX(((F854)+(G854)*(W854))*(W854),0.000001)</f>
        <v>196.15384615384616</v>
      </c>
      <c r="AA854">
        <f t="shared" ref="AA854:AA917" ca="1" si="425">E854+W854</f>
        <v>632.26</v>
      </c>
      <c r="AB854">
        <f t="shared" ref="AB854:AB917" ca="1" si="426">AA854+((ABS(K854)/MAX(((F854)+(G854)*(W854))*(W854),0.000001))^2)/(2*$I$5)</f>
        <v>2593.3370316486621</v>
      </c>
      <c r="AC854">
        <f t="shared" ref="AC854:AC917" ca="1" si="427">((ABS(K854)*$D$6)/(MAX(((F854)+(G854)*(W854))*(W854),0.000001)*MAX(((((F854)+(G854)*(W854))*(W854))/MAX((F854)+2*(W854)*SQRT(1+(G854)^2),0.000001))^(2/3),0.000001)))^2</f>
        <v>482.07306851378365</v>
      </c>
      <c r="AD854">
        <f t="shared" ref="AD854:AD917" ca="1" si="428">ABS(ABS(K854)/MAX(((F854)+(G854)*(W854))*(W854),0.000001))/SQRT($I$5*MAX((((F854)+(G854)*(W854))*(W854))/MAX((F854)+2*(G854)*(W854),0.000001),0.000001))</f>
        <v>280.07692026646265</v>
      </c>
      <c r="AE854">
        <f t="shared" ref="AE854:AE917" ca="1" si="429">((F854)*(W854)^2)/2+(G854)*(W854)^3/3+(ABS(K854)^2)/($I$5*MAX(((F854)+(G854)*(W854))*(W854),0.000001))</f>
        <v>1019.7665564573041</v>
      </c>
      <c r="AF854">
        <f t="shared" ref="AF854:AF917" ca="1" si="430">AB855+(((AC854+AC855)/2)*J855)+(IF(Z854&gt;Z855,$D$8*((Z854^2-Z855^2)/(2*$I$5)),$D$9*((Z855^2-Z854^2)/(2*$I$5)))+($D$10*(ABS(I855)/90)*(MAX(Z854^2,Z855^2)/(2*$I$5))))-AB854</f>
        <v>482.16081698020798</v>
      </c>
      <c r="AG854">
        <f t="shared" ref="AG854:AG917" ca="1" si="431">IF(ROUND(AD854,3)=1,1,IF(AND(ABS(AF854)&lt;$D$19,AD854&lt;1),1,0))</f>
        <v>0</v>
      </c>
      <c r="AH854">
        <f ca="1">IF(V32="Supercritical",L854,IF(V32="Subcritical",W854,IF(AND(V854=1,AG854=1),IF(T854&gt;=AE854,L854,W854),IF(V854=1,L854,IF(AG854=1,W854,MAX($D$16,POWER((ABS(K854)^2)/($I$5*MAX(F854,0.1)^2),1/3)))))))</f>
        <v>2.1403668656741068</v>
      </c>
      <c r="AI854">
        <f t="shared" ref="AI854:AI917" ca="1" si="432">E854+AH854</f>
        <v>634.35036686567412</v>
      </c>
      <c r="AJ854">
        <f t="shared" ref="AJ854:AJ917" ca="1" si="433">AI854+((ABS(K854)/MAX(((F854)+(G854)*(AH854))*(AH854),0.000001))^2)/(2*$I$5)</f>
        <v>635.42055029851122</v>
      </c>
      <c r="AM854">
        <v>0</v>
      </c>
      <c r="AN854">
        <v>0</v>
      </c>
      <c r="AO854">
        <f t="shared" ref="AO854:AO917" si="434">AM854+AN854</f>
        <v>0</v>
      </c>
      <c r="AP854">
        <f t="shared" si="412"/>
        <v>0</v>
      </c>
      <c r="AQ854">
        <f t="shared" ref="AQ854:AQ917" ca="1" si="435">ABS(ABS(K854)/MAX(((F854)+(G854)*(AH854))*(AH854),0.000001))/SQRT($I$5*MAX((((F854)+(G854)*(AH854))*(AH854))/MAX((F854)+2*(G854)*(AH854),0.000001),0.000001))</f>
        <v>0.99999999999999978</v>
      </c>
      <c r="AR854" t="str">
        <f t="shared" ref="AR854:AR917" ca="1" si="436">IF(AQ854&lt;1,"Subcritical","Supercritical")</f>
        <v>Supercritical</v>
      </c>
      <c r="AS854">
        <f t="shared" ref="AS854:AS917" ca="1" si="437">((ABS(K854)*$D$6)/(MAX(((F854)+(G854)*(AH854))*(AH854),0.000001)*MAX(((((F854)+(G854)*(AH854))*(AH854))/MAX((F854)+2*(AH854)*SQRT(1+(G854)^2),0.000001))^(2/3),0.000001)))^2</f>
        <v>3.8148159832266538E-3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191</v>
      </c>
      <c r="I855">
        <v>2.7E-2</v>
      </c>
      <c r="J855">
        <f t="shared" ref="J855:J918" si="438">B855-B854</f>
        <v>1</v>
      </c>
      <c r="K855">
        <f t="shared" ref="K855:K918" si="439">MAX(0,K854-AO854)</f>
        <v>51</v>
      </c>
      <c r="L855">
        <f t="shared" ref="L855:L918" ca="1" si="440">IF(OR($D$20=0,V854=0),L854,IF(OR(L855=0,S854&lt;1,S855&lt;1),MAX($D$16,POWER((ABS(K855)^2)/($I$5*MAX(F855,0.1)^2),1/3)),IF(U855&gt;0,MAX($D$16,L855+((U855)*$D$18*IF((S855)&lt;1,1,-1))),IF(U855&lt;0,IF(ABS((MAX($D$16,POWER((ABS(K855)^2)/($I$5*MAX(F855,0.1)^2),1/3)))-L855)&gt;$D$19,MAX($D$16,L855+($D$18*((MAX($D$16,POWER((ABS(K855)^2)/($I$5*MAX(F855,0.1)^2),1/3)))-L855))),MAX($D$16,POWER((ABS(K855)^2)/($I$5*MAX(F855,0.1)^2),1/3))),L855))))</f>
        <v>0.05</v>
      </c>
      <c r="M855">
        <f t="shared" ca="1" si="413"/>
        <v>0.26</v>
      </c>
      <c r="N855">
        <f t="shared" ca="1" si="414"/>
        <v>4.9056603773584909E-2</v>
      </c>
      <c r="O855">
        <f t="shared" ca="1" si="415"/>
        <v>196.15384615384616</v>
      </c>
      <c r="P855">
        <f t="shared" ca="1" si="416"/>
        <v>632.2595</v>
      </c>
      <c r="Q855">
        <f t="shared" ca="1" si="417"/>
        <v>2593.336531648662</v>
      </c>
      <c r="R855">
        <f t="shared" ca="1" si="418"/>
        <v>482.07306851378365</v>
      </c>
      <c r="S855">
        <f t="shared" ca="1" si="419"/>
        <v>280.07692026646265</v>
      </c>
      <c r="T855">
        <f t="shared" ca="1" si="420"/>
        <v>1019.7665564573041</v>
      </c>
      <c r="U855">
        <f t="shared" ref="U855:U918" ca="1" si="441">Q854-(((R854+R855)/2)*J855)-(IF(O854&gt;O855,$D$8*((O854^2-O855^2)/(2*$I$5)),$D$9*((O855^2-O854^2)/(2*$I$5)))+($D$10*(ABS(I855)/90)*(MAX(O854^2,O855^2)/(2*$I$5))))-Q855</f>
        <v>-482.16081698020798</v>
      </c>
      <c r="V855">
        <f t="shared" ref="V855:V918" ca="1" si="442">IF(ROUND(S855,3)=1,1,IF(AND(ABS(U855)&lt;$D$19,S855&gt;1),1,0))</f>
        <v>0</v>
      </c>
      <c r="W855">
        <f t="shared" ca="1" si="421"/>
        <v>0.05</v>
      </c>
      <c r="X855">
        <f t="shared" ca="1" si="422"/>
        <v>0.26</v>
      </c>
      <c r="Y855">
        <f t="shared" ca="1" si="423"/>
        <v>4.9056603773584909E-2</v>
      </c>
      <c r="Z855">
        <f t="shared" ca="1" si="424"/>
        <v>196.15384615384616</v>
      </c>
      <c r="AA855">
        <f t="shared" ca="1" si="425"/>
        <v>632.2595</v>
      </c>
      <c r="AB855">
        <f t="shared" ca="1" si="426"/>
        <v>2593.336531648662</v>
      </c>
      <c r="AC855">
        <f t="shared" ca="1" si="427"/>
        <v>482.07306851378365</v>
      </c>
      <c r="AD855">
        <f t="shared" ca="1" si="428"/>
        <v>280.07692026646265</v>
      </c>
      <c r="AE855">
        <f t="shared" ca="1" si="429"/>
        <v>1019.7665564573041</v>
      </c>
      <c r="AF855">
        <f t="shared" ca="1" si="430"/>
        <v>482.1477431333301</v>
      </c>
      <c r="AG855">
        <f t="shared" ca="1" si="431"/>
        <v>0</v>
      </c>
      <c r="AH855">
        <f ca="1">IF(V32="Supercritical",L855,IF(V32="Subcritical",W855,IF(AND(V855=1,AG855=1),IF(T855&gt;=AE855,L855,W855),IF(V855=1,L855,IF(AG855=1,W855,MAX($D$16,POWER((ABS(K855)^2)/($I$5*MAX(F855,0.1)^2),1/3)))))))</f>
        <v>2.1403668656741068</v>
      </c>
      <c r="AI855">
        <f t="shared" ca="1" si="432"/>
        <v>634.34986686567413</v>
      </c>
      <c r="AJ855">
        <f t="shared" ca="1" si="433"/>
        <v>635.42005029851123</v>
      </c>
      <c r="AM855">
        <v>0</v>
      </c>
      <c r="AN855">
        <v>0</v>
      </c>
      <c r="AO855">
        <f t="shared" si="434"/>
        <v>0</v>
      </c>
      <c r="AP855">
        <f t="shared" ref="AP855:AP918" si="443">AP854+AO855</f>
        <v>0</v>
      </c>
      <c r="AQ855">
        <f t="shared" ca="1" si="435"/>
        <v>0.99999999999999978</v>
      </c>
      <c r="AR855" t="str">
        <f t="shared" ca="1" si="436"/>
        <v>Supercritical</v>
      </c>
      <c r="AS855">
        <f t="shared" ca="1" si="437"/>
        <v>3.8148159832266538E-3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191</v>
      </c>
      <c r="I856">
        <v>2.3E-2</v>
      </c>
      <c r="J856">
        <f t="shared" si="438"/>
        <v>1</v>
      </c>
      <c r="K856">
        <f t="shared" si="439"/>
        <v>51</v>
      </c>
      <c r="L856">
        <f t="shared" ca="1" si="440"/>
        <v>0.05</v>
      </c>
      <c r="M856">
        <f t="shared" ca="1" si="413"/>
        <v>0.26</v>
      </c>
      <c r="N856">
        <f t="shared" ca="1" si="414"/>
        <v>4.9056603773584909E-2</v>
      </c>
      <c r="O856">
        <f t="shared" ca="1" si="415"/>
        <v>196.15384615384616</v>
      </c>
      <c r="P856">
        <f t="shared" ca="1" si="416"/>
        <v>632.2589999999999</v>
      </c>
      <c r="Q856">
        <f t="shared" ca="1" si="417"/>
        <v>2593.3360316486619</v>
      </c>
      <c r="R856">
        <f t="shared" ca="1" si="418"/>
        <v>482.07306851378365</v>
      </c>
      <c r="S856">
        <f t="shared" ca="1" si="419"/>
        <v>280.07692026646265</v>
      </c>
      <c r="T856">
        <f t="shared" ca="1" si="420"/>
        <v>1019.7665564573041</v>
      </c>
      <c r="U856">
        <f t="shared" ca="1" si="441"/>
        <v>-482.1477431333301</v>
      </c>
      <c r="V856">
        <f t="shared" ca="1" si="442"/>
        <v>0</v>
      </c>
      <c r="W856">
        <f t="shared" ca="1" si="421"/>
        <v>0.05</v>
      </c>
      <c r="X856">
        <f t="shared" ca="1" si="422"/>
        <v>0.26</v>
      </c>
      <c r="Y856">
        <f t="shared" ca="1" si="423"/>
        <v>4.9056603773584909E-2</v>
      </c>
      <c r="Z856">
        <f t="shared" ca="1" si="424"/>
        <v>196.15384615384616</v>
      </c>
      <c r="AA856">
        <f t="shared" ca="1" si="425"/>
        <v>632.2589999999999</v>
      </c>
      <c r="AB856">
        <f t="shared" ca="1" si="426"/>
        <v>2593.3360316486619</v>
      </c>
      <c r="AC856">
        <f t="shared" ca="1" si="427"/>
        <v>482.07306851378365</v>
      </c>
      <c r="AD856">
        <f t="shared" ca="1" si="428"/>
        <v>280.07692026646265</v>
      </c>
      <c r="AE856">
        <f t="shared" ca="1" si="429"/>
        <v>1019.7665564573041</v>
      </c>
      <c r="AF856">
        <f t="shared" ca="1" si="430"/>
        <v>482.62981620183291</v>
      </c>
      <c r="AG856">
        <f t="shared" ca="1" si="431"/>
        <v>0</v>
      </c>
      <c r="AH856">
        <f ca="1">IF(V32="Supercritical",L856,IF(V32="Subcritical",W856,IF(AND(V856=1,AG856=1),IF(T856&gt;=AE856,L856,W856),IF(V856=1,L856,IF(AG856=1,W856,MAX($D$16,POWER((ABS(K856)^2)/($I$5*MAX(F856,0.1)^2),1/3)))))))</f>
        <v>2.1403668656741068</v>
      </c>
      <c r="AI856">
        <f t="shared" ca="1" si="432"/>
        <v>634.34936686567403</v>
      </c>
      <c r="AJ856">
        <f t="shared" ca="1" si="433"/>
        <v>635.41955029851113</v>
      </c>
      <c r="AM856">
        <v>0</v>
      </c>
      <c r="AN856">
        <v>0</v>
      </c>
      <c r="AO856">
        <f t="shared" si="434"/>
        <v>0</v>
      </c>
      <c r="AP856">
        <f t="shared" si="443"/>
        <v>0</v>
      </c>
      <c r="AQ856">
        <f t="shared" ca="1" si="435"/>
        <v>0.99999999999999978</v>
      </c>
      <c r="AR856" t="str">
        <f t="shared" ca="1" si="436"/>
        <v>Supercritical</v>
      </c>
      <c r="AS856">
        <f t="shared" ca="1" si="437"/>
        <v>3.8148159832266538E-3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191</v>
      </c>
      <c r="I857">
        <v>2.3E-2</v>
      </c>
      <c r="J857">
        <f t="shared" si="438"/>
        <v>1.0009999999999764</v>
      </c>
      <c r="K857">
        <f t="shared" si="439"/>
        <v>51</v>
      </c>
      <c r="L857">
        <f t="shared" ca="1" si="440"/>
        <v>0.05</v>
      </c>
      <c r="M857">
        <f t="shared" ca="1" si="413"/>
        <v>0.26</v>
      </c>
      <c r="N857">
        <f t="shared" ca="1" si="414"/>
        <v>4.9056603773584909E-2</v>
      </c>
      <c r="O857">
        <f t="shared" ca="1" si="415"/>
        <v>196.15384615384616</v>
      </c>
      <c r="P857">
        <f t="shared" ca="1" si="416"/>
        <v>632.25849999999991</v>
      </c>
      <c r="Q857">
        <f t="shared" ca="1" si="417"/>
        <v>2593.3355316486623</v>
      </c>
      <c r="R857">
        <f t="shared" ca="1" si="418"/>
        <v>482.07306851378365</v>
      </c>
      <c r="S857">
        <f t="shared" ca="1" si="419"/>
        <v>280.07692026646265</v>
      </c>
      <c r="T857">
        <f t="shared" ca="1" si="420"/>
        <v>1019.7665564573041</v>
      </c>
      <c r="U857">
        <f t="shared" ca="1" si="441"/>
        <v>-482.62981620183291</v>
      </c>
      <c r="V857">
        <f t="shared" ca="1" si="442"/>
        <v>0</v>
      </c>
      <c r="W857">
        <f t="shared" ca="1" si="421"/>
        <v>0.05</v>
      </c>
      <c r="X857">
        <f t="shared" ca="1" si="422"/>
        <v>0.26</v>
      </c>
      <c r="Y857">
        <f t="shared" ca="1" si="423"/>
        <v>4.9056603773584909E-2</v>
      </c>
      <c r="Z857">
        <f t="shared" ca="1" si="424"/>
        <v>196.15384615384616</v>
      </c>
      <c r="AA857">
        <f t="shared" ca="1" si="425"/>
        <v>632.25849999999991</v>
      </c>
      <c r="AB857">
        <f t="shared" ca="1" si="426"/>
        <v>2593.3355316486623</v>
      </c>
      <c r="AC857">
        <f t="shared" ca="1" si="427"/>
        <v>482.07306851378365</v>
      </c>
      <c r="AD857">
        <f t="shared" ca="1" si="428"/>
        <v>280.07692026646265</v>
      </c>
      <c r="AE857">
        <f t="shared" ca="1" si="429"/>
        <v>1019.7665564573041</v>
      </c>
      <c r="AF857">
        <f t="shared" ca="1" si="430"/>
        <v>481.59049544528125</v>
      </c>
      <c r="AG857">
        <f t="shared" ca="1" si="431"/>
        <v>0</v>
      </c>
      <c r="AH857">
        <f ca="1">IF(V32="Supercritical",L857,IF(V32="Subcritical",W857,IF(AND(V857=1,AG857=1),IF(T857&gt;=AE857,L857,W857),IF(V857=1,L857,IF(AG857=1,W857,MAX($D$16,POWER((ABS(K857)^2)/($I$5*MAX(F857,0.1)^2),1/3)))))))</f>
        <v>2.1403668656741068</v>
      </c>
      <c r="AI857">
        <f t="shared" ca="1" si="432"/>
        <v>634.34886686567404</v>
      </c>
      <c r="AJ857">
        <f t="shared" ca="1" si="433"/>
        <v>635.41905029851114</v>
      </c>
      <c r="AM857">
        <v>0</v>
      </c>
      <c r="AN857">
        <v>0</v>
      </c>
      <c r="AO857">
        <f t="shared" si="434"/>
        <v>0</v>
      </c>
      <c r="AP857">
        <f t="shared" si="443"/>
        <v>0</v>
      </c>
      <c r="AQ857">
        <f t="shared" ca="1" si="435"/>
        <v>0.99999999999999978</v>
      </c>
      <c r="AR857" t="str">
        <f t="shared" ca="1" si="436"/>
        <v>Supercritical</v>
      </c>
      <c r="AS857">
        <f t="shared" ca="1" si="437"/>
        <v>3.8148159832266538E-3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191</v>
      </c>
      <c r="I858">
        <v>0</v>
      </c>
      <c r="J858">
        <f t="shared" si="438"/>
        <v>0.99900000000002365</v>
      </c>
      <c r="K858">
        <f t="shared" si="439"/>
        <v>51</v>
      </c>
      <c r="L858">
        <f t="shared" ca="1" si="440"/>
        <v>0.05</v>
      </c>
      <c r="M858">
        <f t="shared" ca="1" si="413"/>
        <v>0.26</v>
      </c>
      <c r="N858">
        <f t="shared" ca="1" si="414"/>
        <v>4.9056603773584909E-2</v>
      </c>
      <c r="O858">
        <f t="shared" ca="1" si="415"/>
        <v>196.15384615384616</v>
      </c>
      <c r="P858">
        <f t="shared" ca="1" si="416"/>
        <v>632.25799999999992</v>
      </c>
      <c r="Q858">
        <f t="shared" ca="1" si="417"/>
        <v>2593.3350316486622</v>
      </c>
      <c r="R858">
        <f t="shared" ca="1" si="418"/>
        <v>482.07306851378365</v>
      </c>
      <c r="S858">
        <f t="shared" ca="1" si="419"/>
        <v>280.07692026646265</v>
      </c>
      <c r="T858">
        <f t="shared" ca="1" si="420"/>
        <v>1019.7665564573041</v>
      </c>
      <c r="U858">
        <f t="shared" ca="1" si="441"/>
        <v>-481.59049544528125</v>
      </c>
      <c r="V858">
        <f t="shared" ca="1" si="442"/>
        <v>0</v>
      </c>
      <c r="W858">
        <f t="shared" ca="1" si="421"/>
        <v>0.05</v>
      </c>
      <c r="X858">
        <f t="shared" ca="1" si="422"/>
        <v>0.26</v>
      </c>
      <c r="Y858">
        <f t="shared" ca="1" si="423"/>
        <v>4.9056603773584909E-2</v>
      </c>
      <c r="Z858">
        <f t="shared" ca="1" si="424"/>
        <v>196.15384615384616</v>
      </c>
      <c r="AA858">
        <f t="shared" ca="1" si="425"/>
        <v>632.25799999999992</v>
      </c>
      <c r="AB858">
        <f t="shared" ca="1" si="426"/>
        <v>2593.3350316486622</v>
      </c>
      <c r="AC858">
        <f t="shared" ca="1" si="427"/>
        <v>482.07306851378365</v>
      </c>
      <c r="AD858">
        <f t="shared" ca="1" si="428"/>
        <v>280.07692026646265</v>
      </c>
      <c r="AE858">
        <f t="shared" ca="1" si="429"/>
        <v>1019.7665564573041</v>
      </c>
      <c r="AF858">
        <f t="shared" ca="1" si="430"/>
        <v>482.16081698020798</v>
      </c>
      <c r="AG858">
        <f t="shared" ca="1" si="431"/>
        <v>0</v>
      </c>
      <c r="AH858">
        <f ca="1">IF(V32="Supercritical",L858,IF(V32="Subcritical",W858,IF(AND(V858=1,AG858=1),IF(T858&gt;=AE858,L858,W858),IF(V858=1,L858,IF(AG858=1,W858,MAX($D$16,POWER((ABS(K858)^2)/($I$5*MAX(F858,0.1)^2),1/3)))))))</f>
        <v>2.1403668656741068</v>
      </c>
      <c r="AI858">
        <f t="shared" ca="1" si="432"/>
        <v>634.34836686567405</v>
      </c>
      <c r="AJ858">
        <f t="shared" ca="1" si="433"/>
        <v>635.41855029851115</v>
      </c>
      <c r="AM858">
        <v>0</v>
      </c>
      <c r="AN858">
        <v>0</v>
      </c>
      <c r="AO858">
        <f t="shared" si="434"/>
        <v>0</v>
      </c>
      <c r="AP858">
        <f t="shared" si="443"/>
        <v>0</v>
      </c>
      <c r="AQ858">
        <f t="shared" ca="1" si="435"/>
        <v>0.99999999999999978</v>
      </c>
      <c r="AR858" t="str">
        <f t="shared" ca="1" si="436"/>
        <v>Supercritical</v>
      </c>
      <c r="AS858">
        <f t="shared" ca="1" si="437"/>
        <v>3.8148159832266538E-3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191</v>
      </c>
      <c r="I859">
        <v>2.7E-2</v>
      </c>
      <c r="J859">
        <f t="shared" si="438"/>
        <v>1</v>
      </c>
      <c r="K859">
        <f t="shared" si="439"/>
        <v>51</v>
      </c>
      <c r="L859">
        <f t="shared" ca="1" si="440"/>
        <v>0.05</v>
      </c>
      <c r="M859">
        <f t="shared" ca="1" si="413"/>
        <v>0.26</v>
      </c>
      <c r="N859">
        <f t="shared" ca="1" si="414"/>
        <v>4.9056603773584909E-2</v>
      </c>
      <c r="O859">
        <f t="shared" ca="1" si="415"/>
        <v>196.15384615384616</v>
      </c>
      <c r="P859">
        <f t="shared" ca="1" si="416"/>
        <v>632.25749999999994</v>
      </c>
      <c r="Q859">
        <f t="shared" ca="1" si="417"/>
        <v>2593.3345316486621</v>
      </c>
      <c r="R859">
        <f t="shared" ca="1" si="418"/>
        <v>482.07306851378365</v>
      </c>
      <c r="S859">
        <f t="shared" ca="1" si="419"/>
        <v>280.07692026646265</v>
      </c>
      <c r="T859">
        <f t="shared" ca="1" si="420"/>
        <v>1019.7665564573041</v>
      </c>
      <c r="U859">
        <f t="shared" ca="1" si="441"/>
        <v>-482.16081698020798</v>
      </c>
      <c r="V859">
        <f t="shared" ca="1" si="442"/>
        <v>0</v>
      </c>
      <c r="W859">
        <f t="shared" ca="1" si="421"/>
        <v>0.05</v>
      </c>
      <c r="X859">
        <f t="shared" ca="1" si="422"/>
        <v>0.26</v>
      </c>
      <c r="Y859">
        <f t="shared" ca="1" si="423"/>
        <v>4.9056603773584909E-2</v>
      </c>
      <c r="Z859">
        <f t="shared" ca="1" si="424"/>
        <v>196.15384615384616</v>
      </c>
      <c r="AA859">
        <f t="shared" ca="1" si="425"/>
        <v>632.25749999999994</v>
      </c>
      <c r="AB859">
        <f t="shared" ca="1" si="426"/>
        <v>2593.3345316486621</v>
      </c>
      <c r="AC859">
        <f t="shared" ca="1" si="427"/>
        <v>482.07306851378365</v>
      </c>
      <c r="AD859">
        <f t="shared" ca="1" si="428"/>
        <v>280.07692026646265</v>
      </c>
      <c r="AE859">
        <f t="shared" ca="1" si="429"/>
        <v>1019.7665564573041</v>
      </c>
      <c r="AF859">
        <f t="shared" ca="1" si="430"/>
        <v>482.32750852789786</v>
      </c>
      <c r="AG859">
        <f t="shared" ca="1" si="431"/>
        <v>0</v>
      </c>
      <c r="AH859">
        <f ca="1">IF(V32="Supercritical",L859,IF(V32="Subcritical",W859,IF(AND(V859=1,AG859=1),IF(T859&gt;=AE859,L859,W859),IF(V859=1,L859,IF(AG859=1,W859,MAX($D$16,POWER((ABS(K859)^2)/($I$5*MAX(F859,0.1)^2),1/3)))))))</f>
        <v>2.1403668656741068</v>
      </c>
      <c r="AI859">
        <f t="shared" ca="1" si="432"/>
        <v>634.34786686567406</v>
      </c>
      <c r="AJ859">
        <f t="shared" ca="1" si="433"/>
        <v>635.41805029851116</v>
      </c>
      <c r="AM859">
        <v>0</v>
      </c>
      <c r="AN859">
        <v>0</v>
      </c>
      <c r="AO859">
        <f t="shared" si="434"/>
        <v>0</v>
      </c>
      <c r="AP859">
        <f t="shared" si="443"/>
        <v>0</v>
      </c>
      <c r="AQ859">
        <f t="shared" ca="1" si="435"/>
        <v>0.99999999999999978</v>
      </c>
      <c r="AR859" t="str">
        <f t="shared" ca="1" si="436"/>
        <v>Supercritical</v>
      </c>
      <c r="AS859">
        <f t="shared" ca="1" si="437"/>
        <v>3.8148159832266538E-3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191</v>
      </c>
      <c r="I860">
        <v>7.8E-2</v>
      </c>
      <c r="J860">
        <f t="shared" si="438"/>
        <v>1</v>
      </c>
      <c r="K860">
        <f t="shared" si="439"/>
        <v>51</v>
      </c>
      <c r="L860">
        <f t="shared" ca="1" si="440"/>
        <v>0.05</v>
      </c>
      <c r="M860">
        <f t="shared" ca="1" si="413"/>
        <v>0.26</v>
      </c>
      <c r="N860">
        <f t="shared" ca="1" si="414"/>
        <v>4.9056603773584909E-2</v>
      </c>
      <c r="O860">
        <f t="shared" ca="1" si="415"/>
        <v>196.15384615384616</v>
      </c>
      <c r="P860">
        <f t="shared" ca="1" si="416"/>
        <v>632.25699999999995</v>
      </c>
      <c r="Q860">
        <f t="shared" ca="1" si="417"/>
        <v>2593.3340316486619</v>
      </c>
      <c r="R860">
        <f t="shared" ca="1" si="418"/>
        <v>482.07306851378365</v>
      </c>
      <c r="S860">
        <f t="shared" ca="1" si="419"/>
        <v>280.07692026646265</v>
      </c>
      <c r="T860">
        <f t="shared" ca="1" si="420"/>
        <v>1019.7665564573041</v>
      </c>
      <c r="U860">
        <f t="shared" ca="1" si="441"/>
        <v>-482.32750852789786</v>
      </c>
      <c r="V860">
        <f t="shared" ca="1" si="442"/>
        <v>0</v>
      </c>
      <c r="W860">
        <f t="shared" ca="1" si="421"/>
        <v>0.05</v>
      </c>
      <c r="X860">
        <f t="shared" ca="1" si="422"/>
        <v>0.26</v>
      </c>
      <c r="Y860">
        <f t="shared" ca="1" si="423"/>
        <v>4.9056603773584909E-2</v>
      </c>
      <c r="Z860">
        <f t="shared" ca="1" si="424"/>
        <v>196.15384615384616</v>
      </c>
      <c r="AA860">
        <f t="shared" ca="1" si="425"/>
        <v>632.25699999999995</v>
      </c>
      <c r="AB860">
        <f t="shared" ca="1" si="426"/>
        <v>2593.3340316486619</v>
      </c>
      <c r="AC860">
        <f t="shared" ca="1" si="427"/>
        <v>482.07306851378365</v>
      </c>
      <c r="AD860">
        <f t="shared" ca="1" si="428"/>
        <v>280.07692026646265</v>
      </c>
      <c r="AE860">
        <f t="shared" ca="1" si="429"/>
        <v>1019.7665564573041</v>
      </c>
      <c r="AF860">
        <f t="shared" ca="1" si="430"/>
        <v>482.32750852789786</v>
      </c>
      <c r="AG860">
        <f t="shared" ca="1" si="431"/>
        <v>0</v>
      </c>
      <c r="AH860">
        <f ca="1">IF(V32="Supercritical",L860,IF(V32="Subcritical",W860,IF(AND(V860=1,AG860=1),IF(T860&gt;=AE860,L860,W860),IF(V860=1,L860,IF(AG860=1,W860,MAX($D$16,POWER((ABS(K860)^2)/($I$5*MAX(F860,0.1)^2),1/3)))))))</f>
        <v>2.1403668656741068</v>
      </c>
      <c r="AI860">
        <f t="shared" ca="1" si="432"/>
        <v>634.34736686567408</v>
      </c>
      <c r="AJ860">
        <f t="shared" ca="1" si="433"/>
        <v>635.41755029851117</v>
      </c>
      <c r="AM860">
        <v>0</v>
      </c>
      <c r="AN860">
        <v>0</v>
      </c>
      <c r="AO860">
        <f t="shared" si="434"/>
        <v>0</v>
      </c>
      <c r="AP860">
        <f t="shared" si="443"/>
        <v>0</v>
      </c>
      <c r="AQ860">
        <f t="shared" ca="1" si="435"/>
        <v>0.99999999999999978</v>
      </c>
      <c r="AR860" t="str">
        <f t="shared" ca="1" si="436"/>
        <v>Supercritical</v>
      </c>
      <c r="AS860">
        <f t="shared" ca="1" si="437"/>
        <v>3.8148159832266538E-3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191</v>
      </c>
      <c r="I861">
        <v>7.8E-2</v>
      </c>
      <c r="J861">
        <f t="shared" si="438"/>
        <v>1</v>
      </c>
      <c r="K861">
        <f t="shared" si="439"/>
        <v>51</v>
      </c>
      <c r="L861">
        <f t="shared" ca="1" si="440"/>
        <v>0.05</v>
      </c>
      <c r="M861">
        <f t="shared" ca="1" si="413"/>
        <v>0.26</v>
      </c>
      <c r="N861">
        <f t="shared" ca="1" si="414"/>
        <v>4.9056603773584909E-2</v>
      </c>
      <c r="O861">
        <f t="shared" ca="1" si="415"/>
        <v>196.15384615384616</v>
      </c>
      <c r="P861">
        <f t="shared" ca="1" si="416"/>
        <v>632.25649999999996</v>
      </c>
      <c r="Q861">
        <f t="shared" ca="1" si="417"/>
        <v>2593.3335316486618</v>
      </c>
      <c r="R861">
        <f t="shared" ca="1" si="418"/>
        <v>482.07306851378365</v>
      </c>
      <c r="S861">
        <f t="shared" ca="1" si="419"/>
        <v>280.07692026646265</v>
      </c>
      <c r="T861">
        <f t="shared" ca="1" si="420"/>
        <v>1019.7665564573041</v>
      </c>
      <c r="U861">
        <f t="shared" ca="1" si="441"/>
        <v>-482.32750852789786</v>
      </c>
      <c r="V861">
        <f t="shared" ca="1" si="442"/>
        <v>0</v>
      </c>
      <c r="W861">
        <f t="shared" ca="1" si="421"/>
        <v>0.05</v>
      </c>
      <c r="X861">
        <f t="shared" ca="1" si="422"/>
        <v>0.26</v>
      </c>
      <c r="Y861">
        <f t="shared" ca="1" si="423"/>
        <v>4.9056603773584909E-2</v>
      </c>
      <c r="Z861">
        <f t="shared" ca="1" si="424"/>
        <v>196.15384615384616</v>
      </c>
      <c r="AA861">
        <f t="shared" ca="1" si="425"/>
        <v>632.25649999999996</v>
      </c>
      <c r="AB861">
        <f t="shared" ca="1" si="426"/>
        <v>2593.3335316486618</v>
      </c>
      <c r="AC861">
        <f t="shared" ca="1" si="427"/>
        <v>482.07306851378365</v>
      </c>
      <c r="AD861">
        <f t="shared" ca="1" si="428"/>
        <v>280.07692026646265</v>
      </c>
      <c r="AE861">
        <f t="shared" ca="1" si="429"/>
        <v>1019.7665564573041</v>
      </c>
      <c r="AF861">
        <f t="shared" ca="1" si="430"/>
        <v>482.6428900487108</v>
      </c>
      <c r="AG861">
        <f t="shared" ca="1" si="431"/>
        <v>0</v>
      </c>
      <c r="AH861">
        <f ca="1">IF(V32="Supercritical",L861,IF(V32="Subcritical",W861,IF(AND(V861=1,AG861=1),IF(T861&gt;=AE861,L861,W861),IF(V861=1,L861,IF(AG861=1,W861,MAX($D$16,POWER((ABS(K861)^2)/($I$5*MAX(F861,0.1)^2),1/3)))))))</f>
        <v>2.1403668656741068</v>
      </c>
      <c r="AI861">
        <f t="shared" ca="1" si="432"/>
        <v>634.34686686567409</v>
      </c>
      <c r="AJ861">
        <f t="shared" ca="1" si="433"/>
        <v>635.41705029851119</v>
      </c>
      <c r="AM861">
        <v>0</v>
      </c>
      <c r="AN861">
        <v>0</v>
      </c>
      <c r="AO861">
        <f t="shared" si="434"/>
        <v>0</v>
      </c>
      <c r="AP861">
        <f t="shared" si="443"/>
        <v>0</v>
      </c>
      <c r="AQ861">
        <f t="shared" ca="1" si="435"/>
        <v>0.99999999999999978</v>
      </c>
      <c r="AR861" t="str">
        <f t="shared" ca="1" si="436"/>
        <v>Supercritical</v>
      </c>
      <c r="AS861">
        <f t="shared" ca="1" si="437"/>
        <v>3.8148159832266538E-3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191</v>
      </c>
      <c r="I862">
        <v>2.7E-2</v>
      </c>
      <c r="J862">
        <f t="shared" si="438"/>
        <v>1.0009999999999764</v>
      </c>
      <c r="K862">
        <f t="shared" si="439"/>
        <v>51</v>
      </c>
      <c r="L862">
        <f t="shared" ca="1" si="440"/>
        <v>0.05</v>
      </c>
      <c r="M862">
        <f t="shared" ca="1" si="413"/>
        <v>0.26</v>
      </c>
      <c r="N862">
        <f t="shared" ca="1" si="414"/>
        <v>4.9056603773584909E-2</v>
      </c>
      <c r="O862">
        <f t="shared" ca="1" si="415"/>
        <v>196.15384615384616</v>
      </c>
      <c r="P862">
        <f t="shared" ca="1" si="416"/>
        <v>632.25599999999997</v>
      </c>
      <c r="Q862">
        <f t="shared" ca="1" si="417"/>
        <v>2593.3330316486622</v>
      </c>
      <c r="R862">
        <f t="shared" ca="1" si="418"/>
        <v>482.07306851378365</v>
      </c>
      <c r="S862">
        <f t="shared" ca="1" si="419"/>
        <v>280.07692026646265</v>
      </c>
      <c r="T862">
        <f t="shared" ca="1" si="420"/>
        <v>1019.7665564573041</v>
      </c>
      <c r="U862">
        <f t="shared" ca="1" si="441"/>
        <v>-482.6428900487108</v>
      </c>
      <c r="V862">
        <f t="shared" ca="1" si="442"/>
        <v>0</v>
      </c>
      <c r="W862">
        <f t="shared" ca="1" si="421"/>
        <v>0.05</v>
      </c>
      <c r="X862">
        <f t="shared" ca="1" si="422"/>
        <v>0.26</v>
      </c>
      <c r="Y862">
        <f t="shared" ca="1" si="423"/>
        <v>4.9056603773584909E-2</v>
      </c>
      <c r="Z862">
        <f t="shared" ca="1" si="424"/>
        <v>196.15384615384616</v>
      </c>
      <c r="AA862">
        <f t="shared" ca="1" si="425"/>
        <v>632.25599999999997</v>
      </c>
      <c r="AB862">
        <f t="shared" ca="1" si="426"/>
        <v>2593.3330316486622</v>
      </c>
      <c r="AC862">
        <f t="shared" ca="1" si="427"/>
        <v>482.07306851378365</v>
      </c>
      <c r="AD862">
        <f t="shared" ca="1" si="428"/>
        <v>280.07692026646265</v>
      </c>
      <c r="AE862">
        <f t="shared" ca="1" si="429"/>
        <v>1019.7665564573041</v>
      </c>
      <c r="AF862">
        <f t="shared" ca="1" si="430"/>
        <v>515.40926885606223</v>
      </c>
      <c r="AG862">
        <f t="shared" ca="1" si="431"/>
        <v>0</v>
      </c>
      <c r="AH862">
        <f ca="1">IF(V32="Supercritical",L862,IF(V32="Subcritical",W862,IF(AND(V862=1,AG862=1),IF(T862&gt;=AE862,L862,W862),IF(V862=1,L862,IF(AG862=1,W862,MAX($D$16,POWER((ABS(K862)^2)/($I$5*MAX(F862,0.1)^2),1/3)))))))</f>
        <v>2.1403668656741068</v>
      </c>
      <c r="AI862">
        <f t="shared" ca="1" si="432"/>
        <v>634.3463668656741</v>
      </c>
      <c r="AJ862">
        <f t="shared" ca="1" si="433"/>
        <v>635.4165502985112</v>
      </c>
      <c r="AM862">
        <v>0</v>
      </c>
      <c r="AN862">
        <v>0</v>
      </c>
      <c r="AO862">
        <f t="shared" si="434"/>
        <v>0</v>
      </c>
      <c r="AP862">
        <f t="shared" si="443"/>
        <v>0</v>
      </c>
      <c r="AQ862">
        <f t="shared" ca="1" si="435"/>
        <v>0.99999999999999978</v>
      </c>
      <c r="AR862" t="str">
        <f t="shared" ca="1" si="436"/>
        <v>Supercritical</v>
      </c>
      <c r="AS862">
        <f t="shared" ca="1" si="437"/>
        <v>3.8148159832266538E-3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191</v>
      </c>
      <c r="I863">
        <v>10.347</v>
      </c>
      <c r="J863">
        <f t="shared" si="438"/>
        <v>0.99900000000002365</v>
      </c>
      <c r="K863">
        <f t="shared" si="439"/>
        <v>51</v>
      </c>
      <c r="L863">
        <f t="shared" ca="1" si="440"/>
        <v>0.05</v>
      </c>
      <c r="M863">
        <f t="shared" ca="1" si="413"/>
        <v>0.26</v>
      </c>
      <c r="N863">
        <f t="shared" ca="1" si="414"/>
        <v>4.9056603773584909E-2</v>
      </c>
      <c r="O863">
        <f t="shared" ca="1" si="415"/>
        <v>196.15384615384616</v>
      </c>
      <c r="P863">
        <f t="shared" ca="1" si="416"/>
        <v>632.25549999999998</v>
      </c>
      <c r="Q863">
        <f t="shared" ca="1" si="417"/>
        <v>2593.3325316486621</v>
      </c>
      <c r="R863">
        <f t="shared" ca="1" si="418"/>
        <v>482.07306851378365</v>
      </c>
      <c r="S863">
        <f t="shared" ca="1" si="419"/>
        <v>280.07692026646265</v>
      </c>
      <c r="T863">
        <f t="shared" ca="1" si="420"/>
        <v>1019.7665564573041</v>
      </c>
      <c r="U863">
        <f t="shared" ca="1" si="441"/>
        <v>-515.40926885606223</v>
      </c>
      <c r="V863">
        <f t="shared" ca="1" si="442"/>
        <v>0</v>
      </c>
      <c r="W863">
        <f t="shared" ca="1" si="421"/>
        <v>0.05</v>
      </c>
      <c r="X863">
        <f t="shared" ca="1" si="422"/>
        <v>0.26</v>
      </c>
      <c r="Y863">
        <f t="shared" ca="1" si="423"/>
        <v>4.9056603773584909E-2</v>
      </c>
      <c r="Z863">
        <f t="shared" ca="1" si="424"/>
        <v>196.15384615384616</v>
      </c>
      <c r="AA863">
        <f t="shared" ca="1" si="425"/>
        <v>632.25549999999998</v>
      </c>
      <c r="AB863">
        <f t="shared" ca="1" si="426"/>
        <v>2593.3325316486621</v>
      </c>
      <c r="AC863">
        <f t="shared" ca="1" si="427"/>
        <v>482.07306851378365</v>
      </c>
      <c r="AD863">
        <f t="shared" ca="1" si="428"/>
        <v>280.07692026646265</v>
      </c>
      <c r="AE863">
        <f t="shared" ca="1" si="429"/>
        <v>1019.7665564573041</v>
      </c>
      <c r="AF863">
        <f t="shared" ca="1" si="430"/>
        <v>616.78123631428389</v>
      </c>
      <c r="AG863">
        <f t="shared" ca="1" si="431"/>
        <v>0</v>
      </c>
      <c r="AH863">
        <f ca="1">IF(V32="Supercritical",L863,IF(V32="Subcritical",W863,IF(AND(V863=1,AG863=1),IF(T863&gt;=AE863,L863,W863),IF(V863=1,L863,IF(AG863=1,W863,MAX($D$16,POWER((ABS(K863)^2)/($I$5*MAX(F863,0.1)^2),1/3)))))))</f>
        <v>2.1403668656741068</v>
      </c>
      <c r="AI863">
        <f t="shared" ca="1" si="432"/>
        <v>634.34586686567411</v>
      </c>
      <c r="AJ863">
        <f t="shared" ca="1" si="433"/>
        <v>635.41605029851121</v>
      </c>
      <c r="AM863">
        <v>0</v>
      </c>
      <c r="AN863">
        <v>0</v>
      </c>
      <c r="AO863">
        <f t="shared" si="434"/>
        <v>0</v>
      </c>
      <c r="AP863">
        <f t="shared" si="443"/>
        <v>0</v>
      </c>
      <c r="AQ863">
        <f t="shared" ca="1" si="435"/>
        <v>0.99999999999999978</v>
      </c>
      <c r="AR863" t="str">
        <f t="shared" ca="1" si="436"/>
        <v>Supercritical</v>
      </c>
      <c r="AS863">
        <f t="shared" ca="1" si="437"/>
        <v>3.8148159832266538E-3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191</v>
      </c>
      <c r="I864">
        <v>2.6059999999999999</v>
      </c>
      <c r="J864">
        <f t="shared" si="438"/>
        <v>0.9959999999999809</v>
      </c>
      <c r="K864">
        <f t="shared" si="439"/>
        <v>51</v>
      </c>
      <c r="L864">
        <f t="shared" ca="1" si="440"/>
        <v>0.05</v>
      </c>
      <c r="M864">
        <f t="shared" ca="1" si="413"/>
        <v>0.25335000000000002</v>
      </c>
      <c r="N864">
        <f t="shared" ca="1" si="414"/>
        <v>4.9032320495451913E-2</v>
      </c>
      <c r="O864">
        <f t="shared" ca="1" si="415"/>
        <v>201.30254588513912</v>
      </c>
      <c r="P864">
        <f t="shared" ca="1" si="416"/>
        <v>632.255</v>
      </c>
      <c r="Q864">
        <f t="shared" ca="1" si="417"/>
        <v>2697.6329296553795</v>
      </c>
      <c r="R864">
        <f t="shared" ca="1" si="418"/>
        <v>508.04766180569584</v>
      </c>
      <c r="S864">
        <f t="shared" ca="1" si="419"/>
        <v>287.42845576980574</v>
      </c>
      <c r="T864">
        <f t="shared" ca="1" si="420"/>
        <v>1046.5333307063806</v>
      </c>
      <c r="U864">
        <f t="shared" ca="1" si="441"/>
        <v>-616.78123631428389</v>
      </c>
      <c r="V864">
        <f t="shared" ca="1" si="442"/>
        <v>0</v>
      </c>
      <c r="W864">
        <f t="shared" ca="1" si="421"/>
        <v>0.05</v>
      </c>
      <c r="X864">
        <f t="shared" ca="1" si="422"/>
        <v>0.25335000000000002</v>
      </c>
      <c r="Y864">
        <f t="shared" ca="1" si="423"/>
        <v>4.9032320495451913E-2</v>
      </c>
      <c r="Z864">
        <f t="shared" ca="1" si="424"/>
        <v>201.30254588513912</v>
      </c>
      <c r="AA864">
        <f t="shared" ca="1" si="425"/>
        <v>632.255</v>
      </c>
      <c r="AB864">
        <f t="shared" ca="1" si="426"/>
        <v>2697.6329296553795</v>
      </c>
      <c r="AC864">
        <f t="shared" ca="1" si="427"/>
        <v>508.04766180569584</v>
      </c>
      <c r="AD864">
        <f t="shared" ca="1" si="428"/>
        <v>287.42845576980574</v>
      </c>
      <c r="AE864">
        <f t="shared" ca="1" si="429"/>
        <v>1046.5333307063806</v>
      </c>
      <c r="AF864">
        <f t="shared" ca="1" si="430"/>
        <v>508.09879625393705</v>
      </c>
      <c r="AG864">
        <f t="shared" ca="1" si="431"/>
        <v>0</v>
      </c>
      <c r="AH864">
        <f ca="1">IF(V32="Supercritical",L864,IF(V32="Subcritical",W864,IF(AND(V864=1,AG864=1),IF(T864&gt;=AE864,L864,W864),IF(V864=1,L864,IF(AG864=1,W864,MAX($D$16,POWER((ABS(K864)^2)/($I$5*MAX(F864,0.1)^2),1/3)))))))</f>
        <v>2.1776588541652817</v>
      </c>
      <c r="AI864">
        <f t="shared" ca="1" si="432"/>
        <v>634.38265885416536</v>
      </c>
      <c r="AJ864">
        <f t="shared" ca="1" si="433"/>
        <v>635.47148828124796</v>
      </c>
      <c r="AM864">
        <v>0</v>
      </c>
      <c r="AN864">
        <v>0</v>
      </c>
      <c r="AO864">
        <f t="shared" si="434"/>
        <v>0</v>
      </c>
      <c r="AP864">
        <f t="shared" si="443"/>
        <v>0</v>
      </c>
      <c r="AQ864">
        <f t="shared" ca="1" si="435"/>
        <v>1</v>
      </c>
      <c r="AR864" t="str">
        <f t="shared" ca="1" si="436"/>
        <v>Supercritical</v>
      </c>
      <c r="AS864">
        <f t="shared" ca="1" si="437"/>
        <v>3.8940126972412566E-3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191</v>
      </c>
      <c r="I865">
        <v>1.4999999999999999E-2</v>
      </c>
      <c r="J865">
        <f t="shared" si="438"/>
        <v>1</v>
      </c>
      <c r="K865">
        <f t="shared" si="439"/>
        <v>51</v>
      </c>
      <c r="L865">
        <f t="shared" ca="1" si="440"/>
        <v>0.05</v>
      </c>
      <c r="M865">
        <f t="shared" ca="1" si="413"/>
        <v>0.25335000000000002</v>
      </c>
      <c r="N865">
        <f t="shared" ca="1" si="414"/>
        <v>4.9032320495451913E-2</v>
      </c>
      <c r="O865">
        <f t="shared" ca="1" si="415"/>
        <v>201.30254588513912</v>
      </c>
      <c r="P865">
        <f t="shared" ca="1" si="416"/>
        <v>632.25450000000001</v>
      </c>
      <c r="Q865">
        <f t="shared" ca="1" si="417"/>
        <v>2697.6324296553794</v>
      </c>
      <c r="R865">
        <f t="shared" ca="1" si="418"/>
        <v>508.04766180569584</v>
      </c>
      <c r="S865">
        <f t="shared" ca="1" si="419"/>
        <v>287.42845576980574</v>
      </c>
      <c r="T865">
        <f t="shared" ca="1" si="420"/>
        <v>1046.5333307063806</v>
      </c>
      <c r="U865">
        <f t="shared" ca="1" si="441"/>
        <v>-508.09879625393705</v>
      </c>
      <c r="V865">
        <f t="shared" ca="1" si="442"/>
        <v>0</v>
      </c>
      <c r="W865">
        <f t="shared" ca="1" si="421"/>
        <v>0.05</v>
      </c>
      <c r="X865">
        <f t="shared" ca="1" si="422"/>
        <v>0.25335000000000002</v>
      </c>
      <c r="Y865">
        <f t="shared" ca="1" si="423"/>
        <v>4.9032320495451913E-2</v>
      </c>
      <c r="Z865">
        <f t="shared" ca="1" si="424"/>
        <v>201.30254588513912</v>
      </c>
      <c r="AA865">
        <f t="shared" ca="1" si="425"/>
        <v>632.25450000000001</v>
      </c>
      <c r="AB865">
        <f t="shared" ca="1" si="426"/>
        <v>2697.6324296553794</v>
      </c>
      <c r="AC865">
        <f t="shared" ca="1" si="427"/>
        <v>508.04766180569584</v>
      </c>
      <c r="AD865">
        <f t="shared" ca="1" si="428"/>
        <v>287.42845576980574</v>
      </c>
      <c r="AE865">
        <f t="shared" ca="1" si="429"/>
        <v>1046.5333307063806</v>
      </c>
      <c r="AF865">
        <f t="shared" ca="1" si="430"/>
        <v>508.2364881159142</v>
      </c>
      <c r="AG865">
        <f t="shared" ca="1" si="431"/>
        <v>0</v>
      </c>
      <c r="AH865">
        <f ca="1">IF(V32="Supercritical",L865,IF(V32="Subcritical",W865,IF(AND(V865=1,AG865=1),IF(T865&gt;=AE865,L865,W865),IF(V865=1,L865,IF(AG865=1,W865,MAX($D$16,POWER((ABS(K865)^2)/($I$5*MAX(F865,0.1)^2),1/3)))))))</f>
        <v>2.1776588541652817</v>
      </c>
      <c r="AI865">
        <f t="shared" ca="1" si="432"/>
        <v>634.38215885416537</v>
      </c>
      <c r="AJ865">
        <f t="shared" ca="1" si="433"/>
        <v>635.47098828124797</v>
      </c>
      <c r="AM865">
        <v>0</v>
      </c>
      <c r="AN865">
        <v>0</v>
      </c>
      <c r="AO865">
        <f t="shared" si="434"/>
        <v>0</v>
      </c>
      <c r="AP865">
        <f t="shared" si="443"/>
        <v>0</v>
      </c>
      <c r="AQ865">
        <f t="shared" ca="1" si="435"/>
        <v>1</v>
      </c>
      <c r="AR865" t="str">
        <f t="shared" ca="1" si="436"/>
        <v>Supercritical</v>
      </c>
      <c r="AS865">
        <f t="shared" ca="1" si="437"/>
        <v>3.8940126972412566E-3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191</v>
      </c>
      <c r="I866">
        <v>5.5E-2</v>
      </c>
      <c r="J866">
        <f t="shared" si="438"/>
        <v>1</v>
      </c>
      <c r="K866">
        <f t="shared" si="439"/>
        <v>51</v>
      </c>
      <c r="L866">
        <f t="shared" ca="1" si="440"/>
        <v>0.05</v>
      </c>
      <c r="M866">
        <f t="shared" ca="1" si="413"/>
        <v>0.25335000000000002</v>
      </c>
      <c r="N866">
        <f t="shared" ca="1" si="414"/>
        <v>4.9032320495451913E-2</v>
      </c>
      <c r="O866">
        <f t="shared" ca="1" si="415"/>
        <v>201.30254588513912</v>
      </c>
      <c r="P866">
        <f t="shared" ca="1" si="416"/>
        <v>632.25399999999991</v>
      </c>
      <c r="Q866">
        <f t="shared" ca="1" si="417"/>
        <v>2697.6319296553793</v>
      </c>
      <c r="R866">
        <f t="shared" ca="1" si="418"/>
        <v>508.04766180569584</v>
      </c>
      <c r="S866">
        <f t="shared" ca="1" si="419"/>
        <v>287.42845576980574</v>
      </c>
      <c r="T866">
        <f t="shared" ca="1" si="420"/>
        <v>1046.5333307063806</v>
      </c>
      <c r="U866">
        <f t="shared" ca="1" si="441"/>
        <v>-508.2364881159142</v>
      </c>
      <c r="V866">
        <f t="shared" ca="1" si="442"/>
        <v>0</v>
      </c>
      <c r="W866">
        <f t="shared" ca="1" si="421"/>
        <v>0.05</v>
      </c>
      <c r="X866">
        <f t="shared" ca="1" si="422"/>
        <v>0.25335000000000002</v>
      </c>
      <c r="Y866">
        <f t="shared" ca="1" si="423"/>
        <v>4.9032320495451913E-2</v>
      </c>
      <c r="Z866">
        <f t="shared" ca="1" si="424"/>
        <v>201.30254588513912</v>
      </c>
      <c r="AA866">
        <f t="shared" ca="1" si="425"/>
        <v>632.25399999999991</v>
      </c>
      <c r="AB866">
        <f t="shared" ca="1" si="426"/>
        <v>2697.6319296553793</v>
      </c>
      <c r="AC866">
        <f t="shared" ca="1" si="427"/>
        <v>508.04766180569584</v>
      </c>
      <c r="AD866">
        <f t="shared" ca="1" si="428"/>
        <v>287.42845576980574</v>
      </c>
      <c r="AE866">
        <f t="shared" ca="1" si="429"/>
        <v>1046.5333307063806</v>
      </c>
      <c r="AF866">
        <f t="shared" ca="1" si="430"/>
        <v>508.184853667673</v>
      </c>
      <c r="AG866">
        <f t="shared" ca="1" si="431"/>
        <v>0</v>
      </c>
      <c r="AH866">
        <f ca="1">IF(V32="Supercritical",L866,IF(V32="Subcritical",W866,IF(AND(V866=1,AG866=1),IF(T866&gt;=AE866,L866,W866),IF(V866=1,L866,IF(AG866=1,W866,MAX($D$16,POWER((ABS(K866)^2)/($I$5*MAX(F866,0.1)^2),1/3)))))))</f>
        <v>2.1776588541652817</v>
      </c>
      <c r="AI866">
        <f t="shared" ca="1" si="432"/>
        <v>634.38165885416527</v>
      </c>
      <c r="AJ866">
        <f t="shared" ca="1" si="433"/>
        <v>635.47048828124787</v>
      </c>
      <c r="AM866">
        <v>0</v>
      </c>
      <c r="AN866">
        <v>0</v>
      </c>
      <c r="AO866">
        <f t="shared" si="434"/>
        <v>0</v>
      </c>
      <c r="AP866">
        <f t="shared" si="443"/>
        <v>0</v>
      </c>
      <c r="AQ866">
        <f t="shared" ca="1" si="435"/>
        <v>1</v>
      </c>
      <c r="AR866" t="str">
        <f t="shared" ca="1" si="436"/>
        <v>Supercritical</v>
      </c>
      <c r="AS866">
        <f t="shared" ca="1" si="437"/>
        <v>3.8940126972412566E-3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191</v>
      </c>
      <c r="I867">
        <v>0.04</v>
      </c>
      <c r="J867">
        <f t="shared" si="438"/>
        <v>1</v>
      </c>
      <c r="K867">
        <f t="shared" si="439"/>
        <v>51</v>
      </c>
      <c r="L867">
        <f t="shared" ca="1" si="440"/>
        <v>0.05</v>
      </c>
      <c r="M867">
        <f t="shared" ca="1" si="413"/>
        <v>0.25335000000000002</v>
      </c>
      <c r="N867">
        <f t="shared" ca="1" si="414"/>
        <v>4.9032320495451913E-2</v>
      </c>
      <c r="O867">
        <f t="shared" ca="1" si="415"/>
        <v>201.30254588513912</v>
      </c>
      <c r="P867">
        <f t="shared" ca="1" si="416"/>
        <v>632.25349999999992</v>
      </c>
      <c r="Q867">
        <f t="shared" ca="1" si="417"/>
        <v>2697.6314296553792</v>
      </c>
      <c r="R867">
        <f t="shared" ca="1" si="418"/>
        <v>508.04766180569584</v>
      </c>
      <c r="S867">
        <f t="shared" ca="1" si="419"/>
        <v>287.42845576980574</v>
      </c>
      <c r="T867">
        <f t="shared" ca="1" si="420"/>
        <v>1046.5333307063806</v>
      </c>
      <c r="U867">
        <f t="shared" ca="1" si="441"/>
        <v>-508.184853667673</v>
      </c>
      <c r="V867">
        <f t="shared" ca="1" si="442"/>
        <v>0</v>
      </c>
      <c r="W867">
        <f t="shared" ca="1" si="421"/>
        <v>0.05</v>
      </c>
      <c r="X867">
        <f t="shared" ca="1" si="422"/>
        <v>0.25335000000000002</v>
      </c>
      <c r="Y867">
        <f t="shared" ca="1" si="423"/>
        <v>4.9032320495451913E-2</v>
      </c>
      <c r="Z867">
        <f t="shared" ca="1" si="424"/>
        <v>201.30254588513912</v>
      </c>
      <c r="AA867">
        <f t="shared" ca="1" si="425"/>
        <v>632.25349999999992</v>
      </c>
      <c r="AB867">
        <f t="shared" ca="1" si="426"/>
        <v>2697.6314296553792</v>
      </c>
      <c r="AC867">
        <f t="shared" ca="1" si="427"/>
        <v>508.04766180569584</v>
      </c>
      <c r="AD867">
        <f t="shared" ca="1" si="428"/>
        <v>287.42845576980574</v>
      </c>
      <c r="AE867">
        <f t="shared" ca="1" si="429"/>
        <v>1046.5333307063806</v>
      </c>
      <c r="AF867">
        <f t="shared" ca="1" si="430"/>
        <v>508.184853667673</v>
      </c>
      <c r="AG867">
        <f t="shared" ca="1" si="431"/>
        <v>0</v>
      </c>
      <c r="AH867">
        <f ca="1">IF(V32="Supercritical",L867,IF(V32="Subcritical",W867,IF(AND(V867=1,AG867=1),IF(T867&gt;=AE867,L867,W867),IF(V867=1,L867,IF(AG867=1,W867,MAX($D$16,POWER((ABS(K867)^2)/($I$5*MAX(F867,0.1)^2),1/3)))))))</f>
        <v>2.1776588541652817</v>
      </c>
      <c r="AI867">
        <f t="shared" ca="1" si="432"/>
        <v>634.38115885416528</v>
      </c>
      <c r="AJ867">
        <f t="shared" ca="1" si="433"/>
        <v>635.46998828124788</v>
      </c>
      <c r="AM867">
        <v>0</v>
      </c>
      <c r="AN867">
        <v>0</v>
      </c>
      <c r="AO867">
        <f t="shared" si="434"/>
        <v>0</v>
      </c>
      <c r="AP867">
        <f t="shared" si="443"/>
        <v>0</v>
      </c>
      <c r="AQ867">
        <f t="shared" ca="1" si="435"/>
        <v>1</v>
      </c>
      <c r="AR867" t="str">
        <f t="shared" ca="1" si="436"/>
        <v>Supercritical</v>
      </c>
      <c r="AS867">
        <f t="shared" ca="1" si="437"/>
        <v>3.8940126972412566E-3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191</v>
      </c>
      <c r="I868">
        <v>0.04</v>
      </c>
      <c r="J868">
        <f t="shared" si="438"/>
        <v>1</v>
      </c>
      <c r="K868">
        <f t="shared" si="439"/>
        <v>51</v>
      </c>
      <c r="L868">
        <f t="shared" ca="1" si="440"/>
        <v>0.05</v>
      </c>
      <c r="M868">
        <f t="shared" ca="1" si="413"/>
        <v>0.25335000000000002</v>
      </c>
      <c r="N868">
        <f t="shared" ca="1" si="414"/>
        <v>4.9032320495451913E-2</v>
      </c>
      <c r="O868">
        <f t="shared" ca="1" si="415"/>
        <v>201.30254588513912</v>
      </c>
      <c r="P868">
        <f t="shared" ca="1" si="416"/>
        <v>632.25299999999993</v>
      </c>
      <c r="Q868">
        <f t="shared" ca="1" si="417"/>
        <v>2697.6309296553791</v>
      </c>
      <c r="R868">
        <f t="shared" ca="1" si="418"/>
        <v>508.04766180569584</v>
      </c>
      <c r="S868">
        <f t="shared" ca="1" si="419"/>
        <v>287.42845576980574</v>
      </c>
      <c r="T868">
        <f t="shared" ca="1" si="420"/>
        <v>1046.5333307063806</v>
      </c>
      <c r="U868">
        <f t="shared" ca="1" si="441"/>
        <v>-508.184853667673</v>
      </c>
      <c r="V868">
        <f t="shared" ca="1" si="442"/>
        <v>0</v>
      </c>
      <c r="W868">
        <f t="shared" ca="1" si="421"/>
        <v>0.05</v>
      </c>
      <c r="X868">
        <f t="shared" ca="1" si="422"/>
        <v>0.25335000000000002</v>
      </c>
      <c r="Y868">
        <f t="shared" ca="1" si="423"/>
        <v>4.9032320495451913E-2</v>
      </c>
      <c r="Z868">
        <f t="shared" ca="1" si="424"/>
        <v>201.30254588513912</v>
      </c>
      <c r="AA868">
        <f t="shared" ca="1" si="425"/>
        <v>632.25299999999993</v>
      </c>
      <c r="AB868">
        <f t="shared" ca="1" si="426"/>
        <v>2697.6309296553791</v>
      </c>
      <c r="AC868">
        <f t="shared" ca="1" si="427"/>
        <v>508.04766180569584</v>
      </c>
      <c r="AD868">
        <f t="shared" ca="1" si="428"/>
        <v>287.42845576980574</v>
      </c>
      <c r="AE868">
        <f t="shared" ca="1" si="429"/>
        <v>1046.5333307063806</v>
      </c>
      <c r="AF868">
        <f t="shared" ca="1" si="430"/>
        <v>508.18485366767345</v>
      </c>
      <c r="AG868">
        <f t="shared" ca="1" si="431"/>
        <v>0</v>
      </c>
      <c r="AH868">
        <f ca="1">IF(V32="Supercritical",L868,IF(V32="Subcritical",W868,IF(AND(V868=1,AG868=1),IF(T868&gt;=AE868,L868,W868),IF(V868=1,L868,IF(AG868=1,W868,MAX($D$16,POWER((ABS(K868)^2)/($I$5*MAX(F868,0.1)^2),1/3)))))))</f>
        <v>2.1776588541652817</v>
      </c>
      <c r="AI868">
        <f t="shared" ca="1" si="432"/>
        <v>634.38065885416529</v>
      </c>
      <c r="AJ868">
        <f t="shared" ca="1" si="433"/>
        <v>635.46948828124789</v>
      </c>
      <c r="AM868">
        <v>0</v>
      </c>
      <c r="AN868">
        <v>0</v>
      </c>
      <c r="AO868">
        <f t="shared" si="434"/>
        <v>0</v>
      </c>
      <c r="AP868">
        <f t="shared" si="443"/>
        <v>0</v>
      </c>
      <c r="AQ868">
        <f t="shared" ca="1" si="435"/>
        <v>1</v>
      </c>
      <c r="AR868" t="str">
        <f t="shared" ca="1" si="436"/>
        <v>Supercritical</v>
      </c>
      <c r="AS868">
        <f t="shared" ca="1" si="437"/>
        <v>3.8940126972412566E-3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191</v>
      </c>
      <c r="I869">
        <v>0.04</v>
      </c>
      <c r="J869">
        <f t="shared" si="438"/>
        <v>1</v>
      </c>
      <c r="K869">
        <f t="shared" si="439"/>
        <v>51</v>
      </c>
      <c r="L869">
        <f t="shared" ca="1" si="440"/>
        <v>0.05</v>
      </c>
      <c r="M869">
        <f t="shared" ca="1" si="413"/>
        <v>0.25335000000000002</v>
      </c>
      <c r="N869">
        <f t="shared" ca="1" si="414"/>
        <v>4.9032320495451913E-2</v>
      </c>
      <c r="O869">
        <f t="shared" ca="1" si="415"/>
        <v>201.30254588513912</v>
      </c>
      <c r="P869">
        <f t="shared" ca="1" si="416"/>
        <v>632.25249999999994</v>
      </c>
      <c r="Q869">
        <f t="shared" ca="1" si="417"/>
        <v>2697.6304296553794</v>
      </c>
      <c r="R869">
        <f t="shared" ca="1" si="418"/>
        <v>508.04766180569584</v>
      </c>
      <c r="S869">
        <f t="shared" ca="1" si="419"/>
        <v>287.42845576980574</v>
      </c>
      <c r="T869">
        <f t="shared" ca="1" si="420"/>
        <v>1046.5333307063806</v>
      </c>
      <c r="U869">
        <f t="shared" ca="1" si="441"/>
        <v>-508.18485366767345</v>
      </c>
      <c r="V869">
        <f t="shared" ca="1" si="442"/>
        <v>0</v>
      </c>
      <c r="W869">
        <f t="shared" ca="1" si="421"/>
        <v>0.05</v>
      </c>
      <c r="X869">
        <f t="shared" ca="1" si="422"/>
        <v>0.25335000000000002</v>
      </c>
      <c r="Y869">
        <f t="shared" ca="1" si="423"/>
        <v>4.9032320495451913E-2</v>
      </c>
      <c r="Z869">
        <f t="shared" ca="1" si="424"/>
        <v>201.30254588513912</v>
      </c>
      <c r="AA869">
        <f t="shared" ca="1" si="425"/>
        <v>632.25249999999994</v>
      </c>
      <c r="AB869">
        <f t="shared" ca="1" si="426"/>
        <v>2697.6304296553794</v>
      </c>
      <c r="AC869">
        <f t="shared" ca="1" si="427"/>
        <v>508.04766180569584</v>
      </c>
      <c r="AD869">
        <f t="shared" ca="1" si="428"/>
        <v>287.42845576980574</v>
      </c>
      <c r="AE869">
        <f t="shared" ca="1" si="429"/>
        <v>1046.5333307063806</v>
      </c>
      <c r="AF869">
        <f t="shared" ca="1" si="430"/>
        <v>508.60684391578843</v>
      </c>
      <c r="AG869">
        <f t="shared" ca="1" si="431"/>
        <v>0</v>
      </c>
      <c r="AH869">
        <f ca="1">IF(V32="Supercritical",L869,IF(V32="Subcritical",W869,IF(AND(V869=1,AG869=1),IF(T869&gt;=AE869,L869,W869),IF(V869=1,L869,IF(AG869=1,W869,MAX($D$16,POWER((ABS(K869)^2)/($I$5*MAX(F869,0.1)^2),1/3)))))))</f>
        <v>2.1776588541652817</v>
      </c>
      <c r="AI869">
        <f t="shared" ca="1" si="432"/>
        <v>634.3801588541653</v>
      </c>
      <c r="AJ869">
        <f t="shared" ca="1" si="433"/>
        <v>635.4689882812479</v>
      </c>
      <c r="AM869">
        <v>0</v>
      </c>
      <c r="AN869">
        <v>0</v>
      </c>
      <c r="AO869">
        <f t="shared" si="434"/>
        <v>0</v>
      </c>
      <c r="AP869">
        <f t="shared" si="443"/>
        <v>0</v>
      </c>
      <c r="AQ869">
        <f t="shared" ca="1" si="435"/>
        <v>1</v>
      </c>
      <c r="AR869" t="str">
        <f t="shared" ca="1" si="436"/>
        <v>Supercritical</v>
      </c>
      <c r="AS869">
        <f t="shared" ca="1" si="437"/>
        <v>3.8940126972412566E-3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191</v>
      </c>
      <c r="I870">
        <v>1.4999999999999999E-2</v>
      </c>
      <c r="J870">
        <f t="shared" si="438"/>
        <v>1.00100000000009</v>
      </c>
      <c r="K870">
        <f t="shared" si="439"/>
        <v>51</v>
      </c>
      <c r="L870">
        <f t="shared" ca="1" si="440"/>
        <v>0.05</v>
      </c>
      <c r="M870">
        <f t="shared" ca="1" si="413"/>
        <v>0.25335000000000002</v>
      </c>
      <c r="N870">
        <f t="shared" ca="1" si="414"/>
        <v>4.9032320495451913E-2</v>
      </c>
      <c r="O870">
        <f t="shared" ca="1" si="415"/>
        <v>201.30254588513912</v>
      </c>
      <c r="P870">
        <f t="shared" ca="1" si="416"/>
        <v>632.25199999999995</v>
      </c>
      <c r="Q870">
        <f t="shared" ca="1" si="417"/>
        <v>2697.6299296553793</v>
      </c>
      <c r="R870">
        <f t="shared" ca="1" si="418"/>
        <v>508.04766180569584</v>
      </c>
      <c r="S870">
        <f t="shared" ca="1" si="419"/>
        <v>287.42845576980574</v>
      </c>
      <c r="T870">
        <f t="shared" ca="1" si="420"/>
        <v>1046.5333307063806</v>
      </c>
      <c r="U870">
        <f t="shared" ca="1" si="441"/>
        <v>-508.60684391578843</v>
      </c>
      <c r="V870">
        <f t="shared" ca="1" si="442"/>
        <v>0</v>
      </c>
      <c r="W870">
        <f t="shared" ca="1" si="421"/>
        <v>0.05</v>
      </c>
      <c r="X870">
        <f t="shared" ca="1" si="422"/>
        <v>0.25335000000000002</v>
      </c>
      <c r="Y870">
        <f t="shared" ca="1" si="423"/>
        <v>4.9032320495451913E-2</v>
      </c>
      <c r="Z870">
        <f t="shared" ca="1" si="424"/>
        <v>201.30254588513912</v>
      </c>
      <c r="AA870">
        <f t="shared" ca="1" si="425"/>
        <v>632.25199999999995</v>
      </c>
      <c r="AB870">
        <f t="shared" ca="1" si="426"/>
        <v>2697.6299296553793</v>
      </c>
      <c r="AC870">
        <f t="shared" ca="1" si="427"/>
        <v>508.04766180569584</v>
      </c>
      <c r="AD870">
        <f t="shared" ca="1" si="428"/>
        <v>287.42845576980574</v>
      </c>
      <c r="AE870">
        <f t="shared" ca="1" si="429"/>
        <v>1046.5333307063806</v>
      </c>
      <c r="AF870">
        <f t="shared" ca="1" si="430"/>
        <v>507.72844045406282</v>
      </c>
      <c r="AG870">
        <f t="shared" ca="1" si="431"/>
        <v>0</v>
      </c>
      <c r="AH870">
        <f ca="1">IF(V32="Supercritical",L870,IF(V32="Subcritical",W870,IF(AND(V870=1,AG870=1),IF(T870&gt;=AE870,L870,W870),IF(V870=1,L870,IF(AG870=1,W870,MAX($D$16,POWER((ABS(K870)^2)/($I$5*MAX(F870,0.1)^2),1/3)))))))</f>
        <v>2.1776588541652817</v>
      </c>
      <c r="AI870">
        <f t="shared" ca="1" si="432"/>
        <v>634.37965885416531</v>
      </c>
      <c r="AJ870">
        <f t="shared" ca="1" si="433"/>
        <v>635.46848828124791</v>
      </c>
      <c r="AM870">
        <v>0</v>
      </c>
      <c r="AN870">
        <v>0</v>
      </c>
      <c r="AO870">
        <f t="shared" si="434"/>
        <v>0</v>
      </c>
      <c r="AP870">
        <f t="shared" si="443"/>
        <v>0</v>
      </c>
      <c r="AQ870">
        <f t="shared" ca="1" si="435"/>
        <v>1</v>
      </c>
      <c r="AR870" t="str">
        <f t="shared" ca="1" si="436"/>
        <v>Supercritical</v>
      </c>
      <c r="AS870">
        <f t="shared" ca="1" si="437"/>
        <v>3.8940126972412566E-3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191</v>
      </c>
      <c r="I871">
        <v>5.5E-2</v>
      </c>
      <c r="J871">
        <f t="shared" si="438"/>
        <v>0.99899999999990996</v>
      </c>
      <c r="K871">
        <f t="shared" si="439"/>
        <v>51</v>
      </c>
      <c r="L871">
        <f t="shared" ca="1" si="440"/>
        <v>0.05</v>
      </c>
      <c r="M871">
        <f t="shared" ca="1" si="413"/>
        <v>0.25335000000000002</v>
      </c>
      <c r="N871">
        <f t="shared" ca="1" si="414"/>
        <v>4.9032320495451913E-2</v>
      </c>
      <c r="O871">
        <f t="shared" ca="1" si="415"/>
        <v>201.30254588513912</v>
      </c>
      <c r="P871">
        <f t="shared" ca="1" si="416"/>
        <v>632.25149999999996</v>
      </c>
      <c r="Q871">
        <f t="shared" ca="1" si="417"/>
        <v>2697.6294296553792</v>
      </c>
      <c r="R871">
        <f t="shared" ca="1" si="418"/>
        <v>508.04766180569584</v>
      </c>
      <c r="S871">
        <f t="shared" ca="1" si="419"/>
        <v>287.42845576980574</v>
      </c>
      <c r="T871">
        <f t="shared" ca="1" si="420"/>
        <v>1046.5333307063806</v>
      </c>
      <c r="U871">
        <f t="shared" ca="1" si="441"/>
        <v>-507.72844045406282</v>
      </c>
      <c r="V871">
        <f t="shared" ca="1" si="442"/>
        <v>0</v>
      </c>
      <c r="W871">
        <f t="shared" ca="1" si="421"/>
        <v>0.05</v>
      </c>
      <c r="X871">
        <f t="shared" ca="1" si="422"/>
        <v>0.25335000000000002</v>
      </c>
      <c r="Y871">
        <f t="shared" ca="1" si="423"/>
        <v>4.9032320495451913E-2</v>
      </c>
      <c r="Z871">
        <f t="shared" ca="1" si="424"/>
        <v>201.30254588513912</v>
      </c>
      <c r="AA871">
        <f t="shared" ca="1" si="425"/>
        <v>632.25149999999996</v>
      </c>
      <c r="AB871">
        <f t="shared" ca="1" si="426"/>
        <v>2697.6294296553792</v>
      </c>
      <c r="AC871">
        <f t="shared" ca="1" si="427"/>
        <v>508.04766180569584</v>
      </c>
      <c r="AD871">
        <f t="shared" ca="1" si="428"/>
        <v>287.42845576980574</v>
      </c>
      <c r="AE871">
        <f t="shared" ca="1" si="429"/>
        <v>1046.5333307063806</v>
      </c>
      <c r="AF871">
        <f t="shared" ca="1" si="430"/>
        <v>508.18485366767345</v>
      </c>
      <c r="AG871">
        <f t="shared" ca="1" si="431"/>
        <v>0</v>
      </c>
      <c r="AH871">
        <f ca="1">IF(V32="Supercritical",L871,IF(V32="Subcritical",W871,IF(AND(V871=1,AG871=1),IF(T871&gt;=AE871,L871,W871),IF(V871=1,L871,IF(AG871=1,W871,MAX($D$16,POWER((ABS(K871)^2)/($I$5*MAX(F871,0.1)^2),1/3)))))))</f>
        <v>2.1776588541652817</v>
      </c>
      <c r="AI871">
        <f t="shared" ca="1" si="432"/>
        <v>634.37915885416533</v>
      </c>
      <c r="AJ871">
        <f t="shared" ca="1" si="433"/>
        <v>635.46798828124793</v>
      </c>
      <c r="AM871">
        <v>0</v>
      </c>
      <c r="AN871">
        <v>0</v>
      </c>
      <c r="AO871">
        <f t="shared" si="434"/>
        <v>0</v>
      </c>
      <c r="AP871">
        <f t="shared" si="443"/>
        <v>0</v>
      </c>
      <c r="AQ871">
        <f t="shared" ca="1" si="435"/>
        <v>1</v>
      </c>
      <c r="AR871" t="str">
        <f t="shared" ca="1" si="436"/>
        <v>Supercritical</v>
      </c>
      <c r="AS871">
        <f t="shared" ca="1" si="437"/>
        <v>3.8940126972412566E-3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191</v>
      </c>
      <c r="I872">
        <v>0.04</v>
      </c>
      <c r="J872">
        <f t="shared" si="438"/>
        <v>1</v>
      </c>
      <c r="K872">
        <f t="shared" si="439"/>
        <v>51</v>
      </c>
      <c r="L872">
        <f t="shared" ca="1" si="440"/>
        <v>0.05</v>
      </c>
      <c r="M872">
        <f t="shared" ca="1" si="413"/>
        <v>0.25335000000000002</v>
      </c>
      <c r="N872">
        <f t="shared" ca="1" si="414"/>
        <v>4.9032320495451913E-2</v>
      </c>
      <c r="O872">
        <f t="shared" ca="1" si="415"/>
        <v>201.30254588513912</v>
      </c>
      <c r="P872">
        <f t="shared" ca="1" si="416"/>
        <v>632.25099999999998</v>
      </c>
      <c r="Q872">
        <f t="shared" ca="1" si="417"/>
        <v>2697.6289296553796</v>
      </c>
      <c r="R872">
        <f t="shared" ca="1" si="418"/>
        <v>508.04766180569584</v>
      </c>
      <c r="S872">
        <f t="shared" ca="1" si="419"/>
        <v>287.42845576980574</v>
      </c>
      <c r="T872">
        <f t="shared" ca="1" si="420"/>
        <v>1046.5333307063806</v>
      </c>
      <c r="U872">
        <f t="shared" ca="1" si="441"/>
        <v>-508.18485366767345</v>
      </c>
      <c r="V872">
        <f t="shared" ca="1" si="442"/>
        <v>0</v>
      </c>
      <c r="W872">
        <f t="shared" ca="1" si="421"/>
        <v>0.05</v>
      </c>
      <c r="X872">
        <f t="shared" ca="1" si="422"/>
        <v>0.25335000000000002</v>
      </c>
      <c r="Y872">
        <f t="shared" ca="1" si="423"/>
        <v>4.9032320495451913E-2</v>
      </c>
      <c r="Z872">
        <f t="shared" ca="1" si="424"/>
        <v>201.30254588513912</v>
      </c>
      <c r="AA872">
        <f t="shared" ca="1" si="425"/>
        <v>632.25099999999998</v>
      </c>
      <c r="AB872">
        <f t="shared" ca="1" si="426"/>
        <v>2697.6289296553796</v>
      </c>
      <c r="AC872">
        <f t="shared" ca="1" si="427"/>
        <v>508.04766180569584</v>
      </c>
      <c r="AD872">
        <f t="shared" ca="1" si="428"/>
        <v>287.42845576980574</v>
      </c>
      <c r="AE872">
        <f t="shared" ca="1" si="429"/>
        <v>1046.5333307063806</v>
      </c>
      <c r="AF872">
        <f t="shared" ca="1" si="430"/>
        <v>508.69290132952437</v>
      </c>
      <c r="AG872">
        <f t="shared" ca="1" si="431"/>
        <v>0</v>
      </c>
      <c r="AH872">
        <f ca="1">IF(V32="Supercritical",L872,IF(V32="Subcritical",W872,IF(AND(V872=1,AG872=1),IF(T872&gt;=AE872,L872,W872),IF(V872=1,L872,IF(AG872=1,W872,MAX($D$16,POWER((ABS(K872)^2)/($I$5*MAX(F872,0.1)^2),1/3)))))))</f>
        <v>2.1776588541652817</v>
      </c>
      <c r="AI872">
        <f t="shared" ca="1" si="432"/>
        <v>634.37865885416534</v>
      </c>
      <c r="AJ872">
        <f t="shared" ca="1" si="433"/>
        <v>635.46748828124794</v>
      </c>
      <c r="AM872">
        <v>0</v>
      </c>
      <c r="AN872">
        <v>0</v>
      </c>
      <c r="AO872">
        <f t="shared" si="434"/>
        <v>0</v>
      </c>
      <c r="AP872">
        <f t="shared" si="443"/>
        <v>0</v>
      </c>
      <c r="AQ872">
        <f t="shared" ca="1" si="435"/>
        <v>1</v>
      </c>
      <c r="AR872" t="str">
        <f t="shared" ca="1" si="436"/>
        <v>Supercritical</v>
      </c>
      <c r="AS872">
        <f t="shared" ca="1" si="437"/>
        <v>3.8940126972412566E-3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191</v>
      </c>
      <c r="I873">
        <v>0.04</v>
      </c>
      <c r="J873">
        <f t="shared" si="438"/>
        <v>1.00100000000009</v>
      </c>
      <c r="K873">
        <f t="shared" si="439"/>
        <v>51</v>
      </c>
      <c r="L873">
        <f t="shared" ca="1" si="440"/>
        <v>0.05</v>
      </c>
      <c r="M873">
        <f t="shared" ca="1" si="413"/>
        <v>0.25335000000000002</v>
      </c>
      <c r="N873">
        <f t="shared" ca="1" si="414"/>
        <v>4.9032320495451913E-2</v>
      </c>
      <c r="O873">
        <f t="shared" ca="1" si="415"/>
        <v>201.30254588513912</v>
      </c>
      <c r="P873">
        <f t="shared" ca="1" si="416"/>
        <v>632.25049999999999</v>
      </c>
      <c r="Q873">
        <f t="shared" ca="1" si="417"/>
        <v>2697.6284296553795</v>
      </c>
      <c r="R873">
        <f t="shared" ca="1" si="418"/>
        <v>508.04766180569584</v>
      </c>
      <c r="S873">
        <f t="shared" ca="1" si="419"/>
        <v>287.42845576980574</v>
      </c>
      <c r="T873">
        <f t="shared" ca="1" si="420"/>
        <v>1046.5333307063806</v>
      </c>
      <c r="U873">
        <f t="shared" ca="1" si="441"/>
        <v>-508.69290132952437</v>
      </c>
      <c r="V873">
        <f t="shared" ca="1" si="442"/>
        <v>0</v>
      </c>
      <c r="W873">
        <f t="shared" ca="1" si="421"/>
        <v>0.05</v>
      </c>
      <c r="X873">
        <f t="shared" ca="1" si="422"/>
        <v>0.25335000000000002</v>
      </c>
      <c r="Y873">
        <f t="shared" ca="1" si="423"/>
        <v>4.9032320495451913E-2</v>
      </c>
      <c r="Z873">
        <f t="shared" ca="1" si="424"/>
        <v>201.30254588513912</v>
      </c>
      <c r="AA873">
        <f t="shared" ca="1" si="425"/>
        <v>632.25049999999999</v>
      </c>
      <c r="AB873">
        <f t="shared" ca="1" si="426"/>
        <v>2697.6284296553795</v>
      </c>
      <c r="AC873">
        <f t="shared" ca="1" si="427"/>
        <v>508.04766180569584</v>
      </c>
      <c r="AD873">
        <f t="shared" ca="1" si="428"/>
        <v>287.42845576980574</v>
      </c>
      <c r="AE873">
        <f t="shared" ca="1" si="429"/>
        <v>1046.5333307063806</v>
      </c>
      <c r="AF873">
        <f t="shared" ca="1" si="430"/>
        <v>507.72844045406282</v>
      </c>
      <c r="AG873">
        <f t="shared" ca="1" si="431"/>
        <v>0</v>
      </c>
      <c r="AH873">
        <f ca="1">IF(V32="Supercritical",L873,IF(V32="Subcritical",W873,IF(AND(V873=1,AG873=1),IF(T873&gt;=AE873,L873,W873),IF(V873=1,L873,IF(AG873=1,W873,MAX($D$16,POWER((ABS(K873)^2)/($I$5*MAX(F873,0.1)^2),1/3)))))))</f>
        <v>2.1776588541652817</v>
      </c>
      <c r="AI873">
        <f t="shared" ca="1" si="432"/>
        <v>634.37815885416535</v>
      </c>
      <c r="AJ873">
        <f t="shared" ca="1" si="433"/>
        <v>635.46698828124795</v>
      </c>
      <c r="AM873">
        <v>0</v>
      </c>
      <c r="AN873">
        <v>0</v>
      </c>
      <c r="AO873">
        <f t="shared" si="434"/>
        <v>0</v>
      </c>
      <c r="AP873">
        <f t="shared" si="443"/>
        <v>0</v>
      </c>
      <c r="AQ873">
        <f t="shared" ca="1" si="435"/>
        <v>1</v>
      </c>
      <c r="AR873" t="str">
        <f t="shared" ca="1" si="436"/>
        <v>Supercritical</v>
      </c>
      <c r="AS873">
        <f t="shared" ca="1" si="437"/>
        <v>3.8940126972412566E-3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191</v>
      </c>
      <c r="I874">
        <v>5.5E-2</v>
      </c>
      <c r="J874">
        <f t="shared" si="438"/>
        <v>0.99899999999990996</v>
      </c>
      <c r="K874">
        <f t="shared" si="439"/>
        <v>51</v>
      </c>
      <c r="L874">
        <f t="shared" ca="1" si="440"/>
        <v>0.05</v>
      </c>
      <c r="M874">
        <f t="shared" ca="1" si="413"/>
        <v>0.25335000000000002</v>
      </c>
      <c r="N874">
        <f t="shared" ca="1" si="414"/>
        <v>4.9032320495451913E-2</v>
      </c>
      <c r="O874">
        <f t="shared" ca="1" si="415"/>
        <v>201.30254588513912</v>
      </c>
      <c r="P874">
        <f t="shared" ca="1" si="416"/>
        <v>632.25</v>
      </c>
      <c r="Q874">
        <f t="shared" ca="1" si="417"/>
        <v>2697.6279296553794</v>
      </c>
      <c r="R874">
        <f t="shared" ca="1" si="418"/>
        <v>508.04766180569584</v>
      </c>
      <c r="S874">
        <f t="shared" ca="1" si="419"/>
        <v>287.42845576980574</v>
      </c>
      <c r="T874">
        <f t="shared" ca="1" si="420"/>
        <v>1046.5333307063806</v>
      </c>
      <c r="U874">
        <f t="shared" ca="1" si="441"/>
        <v>-507.72844045406282</v>
      </c>
      <c r="V874">
        <f t="shared" ca="1" si="442"/>
        <v>0</v>
      </c>
      <c r="W874">
        <f t="shared" ca="1" si="421"/>
        <v>0.05</v>
      </c>
      <c r="X874">
        <f t="shared" ca="1" si="422"/>
        <v>0.25335000000000002</v>
      </c>
      <c r="Y874">
        <f t="shared" ca="1" si="423"/>
        <v>4.9032320495451913E-2</v>
      </c>
      <c r="Z874">
        <f t="shared" ca="1" si="424"/>
        <v>201.30254588513912</v>
      </c>
      <c r="AA874">
        <f t="shared" ca="1" si="425"/>
        <v>632.25</v>
      </c>
      <c r="AB874">
        <f t="shared" ca="1" si="426"/>
        <v>2697.6279296553794</v>
      </c>
      <c r="AC874">
        <f t="shared" ca="1" si="427"/>
        <v>508.04766180569584</v>
      </c>
      <c r="AD874">
        <f t="shared" ca="1" si="428"/>
        <v>287.42845576980574</v>
      </c>
      <c r="AE874">
        <f t="shared" ca="1" si="429"/>
        <v>1046.5333307063806</v>
      </c>
      <c r="AF874">
        <f t="shared" ca="1" si="430"/>
        <v>508.28812256415586</v>
      </c>
      <c r="AG874">
        <f t="shared" ca="1" si="431"/>
        <v>0</v>
      </c>
      <c r="AH874">
        <f ca="1">IF(V32="Supercritical",L874,IF(V32="Subcritical",W874,IF(AND(V874=1,AG874=1),IF(T874&gt;=AE874,L874,W874),IF(V874=1,L874,IF(AG874=1,W874,MAX($D$16,POWER((ABS(K874)^2)/($I$5*MAX(F874,0.1)^2),1/3)))))))</f>
        <v>2.1776588541652817</v>
      </c>
      <c r="AI874">
        <f t="shared" ca="1" si="432"/>
        <v>634.37765885416536</v>
      </c>
      <c r="AJ874">
        <f t="shared" ca="1" si="433"/>
        <v>635.46648828124796</v>
      </c>
      <c r="AM874">
        <v>0</v>
      </c>
      <c r="AN874">
        <v>0</v>
      </c>
      <c r="AO874">
        <f t="shared" si="434"/>
        <v>0</v>
      </c>
      <c r="AP874">
        <f t="shared" si="443"/>
        <v>0</v>
      </c>
      <c r="AQ874">
        <f t="shared" ca="1" si="435"/>
        <v>1</v>
      </c>
      <c r="AR874" t="str">
        <f t="shared" ca="1" si="436"/>
        <v>Supercritical</v>
      </c>
      <c r="AS874">
        <f t="shared" ca="1" si="437"/>
        <v>3.8940126972412566E-3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191</v>
      </c>
      <c r="I875">
        <v>7.0000000000000007E-2</v>
      </c>
      <c r="J875">
        <f t="shared" si="438"/>
        <v>1</v>
      </c>
      <c r="K875">
        <f t="shared" si="439"/>
        <v>51</v>
      </c>
      <c r="L875">
        <f t="shared" ca="1" si="440"/>
        <v>0.05</v>
      </c>
      <c r="M875">
        <f t="shared" ca="1" si="413"/>
        <v>0.25335000000000002</v>
      </c>
      <c r="N875">
        <f t="shared" ca="1" si="414"/>
        <v>4.9032320495451913E-2</v>
      </c>
      <c r="O875">
        <f t="shared" ca="1" si="415"/>
        <v>201.30254588513912</v>
      </c>
      <c r="P875">
        <f t="shared" ca="1" si="416"/>
        <v>632.2494999999999</v>
      </c>
      <c r="Q875">
        <f t="shared" ca="1" si="417"/>
        <v>2697.6274296553793</v>
      </c>
      <c r="R875">
        <f t="shared" ca="1" si="418"/>
        <v>508.04766180569584</v>
      </c>
      <c r="S875">
        <f t="shared" ca="1" si="419"/>
        <v>287.42845576980574</v>
      </c>
      <c r="T875">
        <f t="shared" ca="1" si="420"/>
        <v>1046.5333307063806</v>
      </c>
      <c r="U875">
        <f t="shared" ca="1" si="441"/>
        <v>-508.28812256415586</v>
      </c>
      <c r="V875">
        <f t="shared" ca="1" si="442"/>
        <v>0</v>
      </c>
      <c r="W875">
        <f t="shared" ca="1" si="421"/>
        <v>0.05</v>
      </c>
      <c r="X875">
        <f t="shared" ca="1" si="422"/>
        <v>0.25335000000000002</v>
      </c>
      <c r="Y875">
        <f t="shared" ca="1" si="423"/>
        <v>4.9032320495451913E-2</v>
      </c>
      <c r="Z875">
        <f t="shared" ca="1" si="424"/>
        <v>201.30254588513912</v>
      </c>
      <c r="AA875">
        <f t="shared" ca="1" si="425"/>
        <v>632.2494999999999</v>
      </c>
      <c r="AB875">
        <f t="shared" ca="1" si="426"/>
        <v>2697.6274296553793</v>
      </c>
      <c r="AC875">
        <f t="shared" ca="1" si="427"/>
        <v>508.04766180569584</v>
      </c>
      <c r="AD875">
        <f t="shared" ca="1" si="428"/>
        <v>287.42845576980574</v>
      </c>
      <c r="AE875">
        <f t="shared" ca="1" si="429"/>
        <v>1046.5333307063806</v>
      </c>
      <c r="AF875">
        <f t="shared" ca="1" si="430"/>
        <v>508.28812256415586</v>
      </c>
      <c r="AG875">
        <f t="shared" ca="1" si="431"/>
        <v>0</v>
      </c>
      <c r="AH875">
        <f ca="1">IF(V32="Supercritical",L875,IF(V32="Subcritical",W875,IF(AND(V875=1,AG875=1),IF(T875&gt;=AE875,L875,W875),IF(V875=1,L875,IF(AG875=1,W875,MAX($D$16,POWER((ABS(K875)^2)/($I$5*MAX(F875,0.1)^2),1/3)))))))</f>
        <v>2.1776588541652817</v>
      </c>
      <c r="AI875">
        <f t="shared" ca="1" si="432"/>
        <v>634.37715885416526</v>
      </c>
      <c r="AJ875">
        <f t="shared" ca="1" si="433"/>
        <v>635.46598828124786</v>
      </c>
      <c r="AM875">
        <v>0</v>
      </c>
      <c r="AN875">
        <v>0</v>
      </c>
      <c r="AO875">
        <f t="shared" si="434"/>
        <v>0</v>
      </c>
      <c r="AP875">
        <f t="shared" si="443"/>
        <v>0</v>
      </c>
      <c r="AQ875">
        <f t="shared" ca="1" si="435"/>
        <v>1</v>
      </c>
      <c r="AR875" t="str">
        <f t="shared" ca="1" si="436"/>
        <v>Supercritical</v>
      </c>
      <c r="AS875">
        <f t="shared" ca="1" si="437"/>
        <v>3.8940126972412566E-3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191</v>
      </c>
      <c r="I876">
        <v>7.0000000000000007E-2</v>
      </c>
      <c r="J876">
        <f t="shared" si="438"/>
        <v>1</v>
      </c>
      <c r="K876">
        <f t="shared" si="439"/>
        <v>51</v>
      </c>
      <c r="L876">
        <f t="shared" ca="1" si="440"/>
        <v>0.05</v>
      </c>
      <c r="M876">
        <f t="shared" ca="1" si="413"/>
        <v>0.25335000000000002</v>
      </c>
      <c r="N876">
        <f t="shared" ca="1" si="414"/>
        <v>4.9032320495451913E-2</v>
      </c>
      <c r="O876">
        <f t="shared" ca="1" si="415"/>
        <v>201.30254588513912</v>
      </c>
      <c r="P876">
        <f t="shared" ca="1" si="416"/>
        <v>632.24899999999991</v>
      </c>
      <c r="Q876">
        <f t="shared" ca="1" si="417"/>
        <v>2697.6269296553792</v>
      </c>
      <c r="R876">
        <f t="shared" ca="1" si="418"/>
        <v>508.04766180569584</v>
      </c>
      <c r="S876">
        <f t="shared" ca="1" si="419"/>
        <v>287.42845576980574</v>
      </c>
      <c r="T876">
        <f t="shared" ca="1" si="420"/>
        <v>1046.5333307063806</v>
      </c>
      <c r="U876">
        <f t="shared" ca="1" si="441"/>
        <v>-508.28812256415586</v>
      </c>
      <c r="V876">
        <f t="shared" ca="1" si="442"/>
        <v>0</v>
      </c>
      <c r="W876">
        <f t="shared" ca="1" si="421"/>
        <v>0.05</v>
      </c>
      <c r="X876">
        <f t="shared" ca="1" si="422"/>
        <v>0.25335000000000002</v>
      </c>
      <c r="Y876">
        <f t="shared" ca="1" si="423"/>
        <v>4.9032320495451913E-2</v>
      </c>
      <c r="Z876">
        <f t="shared" ca="1" si="424"/>
        <v>201.30254588513912</v>
      </c>
      <c r="AA876">
        <f t="shared" ca="1" si="425"/>
        <v>632.24899999999991</v>
      </c>
      <c r="AB876">
        <f t="shared" ca="1" si="426"/>
        <v>2697.6269296553792</v>
      </c>
      <c r="AC876">
        <f t="shared" ca="1" si="427"/>
        <v>508.04766180569584</v>
      </c>
      <c r="AD876">
        <f t="shared" ca="1" si="428"/>
        <v>287.42845576980574</v>
      </c>
      <c r="AE876">
        <f t="shared" ca="1" si="429"/>
        <v>1046.5333307063806</v>
      </c>
      <c r="AF876">
        <f t="shared" ca="1" si="430"/>
        <v>508.04716180569585</v>
      </c>
      <c r="AG876">
        <f t="shared" ca="1" si="431"/>
        <v>0</v>
      </c>
      <c r="AH876">
        <f ca="1">IF(V32="Supercritical",L876,IF(V32="Subcritical",W876,IF(AND(V876=1,AG876=1),IF(T876&gt;=AE876,L876,W876),IF(V876=1,L876,IF(AG876=1,W876,MAX($D$16,POWER((ABS(K876)^2)/($I$5*MAX(F876,0.1)^2),1/3)))))))</f>
        <v>2.1776588541652817</v>
      </c>
      <c r="AI876">
        <f t="shared" ca="1" si="432"/>
        <v>634.37665885416527</v>
      </c>
      <c r="AJ876">
        <f t="shared" ca="1" si="433"/>
        <v>635.46548828124787</v>
      </c>
      <c r="AM876">
        <v>0</v>
      </c>
      <c r="AN876">
        <v>0</v>
      </c>
      <c r="AO876">
        <f t="shared" si="434"/>
        <v>0</v>
      </c>
      <c r="AP876">
        <f t="shared" si="443"/>
        <v>0</v>
      </c>
      <c r="AQ876">
        <f t="shared" ca="1" si="435"/>
        <v>1</v>
      </c>
      <c r="AR876" t="str">
        <f t="shared" ca="1" si="436"/>
        <v>Supercritical</v>
      </c>
      <c r="AS876">
        <f t="shared" ca="1" si="437"/>
        <v>3.8940126972412566E-3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191</v>
      </c>
      <c r="I877">
        <v>0</v>
      </c>
      <c r="J877">
        <f t="shared" si="438"/>
        <v>1</v>
      </c>
      <c r="K877">
        <f t="shared" si="439"/>
        <v>51</v>
      </c>
      <c r="L877">
        <f t="shared" ca="1" si="440"/>
        <v>0.05</v>
      </c>
      <c r="M877">
        <f t="shared" ca="1" si="413"/>
        <v>0.25335000000000002</v>
      </c>
      <c r="N877">
        <f t="shared" ca="1" si="414"/>
        <v>4.9032320495451913E-2</v>
      </c>
      <c r="O877">
        <f t="shared" ca="1" si="415"/>
        <v>201.30254588513912</v>
      </c>
      <c r="P877">
        <f t="shared" ca="1" si="416"/>
        <v>632.24849999999992</v>
      </c>
      <c r="Q877">
        <f t="shared" ca="1" si="417"/>
        <v>2697.6264296553791</v>
      </c>
      <c r="R877">
        <f t="shared" ca="1" si="418"/>
        <v>508.04766180569584</v>
      </c>
      <c r="S877">
        <f t="shared" ca="1" si="419"/>
        <v>287.42845576980574</v>
      </c>
      <c r="T877">
        <f t="shared" ca="1" si="420"/>
        <v>1046.5333307063806</v>
      </c>
      <c r="U877">
        <f t="shared" ca="1" si="441"/>
        <v>-508.04716180569585</v>
      </c>
      <c r="V877">
        <f t="shared" ca="1" si="442"/>
        <v>0</v>
      </c>
      <c r="W877">
        <f t="shared" ca="1" si="421"/>
        <v>0.05</v>
      </c>
      <c r="X877">
        <f t="shared" ca="1" si="422"/>
        <v>0.25335000000000002</v>
      </c>
      <c r="Y877">
        <f t="shared" ca="1" si="423"/>
        <v>4.9032320495451913E-2</v>
      </c>
      <c r="Z877">
        <f t="shared" ca="1" si="424"/>
        <v>201.30254588513912</v>
      </c>
      <c r="AA877">
        <f t="shared" ca="1" si="425"/>
        <v>632.24849999999992</v>
      </c>
      <c r="AB877">
        <f t="shared" ca="1" si="426"/>
        <v>2697.6264296553791</v>
      </c>
      <c r="AC877">
        <f t="shared" ca="1" si="427"/>
        <v>508.04766180569584</v>
      </c>
      <c r="AD877">
        <f t="shared" ca="1" si="428"/>
        <v>287.42845576980574</v>
      </c>
      <c r="AE877">
        <f t="shared" ca="1" si="429"/>
        <v>1046.5333307063806</v>
      </c>
      <c r="AF877">
        <f t="shared" ca="1" si="430"/>
        <v>508.28812256415631</v>
      </c>
      <c r="AG877">
        <f t="shared" ca="1" si="431"/>
        <v>0</v>
      </c>
      <c r="AH877">
        <f ca="1">IF(V32="Supercritical",L877,IF(V32="Subcritical",W877,IF(AND(V877=1,AG877=1),IF(T877&gt;=AE877,L877,W877),IF(V877=1,L877,IF(AG877=1,W877,MAX($D$16,POWER((ABS(K877)^2)/($I$5*MAX(F877,0.1)^2),1/3)))))))</f>
        <v>2.1776588541652817</v>
      </c>
      <c r="AI877">
        <f t="shared" ca="1" si="432"/>
        <v>634.37615885416528</v>
      </c>
      <c r="AJ877">
        <f t="shared" ca="1" si="433"/>
        <v>635.46498828124788</v>
      </c>
      <c r="AM877">
        <v>0</v>
      </c>
      <c r="AN877">
        <v>0</v>
      </c>
      <c r="AO877">
        <f t="shared" si="434"/>
        <v>0</v>
      </c>
      <c r="AP877">
        <f t="shared" si="443"/>
        <v>0</v>
      </c>
      <c r="AQ877">
        <f t="shared" ca="1" si="435"/>
        <v>1</v>
      </c>
      <c r="AR877" t="str">
        <f t="shared" ca="1" si="436"/>
        <v>Supercritical</v>
      </c>
      <c r="AS877">
        <f t="shared" ca="1" si="437"/>
        <v>3.8940126972412566E-3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191</v>
      </c>
      <c r="I878">
        <v>7.0000000000000007E-2</v>
      </c>
      <c r="J878">
        <f t="shared" si="438"/>
        <v>1</v>
      </c>
      <c r="K878">
        <f t="shared" si="439"/>
        <v>51</v>
      </c>
      <c r="L878">
        <f t="shared" ca="1" si="440"/>
        <v>0.05</v>
      </c>
      <c r="M878">
        <f t="shared" ca="1" si="413"/>
        <v>0.25335000000000002</v>
      </c>
      <c r="N878">
        <f t="shared" ca="1" si="414"/>
        <v>4.9032320495451913E-2</v>
      </c>
      <c r="O878">
        <f t="shared" ca="1" si="415"/>
        <v>201.30254588513912</v>
      </c>
      <c r="P878">
        <f t="shared" ca="1" si="416"/>
        <v>632.24799999999993</v>
      </c>
      <c r="Q878">
        <f t="shared" ca="1" si="417"/>
        <v>2697.6259296553794</v>
      </c>
      <c r="R878">
        <f t="shared" ca="1" si="418"/>
        <v>508.04766180569584</v>
      </c>
      <c r="S878">
        <f t="shared" ca="1" si="419"/>
        <v>287.42845576980574</v>
      </c>
      <c r="T878">
        <f t="shared" ca="1" si="420"/>
        <v>1046.5333307063806</v>
      </c>
      <c r="U878">
        <f t="shared" ca="1" si="441"/>
        <v>-508.28812256415631</v>
      </c>
      <c r="V878">
        <f t="shared" ca="1" si="442"/>
        <v>0</v>
      </c>
      <c r="W878">
        <f t="shared" ca="1" si="421"/>
        <v>0.05</v>
      </c>
      <c r="X878">
        <f t="shared" ca="1" si="422"/>
        <v>0.25335000000000002</v>
      </c>
      <c r="Y878">
        <f t="shared" ca="1" si="423"/>
        <v>4.9032320495451913E-2</v>
      </c>
      <c r="Z878">
        <f t="shared" ca="1" si="424"/>
        <v>201.30254588513912</v>
      </c>
      <c r="AA878">
        <f t="shared" ca="1" si="425"/>
        <v>632.24799999999993</v>
      </c>
      <c r="AB878">
        <f t="shared" ca="1" si="426"/>
        <v>2697.6259296553794</v>
      </c>
      <c r="AC878">
        <f t="shared" ca="1" si="427"/>
        <v>508.04766180569584</v>
      </c>
      <c r="AD878">
        <f t="shared" ca="1" si="428"/>
        <v>287.42845576980574</v>
      </c>
      <c r="AE878">
        <f t="shared" ca="1" si="429"/>
        <v>1046.5333307063806</v>
      </c>
      <c r="AF878">
        <f t="shared" ca="1" si="430"/>
        <v>508.28812256415586</v>
      </c>
      <c r="AG878">
        <f t="shared" ca="1" si="431"/>
        <v>0</v>
      </c>
      <c r="AH878">
        <f ca="1">IF(V32="Supercritical",L878,IF(V32="Subcritical",W878,IF(AND(V878=1,AG878=1),IF(T878&gt;=AE878,L878,W878),IF(V878=1,L878,IF(AG878=1,W878,MAX($D$16,POWER((ABS(K878)^2)/($I$5*MAX(F878,0.1)^2),1/3)))))))</f>
        <v>2.1776588541652817</v>
      </c>
      <c r="AI878">
        <f t="shared" ca="1" si="432"/>
        <v>634.37565885416529</v>
      </c>
      <c r="AJ878">
        <f t="shared" ca="1" si="433"/>
        <v>635.4644882812479</v>
      </c>
      <c r="AM878">
        <v>0</v>
      </c>
      <c r="AN878">
        <v>0</v>
      </c>
      <c r="AO878">
        <f t="shared" si="434"/>
        <v>0</v>
      </c>
      <c r="AP878">
        <f t="shared" si="443"/>
        <v>0</v>
      </c>
      <c r="AQ878">
        <f t="shared" ca="1" si="435"/>
        <v>1</v>
      </c>
      <c r="AR878" t="str">
        <f t="shared" ca="1" si="436"/>
        <v>Supercritical</v>
      </c>
      <c r="AS878">
        <f t="shared" ca="1" si="437"/>
        <v>3.8940126972412566E-3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191</v>
      </c>
      <c r="I879">
        <v>7.0000000000000007E-2</v>
      </c>
      <c r="J879">
        <f t="shared" si="438"/>
        <v>1</v>
      </c>
      <c r="K879">
        <f t="shared" si="439"/>
        <v>51</v>
      </c>
      <c r="L879">
        <f t="shared" ca="1" si="440"/>
        <v>0.05</v>
      </c>
      <c r="M879">
        <f t="shared" ca="1" si="413"/>
        <v>0.25335000000000002</v>
      </c>
      <c r="N879">
        <f t="shared" ca="1" si="414"/>
        <v>4.9032320495451913E-2</v>
      </c>
      <c r="O879">
        <f t="shared" ca="1" si="415"/>
        <v>201.30254588513912</v>
      </c>
      <c r="P879">
        <f t="shared" ca="1" si="416"/>
        <v>632.24749999999995</v>
      </c>
      <c r="Q879">
        <f t="shared" ca="1" si="417"/>
        <v>2697.6254296553793</v>
      </c>
      <c r="R879">
        <f t="shared" ca="1" si="418"/>
        <v>508.04766180569584</v>
      </c>
      <c r="S879">
        <f t="shared" ca="1" si="419"/>
        <v>287.42845576980574</v>
      </c>
      <c r="T879">
        <f t="shared" ca="1" si="420"/>
        <v>1046.5333307063806</v>
      </c>
      <c r="U879">
        <f t="shared" ca="1" si="441"/>
        <v>-508.28812256415586</v>
      </c>
      <c r="V879">
        <f t="shared" ca="1" si="442"/>
        <v>0</v>
      </c>
      <c r="W879">
        <f t="shared" ca="1" si="421"/>
        <v>0.05</v>
      </c>
      <c r="X879">
        <f t="shared" ca="1" si="422"/>
        <v>0.25335000000000002</v>
      </c>
      <c r="Y879">
        <f t="shared" ca="1" si="423"/>
        <v>4.9032320495451913E-2</v>
      </c>
      <c r="Z879">
        <f t="shared" ca="1" si="424"/>
        <v>201.30254588513912</v>
      </c>
      <c r="AA879">
        <f t="shared" ca="1" si="425"/>
        <v>632.24749999999995</v>
      </c>
      <c r="AB879">
        <f t="shared" ca="1" si="426"/>
        <v>2697.6254296553793</v>
      </c>
      <c r="AC879">
        <f t="shared" ca="1" si="427"/>
        <v>508.04766180569584</v>
      </c>
      <c r="AD879">
        <f t="shared" ca="1" si="428"/>
        <v>287.42845576980574</v>
      </c>
      <c r="AE879">
        <f t="shared" ca="1" si="429"/>
        <v>1046.5333307063806</v>
      </c>
      <c r="AF879">
        <f t="shared" ca="1" si="430"/>
        <v>508.2364881159142</v>
      </c>
      <c r="AG879">
        <f t="shared" ca="1" si="431"/>
        <v>0</v>
      </c>
      <c r="AH879">
        <f ca="1">IF(V32="Supercritical",L879,IF(V32="Subcritical",W879,IF(AND(V879=1,AG879=1),IF(T879&gt;=AE879,L879,W879),IF(V879=1,L879,IF(AG879=1,W879,MAX($D$16,POWER((ABS(K879)^2)/($I$5*MAX(F879,0.1)^2),1/3)))))))</f>
        <v>2.1776588541652817</v>
      </c>
      <c r="AI879">
        <f t="shared" ca="1" si="432"/>
        <v>634.37515885416531</v>
      </c>
      <c r="AJ879">
        <f t="shared" ca="1" si="433"/>
        <v>635.46398828124791</v>
      </c>
      <c r="AM879">
        <v>0</v>
      </c>
      <c r="AN879">
        <v>0</v>
      </c>
      <c r="AO879">
        <f t="shared" si="434"/>
        <v>0</v>
      </c>
      <c r="AP879">
        <f t="shared" si="443"/>
        <v>0</v>
      </c>
      <c r="AQ879">
        <f t="shared" ca="1" si="435"/>
        <v>1</v>
      </c>
      <c r="AR879" t="str">
        <f t="shared" ca="1" si="436"/>
        <v>Supercritical</v>
      </c>
      <c r="AS879">
        <f t="shared" ca="1" si="437"/>
        <v>3.8940126972412566E-3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191</v>
      </c>
      <c r="I880">
        <v>5.5E-2</v>
      </c>
      <c r="J880">
        <f t="shared" si="438"/>
        <v>1</v>
      </c>
      <c r="K880">
        <f t="shared" si="439"/>
        <v>51</v>
      </c>
      <c r="L880">
        <f t="shared" ca="1" si="440"/>
        <v>0.05</v>
      </c>
      <c r="M880">
        <f t="shared" ca="1" si="413"/>
        <v>0.25335000000000002</v>
      </c>
      <c r="N880">
        <f t="shared" ca="1" si="414"/>
        <v>4.9032320495451913E-2</v>
      </c>
      <c r="O880">
        <f t="shared" ca="1" si="415"/>
        <v>201.30254588513912</v>
      </c>
      <c r="P880">
        <f t="shared" ca="1" si="416"/>
        <v>632.24699999999996</v>
      </c>
      <c r="Q880">
        <f t="shared" ca="1" si="417"/>
        <v>2697.6249296553792</v>
      </c>
      <c r="R880">
        <f t="shared" ca="1" si="418"/>
        <v>508.04766180569584</v>
      </c>
      <c r="S880">
        <f t="shared" ca="1" si="419"/>
        <v>287.42845576980574</v>
      </c>
      <c r="T880">
        <f t="shared" ca="1" si="420"/>
        <v>1046.5333307063806</v>
      </c>
      <c r="U880">
        <f t="shared" ca="1" si="441"/>
        <v>-508.2364881159142</v>
      </c>
      <c r="V880">
        <f t="shared" ca="1" si="442"/>
        <v>0</v>
      </c>
      <c r="W880">
        <f t="shared" ca="1" si="421"/>
        <v>0.05</v>
      </c>
      <c r="X880">
        <f t="shared" ca="1" si="422"/>
        <v>0.25335000000000002</v>
      </c>
      <c r="Y880">
        <f t="shared" ca="1" si="423"/>
        <v>4.9032320495451913E-2</v>
      </c>
      <c r="Z880">
        <f t="shared" ca="1" si="424"/>
        <v>201.30254588513912</v>
      </c>
      <c r="AA880">
        <f t="shared" ca="1" si="425"/>
        <v>632.24699999999996</v>
      </c>
      <c r="AB880">
        <f t="shared" ca="1" si="426"/>
        <v>2697.6249296553792</v>
      </c>
      <c r="AC880">
        <f t="shared" ca="1" si="427"/>
        <v>508.04766180569584</v>
      </c>
      <c r="AD880">
        <f t="shared" ca="1" si="428"/>
        <v>287.42845576980574</v>
      </c>
      <c r="AE880">
        <f t="shared" ca="1" si="429"/>
        <v>1046.5333307063806</v>
      </c>
      <c r="AF880">
        <f t="shared" ca="1" si="430"/>
        <v>508.18485366767345</v>
      </c>
      <c r="AG880">
        <f t="shared" ca="1" si="431"/>
        <v>0</v>
      </c>
      <c r="AH880">
        <f ca="1">IF(V32="Supercritical",L880,IF(V32="Subcritical",W880,IF(AND(V880=1,AG880=1),IF(T880&gt;=AE880,L880,W880),IF(V880=1,L880,IF(AG880=1,W880,MAX($D$16,POWER((ABS(K880)^2)/($I$5*MAX(F880,0.1)^2),1/3)))))))</f>
        <v>2.1776588541652817</v>
      </c>
      <c r="AI880">
        <f t="shared" ca="1" si="432"/>
        <v>634.37465885416532</v>
      </c>
      <c r="AJ880">
        <f t="shared" ca="1" si="433"/>
        <v>635.46348828124792</v>
      </c>
      <c r="AM880">
        <v>0</v>
      </c>
      <c r="AN880">
        <v>0</v>
      </c>
      <c r="AO880">
        <f t="shared" si="434"/>
        <v>0</v>
      </c>
      <c r="AP880">
        <f t="shared" si="443"/>
        <v>0</v>
      </c>
      <c r="AQ880">
        <f t="shared" ca="1" si="435"/>
        <v>1</v>
      </c>
      <c r="AR880" t="str">
        <f t="shared" ca="1" si="436"/>
        <v>Supercritical</v>
      </c>
      <c r="AS880">
        <f t="shared" ca="1" si="437"/>
        <v>3.8940126972412566E-3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191</v>
      </c>
      <c r="I881">
        <v>0.04</v>
      </c>
      <c r="J881">
        <f t="shared" si="438"/>
        <v>1</v>
      </c>
      <c r="K881">
        <f t="shared" si="439"/>
        <v>51</v>
      </c>
      <c r="L881">
        <f t="shared" ca="1" si="440"/>
        <v>0.05</v>
      </c>
      <c r="M881">
        <f t="shared" ca="1" si="413"/>
        <v>0.25335000000000002</v>
      </c>
      <c r="N881">
        <f t="shared" ca="1" si="414"/>
        <v>4.9032320495451913E-2</v>
      </c>
      <c r="O881">
        <f t="shared" ca="1" si="415"/>
        <v>201.30254588513912</v>
      </c>
      <c r="P881">
        <f t="shared" ca="1" si="416"/>
        <v>632.24649999999997</v>
      </c>
      <c r="Q881">
        <f t="shared" ca="1" si="417"/>
        <v>2697.6244296553796</v>
      </c>
      <c r="R881">
        <f t="shared" ca="1" si="418"/>
        <v>508.04766180569584</v>
      </c>
      <c r="S881">
        <f t="shared" ca="1" si="419"/>
        <v>287.42845576980574</v>
      </c>
      <c r="T881">
        <f t="shared" ca="1" si="420"/>
        <v>1046.5333307063806</v>
      </c>
      <c r="U881">
        <f t="shared" ca="1" si="441"/>
        <v>-508.18485366767345</v>
      </c>
      <c r="V881">
        <f t="shared" ca="1" si="442"/>
        <v>0</v>
      </c>
      <c r="W881">
        <f t="shared" ca="1" si="421"/>
        <v>0.05</v>
      </c>
      <c r="X881">
        <f t="shared" ca="1" si="422"/>
        <v>0.25335000000000002</v>
      </c>
      <c r="Y881">
        <f t="shared" ca="1" si="423"/>
        <v>4.9032320495451913E-2</v>
      </c>
      <c r="Z881">
        <f t="shared" ca="1" si="424"/>
        <v>201.30254588513912</v>
      </c>
      <c r="AA881">
        <f t="shared" ca="1" si="425"/>
        <v>632.24649999999997</v>
      </c>
      <c r="AB881">
        <f t="shared" ca="1" si="426"/>
        <v>2697.6244296553796</v>
      </c>
      <c r="AC881">
        <f t="shared" ca="1" si="427"/>
        <v>508.04766180569584</v>
      </c>
      <c r="AD881">
        <f t="shared" ca="1" si="428"/>
        <v>287.42845576980574</v>
      </c>
      <c r="AE881">
        <f t="shared" ca="1" si="429"/>
        <v>1046.5333307063806</v>
      </c>
      <c r="AF881">
        <f t="shared" ca="1" si="430"/>
        <v>508.09879625393705</v>
      </c>
      <c r="AG881">
        <f t="shared" ca="1" si="431"/>
        <v>0</v>
      </c>
      <c r="AH881">
        <f ca="1">IF(V32="Supercritical",L881,IF(V32="Subcritical",W881,IF(AND(V881=1,AG881=1),IF(T881&gt;=AE881,L881,W881),IF(V881=1,L881,IF(AG881=1,W881,MAX($D$16,POWER((ABS(K881)^2)/($I$5*MAX(F881,0.1)^2),1/3)))))))</f>
        <v>2.1776588541652817</v>
      </c>
      <c r="AI881">
        <f t="shared" ca="1" si="432"/>
        <v>634.37415885416533</v>
      </c>
      <c r="AJ881">
        <f t="shared" ca="1" si="433"/>
        <v>635.46298828124793</v>
      </c>
      <c r="AM881">
        <v>0</v>
      </c>
      <c r="AN881">
        <v>0</v>
      </c>
      <c r="AO881">
        <f t="shared" si="434"/>
        <v>0</v>
      </c>
      <c r="AP881">
        <f t="shared" si="443"/>
        <v>0</v>
      </c>
      <c r="AQ881">
        <f t="shared" ca="1" si="435"/>
        <v>1</v>
      </c>
      <c r="AR881" t="str">
        <f t="shared" ca="1" si="436"/>
        <v>Supercritical</v>
      </c>
      <c r="AS881">
        <f t="shared" ca="1" si="437"/>
        <v>3.8940126972412566E-3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191</v>
      </c>
      <c r="I882">
        <v>1.4999999999999999E-2</v>
      </c>
      <c r="J882">
        <f t="shared" si="438"/>
        <v>1</v>
      </c>
      <c r="K882">
        <f t="shared" si="439"/>
        <v>51</v>
      </c>
      <c r="L882">
        <f t="shared" ca="1" si="440"/>
        <v>0.05</v>
      </c>
      <c r="M882">
        <f t="shared" ca="1" si="413"/>
        <v>0.25335000000000002</v>
      </c>
      <c r="N882">
        <f t="shared" ca="1" si="414"/>
        <v>4.9032320495451913E-2</v>
      </c>
      <c r="O882">
        <f t="shared" ca="1" si="415"/>
        <v>201.30254588513912</v>
      </c>
      <c r="P882">
        <f t="shared" ca="1" si="416"/>
        <v>632.24599999999998</v>
      </c>
      <c r="Q882">
        <f t="shared" ca="1" si="417"/>
        <v>2697.6239296553795</v>
      </c>
      <c r="R882">
        <f t="shared" ca="1" si="418"/>
        <v>508.04766180569584</v>
      </c>
      <c r="S882">
        <f t="shared" ca="1" si="419"/>
        <v>287.42845576980574</v>
      </c>
      <c r="T882">
        <f t="shared" ca="1" si="420"/>
        <v>1046.5333307063806</v>
      </c>
      <c r="U882">
        <f t="shared" ca="1" si="441"/>
        <v>-508.09879625393705</v>
      </c>
      <c r="V882">
        <f t="shared" ca="1" si="442"/>
        <v>0</v>
      </c>
      <c r="W882">
        <f t="shared" ca="1" si="421"/>
        <v>0.05</v>
      </c>
      <c r="X882">
        <f t="shared" ca="1" si="422"/>
        <v>0.25335000000000002</v>
      </c>
      <c r="Y882">
        <f t="shared" ca="1" si="423"/>
        <v>4.9032320495451913E-2</v>
      </c>
      <c r="Z882">
        <f t="shared" ca="1" si="424"/>
        <v>201.30254588513912</v>
      </c>
      <c r="AA882">
        <f t="shared" ca="1" si="425"/>
        <v>632.24599999999998</v>
      </c>
      <c r="AB882">
        <f t="shared" ca="1" si="426"/>
        <v>2697.6239296553795</v>
      </c>
      <c r="AC882">
        <f t="shared" ca="1" si="427"/>
        <v>508.04766180569584</v>
      </c>
      <c r="AD882">
        <f t="shared" ca="1" si="428"/>
        <v>287.42845576980574</v>
      </c>
      <c r="AE882">
        <f t="shared" ca="1" si="429"/>
        <v>1046.5333307063806</v>
      </c>
      <c r="AF882">
        <f t="shared" ca="1" si="430"/>
        <v>508.28812256415586</v>
      </c>
      <c r="AG882">
        <f t="shared" ca="1" si="431"/>
        <v>0</v>
      </c>
      <c r="AH882">
        <f ca="1">IF(V32="Supercritical",L882,IF(V32="Subcritical",W882,IF(AND(V882=1,AG882=1),IF(T882&gt;=AE882,L882,W882),IF(V882=1,L882,IF(AG882=1,W882,MAX($D$16,POWER((ABS(K882)^2)/($I$5*MAX(F882,0.1)^2),1/3)))))))</f>
        <v>2.1776588541652817</v>
      </c>
      <c r="AI882">
        <f t="shared" ca="1" si="432"/>
        <v>634.37365885416534</v>
      </c>
      <c r="AJ882">
        <f t="shared" ca="1" si="433"/>
        <v>635.46248828124794</v>
      </c>
      <c r="AM882">
        <v>0</v>
      </c>
      <c r="AN882">
        <v>0</v>
      </c>
      <c r="AO882">
        <f t="shared" si="434"/>
        <v>0</v>
      </c>
      <c r="AP882">
        <f t="shared" si="443"/>
        <v>0</v>
      </c>
      <c r="AQ882">
        <f t="shared" ca="1" si="435"/>
        <v>1</v>
      </c>
      <c r="AR882" t="str">
        <f t="shared" ca="1" si="436"/>
        <v>Supercritical</v>
      </c>
      <c r="AS882">
        <f t="shared" ca="1" si="437"/>
        <v>3.8940126972412566E-3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191</v>
      </c>
      <c r="I883">
        <v>7.0000000000000007E-2</v>
      </c>
      <c r="J883">
        <f t="shared" si="438"/>
        <v>1</v>
      </c>
      <c r="K883">
        <f t="shared" si="439"/>
        <v>51</v>
      </c>
      <c r="L883">
        <f t="shared" ca="1" si="440"/>
        <v>0.05</v>
      </c>
      <c r="M883">
        <f t="shared" ca="1" si="413"/>
        <v>0.25335000000000002</v>
      </c>
      <c r="N883">
        <f t="shared" ca="1" si="414"/>
        <v>4.9032320495451913E-2</v>
      </c>
      <c r="O883">
        <f t="shared" ca="1" si="415"/>
        <v>201.30254588513912</v>
      </c>
      <c r="P883">
        <f t="shared" ca="1" si="416"/>
        <v>632.24549999999999</v>
      </c>
      <c r="Q883">
        <f t="shared" ca="1" si="417"/>
        <v>2697.6234296553794</v>
      </c>
      <c r="R883">
        <f t="shared" ca="1" si="418"/>
        <v>508.04766180569584</v>
      </c>
      <c r="S883">
        <f t="shared" ca="1" si="419"/>
        <v>287.42845576980574</v>
      </c>
      <c r="T883">
        <f t="shared" ca="1" si="420"/>
        <v>1046.5333307063806</v>
      </c>
      <c r="U883">
        <f t="shared" ca="1" si="441"/>
        <v>-508.28812256415586</v>
      </c>
      <c r="V883">
        <f t="shared" ca="1" si="442"/>
        <v>0</v>
      </c>
      <c r="W883">
        <f t="shared" ca="1" si="421"/>
        <v>0.05</v>
      </c>
      <c r="X883">
        <f t="shared" ca="1" si="422"/>
        <v>0.25335000000000002</v>
      </c>
      <c r="Y883">
        <f t="shared" ca="1" si="423"/>
        <v>4.9032320495451913E-2</v>
      </c>
      <c r="Z883">
        <f t="shared" ca="1" si="424"/>
        <v>201.30254588513912</v>
      </c>
      <c r="AA883">
        <f t="shared" ca="1" si="425"/>
        <v>632.24549999999999</v>
      </c>
      <c r="AB883">
        <f t="shared" ca="1" si="426"/>
        <v>2697.6234296553794</v>
      </c>
      <c r="AC883">
        <f t="shared" ca="1" si="427"/>
        <v>508.04766180569584</v>
      </c>
      <c r="AD883">
        <f t="shared" ca="1" si="428"/>
        <v>287.42845576980574</v>
      </c>
      <c r="AE883">
        <f t="shared" ca="1" si="429"/>
        <v>1046.5333307063806</v>
      </c>
      <c r="AF883">
        <f t="shared" ca="1" si="430"/>
        <v>508.79617022600723</v>
      </c>
      <c r="AG883">
        <f t="shared" ca="1" si="431"/>
        <v>0</v>
      </c>
      <c r="AH883">
        <f ca="1">IF(V32="Supercritical",L883,IF(V32="Subcritical",W883,IF(AND(V883=1,AG883=1),IF(T883&gt;=AE883,L883,W883),IF(V883=1,L883,IF(AG883=1,W883,MAX($D$16,POWER((ABS(K883)^2)/($I$5*MAX(F883,0.1)^2),1/3)))))))</f>
        <v>2.1776588541652817</v>
      </c>
      <c r="AI883">
        <f t="shared" ca="1" si="432"/>
        <v>634.37315885416535</v>
      </c>
      <c r="AJ883">
        <f t="shared" ca="1" si="433"/>
        <v>635.46198828124795</v>
      </c>
      <c r="AM883">
        <v>0</v>
      </c>
      <c r="AN883">
        <v>0</v>
      </c>
      <c r="AO883">
        <f t="shared" si="434"/>
        <v>0</v>
      </c>
      <c r="AP883">
        <f t="shared" si="443"/>
        <v>0</v>
      </c>
      <c r="AQ883">
        <f t="shared" ca="1" si="435"/>
        <v>1</v>
      </c>
      <c r="AR883" t="str">
        <f t="shared" ca="1" si="436"/>
        <v>Supercritical</v>
      </c>
      <c r="AS883">
        <f t="shared" ca="1" si="437"/>
        <v>3.8940126972412566E-3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191</v>
      </c>
      <c r="I884">
        <v>7.0000000000000007E-2</v>
      </c>
      <c r="J884">
        <f t="shared" si="438"/>
        <v>1.00100000000009</v>
      </c>
      <c r="K884">
        <f t="shared" si="439"/>
        <v>51</v>
      </c>
      <c r="L884">
        <f t="shared" ca="1" si="440"/>
        <v>0.05</v>
      </c>
      <c r="M884">
        <f t="shared" ca="1" si="413"/>
        <v>0.25335000000000002</v>
      </c>
      <c r="N884">
        <f t="shared" ca="1" si="414"/>
        <v>4.9032320495451913E-2</v>
      </c>
      <c r="O884">
        <f t="shared" ca="1" si="415"/>
        <v>201.30254588513912</v>
      </c>
      <c r="P884">
        <f t="shared" ca="1" si="416"/>
        <v>632.245</v>
      </c>
      <c r="Q884">
        <f t="shared" ca="1" si="417"/>
        <v>2697.6229296553793</v>
      </c>
      <c r="R884">
        <f t="shared" ca="1" si="418"/>
        <v>508.04766180569584</v>
      </c>
      <c r="S884">
        <f t="shared" ca="1" si="419"/>
        <v>287.42845576980574</v>
      </c>
      <c r="T884">
        <f t="shared" ca="1" si="420"/>
        <v>1046.5333307063806</v>
      </c>
      <c r="U884">
        <f t="shared" ca="1" si="441"/>
        <v>-508.79617022600723</v>
      </c>
      <c r="V884">
        <f t="shared" ca="1" si="442"/>
        <v>0</v>
      </c>
      <c r="W884">
        <f t="shared" ca="1" si="421"/>
        <v>0.05</v>
      </c>
      <c r="X884">
        <f t="shared" ca="1" si="422"/>
        <v>0.25335000000000002</v>
      </c>
      <c r="Y884">
        <f t="shared" ca="1" si="423"/>
        <v>4.9032320495451913E-2</v>
      </c>
      <c r="Z884">
        <f t="shared" ca="1" si="424"/>
        <v>201.30254588513912</v>
      </c>
      <c r="AA884">
        <f t="shared" ca="1" si="425"/>
        <v>632.245</v>
      </c>
      <c r="AB884">
        <f t="shared" ca="1" si="426"/>
        <v>2697.6229296553793</v>
      </c>
      <c r="AC884">
        <f t="shared" ca="1" si="427"/>
        <v>508.04766180569584</v>
      </c>
      <c r="AD884">
        <f t="shared" ca="1" si="428"/>
        <v>287.42845576980574</v>
      </c>
      <c r="AE884">
        <f t="shared" ca="1" si="429"/>
        <v>1046.5333307063806</v>
      </c>
      <c r="AF884">
        <f t="shared" ca="1" si="430"/>
        <v>507.72844045406282</v>
      </c>
      <c r="AG884">
        <f t="shared" ca="1" si="431"/>
        <v>0</v>
      </c>
      <c r="AH884">
        <f ca="1">IF(V32="Supercritical",L884,IF(V32="Subcritical",W884,IF(AND(V884=1,AG884=1),IF(T884&gt;=AE884,L884,W884),IF(V884=1,L884,IF(AG884=1,W884,MAX($D$16,POWER((ABS(K884)^2)/($I$5*MAX(F884,0.1)^2),1/3)))))))</f>
        <v>2.1776588541652817</v>
      </c>
      <c r="AI884">
        <f t="shared" ca="1" si="432"/>
        <v>634.37265885416537</v>
      </c>
      <c r="AJ884">
        <f t="shared" ca="1" si="433"/>
        <v>635.46148828124797</v>
      </c>
      <c r="AM884">
        <v>0</v>
      </c>
      <c r="AN884">
        <v>0</v>
      </c>
      <c r="AO884">
        <f t="shared" si="434"/>
        <v>0</v>
      </c>
      <c r="AP884">
        <f t="shared" si="443"/>
        <v>0</v>
      </c>
      <c r="AQ884">
        <f t="shared" ca="1" si="435"/>
        <v>1</v>
      </c>
      <c r="AR884" t="str">
        <f t="shared" ca="1" si="436"/>
        <v>Supercritical</v>
      </c>
      <c r="AS884">
        <f t="shared" ca="1" si="437"/>
        <v>3.8940126972412566E-3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191</v>
      </c>
      <c r="I885">
        <v>5.5E-2</v>
      </c>
      <c r="J885">
        <f t="shared" si="438"/>
        <v>0.99899999999990996</v>
      </c>
      <c r="K885">
        <f t="shared" si="439"/>
        <v>51</v>
      </c>
      <c r="L885">
        <f t="shared" ca="1" si="440"/>
        <v>0.05</v>
      </c>
      <c r="M885">
        <f t="shared" ca="1" si="413"/>
        <v>0.25335000000000002</v>
      </c>
      <c r="N885">
        <f t="shared" ca="1" si="414"/>
        <v>4.9032320495451913E-2</v>
      </c>
      <c r="O885">
        <f t="shared" ca="1" si="415"/>
        <v>201.30254588513912</v>
      </c>
      <c r="P885">
        <f t="shared" ca="1" si="416"/>
        <v>632.2444999999999</v>
      </c>
      <c r="Q885">
        <f t="shared" ca="1" si="417"/>
        <v>2697.6224296553792</v>
      </c>
      <c r="R885">
        <f t="shared" ca="1" si="418"/>
        <v>508.04766180569584</v>
      </c>
      <c r="S885">
        <f t="shared" ca="1" si="419"/>
        <v>287.42845576980574</v>
      </c>
      <c r="T885">
        <f t="shared" ca="1" si="420"/>
        <v>1046.5333307063806</v>
      </c>
      <c r="U885">
        <f t="shared" ca="1" si="441"/>
        <v>-507.72844045406282</v>
      </c>
      <c r="V885">
        <f t="shared" ca="1" si="442"/>
        <v>0</v>
      </c>
      <c r="W885">
        <f t="shared" ca="1" si="421"/>
        <v>0.05</v>
      </c>
      <c r="X885">
        <f t="shared" ca="1" si="422"/>
        <v>0.25335000000000002</v>
      </c>
      <c r="Y885">
        <f t="shared" ca="1" si="423"/>
        <v>4.9032320495451913E-2</v>
      </c>
      <c r="Z885">
        <f t="shared" ca="1" si="424"/>
        <v>201.30254588513912</v>
      </c>
      <c r="AA885">
        <f t="shared" ca="1" si="425"/>
        <v>632.2444999999999</v>
      </c>
      <c r="AB885">
        <f t="shared" ca="1" si="426"/>
        <v>2697.6224296553792</v>
      </c>
      <c r="AC885">
        <f t="shared" ca="1" si="427"/>
        <v>508.04766180569584</v>
      </c>
      <c r="AD885">
        <f t="shared" ca="1" si="428"/>
        <v>287.42845576980574</v>
      </c>
      <c r="AE885">
        <f t="shared" ca="1" si="429"/>
        <v>1046.5333307063806</v>
      </c>
      <c r="AF885">
        <f t="shared" ca="1" si="430"/>
        <v>508.184853667673</v>
      </c>
      <c r="AG885">
        <f t="shared" ca="1" si="431"/>
        <v>0</v>
      </c>
      <c r="AH885">
        <f ca="1">IF(V32="Supercritical",L885,IF(V32="Subcritical",W885,IF(AND(V885=1,AG885=1),IF(T885&gt;=AE885,L885,W885),IF(V885=1,L885,IF(AG885=1,W885,MAX($D$16,POWER((ABS(K885)^2)/($I$5*MAX(F885,0.1)^2),1/3)))))))</f>
        <v>2.1776588541652817</v>
      </c>
      <c r="AI885">
        <f t="shared" ca="1" si="432"/>
        <v>634.37215885416526</v>
      </c>
      <c r="AJ885">
        <f t="shared" ca="1" si="433"/>
        <v>635.46098828124786</v>
      </c>
      <c r="AM885">
        <v>0</v>
      </c>
      <c r="AN885">
        <v>0</v>
      </c>
      <c r="AO885">
        <f t="shared" si="434"/>
        <v>0</v>
      </c>
      <c r="AP885">
        <f t="shared" si="443"/>
        <v>0</v>
      </c>
      <c r="AQ885">
        <f t="shared" ca="1" si="435"/>
        <v>1</v>
      </c>
      <c r="AR885" t="str">
        <f t="shared" ca="1" si="436"/>
        <v>Supercritical</v>
      </c>
      <c r="AS885">
        <f t="shared" ca="1" si="437"/>
        <v>3.8940126972412566E-3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191</v>
      </c>
      <c r="I886">
        <v>0.04</v>
      </c>
      <c r="J886">
        <f t="shared" si="438"/>
        <v>1</v>
      </c>
      <c r="K886">
        <f t="shared" si="439"/>
        <v>51</v>
      </c>
      <c r="L886">
        <f t="shared" ca="1" si="440"/>
        <v>0.05</v>
      </c>
      <c r="M886">
        <f t="shared" ca="1" si="413"/>
        <v>0.25335000000000002</v>
      </c>
      <c r="N886">
        <f t="shared" ca="1" si="414"/>
        <v>4.9032320495451913E-2</v>
      </c>
      <c r="O886">
        <f t="shared" ca="1" si="415"/>
        <v>201.30254588513912</v>
      </c>
      <c r="P886">
        <f t="shared" ca="1" si="416"/>
        <v>632.24399999999991</v>
      </c>
      <c r="Q886">
        <f t="shared" ca="1" si="417"/>
        <v>2697.6219296553791</v>
      </c>
      <c r="R886">
        <f t="shared" ca="1" si="418"/>
        <v>508.04766180569584</v>
      </c>
      <c r="S886">
        <f t="shared" ca="1" si="419"/>
        <v>287.42845576980574</v>
      </c>
      <c r="T886">
        <f t="shared" ca="1" si="420"/>
        <v>1046.5333307063806</v>
      </c>
      <c r="U886">
        <f t="shared" ca="1" si="441"/>
        <v>-508.184853667673</v>
      </c>
      <c r="V886">
        <f t="shared" ca="1" si="442"/>
        <v>0</v>
      </c>
      <c r="W886">
        <f t="shared" ca="1" si="421"/>
        <v>0.05</v>
      </c>
      <c r="X886">
        <f t="shared" ca="1" si="422"/>
        <v>0.25335000000000002</v>
      </c>
      <c r="Y886">
        <f t="shared" ca="1" si="423"/>
        <v>4.9032320495451913E-2</v>
      </c>
      <c r="Z886">
        <f t="shared" ca="1" si="424"/>
        <v>201.30254588513912</v>
      </c>
      <c r="AA886">
        <f t="shared" ca="1" si="425"/>
        <v>632.24399999999991</v>
      </c>
      <c r="AB886">
        <f t="shared" ca="1" si="426"/>
        <v>2697.6219296553791</v>
      </c>
      <c r="AC886">
        <f t="shared" ca="1" si="427"/>
        <v>508.04766180569584</v>
      </c>
      <c r="AD886">
        <f t="shared" ca="1" si="428"/>
        <v>287.42845576980574</v>
      </c>
      <c r="AE886">
        <f t="shared" ca="1" si="429"/>
        <v>1046.5333307063806</v>
      </c>
      <c r="AF886">
        <f t="shared" ca="1" si="430"/>
        <v>508.60684391578889</v>
      </c>
      <c r="AG886">
        <f t="shared" ca="1" si="431"/>
        <v>0</v>
      </c>
      <c r="AH886">
        <f ca="1">IF(V32="Supercritical",L886,IF(V32="Subcritical",W886,IF(AND(V886=1,AG886=1),IF(T886&gt;=AE886,L886,W886),IF(V886=1,L886,IF(AG886=1,W886,MAX($D$16,POWER((ABS(K886)^2)/($I$5*MAX(F886,0.1)^2),1/3)))))))</f>
        <v>2.1776588541652817</v>
      </c>
      <c r="AI886">
        <f t="shared" ca="1" si="432"/>
        <v>634.37165885416528</v>
      </c>
      <c r="AJ886">
        <f t="shared" ca="1" si="433"/>
        <v>635.46048828124788</v>
      </c>
      <c r="AM886">
        <v>0</v>
      </c>
      <c r="AN886">
        <v>0</v>
      </c>
      <c r="AO886">
        <f t="shared" si="434"/>
        <v>0</v>
      </c>
      <c r="AP886">
        <f t="shared" si="443"/>
        <v>0</v>
      </c>
      <c r="AQ886">
        <f t="shared" ca="1" si="435"/>
        <v>1</v>
      </c>
      <c r="AR886" t="str">
        <f t="shared" ca="1" si="436"/>
        <v>Supercritical</v>
      </c>
      <c r="AS886">
        <f t="shared" ca="1" si="437"/>
        <v>3.8940126972412566E-3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191</v>
      </c>
      <c r="I887">
        <v>1.4999999999999999E-2</v>
      </c>
      <c r="J887">
        <f t="shared" si="438"/>
        <v>1.00100000000009</v>
      </c>
      <c r="K887">
        <f t="shared" si="439"/>
        <v>51</v>
      </c>
      <c r="L887">
        <f t="shared" ca="1" si="440"/>
        <v>0.05</v>
      </c>
      <c r="M887">
        <f t="shared" ca="1" si="413"/>
        <v>0.25335000000000002</v>
      </c>
      <c r="N887">
        <f t="shared" ca="1" si="414"/>
        <v>4.9032320495451913E-2</v>
      </c>
      <c r="O887">
        <f t="shared" ca="1" si="415"/>
        <v>201.30254588513912</v>
      </c>
      <c r="P887">
        <f t="shared" ca="1" si="416"/>
        <v>632.24349999999993</v>
      </c>
      <c r="Q887">
        <f t="shared" ca="1" si="417"/>
        <v>2697.6214296553794</v>
      </c>
      <c r="R887">
        <f t="shared" ca="1" si="418"/>
        <v>508.04766180569584</v>
      </c>
      <c r="S887">
        <f t="shared" ca="1" si="419"/>
        <v>287.42845576980574</v>
      </c>
      <c r="T887">
        <f t="shared" ca="1" si="420"/>
        <v>1046.5333307063806</v>
      </c>
      <c r="U887">
        <f t="shared" ca="1" si="441"/>
        <v>-508.60684391578889</v>
      </c>
      <c r="V887">
        <f t="shared" ca="1" si="442"/>
        <v>0</v>
      </c>
      <c r="W887">
        <f t="shared" ca="1" si="421"/>
        <v>0.05</v>
      </c>
      <c r="X887">
        <f t="shared" ca="1" si="422"/>
        <v>0.25335000000000002</v>
      </c>
      <c r="Y887">
        <f t="shared" ca="1" si="423"/>
        <v>4.9032320495451913E-2</v>
      </c>
      <c r="Z887">
        <f t="shared" ca="1" si="424"/>
        <v>201.30254588513912</v>
      </c>
      <c r="AA887">
        <f t="shared" ca="1" si="425"/>
        <v>632.24349999999993</v>
      </c>
      <c r="AB887">
        <f t="shared" ca="1" si="426"/>
        <v>2697.6214296553794</v>
      </c>
      <c r="AC887">
        <f t="shared" ca="1" si="427"/>
        <v>508.04766180569584</v>
      </c>
      <c r="AD887">
        <f t="shared" ca="1" si="428"/>
        <v>287.42845576980574</v>
      </c>
      <c r="AE887">
        <f t="shared" ca="1" si="429"/>
        <v>1046.5333307063806</v>
      </c>
      <c r="AF887">
        <f t="shared" ca="1" si="430"/>
        <v>507.72844045406282</v>
      </c>
      <c r="AG887">
        <f t="shared" ca="1" si="431"/>
        <v>0</v>
      </c>
      <c r="AH887">
        <f ca="1">IF(V32="Supercritical",L887,IF(V32="Subcritical",W887,IF(AND(V887=1,AG887=1),IF(T887&gt;=AE887,L887,W887),IF(V887=1,L887,IF(AG887=1,W887,MAX($D$16,POWER((ABS(K887)^2)/($I$5*MAX(F887,0.1)^2),1/3)))))))</f>
        <v>2.1776588541652817</v>
      </c>
      <c r="AI887">
        <f t="shared" ca="1" si="432"/>
        <v>634.37115885416529</v>
      </c>
      <c r="AJ887">
        <f t="shared" ca="1" si="433"/>
        <v>635.45998828124789</v>
      </c>
      <c r="AM887">
        <v>0</v>
      </c>
      <c r="AN887">
        <v>0</v>
      </c>
      <c r="AO887">
        <f t="shared" si="434"/>
        <v>0</v>
      </c>
      <c r="AP887">
        <f t="shared" si="443"/>
        <v>0</v>
      </c>
      <c r="AQ887">
        <f t="shared" ca="1" si="435"/>
        <v>1</v>
      </c>
      <c r="AR887" t="str">
        <f t="shared" ca="1" si="436"/>
        <v>Supercritical</v>
      </c>
      <c r="AS887">
        <f t="shared" ca="1" si="437"/>
        <v>3.8940126972412566E-3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191</v>
      </c>
      <c r="I888">
        <v>5.5E-2</v>
      </c>
      <c r="J888">
        <f t="shared" si="438"/>
        <v>0.99899999999990996</v>
      </c>
      <c r="K888">
        <f t="shared" si="439"/>
        <v>51</v>
      </c>
      <c r="L888">
        <f t="shared" ca="1" si="440"/>
        <v>0.05</v>
      </c>
      <c r="M888">
        <f t="shared" ca="1" si="413"/>
        <v>0.25335000000000002</v>
      </c>
      <c r="N888">
        <f t="shared" ca="1" si="414"/>
        <v>4.9032320495451913E-2</v>
      </c>
      <c r="O888">
        <f t="shared" ca="1" si="415"/>
        <v>201.30254588513912</v>
      </c>
      <c r="P888">
        <f t="shared" ca="1" si="416"/>
        <v>632.24299999999994</v>
      </c>
      <c r="Q888">
        <f t="shared" ca="1" si="417"/>
        <v>2697.6209296553793</v>
      </c>
      <c r="R888">
        <f t="shared" ca="1" si="418"/>
        <v>508.04766180569584</v>
      </c>
      <c r="S888">
        <f t="shared" ca="1" si="419"/>
        <v>287.42845576980574</v>
      </c>
      <c r="T888">
        <f t="shared" ca="1" si="420"/>
        <v>1046.5333307063806</v>
      </c>
      <c r="U888">
        <f t="shared" ca="1" si="441"/>
        <v>-507.72844045406282</v>
      </c>
      <c r="V888">
        <f t="shared" ca="1" si="442"/>
        <v>0</v>
      </c>
      <c r="W888">
        <f t="shared" ca="1" si="421"/>
        <v>0.05</v>
      </c>
      <c r="X888">
        <f t="shared" ca="1" si="422"/>
        <v>0.25335000000000002</v>
      </c>
      <c r="Y888">
        <f t="shared" ca="1" si="423"/>
        <v>4.9032320495451913E-2</v>
      </c>
      <c r="Z888">
        <f t="shared" ca="1" si="424"/>
        <v>201.30254588513912</v>
      </c>
      <c r="AA888">
        <f t="shared" ca="1" si="425"/>
        <v>632.24299999999994</v>
      </c>
      <c r="AB888">
        <f t="shared" ca="1" si="426"/>
        <v>2697.6209296553793</v>
      </c>
      <c r="AC888">
        <f t="shared" ca="1" si="427"/>
        <v>508.04766180569584</v>
      </c>
      <c r="AD888">
        <f t="shared" ca="1" si="428"/>
        <v>287.42845576980574</v>
      </c>
      <c r="AE888">
        <f t="shared" ca="1" si="429"/>
        <v>1046.5333307063806</v>
      </c>
      <c r="AF888">
        <f t="shared" ca="1" si="430"/>
        <v>508.184853667673</v>
      </c>
      <c r="AG888">
        <f t="shared" ca="1" si="431"/>
        <v>0</v>
      </c>
      <c r="AH888">
        <f ca="1">IF(V32="Supercritical",L888,IF(V32="Subcritical",W888,IF(AND(V888=1,AG888=1),IF(T888&gt;=AE888,L888,W888),IF(V888=1,L888,IF(AG888=1,W888,MAX($D$16,POWER((ABS(K888)^2)/($I$5*MAX(F888,0.1)^2),1/3)))))))</f>
        <v>2.1776588541652817</v>
      </c>
      <c r="AI888">
        <f t="shared" ca="1" si="432"/>
        <v>634.3706588541653</v>
      </c>
      <c r="AJ888">
        <f t="shared" ca="1" si="433"/>
        <v>635.4594882812479</v>
      </c>
      <c r="AM888">
        <v>0</v>
      </c>
      <c r="AN888">
        <v>0</v>
      </c>
      <c r="AO888">
        <f t="shared" si="434"/>
        <v>0</v>
      </c>
      <c r="AP888">
        <f t="shared" si="443"/>
        <v>0</v>
      </c>
      <c r="AQ888">
        <f t="shared" ca="1" si="435"/>
        <v>1</v>
      </c>
      <c r="AR888" t="str">
        <f t="shared" ca="1" si="436"/>
        <v>Supercritical</v>
      </c>
      <c r="AS888">
        <f t="shared" ca="1" si="437"/>
        <v>3.8940126972412566E-3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191</v>
      </c>
      <c r="I889">
        <v>0.04</v>
      </c>
      <c r="J889">
        <f t="shared" si="438"/>
        <v>1</v>
      </c>
      <c r="K889">
        <f t="shared" si="439"/>
        <v>51</v>
      </c>
      <c r="L889">
        <f t="shared" ca="1" si="440"/>
        <v>0.05</v>
      </c>
      <c r="M889">
        <f t="shared" ca="1" si="413"/>
        <v>0.25335000000000002</v>
      </c>
      <c r="N889">
        <f t="shared" ca="1" si="414"/>
        <v>4.9032320495451913E-2</v>
      </c>
      <c r="O889">
        <f t="shared" ca="1" si="415"/>
        <v>201.30254588513912</v>
      </c>
      <c r="P889">
        <f t="shared" ca="1" si="416"/>
        <v>632.24249999999995</v>
      </c>
      <c r="Q889">
        <f t="shared" ca="1" si="417"/>
        <v>2697.6204296553792</v>
      </c>
      <c r="R889">
        <f t="shared" ca="1" si="418"/>
        <v>508.04766180569584</v>
      </c>
      <c r="S889">
        <f t="shared" ca="1" si="419"/>
        <v>287.42845576980574</v>
      </c>
      <c r="T889">
        <f t="shared" ca="1" si="420"/>
        <v>1046.5333307063806</v>
      </c>
      <c r="U889">
        <f t="shared" ca="1" si="441"/>
        <v>-508.184853667673</v>
      </c>
      <c r="V889">
        <f t="shared" ca="1" si="442"/>
        <v>0</v>
      </c>
      <c r="W889">
        <f t="shared" ca="1" si="421"/>
        <v>0.05</v>
      </c>
      <c r="X889">
        <f t="shared" ca="1" si="422"/>
        <v>0.25335000000000002</v>
      </c>
      <c r="Y889">
        <f t="shared" ca="1" si="423"/>
        <v>4.9032320495451913E-2</v>
      </c>
      <c r="Z889">
        <f t="shared" ca="1" si="424"/>
        <v>201.30254588513912</v>
      </c>
      <c r="AA889">
        <f t="shared" ca="1" si="425"/>
        <v>632.24249999999995</v>
      </c>
      <c r="AB889">
        <f t="shared" ca="1" si="426"/>
        <v>2697.6204296553792</v>
      </c>
      <c r="AC889">
        <f t="shared" ca="1" si="427"/>
        <v>508.04766180569584</v>
      </c>
      <c r="AD889">
        <f t="shared" ca="1" si="428"/>
        <v>287.42845576980574</v>
      </c>
      <c r="AE889">
        <f t="shared" ca="1" si="429"/>
        <v>1046.5333307063806</v>
      </c>
      <c r="AF889">
        <f t="shared" ca="1" si="430"/>
        <v>508.18485366767345</v>
      </c>
      <c r="AG889">
        <f t="shared" ca="1" si="431"/>
        <v>0</v>
      </c>
      <c r="AH889">
        <f ca="1">IF(V32="Supercritical",L889,IF(V32="Subcritical",W889,IF(AND(V889=1,AG889=1),IF(T889&gt;=AE889,L889,W889),IF(V889=1,L889,IF(AG889=1,W889,MAX($D$16,POWER((ABS(K889)^2)/($I$5*MAX(F889,0.1)^2),1/3)))))))</f>
        <v>2.1776588541652817</v>
      </c>
      <c r="AI889">
        <f t="shared" ca="1" si="432"/>
        <v>634.37015885416531</v>
      </c>
      <c r="AJ889">
        <f t="shared" ca="1" si="433"/>
        <v>635.45898828124791</v>
      </c>
      <c r="AM889">
        <v>0</v>
      </c>
      <c r="AN889">
        <v>0</v>
      </c>
      <c r="AO889">
        <f t="shared" si="434"/>
        <v>0</v>
      </c>
      <c r="AP889">
        <f t="shared" si="443"/>
        <v>0</v>
      </c>
      <c r="AQ889">
        <f t="shared" ca="1" si="435"/>
        <v>1</v>
      </c>
      <c r="AR889" t="str">
        <f t="shared" ca="1" si="436"/>
        <v>Supercritical</v>
      </c>
      <c r="AS889">
        <f t="shared" ca="1" si="437"/>
        <v>3.8940126972412566E-3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191</v>
      </c>
      <c r="I890">
        <v>0.04</v>
      </c>
      <c r="J890">
        <f t="shared" si="438"/>
        <v>1</v>
      </c>
      <c r="K890">
        <f t="shared" si="439"/>
        <v>51</v>
      </c>
      <c r="L890">
        <f t="shared" ca="1" si="440"/>
        <v>0.05</v>
      </c>
      <c r="M890">
        <f t="shared" ca="1" si="413"/>
        <v>0.25335000000000002</v>
      </c>
      <c r="N890">
        <f t="shared" ca="1" si="414"/>
        <v>4.9032320495451913E-2</v>
      </c>
      <c r="O890">
        <f t="shared" ca="1" si="415"/>
        <v>201.30254588513912</v>
      </c>
      <c r="P890">
        <f t="shared" ca="1" si="416"/>
        <v>632.24199999999996</v>
      </c>
      <c r="Q890">
        <f t="shared" ca="1" si="417"/>
        <v>2697.6199296553796</v>
      </c>
      <c r="R890">
        <f t="shared" ca="1" si="418"/>
        <v>508.04766180569584</v>
      </c>
      <c r="S890">
        <f t="shared" ca="1" si="419"/>
        <v>287.42845576980574</v>
      </c>
      <c r="T890">
        <f t="shared" ca="1" si="420"/>
        <v>1046.5333307063806</v>
      </c>
      <c r="U890">
        <f t="shared" ca="1" si="441"/>
        <v>-508.18485366767345</v>
      </c>
      <c r="V890">
        <f t="shared" ca="1" si="442"/>
        <v>0</v>
      </c>
      <c r="W890">
        <f t="shared" ca="1" si="421"/>
        <v>0.05</v>
      </c>
      <c r="X890">
        <f t="shared" ca="1" si="422"/>
        <v>0.25335000000000002</v>
      </c>
      <c r="Y890">
        <f t="shared" ca="1" si="423"/>
        <v>4.9032320495451913E-2</v>
      </c>
      <c r="Z890">
        <f t="shared" ca="1" si="424"/>
        <v>201.30254588513912</v>
      </c>
      <c r="AA890">
        <f t="shared" ca="1" si="425"/>
        <v>632.24199999999996</v>
      </c>
      <c r="AB890">
        <f t="shared" ca="1" si="426"/>
        <v>2697.6199296553796</v>
      </c>
      <c r="AC890">
        <f t="shared" ca="1" si="427"/>
        <v>508.04766180569584</v>
      </c>
      <c r="AD890">
        <f t="shared" ca="1" si="428"/>
        <v>287.42845576980574</v>
      </c>
      <c r="AE890">
        <f t="shared" ca="1" si="429"/>
        <v>1046.5333307063806</v>
      </c>
      <c r="AF890">
        <f t="shared" ca="1" si="430"/>
        <v>508.2364881159142</v>
      </c>
      <c r="AG890">
        <f t="shared" ca="1" si="431"/>
        <v>0</v>
      </c>
      <c r="AH890">
        <f ca="1">IF(V32="Supercritical",L890,IF(V32="Subcritical",W890,IF(AND(V890=1,AG890=1),IF(T890&gt;=AE890,L890,W890),IF(V890=1,L890,IF(AG890=1,W890,MAX($D$16,POWER((ABS(K890)^2)/($I$5*MAX(F890,0.1)^2),1/3)))))))</f>
        <v>2.1776588541652817</v>
      </c>
      <c r="AI890">
        <f t="shared" ca="1" si="432"/>
        <v>634.36965885416532</v>
      </c>
      <c r="AJ890">
        <f t="shared" ca="1" si="433"/>
        <v>635.45848828124792</v>
      </c>
      <c r="AM890">
        <v>0</v>
      </c>
      <c r="AN890">
        <v>0</v>
      </c>
      <c r="AO890">
        <f t="shared" si="434"/>
        <v>0</v>
      </c>
      <c r="AP890">
        <f t="shared" si="443"/>
        <v>0</v>
      </c>
      <c r="AQ890">
        <f t="shared" ca="1" si="435"/>
        <v>1</v>
      </c>
      <c r="AR890" t="str">
        <f t="shared" ca="1" si="436"/>
        <v>Supercritical</v>
      </c>
      <c r="AS890">
        <f t="shared" ca="1" si="437"/>
        <v>3.8940126972412566E-3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191</v>
      </c>
      <c r="I891">
        <v>5.5E-2</v>
      </c>
      <c r="J891">
        <f t="shared" si="438"/>
        <v>1</v>
      </c>
      <c r="K891">
        <f t="shared" si="439"/>
        <v>51</v>
      </c>
      <c r="L891">
        <f t="shared" ca="1" si="440"/>
        <v>0.05</v>
      </c>
      <c r="M891">
        <f t="shared" ca="1" si="413"/>
        <v>0.25335000000000002</v>
      </c>
      <c r="N891">
        <f t="shared" ca="1" si="414"/>
        <v>4.9032320495451913E-2</v>
      </c>
      <c r="O891">
        <f t="shared" ca="1" si="415"/>
        <v>201.30254588513912</v>
      </c>
      <c r="P891">
        <f t="shared" ca="1" si="416"/>
        <v>632.24149999999997</v>
      </c>
      <c r="Q891">
        <f t="shared" ca="1" si="417"/>
        <v>2697.6194296553795</v>
      </c>
      <c r="R891">
        <f t="shared" ca="1" si="418"/>
        <v>508.04766180569584</v>
      </c>
      <c r="S891">
        <f t="shared" ca="1" si="419"/>
        <v>287.42845576980574</v>
      </c>
      <c r="T891">
        <f t="shared" ca="1" si="420"/>
        <v>1046.5333307063806</v>
      </c>
      <c r="U891">
        <f t="shared" ca="1" si="441"/>
        <v>-508.2364881159142</v>
      </c>
      <c r="V891">
        <f t="shared" ca="1" si="442"/>
        <v>0</v>
      </c>
      <c r="W891">
        <f t="shared" ca="1" si="421"/>
        <v>0.05</v>
      </c>
      <c r="X891">
        <f t="shared" ca="1" si="422"/>
        <v>0.25335000000000002</v>
      </c>
      <c r="Y891">
        <f t="shared" ca="1" si="423"/>
        <v>4.9032320495451913E-2</v>
      </c>
      <c r="Z891">
        <f t="shared" ca="1" si="424"/>
        <v>201.30254588513912</v>
      </c>
      <c r="AA891">
        <f t="shared" ca="1" si="425"/>
        <v>632.24149999999997</v>
      </c>
      <c r="AB891">
        <f t="shared" ca="1" si="426"/>
        <v>2697.6194296553795</v>
      </c>
      <c r="AC891">
        <f t="shared" ca="1" si="427"/>
        <v>508.04766180569584</v>
      </c>
      <c r="AD891">
        <f t="shared" ca="1" si="428"/>
        <v>287.42845576980574</v>
      </c>
      <c r="AE891">
        <f t="shared" ca="1" si="429"/>
        <v>1046.5333307063806</v>
      </c>
      <c r="AF891">
        <f t="shared" ca="1" si="430"/>
        <v>508.09879625393705</v>
      </c>
      <c r="AG891">
        <f t="shared" ca="1" si="431"/>
        <v>0</v>
      </c>
      <c r="AH891">
        <f ca="1">IF(V32="Supercritical",L891,IF(V32="Subcritical",W891,IF(AND(V891=1,AG891=1),IF(T891&gt;=AE891,L891,W891),IF(V891=1,L891,IF(AG891=1,W891,MAX($D$16,POWER((ABS(K891)^2)/($I$5*MAX(F891,0.1)^2),1/3)))))))</f>
        <v>2.1776588541652817</v>
      </c>
      <c r="AI891">
        <f t="shared" ca="1" si="432"/>
        <v>634.36915885416533</v>
      </c>
      <c r="AJ891">
        <f t="shared" ca="1" si="433"/>
        <v>635.45798828124794</v>
      </c>
      <c r="AM891">
        <v>0</v>
      </c>
      <c r="AN891">
        <v>0</v>
      </c>
      <c r="AO891">
        <f t="shared" si="434"/>
        <v>0</v>
      </c>
      <c r="AP891">
        <f t="shared" si="443"/>
        <v>0</v>
      </c>
      <c r="AQ891">
        <f t="shared" ca="1" si="435"/>
        <v>1</v>
      </c>
      <c r="AR891" t="str">
        <f t="shared" ca="1" si="436"/>
        <v>Supercritical</v>
      </c>
      <c r="AS891">
        <f t="shared" ca="1" si="437"/>
        <v>3.8940126972412566E-3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191</v>
      </c>
      <c r="I892">
        <v>1.4999999999999999E-2</v>
      </c>
      <c r="J892">
        <f t="shared" si="438"/>
        <v>1</v>
      </c>
      <c r="K892">
        <f t="shared" si="439"/>
        <v>51</v>
      </c>
      <c r="L892">
        <f t="shared" ca="1" si="440"/>
        <v>0.05</v>
      </c>
      <c r="M892">
        <f t="shared" ca="1" si="413"/>
        <v>0.25335000000000002</v>
      </c>
      <c r="N892">
        <f t="shared" ca="1" si="414"/>
        <v>4.9032320495451913E-2</v>
      </c>
      <c r="O892">
        <f t="shared" ca="1" si="415"/>
        <v>201.30254588513912</v>
      </c>
      <c r="P892">
        <f t="shared" ca="1" si="416"/>
        <v>632.24099999999999</v>
      </c>
      <c r="Q892">
        <f t="shared" ca="1" si="417"/>
        <v>2697.6189296553794</v>
      </c>
      <c r="R892">
        <f t="shared" ca="1" si="418"/>
        <v>508.04766180569584</v>
      </c>
      <c r="S892">
        <f t="shared" ca="1" si="419"/>
        <v>287.42845576980574</v>
      </c>
      <c r="T892">
        <f t="shared" ca="1" si="420"/>
        <v>1046.5333307063806</v>
      </c>
      <c r="U892">
        <f t="shared" ca="1" si="441"/>
        <v>-508.09879625393705</v>
      </c>
      <c r="V892">
        <f t="shared" ca="1" si="442"/>
        <v>0</v>
      </c>
      <c r="W892">
        <f t="shared" ca="1" si="421"/>
        <v>0.05</v>
      </c>
      <c r="X892">
        <f t="shared" ca="1" si="422"/>
        <v>0.25335000000000002</v>
      </c>
      <c r="Y892">
        <f t="shared" ca="1" si="423"/>
        <v>4.9032320495451913E-2</v>
      </c>
      <c r="Z892">
        <f t="shared" ca="1" si="424"/>
        <v>201.30254588513912</v>
      </c>
      <c r="AA892">
        <f t="shared" ca="1" si="425"/>
        <v>632.24099999999999</v>
      </c>
      <c r="AB892">
        <f t="shared" ca="1" si="426"/>
        <v>2697.6189296553794</v>
      </c>
      <c r="AC892">
        <f t="shared" ca="1" si="427"/>
        <v>508.04766180569584</v>
      </c>
      <c r="AD892">
        <f t="shared" ca="1" si="428"/>
        <v>287.42845576980574</v>
      </c>
      <c r="AE892">
        <f t="shared" ca="1" si="429"/>
        <v>1046.5333307063806</v>
      </c>
      <c r="AF892">
        <f t="shared" ca="1" si="430"/>
        <v>508.184853667673</v>
      </c>
      <c r="AG892">
        <f t="shared" ca="1" si="431"/>
        <v>0</v>
      </c>
      <c r="AH892">
        <f ca="1">IF(V32="Supercritical",L892,IF(V32="Subcritical",W892,IF(AND(V892=1,AG892=1),IF(T892&gt;=AE892,L892,W892),IF(V892=1,L892,IF(AG892=1,W892,MAX($D$16,POWER((ABS(K892)^2)/($I$5*MAX(F892,0.1)^2),1/3)))))))</f>
        <v>2.1776588541652817</v>
      </c>
      <c r="AI892">
        <f t="shared" ca="1" si="432"/>
        <v>634.36865885416535</v>
      </c>
      <c r="AJ892">
        <f t="shared" ca="1" si="433"/>
        <v>635.45748828124795</v>
      </c>
      <c r="AM892">
        <v>0</v>
      </c>
      <c r="AN892">
        <v>0</v>
      </c>
      <c r="AO892">
        <f t="shared" si="434"/>
        <v>0</v>
      </c>
      <c r="AP892">
        <f t="shared" si="443"/>
        <v>0</v>
      </c>
      <c r="AQ892">
        <f t="shared" ca="1" si="435"/>
        <v>1</v>
      </c>
      <c r="AR892" t="str">
        <f t="shared" ca="1" si="436"/>
        <v>Supercritical</v>
      </c>
      <c r="AS892">
        <f t="shared" ca="1" si="437"/>
        <v>3.8940126972412566E-3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191</v>
      </c>
      <c r="I893">
        <v>0.04</v>
      </c>
      <c r="J893">
        <f t="shared" si="438"/>
        <v>1</v>
      </c>
      <c r="K893">
        <f t="shared" si="439"/>
        <v>51</v>
      </c>
      <c r="L893">
        <f t="shared" ca="1" si="440"/>
        <v>0.05</v>
      </c>
      <c r="M893">
        <f t="shared" ca="1" si="413"/>
        <v>0.25335000000000002</v>
      </c>
      <c r="N893">
        <f t="shared" ca="1" si="414"/>
        <v>4.9032320495451913E-2</v>
      </c>
      <c r="O893">
        <f t="shared" ca="1" si="415"/>
        <v>201.30254588513912</v>
      </c>
      <c r="P893">
        <f t="shared" ca="1" si="416"/>
        <v>632.2405</v>
      </c>
      <c r="Q893">
        <f t="shared" ca="1" si="417"/>
        <v>2697.6184296553793</v>
      </c>
      <c r="R893">
        <f t="shared" ca="1" si="418"/>
        <v>508.04766180569584</v>
      </c>
      <c r="S893">
        <f t="shared" ca="1" si="419"/>
        <v>287.42845576980574</v>
      </c>
      <c r="T893">
        <f t="shared" ca="1" si="420"/>
        <v>1046.5333307063806</v>
      </c>
      <c r="U893">
        <f t="shared" ca="1" si="441"/>
        <v>-508.184853667673</v>
      </c>
      <c r="V893">
        <f t="shared" ca="1" si="442"/>
        <v>0</v>
      </c>
      <c r="W893">
        <f t="shared" ca="1" si="421"/>
        <v>0.05</v>
      </c>
      <c r="X893">
        <f t="shared" ca="1" si="422"/>
        <v>0.25335000000000002</v>
      </c>
      <c r="Y893">
        <f t="shared" ca="1" si="423"/>
        <v>4.9032320495451913E-2</v>
      </c>
      <c r="Z893">
        <f t="shared" ca="1" si="424"/>
        <v>201.30254588513912</v>
      </c>
      <c r="AA893">
        <f t="shared" ca="1" si="425"/>
        <v>632.2405</v>
      </c>
      <c r="AB893">
        <f t="shared" ca="1" si="426"/>
        <v>2697.6184296553793</v>
      </c>
      <c r="AC893">
        <f t="shared" ca="1" si="427"/>
        <v>508.04766180569584</v>
      </c>
      <c r="AD893">
        <f t="shared" ca="1" si="428"/>
        <v>287.42845576980574</v>
      </c>
      <c r="AE893">
        <f t="shared" ca="1" si="429"/>
        <v>1046.5333307063806</v>
      </c>
      <c r="AF893">
        <f t="shared" ca="1" si="430"/>
        <v>508.184853667673</v>
      </c>
      <c r="AG893">
        <f t="shared" ca="1" si="431"/>
        <v>0</v>
      </c>
      <c r="AH893">
        <f ca="1">IF(V32="Supercritical",L893,IF(V32="Subcritical",W893,IF(AND(V893=1,AG893=1),IF(T893&gt;=AE893,L893,W893),IF(V893=1,L893,IF(AG893=1,W893,MAX($D$16,POWER((ABS(K893)^2)/($I$5*MAX(F893,0.1)^2),1/3)))))))</f>
        <v>2.1776588541652817</v>
      </c>
      <c r="AI893">
        <f t="shared" ca="1" si="432"/>
        <v>634.36815885416536</v>
      </c>
      <c r="AJ893">
        <f t="shared" ca="1" si="433"/>
        <v>635.45698828124796</v>
      </c>
      <c r="AM893">
        <v>0</v>
      </c>
      <c r="AN893">
        <v>0</v>
      </c>
      <c r="AO893">
        <f t="shared" si="434"/>
        <v>0</v>
      </c>
      <c r="AP893">
        <f t="shared" si="443"/>
        <v>0</v>
      </c>
      <c r="AQ893">
        <f t="shared" ca="1" si="435"/>
        <v>1</v>
      </c>
      <c r="AR893" t="str">
        <f t="shared" ca="1" si="436"/>
        <v>Supercritical</v>
      </c>
      <c r="AS893">
        <f t="shared" ca="1" si="437"/>
        <v>3.8940126972412566E-3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191</v>
      </c>
      <c r="I894">
        <v>0.04</v>
      </c>
      <c r="J894">
        <f t="shared" si="438"/>
        <v>1</v>
      </c>
      <c r="K894">
        <f t="shared" si="439"/>
        <v>51</v>
      </c>
      <c r="L894">
        <f t="shared" ca="1" si="440"/>
        <v>0.05</v>
      </c>
      <c r="M894">
        <f t="shared" ca="1" si="413"/>
        <v>0.25335000000000002</v>
      </c>
      <c r="N894">
        <f t="shared" ca="1" si="414"/>
        <v>4.9032320495451913E-2</v>
      </c>
      <c r="O894">
        <f t="shared" ca="1" si="415"/>
        <v>201.30254588513912</v>
      </c>
      <c r="P894">
        <f t="shared" ca="1" si="416"/>
        <v>632.24</v>
      </c>
      <c r="Q894">
        <f t="shared" ca="1" si="417"/>
        <v>2697.6179296553792</v>
      </c>
      <c r="R894">
        <f t="shared" ca="1" si="418"/>
        <v>508.04766180569584</v>
      </c>
      <c r="S894">
        <f t="shared" ca="1" si="419"/>
        <v>287.42845576980574</v>
      </c>
      <c r="T894">
        <f t="shared" ca="1" si="420"/>
        <v>1046.5333307063806</v>
      </c>
      <c r="U894">
        <f t="shared" ca="1" si="441"/>
        <v>-508.184853667673</v>
      </c>
      <c r="V894">
        <f t="shared" ca="1" si="442"/>
        <v>0</v>
      </c>
      <c r="W894">
        <f t="shared" ca="1" si="421"/>
        <v>0.05</v>
      </c>
      <c r="X894">
        <f t="shared" ca="1" si="422"/>
        <v>0.25335000000000002</v>
      </c>
      <c r="Y894">
        <f t="shared" ca="1" si="423"/>
        <v>4.9032320495451913E-2</v>
      </c>
      <c r="Z894">
        <f t="shared" ca="1" si="424"/>
        <v>201.30254588513912</v>
      </c>
      <c r="AA894">
        <f t="shared" ca="1" si="425"/>
        <v>632.24</v>
      </c>
      <c r="AB894">
        <f t="shared" ca="1" si="426"/>
        <v>2697.6179296553792</v>
      </c>
      <c r="AC894">
        <f t="shared" ca="1" si="427"/>
        <v>508.04766180569584</v>
      </c>
      <c r="AD894">
        <f t="shared" ca="1" si="428"/>
        <v>287.42845576980574</v>
      </c>
      <c r="AE894">
        <f t="shared" ca="1" si="429"/>
        <v>1046.5333307063806</v>
      </c>
      <c r="AF894">
        <f t="shared" ca="1" si="430"/>
        <v>508.69290132952437</v>
      </c>
      <c r="AG894">
        <f t="shared" ca="1" si="431"/>
        <v>0</v>
      </c>
      <c r="AH894">
        <f ca="1">IF(V32="Supercritical",L894,IF(V32="Subcritical",W894,IF(AND(V894=1,AG894=1),IF(T894&gt;=AE894,L894,W894),IF(V894=1,L894,IF(AG894=1,W894,MAX($D$16,POWER((ABS(K894)^2)/($I$5*MAX(F894,0.1)^2),1/3)))))))</f>
        <v>2.1776588541652817</v>
      </c>
      <c r="AI894">
        <f t="shared" ca="1" si="432"/>
        <v>634.36765885416537</v>
      </c>
      <c r="AJ894">
        <f t="shared" ca="1" si="433"/>
        <v>635.45648828124797</v>
      </c>
      <c r="AM894">
        <v>0</v>
      </c>
      <c r="AN894">
        <v>0</v>
      </c>
      <c r="AO894">
        <f t="shared" si="434"/>
        <v>0</v>
      </c>
      <c r="AP894">
        <f t="shared" si="443"/>
        <v>0</v>
      </c>
      <c r="AQ894">
        <f t="shared" ca="1" si="435"/>
        <v>1</v>
      </c>
      <c r="AR894" t="str">
        <f t="shared" ca="1" si="436"/>
        <v>Supercritical</v>
      </c>
      <c r="AS894">
        <f t="shared" ca="1" si="437"/>
        <v>3.8940126972412566E-3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191</v>
      </c>
      <c r="I895">
        <v>0.04</v>
      </c>
      <c r="J895">
        <f t="shared" si="438"/>
        <v>1.00100000000009</v>
      </c>
      <c r="K895">
        <f t="shared" si="439"/>
        <v>51</v>
      </c>
      <c r="L895">
        <f t="shared" ca="1" si="440"/>
        <v>0.05</v>
      </c>
      <c r="M895">
        <f t="shared" ca="1" si="413"/>
        <v>0.25335000000000002</v>
      </c>
      <c r="N895">
        <f t="shared" ca="1" si="414"/>
        <v>4.9032320495451913E-2</v>
      </c>
      <c r="O895">
        <f t="shared" ca="1" si="415"/>
        <v>201.30254588513912</v>
      </c>
      <c r="P895">
        <f t="shared" ca="1" si="416"/>
        <v>632.23949999999991</v>
      </c>
      <c r="Q895">
        <f t="shared" ca="1" si="417"/>
        <v>2697.6174296553791</v>
      </c>
      <c r="R895">
        <f t="shared" ca="1" si="418"/>
        <v>508.04766180569584</v>
      </c>
      <c r="S895">
        <f t="shared" ca="1" si="419"/>
        <v>287.42845576980574</v>
      </c>
      <c r="T895">
        <f t="shared" ca="1" si="420"/>
        <v>1046.5333307063806</v>
      </c>
      <c r="U895">
        <f t="shared" ca="1" si="441"/>
        <v>-508.69290132952437</v>
      </c>
      <c r="V895">
        <f t="shared" ca="1" si="442"/>
        <v>0</v>
      </c>
      <c r="W895">
        <f t="shared" ca="1" si="421"/>
        <v>0.05</v>
      </c>
      <c r="X895">
        <f t="shared" ca="1" si="422"/>
        <v>0.25335000000000002</v>
      </c>
      <c r="Y895">
        <f t="shared" ca="1" si="423"/>
        <v>4.9032320495451913E-2</v>
      </c>
      <c r="Z895">
        <f t="shared" ca="1" si="424"/>
        <v>201.30254588513912</v>
      </c>
      <c r="AA895">
        <f t="shared" ca="1" si="425"/>
        <v>632.23949999999991</v>
      </c>
      <c r="AB895">
        <f t="shared" ca="1" si="426"/>
        <v>2697.6174296553791</v>
      </c>
      <c r="AC895">
        <f t="shared" ca="1" si="427"/>
        <v>508.04766180569584</v>
      </c>
      <c r="AD895">
        <f t="shared" ca="1" si="428"/>
        <v>287.42845576980574</v>
      </c>
      <c r="AE895">
        <f t="shared" ca="1" si="429"/>
        <v>1046.5333307063806</v>
      </c>
      <c r="AF895">
        <f t="shared" ca="1" si="430"/>
        <v>507.72844045406327</v>
      </c>
      <c r="AG895">
        <f t="shared" ca="1" si="431"/>
        <v>0</v>
      </c>
      <c r="AH895">
        <f ca="1">IF(V32="Supercritical",L895,IF(V32="Subcritical",W895,IF(AND(V895=1,AG895=1),IF(T895&gt;=AE895,L895,W895),IF(V895=1,L895,IF(AG895=1,W895,MAX($D$16,POWER((ABS(K895)^2)/($I$5*MAX(F895,0.1)^2),1/3)))))))</f>
        <v>2.1776588541652817</v>
      </c>
      <c r="AI895">
        <f t="shared" ca="1" si="432"/>
        <v>634.36715885416527</v>
      </c>
      <c r="AJ895">
        <f t="shared" ca="1" si="433"/>
        <v>635.45598828124787</v>
      </c>
      <c r="AM895">
        <v>0</v>
      </c>
      <c r="AN895">
        <v>0</v>
      </c>
      <c r="AO895">
        <f t="shared" si="434"/>
        <v>0</v>
      </c>
      <c r="AP895">
        <f t="shared" si="443"/>
        <v>0</v>
      </c>
      <c r="AQ895">
        <f t="shared" ca="1" si="435"/>
        <v>1</v>
      </c>
      <c r="AR895" t="str">
        <f t="shared" ca="1" si="436"/>
        <v>Supercritical</v>
      </c>
      <c r="AS895">
        <f t="shared" ca="1" si="437"/>
        <v>3.8940126972412566E-3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191</v>
      </c>
      <c r="I896">
        <v>5.5E-2</v>
      </c>
      <c r="J896">
        <f t="shared" si="438"/>
        <v>0.99899999999990996</v>
      </c>
      <c r="K896">
        <f t="shared" si="439"/>
        <v>51</v>
      </c>
      <c r="L896">
        <f t="shared" ca="1" si="440"/>
        <v>0.05</v>
      </c>
      <c r="M896">
        <f t="shared" ca="1" si="413"/>
        <v>0.25335000000000002</v>
      </c>
      <c r="N896">
        <f t="shared" ca="1" si="414"/>
        <v>4.9032320495451913E-2</v>
      </c>
      <c r="O896">
        <f t="shared" ca="1" si="415"/>
        <v>201.30254588513912</v>
      </c>
      <c r="P896">
        <f t="shared" ca="1" si="416"/>
        <v>632.23899999999992</v>
      </c>
      <c r="Q896">
        <f t="shared" ca="1" si="417"/>
        <v>2697.6169296553794</v>
      </c>
      <c r="R896">
        <f t="shared" ca="1" si="418"/>
        <v>508.04766180569584</v>
      </c>
      <c r="S896">
        <f t="shared" ca="1" si="419"/>
        <v>287.42845576980574</v>
      </c>
      <c r="T896">
        <f t="shared" ca="1" si="420"/>
        <v>1046.5333307063806</v>
      </c>
      <c r="U896">
        <f t="shared" ca="1" si="441"/>
        <v>-507.72844045406327</v>
      </c>
      <c r="V896">
        <f t="shared" ca="1" si="442"/>
        <v>0</v>
      </c>
      <c r="W896">
        <f t="shared" ca="1" si="421"/>
        <v>0.05</v>
      </c>
      <c r="X896">
        <f t="shared" ca="1" si="422"/>
        <v>0.25335000000000002</v>
      </c>
      <c r="Y896">
        <f t="shared" ca="1" si="423"/>
        <v>4.9032320495451913E-2</v>
      </c>
      <c r="Z896">
        <f t="shared" ca="1" si="424"/>
        <v>201.30254588513912</v>
      </c>
      <c r="AA896">
        <f t="shared" ca="1" si="425"/>
        <v>632.23899999999992</v>
      </c>
      <c r="AB896">
        <f t="shared" ca="1" si="426"/>
        <v>2697.6169296553794</v>
      </c>
      <c r="AC896">
        <f t="shared" ca="1" si="427"/>
        <v>508.04766180569584</v>
      </c>
      <c r="AD896">
        <f t="shared" ca="1" si="428"/>
        <v>287.42845576980574</v>
      </c>
      <c r="AE896">
        <f t="shared" ca="1" si="429"/>
        <v>1046.5333307063806</v>
      </c>
      <c r="AF896">
        <f t="shared" ca="1" si="430"/>
        <v>508.28812256415586</v>
      </c>
      <c r="AG896">
        <f t="shared" ca="1" si="431"/>
        <v>0</v>
      </c>
      <c r="AH896">
        <f ca="1">IF(V32="Supercritical",L896,IF(V32="Subcritical",W896,IF(AND(V896=1,AG896=1),IF(T896&gt;=AE896,L896,W896),IF(V896=1,L896,IF(AG896=1,W896,MAX($D$16,POWER((ABS(K896)^2)/($I$5*MAX(F896,0.1)^2),1/3)))))))</f>
        <v>2.1776588541652817</v>
      </c>
      <c r="AI896">
        <f t="shared" ca="1" si="432"/>
        <v>634.36665885416528</v>
      </c>
      <c r="AJ896">
        <f t="shared" ca="1" si="433"/>
        <v>635.45548828124788</v>
      </c>
      <c r="AM896">
        <v>0</v>
      </c>
      <c r="AN896">
        <v>0</v>
      </c>
      <c r="AO896">
        <f t="shared" si="434"/>
        <v>0</v>
      </c>
      <c r="AP896">
        <f t="shared" si="443"/>
        <v>0</v>
      </c>
      <c r="AQ896">
        <f t="shared" ca="1" si="435"/>
        <v>1</v>
      </c>
      <c r="AR896" t="str">
        <f t="shared" ca="1" si="436"/>
        <v>Supercritical</v>
      </c>
      <c r="AS896">
        <f t="shared" ca="1" si="437"/>
        <v>3.8940126972412566E-3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191</v>
      </c>
      <c r="I897">
        <v>7.0000000000000007E-2</v>
      </c>
      <c r="J897">
        <f t="shared" si="438"/>
        <v>1</v>
      </c>
      <c r="K897">
        <f t="shared" si="439"/>
        <v>51</v>
      </c>
      <c r="L897">
        <f t="shared" ca="1" si="440"/>
        <v>0.05</v>
      </c>
      <c r="M897">
        <f t="shared" ca="1" si="413"/>
        <v>0.25335000000000002</v>
      </c>
      <c r="N897">
        <f t="shared" ca="1" si="414"/>
        <v>4.9032320495451913E-2</v>
      </c>
      <c r="O897">
        <f t="shared" ca="1" si="415"/>
        <v>201.30254588513912</v>
      </c>
      <c r="P897">
        <f t="shared" ca="1" si="416"/>
        <v>632.23849999999993</v>
      </c>
      <c r="Q897">
        <f t="shared" ca="1" si="417"/>
        <v>2697.6164296553793</v>
      </c>
      <c r="R897">
        <f t="shared" ca="1" si="418"/>
        <v>508.04766180569584</v>
      </c>
      <c r="S897">
        <f t="shared" ca="1" si="419"/>
        <v>287.42845576980574</v>
      </c>
      <c r="T897">
        <f t="shared" ca="1" si="420"/>
        <v>1046.5333307063806</v>
      </c>
      <c r="U897">
        <f t="shared" ca="1" si="441"/>
        <v>-508.28812256415586</v>
      </c>
      <c r="V897">
        <f t="shared" ca="1" si="442"/>
        <v>0</v>
      </c>
      <c r="W897">
        <f t="shared" ca="1" si="421"/>
        <v>0.05</v>
      </c>
      <c r="X897">
        <f t="shared" ca="1" si="422"/>
        <v>0.25335000000000002</v>
      </c>
      <c r="Y897">
        <f t="shared" ca="1" si="423"/>
        <v>4.9032320495451913E-2</v>
      </c>
      <c r="Z897">
        <f t="shared" ca="1" si="424"/>
        <v>201.30254588513912</v>
      </c>
      <c r="AA897">
        <f t="shared" ca="1" si="425"/>
        <v>632.23849999999993</v>
      </c>
      <c r="AB897">
        <f t="shared" ca="1" si="426"/>
        <v>2697.6164296553793</v>
      </c>
      <c r="AC897">
        <f t="shared" ca="1" si="427"/>
        <v>508.04766180569584</v>
      </c>
      <c r="AD897">
        <f t="shared" ca="1" si="428"/>
        <v>287.42845576980574</v>
      </c>
      <c r="AE897">
        <f t="shared" ca="1" si="429"/>
        <v>1046.5333307063806</v>
      </c>
      <c r="AF897">
        <f t="shared" ca="1" si="430"/>
        <v>508.28812256415586</v>
      </c>
      <c r="AG897">
        <f t="shared" ca="1" si="431"/>
        <v>0</v>
      </c>
      <c r="AH897">
        <f ca="1">IF(V32="Supercritical",L897,IF(V32="Subcritical",W897,IF(AND(V897=1,AG897=1),IF(T897&gt;=AE897,L897,W897),IF(V897=1,L897,IF(AG897=1,W897,MAX($D$16,POWER((ABS(K897)^2)/($I$5*MAX(F897,0.1)^2),1/3)))))))</f>
        <v>2.1776588541652817</v>
      </c>
      <c r="AI897">
        <f t="shared" ca="1" si="432"/>
        <v>634.36615885416529</v>
      </c>
      <c r="AJ897">
        <f t="shared" ca="1" si="433"/>
        <v>635.45498828124789</v>
      </c>
      <c r="AM897">
        <v>0</v>
      </c>
      <c r="AN897">
        <v>0</v>
      </c>
      <c r="AO897">
        <f t="shared" si="434"/>
        <v>0</v>
      </c>
      <c r="AP897">
        <f t="shared" si="443"/>
        <v>0</v>
      </c>
      <c r="AQ897">
        <f t="shared" ca="1" si="435"/>
        <v>1</v>
      </c>
      <c r="AR897" t="str">
        <f t="shared" ca="1" si="436"/>
        <v>Supercritical</v>
      </c>
      <c r="AS897">
        <f t="shared" ca="1" si="437"/>
        <v>3.8940126972412566E-3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191</v>
      </c>
      <c r="I898">
        <v>7.0000000000000007E-2</v>
      </c>
      <c r="J898">
        <f t="shared" si="438"/>
        <v>1</v>
      </c>
      <c r="K898">
        <f t="shared" si="439"/>
        <v>51</v>
      </c>
      <c r="L898">
        <f t="shared" ca="1" si="440"/>
        <v>0.05</v>
      </c>
      <c r="M898">
        <f t="shared" ca="1" si="413"/>
        <v>0.25335000000000002</v>
      </c>
      <c r="N898">
        <f t="shared" ca="1" si="414"/>
        <v>4.9032320495451913E-2</v>
      </c>
      <c r="O898">
        <f t="shared" ca="1" si="415"/>
        <v>201.30254588513912</v>
      </c>
      <c r="P898">
        <f t="shared" ca="1" si="416"/>
        <v>632.23799999999994</v>
      </c>
      <c r="Q898">
        <f t="shared" ca="1" si="417"/>
        <v>2697.6159296553792</v>
      </c>
      <c r="R898">
        <f t="shared" ca="1" si="418"/>
        <v>508.04766180569584</v>
      </c>
      <c r="S898">
        <f t="shared" ca="1" si="419"/>
        <v>287.42845576980574</v>
      </c>
      <c r="T898">
        <f t="shared" ca="1" si="420"/>
        <v>1046.5333307063806</v>
      </c>
      <c r="U898">
        <f t="shared" ca="1" si="441"/>
        <v>-508.28812256415586</v>
      </c>
      <c r="V898">
        <f t="shared" ca="1" si="442"/>
        <v>0</v>
      </c>
      <c r="W898">
        <f t="shared" ca="1" si="421"/>
        <v>0.05</v>
      </c>
      <c r="X898">
        <f t="shared" ca="1" si="422"/>
        <v>0.25335000000000002</v>
      </c>
      <c r="Y898">
        <f t="shared" ca="1" si="423"/>
        <v>4.9032320495451913E-2</v>
      </c>
      <c r="Z898">
        <f t="shared" ca="1" si="424"/>
        <v>201.30254588513912</v>
      </c>
      <c r="AA898">
        <f t="shared" ca="1" si="425"/>
        <v>632.23799999999994</v>
      </c>
      <c r="AB898">
        <f t="shared" ca="1" si="426"/>
        <v>2697.6159296553792</v>
      </c>
      <c r="AC898">
        <f t="shared" ca="1" si="427"/>
        <v>508.04766180569584</v>
      </c>
      <c r="AD898">
        <f t="shared" ca="1" si="428"/>
        <v>287.42845576980574</v>
      </c>
      <c r="AE898">
        <f t="shared" ca="1" si="429"/>
        <v>1046.5333307063806</v>
      </c>
      <c r="AF898">
        <f t="shared" ca="1" si="430"/>
        <v>508.04716180569631</v>
      </c>
      <c r="AG898">
        <f t="shared" ca="1" si="431"/>
        <v>0</v>
      </c>
      <c r="AH898">
        <f ca="1">IF(V32="Supercritical",L898,IF(V32="Subcritical",W898,IF(AND(V898=1,AG898=1),IF(T898&gt;=AE898,L898,W898),IF(V898=1,L898,IF(AG898=1,W898,MAX($D$16,POWER((ABS(K898)^2)/($I$5*MAX(F898,0.1)^2),1/3)))))))</f>
        <v>2.1776588541652817</v>
      </c>
      <c r="AI898">
        <f t="shared" ca="1" si="432"/>
        <v>634.3656588541653</v>
      </c>
      <c r="AJ898">
        <f t="shared" ca="1" si="433"/>
        <v>635.4544882812479</v>
      </c>
      <c r="AM898">
        <v>0</v>
      </c>
      <c r="AN898">
        <v>0</v>
      </c>
      <c r="AO898">
        <f t="shared" si="434"/>
        <v>0</v>
      </c>
      <c r="AP898">
        <f t="shared" si="443"/>
        <v>0</v>
      </c>
      <c r="AQ898">
        <f t="shared" ca="1" si="435"/>
        <v>1</v>
      </c>
      <c r="AR898" t="str">
        <f t="shared" ca="1" si="436"/>
        <v>Supercritical</v>
      </c>
      <c r="AS898">
        <f t="shared" ca="1" si="437"/>
        <v>3.8940126972412566E-3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191</v>
      </c>
      <c r="I899">
        <v>0</v>
      </c>
      <c r="J899">
        <f t="shared" si="438"/>
        <v>1</v>
      </c>
      <c r="K899">
        <f t="shared" si="439"/>
        <v>51</v>
      </c>
      <c r="L899">
        <f t="shared" ca="1" si="440"/>
        <v>0.05</v>
      </c>
      <c r="M899">
        <f t="shared" ca="1" si="413"/>
        <v>0.25335000000000002</v>
      </c>
      <c r="N899">
        <f t="shared" ca="1" si="414"/>
        <v>4.9032320495451913E-2</v>
      </c>
      <c r="O899">
        <f t="shared" ca="1" si="415"/>
        <v>201.30254588513912</v>
      </c>
      <c r="P899">
        <f t="shared" ca="1" si="416"/>
        <v>632.23749999999995</v>
      </c>
      <c r="Q899">
        <f t="shared" ca="1" si="417"/>
        <v>2697.6154296553796</v>
      </c>
      <c r="R899">
        <f t="shared" ca="1" si="418"/>
        <v>508.04766180569584</v>
      </c>
      <c r="S899">
        <f t="shared" ca="1" si="419"/>
        <v>287.42845576980574</v>
      </c>
      <c r="T899">
        <f t="shared" ca="1" si="420"/>
        <v>1046.5333307063806</v>
      </c>
      <c r="U899">
        <f t="shared" ca="1" si="441"/>
        <v>-508.04716180569631</v>
      </c>
      <c r="V899">
        <f t="shared" ca="1" si="442"/>
        <v>0</v>
      </c>
      <c r="W899">
        <f t="shared" ca="1" si="421"/>
        <v>0.05</v>
      </c>
      <c r="X899">
        <f t="shared" ca="1" si="422"/>
        <v>0.25335000000000002</v>
      </c>
      <c r="Y899">
        <f t="shared" ca="1" si="423"/>
        <v>4.9032320495451913E-2</v>
      </c>
      <c r="Z899">
        <f t="shared" ca="1" si="424"/>
        <v>201.30254588513912</v>
      </c>
      <c r="AA899">
        <f t="shared" ca="1" si="425"/>
        <v>632.23749999999995</v>
      </c>
      <c r="AB899">
        <f t="shared" ca="1" si="426"/>
        <v>2697.6154296553796</v>
      </c>
      <c r="AC899">
        <f t="shared" ca="1" si="427"/>
        <v>508.04766180569584</v>
      </c>
      <c r="AD899">
        <f t="shared" ca="1" si="428"/>
        <v>287.42845576980574</v>
      </c>
      <c r="AE899">
        <f t="shared" ca="1" si="429"/>
        <v>1046.5333307063806</v>
      </c>
      <c r="AF899">
        <f t="shared" ca="1" si="430"/>
        <v>508.28812256415586</v>
      </c>
      <c r="AG899">
        <f t="shared" ca="1" si="431"/>
        <v>0</v>
      </c>
      <c r="AH899">
        <f ca="1">IF(V32="Supercritical",L899,IF(V32="Subcritical",W899,IF(AND(V899=1,AG899=1),IF(T899&gt;=AE899,L899,W899),IF(V899=1,L899,IF(AG899=1,W899,MAX($D$16,POWER((ABS(K899)^2)/($I$5*MAX(F899,0.1)^2),1/3)))))))</f>
        <v>2.1776588541652817</v>
      </c>
      <c r="AI899">
        <f t="shared" ca="1" si="432"/>
        <v>634.36515885416532</v>
      </c>
      <c r="AJ899">
        <f t="shared" ca="1" si="433"/>
        <v>635.45398828124792</v>
      </c>
      <c r="AM899">
        <v>0</v>
      </c>
      <c r="AN899">
        <v>0</v>
      </c>
      <c r="AO899">
        <f t="shared" si="434"/>
        <v>0</v>
      </c>
      <c r="AP899">
        <f t="shared" si="443"/>
        <v>0</v>
      </c>
      <c r="AQ899">
        <f t="shared" ca="1" si="435"/>
        <v>1</v>
      </c>
      <c r="AR899" t="str">
        <f t="shared" ca="1" si="436"/>
        <v>Supercritical</v>
      </c>
      <c r="AS899">
        <f t="shared" ca="1" si="437"/>
        <v>3.8940126972412566E-3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191</v>
      </c>
      <c r="I900">
        <v>7.0000000000000007E-2</v>
      </c>
      <c r="J900">
        <f t="shared" si="438"/>
        <v>1</v>
      </c>
      <c r="K900">
        <f t="shared" si="439"/>
        <v>51</v>
      </c>
      <c r="L900">
        <f t="shared" ca="1" si="440"/>
        <v>0.05</v>
      </c>
      <c r="M900">
        <f t="shared" ca="1" si="413"/>
        <v>0.25335000000000002</v>
      </c>
      <c r="N900">
        <f t="shared" ca="1" si="414"/>
        <v>4.9032320495451913E-2</v>
      </c>
      <c r="O900">
        <f t="shared" ca="1" si="415"/>
        <v>201.30254588513912</v>
      </c>
      <c r="P900">
        <f t="shared" ca="1" si="416"/>
        <v>632.23699999999997</v>
      </c>
      <c r="Q900">
        <f t="shared" ca="1" si="417"/>
        <v>2697.6149296553795</v>
      </c>
      <c r="R900">
        <f t="shared" ca="1" si="418"/>
        <v>508.04766180569584</v>
      </c>
      <c r="S900">
        <f t="shared" ca="1" si="419"/>
        <v>287.42845576980574</v>
      </c>
      <c r="T900">
        <f t="shared" ca="1" si="420"/>
        <v>1046.5333307063806</v>
      </c>
      <c r="U900">
        <f t="shared" ca="1" si="441"/>
        <v>-508.28812256415586</v>
      </c>
      <c r="V900">
        <f t="shared" ca="1" si="442"/>
        <v>0</v>
      </c>
      <c r="W900">
        <f t="shared" ca="1" si="421"/>
        <v>0.05</v>
      </c>
      <c r="X900">
        <f t="shared" ca="1" si="422"/>
        <v>0.25335000000000002</v>
      </c>
      <c r="Y900">
        <f t="shared" ca="1" si="423"/>
        <v>4.9032320495451913E-2</v>
      </c>
      <c r="Z900">
        <f t="shared" ca="1" si="424"/>
        <v>201.30254588513912</v>
      </c>
      <c r="AA900">
        <f t="shared" ca="1" si="425"/>
        <v>632.23699999999997</v>
      </c>
      <c r="AB900">
        <f t="shared" ca="1" si="426"/>
        <v>2697.6149296553795</v>
      </c>
      <c r="AC900">
        <f t="shared" ca="1" si="427"/>
        <v>508.04766180569584</v>
      </c>
      <c r="AD900">
        <f t="shared" ca="1" si="428"/>
        <v>287.42845576980574</v>
      </c>
      <c r="AE900">
        <f t="shared" ca="1" si="429"/>
        <v>1046.5333307063806</v>
      </c>
      <c r="AF900">
        <f t="shared" ca="1" si="430"/>
        <v>508.28812256415586</v>
      </c>
      <c r="AG900">
        <f t="shared" ca="1" si="431"/>
        <v>0</v>
      </c>
      <c r="AH900">
        <f ca="1">IF(V32="Supercritical",L900,IF(V32="Subcritical",W900,IF(AND(V900=1,AG900=1),IF(T900&gt;=AE900,L900,W900),IF(V900=1,L900,IF(AG900=1,W900,MAX($D$16,POWER((ABS(K900)^2)/($I$5*MAX(F900,0.1)^2),1/3)))))))</f>
        <v>2.1776588541652817</v>
      </c>
      <c r="AI900">
        <f t="shared" ca="1" si="432"/>
        <v>634.36465885416533</v>
      </c>
      <c r="AJ900">
        <f t="shared" ca="1" si="433"/>
        <v>635.45348828124793</v>
      </c>
      <c r="AM900">
        <v>0</v>
      </c>
      <c r="AN900">
        <v>0</v>
      </c>
      <c r="AO900">
        <f t="shared" si="434"/>
        <v>0</v>
      </c>
      <c r="AP900">
        <f t="shared" si="443"/>
        <v>0</v>
      </c>
      <c r="AQ900">
        <f t="shared" ca="1" si="435"/>
        <v>1</v>
      </c>
      <c r="AR900" t="str">
        <f t="shared" ca="1" si="436"/>
        <v>Supercritical</v>
      </c>
      <c r="AS900">
        <f t="shared" ca="1" si="437"/>
        <v>3.8940126972412566E-3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191</v>
      </c>
      <c r="I901">
        <v>7.0000000000000007E-2</v>
      </c>
      <c r="J901">
        <f t="shared" si="438"/>
        <v>1</v>
      </c>
      <c r="K901">
        <f t="shared" si="439"/>
        <v>51</v>
      </c>
      <c r="L901">
        <f t="shared" ca="1" si="440"/>
        <v>0.05</v>
      </c>
      <c r="M901">
        <f t="shared" ca="1" si="413"/>
        <v>0.25335000000000002</v>
      </c>
      <c r="N901">
        <f t="shared" ca="1" si="414"/>
        <v>4.9032320495451913E-2</v>
      </c>
      <c r="O901">
        <f t="shared" ca="1" si="415"/>
        <v>201.30254588513912</v>
      </c>
      <c r="P901">
        <f t="shared" ca="1" si="416"/>
        <v>632.23649999999998</v>
      </c>
      <c r="Q901">
        <f t="shared" ca="1" si="417"/>
        <v>2697.6144296553794</v>
      </c>
      <c r="R901">
        <f t="shared" ca="1" si="418"/>
        <v>508.04766180569584</v>
      </c>
      <c r="S901">
        <f t="shared" ca="1" si="419"/>
        <v>287.42845576980574</v>
      </c>
      <c r="T901">
        <f t="shared" ca="1" si="420"/>
        <v>1046.5333307063806</v>
      </c>
      <c r="U901">
        <f t="shared" ca="1" si="441"/>
        <v>-508.28812256415586</v>
      </c>
      <c r="V901">
        <f t="shared" ca="1" si="442"/>
        <v>0</v>
      </c>
      <c r="W901">
        <f t="shared" ca="1" si="421"/>
        <v>0.05</v>
      </c>
      <c r="X901">
        <f t="shared" ca="1" si="422"/>
        <v>0.25335000000000002</v>
      </c>
      <c r="Y901">
        <f t="shared" ca="1" si="423"/>
        <v>4.9032320495451913E-2</v>
      </c>
      <c r="Z901">
        <f t="shared" ca="1" si="424"/>
        <v>201.30254588513912</v>
      </c>
      <c r="AA901">
        <f t="shared" ca="1" si="425"/>
        <v>632.23649999999998</v>
      </c>
      <c r="AB901">
        <f t="shared" ca="1" si="426"/>
        <v>2697.6144296553794</v>
      </c>
      <c r="AC901">
        <f t="shared" ca="1" si="427"/>
        <v>508.04766180569584</v>
      </c>
      <c r="AD901">
        <f t="shared" ca="1" si="428"/>
        <v>287.42845576980574</v>
      </c>
      <c r="AE901">
        <f t="shared" ca="1" si="429"/>
        <v>1046.5333307063806</v>
      </c>
      <c r="AF901">
        <f t="shared" ca="1" si="430"/>
        <v>508.2364881159142</v>
      </c>
      <c r="AG901">
        <f t="shared" ca="1" si="431"/>
        <v>0</v>
      </c>
      <c r="AH901">
        <f ca="1">IF(V32="Supercritical",L901,IF(V32="Subcritical",W901,IF(AND(V901=1,AG901=1),IF(T901&gt;=AE901,L901,W901),IF(V901=1,L901,IF(AG901=1,W901,MAX($D$16,POWER((ABS(K901)^2)/($I$5*MAX(F901,0.1)^2),1/3)))))))</f>
        <v>2.1776588541652817</v>
      </c>
      <c r="AI901">
        <f t="shared" ca="1" si="432"/>
        <v>634.36415885416534</v>
      </c>
      <c r="AJ901">
        <f t="shared" ca="1" si="433"/>
        <v>635.45298828124794</v>
      </c>
      <c r="AM901">
        <v>0</v>
      </c>
      <c r="AN901">
        <v>0</v>
      </c>
      <c r="AO901">
        <f t="shared" si="434"/>
        <v>0</v>
      </c>
      <c r="AP901">
        <f t="shared" si="443"/>
        <v>0</v>
      </c>
      <c r="AQ901">
        <f t="shared" ca="1" si="435"/>
        <v>1</v>
      </c>
      <c r="AR901" t="str">
        <f t="shared" ca="1" si="436"/>
        <v>Supercritical</v>
      </c>
      <c r="AS901">
        <f t="shared" ca="1" si="437"/>
        <v>3.8940126972412566E-3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191</v>
      </c>
      <c r="I902">
        <v>5.5E-2</v>
      </c>
      <c r="J902">
        <f t="shared" si="438"/>
        <v>1</v>
      </c>
      <c r="K902">
        <f t="shared" si="439"/>
        <v>51</v>
      </c>
      <c r="L902">
        <f t="shared" ca="1" si="440"/>
        <v>0.05</v>
      </c>
      <c r="M902">
        <f t="shared" ca="1" si="413"/>
        <v>0.25335000000000002</v>
      </c>
      <c r="N902">
        <f t="shared" ca="1" si="414"/>
        <v>4.9032320495451913E-2</v>
      </c>
      <c r="O902">
        <f t="shared" ca="1" si="415"/>
        <v>201.30254588513912</v>
      </c>
      <c r="P902">
        <f t="shared" ca="1" si="416"/>
        <v>632.23599999999999</v>
      </c>
      <c r="Q902">
        <f t="shared" ca="1" si="417"/>
        <v>2697.6139296553793</v>
      </c>
      <c r="R902">
        <f t="shared" ca="1" si="418"/>
        <v>508.04766180569584</v>
      </c>
      <c r="S902">
        <f t="shared" ca="1" si="419"/>
        <v>287.42845576980574</v>
      </c>
      <c r="T902">
        <f t="shared" ca="1" si="420"/>
        <v>1046.5333307063806</v>
      </c>
      <c r="U902">
        <f t="shared" ca="1" si="441"/>
        <v>-508.2364881159142</v>
      </c>
      <c r="V902">
        <f t="shared" ca="1" si="442"/>
        <v>0</v>
      </c>
      <c r="W902">
        <f t="shared" ca="1" si="421"/>
        <v>0.05</v>
      </c>
      <c r="X902">
        <f t="shared" ca="1" si="422"/>
        <v>0.25335000000000002</v>
      </c>
      <c r="Y902">
        <f t="shared" ca="1" si="423"/>
        <v>4.9032320495451913E-2</v>
      </c>
      <c r="Z902">
        <f t="shared" ca="1" si="424"/>
        <v>201.30254588513912</v>
      </c>
      <c r="AA902">
        <f t="shared" ca="1" si="425"/>
        <v>632.23599999999999</v>
      </c>
      <c r="AB902">
        <f t="shared" ca="1" si="426"/>
        <v>2697.6139296553793</v>
      </c>
      <c r="AC902">
        <f t="shared" ca="1" si="427"/>
        <v>508.04766180569584</v>
      </c>
      <c r="AD902">
        <f t="shared" ca="1" si="428"/>
        <v>287.42845576980574</v>
      </c>
      <c r="AE902">
        <f t="shared" ca="1" si="429"/>
        <v>1046.5333307063806</v>
      </c>
      <c r="AF902">
        <f t="shared" ca="1" si="430"/>
        <v>508.184853667673</v>
      </c>
      <c r="AG902">
        <f t="shared" ca="1" si="431"/>
        <v>0</v>
      </c>
      <c r="AH902">
        <f ca="1">IF(V32="Supercritical",L902,IF(V32="Subcritical",W902,IF(AND(V902=1,AG902=1),IF(T902&gt;=AE902,L902,W902),IF(V902=1,L902,IF(AG902=1,W902,MAX($D$16,POWER((ABS(K902)^2)/($I$5*MAX(F902,0.1)^2),1/3)))))))</f>
        <v>2.1776588541652817</v>
      </c>
      <c r="AI902">
        <f t="shared" ca="1" si="432"/>
        <v>634.36365885416535</v>
      </c>
      <c r="AJ902">
        <f t="shared" ca="1" si="433"/>
        <v>635.45248828124795</v>
      </c>
      <c r="AM902">
        <v>0</v>
      </c>
      <c r="AN902">
        <v>0</v>
      </c>
      <c r="AO902">
        <f t="shared" si="434"/>
        <v>0</v>
      </c>
      <c r="AP902">
        <f t="shared" si="443"/>
        <v>0</v>
      </c>
      <c r="AQ902">
        <f t="shared" ca="1" si="435"/>
        <v>1</v>
      </c>
      <c r="AR902" t="str">
        <f t="shared" ca="1" si="436"/>
        <v>Supercritical</v>
      </c>
      <c r="AS902">
        <f t="shared" ca="1" si="437"/>
        <v>3.8940126972412566E-3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191</v>
      </c>
      <c r="I903">
        <v>0.04</v>
      </c>
      <c r="J903">
        <f t="shared" si="438"/>
        <v>1</v>
      </c>
      <c r="K903">
        <f t="shared" si="439"/>
        <v>51</v>
      </c>
      <c r="L903">
        <f t="shared" ca="1" si="440"/>
        <v>0.05</v>
      </c>
      <c r="M903">
        <f t="shared" ca="1" si="413"/>
        <v>0.25335000000000002</v>
      </c>
      <c r="N903">
        <f t="shared" ca="1" si="414"/>
        <v>4.9032320495451913E-2</v>
      </c>
      <c r="O903">
        <f t="shared" ca="1" si="415"/>
        <v>201.30254588513912</v>
      </c>
      <c r="P903">
        <f t="shared" ca="1" si="416"/>
        <v>632.2355</v>
      </c>
      <c r="Q903">
        <f t="shared" ca="1" si="417"/>
        <v>2697.6134296553792</v>
      </c>
      <c r="R903">
        <f t="shared" ca="1" si="418"/>
        <v>508.04766180569584</v>
      </c>
      <c r="S903">
        <f t="shared" ca="1" si="419"/>
        <v>287.42845576980574</v>
      </c>
      <c r="T903">
        <f t="shared" ca="1" si="420"/>
        <v>1046.5333307063806</v>
      </c>
      <c r="U903">
        <f t="shared" ca="1" si="441"/>
        <v>-508.184853667673</v>
      </c>
      <c r="V903">
        <f t="shared" ca="1" si="442"/>
        <v>0</v>
      </c>
      <c r="W903">
        <f t="shared" ca="1" si="421"/>
        <v>0.05</v>
      </c>
      <c r="X903">
        <f t="shared" ca="1" si="422"/>
        <v>0.25335000000000002</v>
      </c>
      <c r="Y903">
        <f t="shared" ca="1" si="423"/>
        <v>4.9032320495451913E-2</v>
      </c>
      <c r="Z903">
        <f t="shared" ca="1" si="424"/>
        <v>201.30254588513912</v>
      </c>
      <c r="AA903">
        <f t="shared" ca="1" si="425"/>
        <v>632.2355</v>
      </c>
      <c r="AB903">
        <f t="shared" ca="1" si="426"/>
        <v>2697.6134296553792</v>
      </c>
      <c r="AC903">
        <f t="shared" ca="1" si="427"/>
        <v>508.04766180569584</v>
      </c>
      <c r="AD903">
        <f t="shared" ca="1" si="428"/>
        <v>287.42845576980574</v>
      </c>
      <c r="AE903">
        <f t="shared" ca="1" si="429"/>
        <v>1046.5333307063806</v>
      </c>
      <c r="AF903">
        <f t="shared" ca="1" si="430"/>
        <v>508.09879625393705</v>
      </c>
      <c r="AG903">
        <f t="shared" ca="1" si="431"/>
        <v>0</v>
      </c>
      <c r="AH903">
        <f ca="1">IF(V32="Supercritical",L903,IF(V32="Subcritical",W903,IF(AND(V903=1,AG903=1),IF(T903&gt;=AE903,L903,W903),IF(V903=1,L903,IF(AG903=1,W903,MAX($D$16,POWER((ABS(K903)^2)/($I$5*MAX(F903,0.1)^2),1/3)))))))</f>
        <v>2.1776588541652817</v>
      </c>
      <c r="AI903">
        <f t="shared" ca="1" si="432"/>
        <v>634.36315885416536</v>
      </c>
      <c r="AJ903">
        <f t="shared" ca="1" si="433"/>
        <v>635.45198828124796</v>
      </c>
      <c r="AM903">
        <v>0</v>
      </c>
      <c r="AN903">
        <v>0</v>
      </c>
      <c r="AO903">
        <f t="shared" si="434"/>
        <v>0</v>
      </c>
      <c r="AP903">
        <f t="shared" si="443"/>
        <v>0</v>
      </c>
      <c r="AQ903">
        <f t="shared" ca="1" si="435"/>
        <v>1</v>
      </c>
      <c r="AR903" t="str">
        <f t="shared" ca="1" si="436"/>
        <v>Supercritical</v>
      </c>
      <c r="AS903">
        <f t="shared" ca="1" si="437"/>
        <v>3.8940126972412566E-3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191</v>
      </c>
      <c r="I904">
        <v>1.4999999999999999E-2</v>
      </c>
      <c r="J904">
        <f t="shared" si="438"/>
        <v>1</v>
      </c>
      <c r="K904">
        <f t="shared" si="439"/>
        <v>51</v>
      </c>
      <c r="L904">
        <f t="shared" ca="1" si="440"/>
        <v>0.05</v>
      </c>
      <c r="M904">
        <f t="shared" ca="1" si="413"/>
        <v>0.25335000000000002</v>
      </c>
      <c r="N904">
        <f t="shared" ca="1" si="414"/>
        <v>4.9032320495451913E-2</v>
      </c>
      <c r="O904">
        <f t="shared" ca="1" si="415"/>
        <v>201.30254588513912</v>
      </c>
      <c r="P904">
        <f t="shared" ca="1" si="416"/>
        <v>632.2349999999999</v>
      </c>
      <c r="Q904">
        <f t="shared" ca="1" si="417"/>
        <v>2697.612929655379</v>
      </c>
      <c r="R904">
        <f t="shared" ca="1" si="418"/>
        <v>508.04766180569584</v>
      </c>
      <c r="S904">
        <f t="shared" ca="1" si="419"/>
        <v>287.42845576980574</v>
      </c>
      <c r="T904">
        <f t="shared" ca="1" si="420"/>
        <v>1046.5333307063806</v>
      </c>
      <c r="U904">
        <f t="shared" ca="1" si="441"/>
        <v>-508.09879625393705</v>
      </c>
      <c r="V904">
        <f t="shared" ca="1" si="442"/>
        <v>0</v>
      </c>
      <c r="W904">
        <f t="shared" ca="1" si="421"/>
        <v>0.05</v>
      </c>
      <c r="X904">
        <f t="shared" ca="1" si="422"/>
        <v>0.25335000000000002</v>
      </c>
      <c r="Y904">
        <f t="shared" ca="1" si="423"/>
        <v>4.9032320495451913E-2</v>
      </c>
      <c r="Z904">
        <f t="shared" ca="1" si="424"/>
        <v>201.30254588513912</v>
      </c>
      <c r="AA904">
        <f t="shared" ca="1" si="425"/>
        <v>632.2349999999999</v>
      </c>
      <c r="AB904">
        <f t="shared" ca="1" si="426"/>
        <v>2697.612929655379</v>
      </c>
      <c r="AC904">
        <f t="shared" ca="1" si="427"/>
        <v>508.04766180569584</v>
      </c>
      <c r="AD904">
        <f t="shared" ca="1" si="428"/>
        <v>287.42845576980574</v>
      </c>
      <c r="AE904">
        <f t="shared" ca="1" si="429"/>
        <v>1046.5333307063806</v>
      </c>
      <c r="AF904">
        <f t="shared" ca="1" si="430"/>
        <v>508.28812256415631</v>
      </c>
      <c r="AG904">
        <f t="shared" ca="1" si="431"/>
        <v>0</v>
      </c>
      <c r="AH904">
        <f ca="1">IF(V32="Supercritical",L904,IF(V32="Subcritical",W904,IF(AND(V904=1,AG904=1),IF(T904&gt;=AE904,L904,W904),IF(V904=1,L904,IF(AG904=1,W904,MAX($D$16,POWER((ABS(K904)^2)/($I$5*MAX(F904,0.1)^2),1/3)))))))</f>
        <v>2.1776588541652817</v>
      </c>
      <c r="AI904">
        <f t="shared" ca="1" si="432"/>
        <v>634.36265885416526</v>
      </c>
      <c r="AJ904">
        <f t="shared" ca="1" si="433"/>
        <v>635.45148828124786</v>
      </c>
      <c r="AM904">
        <v>0</v>
      </c>
      <c r="AN904">
        <v>0</v>
      </c>
      <c r="AO904">
        <f t="shared" si="434"/>
        <v>0</v>
      </c>
      <c r="AP904">
        <f t="shared" si="443"/>
        <v>0</v>
      </c>
      <c r="AQ904">
        <f t="shared" ca="1" si="435"/>
        <v>1</v>
      </c>
      <c r="AR904" t="str">
        <f t="shared" ca="1" si="436"/>
        <v>Supercritical</v>
      </c>
      <c r="AS904">
        <f t="shared" ca="1" si="437"/>
        <v>3.8940126972412566E-3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191</v>
      </c>
      <c r="I905">
        <v>7.0000000000000007E-2</v>
      </c>
      <c r="J905">
        <f t="shared" si="438"/>
        <v>1</v>
      </c>
      <c r="K905">
        <f t="shared" si="439"/>
        <v>51</v>
      </c>
      <c r="L905">
        <f t="shared" ca="1" si="440"/>
        <v>0.05</v>
      </c>
      <c r="M905">
        <f t="shared" ca="1" si="413"/>
        <v>0.25335000000000002</v>
      </c>
      <c r="N905">
        <f t="shared" ca="1" si="414"/>
        <v>4.9032320495451913E-2</v>
      </c>
      <c r="O905">
        <f t="shared" ca="1" si="415"/>
        <v>201.30254588513912</v>
      </c>
      <c r="P905">
        <f t="shared" ca="1" si="416"/>
        <v>632.23449999999991</v>
      </c>
      <c r="Q905">
        <f t="shared" ca="1" si="417"/>
        <v>2697.6124296553794</v>
      </c>
      <c r="R905">
        <f t="shared" ca="1" si="418"/>
        <v>508.04766180569584</v>
      </c>
      <c r="S905">
        <f t="shared" ca="1" si="419"/>
        <v>287.42845576980574</v>
      </c>
      <c r="T905">
        <f t="shared" ca="1" si="420"/>
        <v>1046.5333307063806</v>
      </c>
      <c r="U905">
        <f t="shared" ca="1" si="441"/>
        <v>-508.28812256415631</v>
      </c>
      <c r="V905">
        <f t="shared" ca="1" si="442"/>
        <v>0</v>
      </c>
      <c r="W905">
        <f t="shared" ca="1" si="421"/>
        <v>0.05</v>
      </c>
      <c r="X905">
        <f t="shared" ca="1" si="422"/>
        <v>0.25335000000000002</v>
      </c>
      <c r="Y905">
        <f t="shared" ca="1" si="423"/>
        <v>4.9032320495451913E-2</v>
      </c>
      <c r="Z905">
        <f t="shared" ca="1" si="424"/>
        <v>201.30254588513912</v>
      </c>
      <c r="AA905">
        <f t="shared" ca="1" si="425"/>
        <v>632.23449999999991</v>
      </c>
      <c r="AB905">
        <f t="shared" ca="1" si="426"/>
        <v>2697.6124296553794</v>
      </c>
      <c r="AC905">
        <f t="shared" ca="1" si="427"/>
        <v>508.04766180569584</v>
      </c>
      <c r="AD905">
        <f t="shared" ca="1" si="428"/>
        <v>287.42845576980574</v>
      </c>
      <c r="AE905">
        <f t="shared" ca="1" si="429"/>
        <v>1046.5333307063806</v>
      </c>
      <c r="AF905">
        <f t="shared" ca="1" si="430"/>
        <v>508.79617022600723</v>
      </c>
      <c r="AG905">
        <f t="shared" ca="1" si="431"/>
        <v>0</v>
      </c>
      <c r="AH905">
        <f ca="1">IF(V32="Supercritical",L905,IF(V32="Subcritical",W905,IF(AND(V905=1,AG905=1),IF(T905&gt;=AE905,L905,W905),IF(V905=1,L905,IF(AG905=1,W905,MAX($D$16,POWER((ABS(K905)^2)/($I$5*MAX(F905,0.1)^2),1/3)))))))</f>
        <v>2.1776588541652817</v>
      </c>
      <c r="AI905">
        <f t="shared" ca="1" si="432"/>
        <v>634.36215885416527</v>
      </c>
      <c r="AJ905">
        <f t="shared" ca="1" si="433"/>
        <v>635.45098828124787</v>
      </c>
      <c r="AM905">
        <v>0</v>
      </c>
      <c r="AN905">
        <v>0</v>
      </c>
      <c r="AO905">
        <f t="shared" si="434"/>
        <v>0</v>
      </c>
      <c r="AP905">
        <f t="shared" si="443"/>
        <v>0</v>
      </c>
      <c r="AQ905">
        <f t="shared" ca="1" si="435"/>
        <v>1</v>
      </c>
      <c r="AR905" t="str">
        <f t="shared" ca="1" si="436"/>
        <v>Supercritical</v>
      </c>
      <c r="AS905">
        <f t="shared" ca="1" si="437"/>
        <v>3.8940126972412566E-3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191</v>
      </c>
      <c r="I906">
        <v>7.0000000000000007E-2</v>
      </c>
      <c r="J906">
        <f t="shared" si="438"/>
        <v>1.00100000000009</v>
      </c>
      <c r="K906">
        <f t="shared" si="439"/>
        <v>51</v>
      </c>
      <c r="L906">
        <f t="shared" ca="1" si="440"/>
        <v>0.05</v>
      </c>
      <c r="M906">
        <f t="shared" ca="1" si="413"/>
        <v>0.25335000000000002</v>
      </c>
      <c r="N906">
        <f t="shared" ca="1" si="414"/>
        <v>4.9032320495451913E-2</v>
      </c>
      <c r="O906">
        <f t="shared" ca="1" si="415"/>
        <v>201.30254588513912</v>
      </c>
      <c r="P906">
        <f t="shared" ca="1" si="416"/>
        <v>632.23399999999992</v>
      </c>
      <c r="Q906">
        <f t="shared" ca="1" si="417"/>
        <v>2697.6119296553793</v>
      </c>
      <c r="R906">
        <f t="shared" ca="1" si="418"/>
        <v>508.04766180569584</v>
      </c>
      <c r="S906">
        <f t="shared" ca="1" si="419"/>
        <v>287.42845576980574</v>
      </c>
      <c r="T906">
        <f t="shared" ca="1" si="420"/>
        <v>1046.5333307063806</v>
      </c>
      <c r="U906">
        <f t="shared" ca="1" si="441"/>
        <v>-508.79617022600723</v>
      </c>
      <c r="V906">
        <f t="shared" ca="1" si="442"/>
        <v>0</v>
      </c>
      <c r="W906">
        <f t="shared" ca="1" si="421"/>
        <v>0.05</v>
      </c>
      <c r="X906">
        <f t="shared" ca="1" si="422"/>
        <v>0.25335000000000002</v>
      </c>
      <c r="Y906">
        <f t="shared" ca="1" si="423"/>
        <v>4.9032320495451913E-2</v>
      </c>
      <c r="Z906">
        <f t="shared" ca="1" si="424"/>
        <v>201.30254588513912</v>
      </c>
      <c r="AA906">
        <f t="shared" ca="1" si="425"/>
        <v>632.23399999999992</v>
      </c>
      <c r="AB906">
        <f t="shared" ca="1" si="426"/>
        <v>2697.6119296553793</v>
      </c>
      <c r="AC906">
        <f t="shared" ca="1" si="427"/>
        <v>508.04766180569584</v>
      </c>
      <c r="AD906">
        <f t="shared" ca="1" si="428"/>
        <v>287.42845576980574</v>
      </c>
      <c r="AE906">
        <f t="shared" ca="1" si="429"/>
        <v>1046.5333307063806</v>
      </c>
      <c r="AF906">
        <f t="shared" ca="1" si="430"/>
        <v>507.72844045406282</v>
      </c>
      <c r="AG906">
        <f t="shared" ca="1" si="431"/>
        <v>0</v>
      </c>
      <c r="AH906">
        <f ca="1">IF(V32="Supercritical",L906,IF(V32="Subcritical",W906,IF(AND(V906=1,AG906=1),IF(T906&gt;=AE906,L906,W906),IF(V906=1,L906,IF(AG906=1,W906,MAX($D$16,POWER((ABS(K906)^2)/($I$5*MAX(F906,0.1)^2),1/3)))))))</f>
        <v>2.1776588541652817</v>
      </c>
      <c r="AI906">
        <f t="shared" ca="1" si="432"/>
        <v>634.36165885416528</v>
      </c>
      <c r="AJ906">
        <f t="shared" ca="1" si="433"/>
        <v>635.45048828124789</v>
      </c>
      <c r="AM906">
        <v>0</v>
      </c>
      <c r="AN906">
        <v>0</v>
      </c>
      <c r="AO906">
        <f t="shared" si="434"/>
        <v>0</v>
      </c>
      <c r="AP906">
        <f t="shared" si="443"/>
        <v>0</v>
      </c>
      <c r="AQ906">
        <f t="shared" ca="1" si="435"/>
        <v>1</v>
      </c>
      <c r="AR906" t="str">
        <f t="shared" ca="1" si="436"/>
        <v>Supercritical</v>
      </c>
      <c r="AS906">
        <f t="shared" ca="1" si="437"/>
        <v>3.8940126972412566E-3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191</v>
      </c>
      <c r="I907">
        <v>5.5E-2</v>
      </c>
      <c r="J907">
        <f t="shared" si="438"/>
        <v>0.99899999999990996</v>
      </c>
      <c r="K907">
        <f t="shared" si="439"/>
        <v>51</v>
      </c>
      <c r="L907">
        <f t="shared" ca="1" si="440"/>
        <v>0.05</v>
      </c>
      <c r="M907">
        <f t="shared" ca="1" si="413"/>
        <v>0.25335000000000002</v>
      </c>
      <c r="N907">
        <f t="shared" ca="1" si="414"/>
        <v>4.9032320495451913E-2</v>
      </c>
      <c r="O907">
        <f t="shared" ca="1" si="415"/>
        <v>201.30254588513912</v>
      </c>
      <c r="P907">
        <f t="shared" ca="1" si="416"/>
        <v>632.23349999999994</v>
      </c>
      <c r="Q907">
        <f t="shared" ca="1" si="417"/>
        <v>2697.6114296553792</v>
      </c>
      <c r="R907">
        <f t="shared" ca="1" si="418"/>
        <v>508.04766180569584</v>
      </c>
      <c r="S907">
        <f t="shared" ca="1" si="419"/>
        <v>287.42845576980574</v>
      </c>
      <c r="T907">
        <f t="shared" ca="1" si="420"/>
        <v>1046.5333307063806</v>
      </c>
      <c r="U907">
        <f t="shared" ca="1" si="441"/>
        <v>-507.72844045406282</v>
      </c>
      <c r="V907">
        <f t="shared" ca="1" si="442"/>
        <v>0</v>
      </c>
      <c r="W907">
        <f t="shared" ca="1" si="421"/>
        <v>0.05</v>
      </c>
      <c r="X907">
        <f t="shared" ca="1" si="422"/>
        <v>0.25335000000000002</v>
      </c>
      <c r="Y907">
        <f t="shared" ca="1" si="423"/>
        <v>4.9032320495451913E-2</v>
      </c>
      <c r="Z907">
        <f t="shared" ca="1" si="424"/>
        <v>201.30254588513912</v>
      </c>
      <c r="AA907">
        <f t="shared" ca="1" si="425"/>
        <v>632.23349999999994</v>
      </c>
      <c r="AB907">
        <f t="shared" ca="1" si="426"/>
        <v>2697.6114296553792</v>
      </c>
      <c r="AC907">
        <f t="shared" ca="1" si="427"/>
        <v>508.04766180569584</v>
      </c>
      <c r="AD907">
        <f t="shared" ca="1" si="428"/>
        <v>287.42845576980574</v>
      </c>
      <c r="AE907">
        <f t="shared" ca="1" si="429"/>
        <v>1046.5333307063806</v>
      </c>
      <c r="AF907">
        <f t="shared" ca="1" si="430"/>
        <v>473.3402251569546</v>
      </c>
      <c r="AG907">
        <f t="shared" ca="1" si="431"/>
        <v>0</v>
      </c>
      <c r="AH907">
        <f ca="1">IF(V32="Supercritical",L907,IF(V32="Subcritical",W907,IF(AND(V907=1,AG907=1),IF(T907&gt;=AE907,L907,W907),IF(V907=1,L907,IF(AG907=1,W907,MAX($D$16,POWER((ABS(K907)^2)/($I$5*MAX(F907,0.1)^2),1/3)))))))</f>
        <v>2.1776588541652817</v>
      </c>
      <c r="AI907">
        <f t="shared" ca="1" si="432"/>
        <v>634.3611588541653</v>
      </c>
      <c r="AJ907">
        <f t="shared" ca="1" si="433"/>
        <v>635.4499882812479</v>
      </c>
      <c r="AM907">
        <v>0</v>
      </c>
      <c r="AN907">
        <v>0</v>
      </c>
      <c r="AO907">
        <f t="shared" si="434"/>
        <v>0</v>
      </c>
      <c r="AP907">
        <f t="shared" si="443"/>
        <v>0</v>
      </c>
      <c r="AQ907">
        <f t="shared" ca="1" si="435"/>
        <v>1</v>
      </c>
      <c r="AR907" t="str">
        <f t="shared" ca="1" si="436"/>
        <v>Supercritical</v>
      </c>
      <c r="AS907">
        <f t="shared" ca="1" si="437"/>
        <v>3.8940126972412566E-3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191</v>
      </c>
      <c r="I908">
        <v>11.814</v>
      </c>
      <c r="J908">
        <f t="shared" si="438"/>
        <v>1</v>
      </c>
      <c r="K908">
        <f t="shared" si="439"/>
        <v>51</v>
      </c>
      <c r="L908">
        <f t="shared" ca="1" si="440"/>
        <v>0.05</v>
      </c>
      <c r="M908">
        <f t="shared" ca="1" si="413"/>
        <v>0.25914999999999999</v>
      </c>
      <c r="N908">
        <f t="shared" ca="1" si="414"/>
        <v>4.905356804845732E-2</v>
      </c>
      <c r="O908">
        <f t="shared" ca="1" si="415"/>
        <v>196.79722168628209</v>
      </c>
      <c r="P908">
        <f t="shared" ca="1" si="416"/>
        <v>632.23299999999995</v>
      </c>
      <c r="Q908">
        <f t="shared" ca="1" si="417"/>
        <v>2606.1956128154766</v>
      </c>
      <c r="R908">
        <f t="shared" ca="1" si="418"/>
        <v>485.28064921424749</v>
      </c>
      <c r="S908">
        <f t="shared" ca="1" si="419"/>
        <v>280.99555959591083</v>
      </c>
      <c r="T908">
        <f t="shared" ca="1" si="420"/>
        <v>1023.1113009722616</v>
      </c>
      <c r="U908">
        <f t="shared" ca="1" si="441"/>
        <v>-473.3402251569546</v>
      </c>
      <c r="V908">
        <f t="shared" ca="1" si="442"/>
        <v>0</v>
      </c>
      <c r="W908">
        <f t="shared" ca="1" si="421"/>
        <v>0.05</v>
      </c>
      <c r="X908">
        <f t="shared" ca="1" si="422"/>
        <v>0.25914999999999999</v>
      </c>
      <c r="Y908">
        <f t="shared" ca="1" si="423"/>
        <v>4.905356804845732E-2</v>
      </c>
      <c r="Z908">
        <f t="shared" ca="1" si="424"/>
        <v>196.79722168628209</v>
      </c>
      <c r="AA908">
        <f t="shared" ca="1" si="425"/>
        <v>632.23299999999995</v>
      </c>
      <c r="AB908">
        <f t="shared" ca="1" si="426"/>
        <v>2606.1956128154766</v>
      </c>
      <c r="AC908">
        <f t="shared" ca="1" si="427"/>
        <v>485.28064921424749</v>
      </c>
      <c r="AD908">
        <f t="shared" ca="1" si="428"/>
        <v>280.99555959591083</v>
      </c>
      <c r="AE908">
        <f t="shared" ca="1" si="429"/>
        <v>1023.1113009722616</v>
      </c>
      <c r="AF908">
        <f t="shared" ca="1" si="430"/>
        <v>477.77196701909315</v>
      </c>
      <c r="AG908">
        <f t="shared" ca="1" si="431"/>
        <v>0</v>
      </c>
      <c r="AH908">
        <f ca="1">IF(V32="Supercritical",L908,IF(V32="Subcritical",W908,IF(AND(V908=1,AG908=1),IF(T908&gt;=AE908,L908,W908),IF(V908=1,L908,IF(AG908=1,W908,MAX($D$16,POWER((ABS(K908)^2)/($I$5*MAX(F908,0.1)^2),1/3)))))))</f>
        <v>2.1450445137280298</v>
      </c>
      <c r="AI908">
        <f t="shared" ca="1" si="432"/>
        <v>634.32804451372806</v>
      </c>
      <c r="AJ908">
        <f t="shared" ca="1" si="433"/>
        <v>635.40056677059204</v>
      </c>
      <c r="AM908">
        <v>0</v>
      </c>
      <c r="AN908">
        <v>0</v>
      </c>
      <c r="AO908">
        <f t="shared" si="434"/>
        <v>0</v>
      </c>
      <c r="AP908">
        <f t="shared" si="443"/>
        <v>0</v>
      </c>
      <c r="AQ908">
        <f t="shared" ca="1" si="435"/>
        <v>0.99999999999999978</v>
      </c>
      <c r="AR908" t="str">
        <f t="shared" ca="1" si="436"/>
        <v>Supercritical</v>
      </c>
      <c r="AS908">
        <f t="shared" ca="1" si="437"/>
        <v>3.8246054164342612E-3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191</v>
      </c>
      <c r="I909">
        <v>1.0940000000000001</v>
      </c>
      <c r="J909">
        <f t="shared" si="438"/>
        <v>0.99900000000002365</v>
      </c>
      <c r="K909">
        <f t="shared" si="439"/>
        <v>51</v>
      </c>
      <c r="L909">
        <f t="shared" ca="1" si="440"/>
        <v>0.05</v>
      </c>
      <c r="M909">
        <f t="shared" ca="1" si="413"/>
        <v>0.26</v>
      </c>
      <c r="N909">
        <f t="shared" ca="1" si="414"/>
        <v>4.9056603773584909E-2</v>
      </c>
      <c r="O909">
        <f t="shared" ca="1" si="415"/>
        <v>196.15384615384616</v>
      </c>
      <c r="P909">
        <f t="shared" ca="1" si="416"/>
        <v>632.23249999999996</v>
      </c>
      <c r="Q909">
        <f t="shared" ca="1" si="417"/>
        <v>2593.309531648662</v>
      </c>
      <c r="R909">
        <f t="shared" ca="1" si="418"/>
        <v>482.07306851378365</v>
      </c>
      <c r="S909">
        <f t="shared" ca="1" si="419"/>
        <v>280.07692026646265</v>
      </c>
      <c r="T909">
        <f t="shared" ca="1" si="420"/>
        <v>1019.7665564573041</v>
      </c>
      <c r="U909">
        <f t="shared" ca="1" si="441"/>
        <v>-477.77196701909315</v>
      </c>
      <c r="V909">
        <f t="shared" ca="1" si="442"/>
        <v>0</v>
      </c>
      <c r="W909">
        <f t="shared" ca="1" si="421"/>
        <v>0.05</v>
      </c>
      <c r="X909">
        <f t="shared" ca="1" si="422"/>
        <v>0.26</v>
      </c>
      <c r="Y909">
        <f t="shared" ca="1" si="423"/>
        <v>4.9056603773584909E-2</v>
      </c>
      <c r="Z909">
        <f t="shared" ca="1" si="424"/>
        <v>196.15384615384616</v>
      </c>
      <c r="AA909">
        <f t="shared" ca="1" si="425"/>
        <v>632.23249999999996</v>
      </c>
      <c r="AB909">
        <f t="shared" ca="1" si="426"/>
        <v>2593.309531648662</v>
      </c>
      <c r="AC909">
        <f t="shared" ca="1" si="427"/>
        <v>482.07306851378365</v>
      </c>
      <c r="AD909">
        <f t="shared" ca="1" si="428"/>
        <v>280.07692026646265</v>
      </c>
      <c r="AE909">
        <f t="shared" ca="1" si="429"/>
        <v>1019.7665564573041</v>
      </c>
      <c r="AF909">
        <f t="shared" ca="1" si="430"/>
        <v>482.07256851378406</v>
      </c>
      <c r="AG909">
        <f t="shared" ca="1" si="431"/>
        <v>0</v>
      </c>
      <c r="AH909">
        <f ca="1">IF(V32="Supercritical",L909,IF(V32="Subcritical",W909,IF(AND(V909=1,AG909=1),IF(T909&gt;=AE909,L909,W909),IF(V909=1,L909,IF(AG909=1,W909,MAX($D$16,POWER((ABS(K909)^2)/($I$5*MAX(F909,0.1)^2),1/3)))))))</f>
        <v>2.1403668656741068</v>
      </c>
      <c r="AI909">
        <f t="shared" ca="1" si="432"/>
        <v>634.32286686567409</v>
      </c>
      <c r="AJ909">
        <f t="shared" ca="1" si="433"/>
        <v>635.39305029851118</v>
      </c>
      <c r="AM909">
        <v>0</v>
      </c>
      <c r="AN909">
        <v>0</v>
      </c>
      <c r="AO909">
        <f t="shared" si="434"/>
        <v>0</v>
      </c>
      <c r="AP909">
        <f t="shared" si="443"/>
        <v>0</v>
      </c>
      <c r="AQ909">
        <f t="shared" ca="1" si="435"/>
        <v>0.99999999999999978</v>
      </c>
      <c r="AR909" t="str">
        <f t="shared" ca="1" si="436"/>
        <v>Supercritical</v>
      </c>
      <c r="AS909">
        <f t="shared" ca="1" si="437"/>
        <v>3.8148159832266538E-3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191</v>
      </c>
      <c r="I910">
        <v>0</v>
      </c>
      <c r="J910">
        <f t="shared" si="438"/>
        <v>1</v>
      </c>
      <c r="K910">
        <f t="shared" si="439"/>
        <v>51</v>
      </c>
      <c r="L910">
        <f t="shared" ca="1" si="440"/>
        <v>0.05</v>
      </c>
      <c r="M910">
        <f t="shared" ca="1" si="413"/>
        <v>0.26</v>
      </c>
      <c r="N910">
        <f t="shared" ca="1" si="414"/>
        <v>4.9056603773584909E-2</v>
      </c>
      <c r="O910">
        <f t="shared" ca="1" si="415"/>
        <v>196.15384615384616</v>
      </c>
      <c r="P910">
        <f t="shared" ca="1" si="416"/>
        <v>632.23199999999997</v>
      </c>
      <c r="Q910">
        <f t="shared" ca="1" si="417"/>
        <v>2593.3090316486623</v>
      </c>
      <c r="R910">
        <f t="shared" ca="1" si="418"/>
        <v>482.07306851378365</v>
      </c>
      <c r="S910">
        <f t="shared" ca="1" si="419"/>
        <v>280.07692026646265</v>
      </c>
      <c r="T910">
        <f t="shared" ca="1" si="420"/>
        <v>1019.7665564573041</v>
      </c>
      <c r="U910">
        <f t="shared" ca="1" si="441"/>
        <v>-482.07256851378406</v>
      </c>
      <c r="V910">
        <f t="shared" ca="1" si="442"/>
        <v>0</v>
      </c>
      <c r="W910">
        <f t="shared" ca="1" si="421"/>
        <v>0.05</v>
      </c>
      <c r="X910">
        <f t="shared" ca="1" si="422"/>
        <v>0.26</v>
      </c>
      <c r="Y910">
        <f t="shared" ca="1" si="423"/>
        <v>4.9056603773584909E-2</v>
      </c>
      <c r="Z910">
        <f t="shared" ca="1" si="424"/>
        <v>196.15384615384616</v>
      </c>
      <c r="AA910">
        <f t="shared" ca="1" si="425"/>
        <v>632.23199999999997</v>
      </c>
      <c r="AB910">
        <f t="shared" ca="1" si="426"/>
        <v>2593.3090316486623</v>
      </c>
      <c r="AC910">
        <f t="shared" ca="1" si="427"/>
        <v>482.07306851378365</v>
      </c>
      <c r="AD910">
        <f t="shared" ca="1" si="428"/>
        <v>280.07692026646265</v>
      </c>
      <c r="AE910">
        <f t="shared" ca="1" si="429"/>
        <v>1019.7665564573041</v>
      </c>
      <c r="AF910">
        <f t="shared" ca="1" si="430"/>
        <v>481.59049544528125</v>
      </c>
      <c r="AG910">
        <f t="shared" ca="1" si="431"/>
        <v>0</v>
      </c>
      <c r="AH910">
        <f ca="1">IF(V32="Supercritical",L910,IF(V32="Subcritical",W910,IF(AND(V910=1,AG910=1),IF(T910&gt;=AE910,L910,W910),IF(V910=1,L910,IF(AG910=1,W910,MAX($D$16,POWER((ABS(K910)^2)/($I$5*MAX(F910,0.1)^2),1/3)))))))</f>
        <v>2.1403668656741068</v>
      </c>
      <c r="AI910">
        <f t="shared" ca="1" si="432"/>
        <v>634.3223668656741</v>
      </c>
      <c r="AJ910">
        <f t="shared" ca="1" si="433"/>
        <v>635.3925502985112</v>
      </c>
      <c r="AM910">
        <v>0</v>
      </c>
      <c r="AN910">
        <v>0</v>
      </c>
      <c r="AO910">
        <f t="shared" si="434"/>
        <v>0</v>
      </c>
      <c r="AP910">
        <f t="shared" si="443"/>
        <v>0</v>
      </c>
      <c r="AQ910">
        <f t="shared" ca="1" si="435"/>
        <v>0.99999999999999978</v>
      </c>
      <c r="AR910" t="str">
        <f t="shared" ca="1" si="436"/>
        <v>Supercritical</v>
      </c>
      <c r="AS910">
        <f t="shared" ca="1" si="437"/>
        <v>3.8148159832266538E-3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191</v>
      </c>
      <c r="I911">
        <v>0</v>
      </c>
      <c r="J911">
        <f t="shared" si="438"/>
        <v>0.99900000000002365</v>
      </c>
      <c r="K911">
        <f t="shared" si="439"/>
        <v>51</v>
      </c>
      <c r="L911">
        <f t="shared" ca="1" si="440"/>
        <v>0.05</v>
      </c>
      <c r="M911">
        <f t="shared" ca="1" si="413"/>
        <v>0.26</v>
      </c>
      <c r="N911">
        <f t="shared" ca="1" si="414"/>
        <v>4.9056603773584909E-2</v>
      </c>
      <c r="O911">
        <f t="shared" ca="1" si="415"/>
        <v>196.15384615384616</v>
      </c>
      <c r="P911">
        <f t="shared" ca="1" si="416"/>
        <v>632.23149999999998</v>
      </c>
      <c r="Q911">
        <f t="shared" ca="1" si="417"/>
        <v>2593.3085316486622</v>
      </c>
      <c r="R911">
        <f t="shared" ca="1" si="418"/>
        <v>482.07306851378365</v>
      </c>
      <c r="S911">
        <f t="shared" ca="1" si="419"/>
        <v>280.07692026646265</v>
      </c>
      <c r="T911">
        <f t="shared" ca="1" si="420"/>
        <v>1019.7665564573041</v>
      </c>
      <c r="U911">
        <f t="shared" ca="1" si="441"/>
        <v>-481.59049544528125</v>
      </c>
      <c r="V911">
        <f t="shared" ca="1" si="442"/>
        <v>0</v>
      </c>
      <c r="W911">
        <f t="shared" ca="1" si="421"/>
        <v>0.05</v>
      </c>
      <c r="X911">
        <f t="shared" ca="1" si="422"/>
        <v>0.26</v>
      </c>
      <c r="Y911">
        <f t="shared" ca="1" si="423"/>
        <v>4.9056603773584909E-2</v>
      </c>
      <c r="Z911">
        <f t="shared" ca="1" si="424"/>
        <v>196.15384615384616</v>
      </c>
      <c r="AA911">
        <f t="shared" ca="1" si="425"/>
        <v>632.23149999999998</v>
      </c>
      <c r="AB911">
        <f t="shared" ca="1" si="426"/>
        <v>2593.3085316486622</v>
      </c>
      <c r="AC911">
        <f t="shared" ca="1" si="427"/>
        <v>482.07306851378365</v>
      </c>
      <c r="AD911">
        <f t="shared" ca="1" si="428"/>
        <v>280.07692026646265</v>
      </c>
      <c r="AE911">
        <f t="shared" ca="1" si="429"/>
        <v>1019.7665564573041</v>
      </c>
      <c r="AF911">
        <f t="shared" ca="1" si="430"/>
        <v>482.25887083179032</v>
      </c>
      <c r="AG911">
        <f t="shared" ca="1" si="431"/>
        <v>0</v>
      </c>
      <c r="AH911">
        <f ca="1">IF(V32="Supercritical",L911,IF(V32="Subcritical",W911,IF(AND(V911=1,AG911=1),IF(T911&gt;=AE911,L911,W911),IF(V911=1,L911,IF(AG911=1,W911,MAX($D$16,POWER((ABS(K911)^2)/($I$5*MAX(F911,0.1)^2),1/3)))))))</f>
        <v>2.1403668656741068</v>
      </c>
      <c r="AI911">
        <f t="shared" ca="1" si="432"/>
        <v>634.32186686567411</v>
      </c>
      <c r="AJ911">
        <f t="shared" ca="1" si="433"/>
        <v>635.39205029851121</v>
      </c>
      <c r="AM911">
        <v>0</v>
      </c>
      <c r="AN911">
        <v>0</v>
      </c>
      <c r="AO911">
        <f t="shared" si="434"/>
        <v>0</v>
      </c>
      <c r="AP911">
        <f t="shared" si="443"/>
        <v>0</v>
      </c>
      <c r="AQ911">
        <f t="shared" ca="1" si="435"/>
        <v>0.99999999999999978</v>
      </c>
      <c r="AR911" t="str">
        <f t="shared" ca="1" si="436"/>
        <v>Supercritical</v>
      </c>
      <c r="AS911">
        <f t="shared" ca="1" si="437"/>
        <v>3.8148159832266538E-3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191</v>
      </c>
      <c r="I912">
        <v>5.7000000000000002E-2</v>
      </c>
      <c r="J912">
        <f t="shared" si="438"/>
        <v>1</v>
      </c>
      <c r="K912">
        <f t="shared" si="439"/>
        <v>51</v>
      </c>
      <c r="L912">
        <f t="shared" ca="1" si="440"/>
        <v>0.05</v>
      </c>
      <c r="M912">
        <f t="shared" ca="1" si="413"/>
        <v>0.26</v>
      </c>
      <c r="N912">
        <f t="shared" ca="1" si="414"/>
        <v>4.9056603773584909E-2</v>
      </c>
      <c r="O912">
        <f t="shared" ca="1" si="415"/>
        <v>196.15384615384616</v>
      </c>
      <c r="P912">
        <f t="shared" ca="1" si="416"/>
        <v>632.23099999999999</v>
      </c>
      <c r="Q912">
        <f t="shared" ca="1" si="417"/>
        <v>2593.3080316486621</v>
      </c>
      <c r="R912">
        <f t="shared" ca="1" si="418"/>
        <v>482.07306851378365</v>
      </c>
      <c r="S912">
        <f t="shared" ca="1" si="419"/>
        <v>280.07692026646265</v>
      </c>
      <c r="T912">
        <f t="shared" ca="1" si="420"/>
        <v>1019.7665564573041</v>
      </c>
      <c r="U912">
        <f t="shared" ca="1" si="441"/>
        <v>-482.25887083179032</v>
      </c>
      <c r="V912">
        <f t="shared" ca="1" si="442"/>
        <v>0</v>
      </c>
      <c r="W912">
        <f t="shared" ca="1" si="421"/>
        <v>0.05</v>
      </c>
      <c r="X912">
        <f t="shared" ca="1" si="422"/>
        <v>0.26</v>
      </c>
      <c r="Y912">
        <f t="shared" ca="1" si="423"/>
        <v>4.9056603773584909E-2</v>
      </c>
      <c r="Z912">
        <f t="shared" ca="1" si="424"/>
        <v>196.15384615384616</v>
      </c>
      <c r="AA912">
        <f t="shared" ca="1" si="425"/>
        <v>632.23099999999999</v>
      </c>
      <c r="AB912">
        <f t="shared" ca="1" si="426"/>
        <v>2593.3080316486621</v>
      </c>
      <c r="AC912">
        <f t="shared" ca="1" si="427"/>
        <v>482.07306851378365</v>
      </c>
      <c r="AD912">
        <f t="shared" ca="1" si="428"/>
        <v>280.07692026646265</v>
      </c>
      <c r="AE912">
        <f t="shared" ca="1" si="429"/>
        <v>1019.7665564573041</v>
      </c>
      <c r="AF912">
        <f t="shared" ca="1" si="430"/>
        <v>482.25887083179032</v>
      </c>
      <c r="AG912">
        <f t="shared" ca="1" si="431"/>
        <v>0</v>
      </c>
      <c r="AH912">
        <f ca="1">IF(V32="Supercritical",L912,IF(V32="Subcritical",W912,IF(AND(V912=1,AG912=1),IF(T912&gt;=AE912,L912,W912),IF(V912=1,L912,IF(AG912=1,W912,MAX($D$16,POWER((ABS(K912)^2)/($I$5*MAX(F912,0.1)^2),1/3)))))))</f>
        <v>2.1403668656741068</v>
      </c>
      <c r="AI912">
        <f t="shared" ca="1" si="432"/>
        <v>634.32136686567412</v>
      </c>
      <c r="AJ912">
        <f t="shared" ca="1" si="433"/>
        <v>635.39155029851122</v>
      </c>
      <c r="AM912">
        <v>0</v>
      </c>
      <c r="AN912">
        <v>0</v>
      </c>
      <c r="AO912">
        <f t="shared" si="434"/>
        <v>0</v>
      </c>
      <c r="AP912">
        <f t="shared" si="443"/>
        <v>0</v>
      </c>
      <c r="AQ912">
        <f t="shared" ca="1" si="435"/>
        <v>0.99999999999999978</v>
      </c>
      <c r="AR912" t="str">
        <f t="shared" ca="1" si="436"/>
        <v>Supercritical</v>
      </c>
      <c r="AS912">
        <f t="shared" ca="1" si="437"/>
        <v>3.8148159832266538E-3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191</v>
      </c>
      <c r="I913">
        <v>5.7000000000000002E-2</v>
      </c>
      <c r="J913">
        <f t="shared" si="438"/>
        <v>1</v>
      </c>
      <c r="K913">
        <f t="shared" si="439"/>
        <v>51</v>
      </c>
      <c r="L913">
        <f t="shared" ca="1" si="440"/>
        <v>0.05</v>
      </c>
      <c r="M913">
        <f t="shared" ca="1" si="413"/>
        <v>0.26</v>
      </c>
      <c r="N913">
        <f t="shared" ca="1" si="414"/>
        <v>4.9056603773584909E-2</v>
      </c>
      <c r="O913">
        <f t="shared" ca="1" si="415"/>
        <v>196.15384615384616</v>
      </c>
      <c r="P913">
        <f t="shared" ca="1" si="416"/>
        <v>632.23050000000001</v>
      </c>
      <c r="Q913">
        <f t="shared" ca="1" si="417"/>
        <v>2593.307531648662</v>
      </c>
      <c r="R913">
        <f t="shared" ca="1" si="418"/>
        <v>482.07306851378365</v>
      </c>
      <c r="S913">
        <f t="shared" ca="1" si="419"/>
        <v>280.07692026646265</v>
      </c>
      <c r="T913">
        <f t="shared" ca="1" si="420"/>
        <v>1019.7665564573041</v>
      </c>
      <c r="U913">
        <f t="shared" ca="1" si="441"/>
        <v>-482.25887083179032</v>
      </c>
      <c r="V913">
        <f t="shared" ca="1" si="442"/>
        <v>0</v>
      </c>
      <c r="W913">
        <f t="shared" ca="1" si="421"/>
        <v>0.05</v>
      </c>
      <c r="X913">
        <f t="shared" ca="1" si="422"/>
        <v>0.26</v>
      </c>
      <c r="Y913">
        <f t="shared" ca="1" si="423"/>
        <v>4.9056603773584909E-2</v>
      </c>
      <c r="Z913">
        <f t="shared" ca="1" si="424"/>
        <v>196.15384615384616</v>
      </c>
      <c r="AA913">
        <f t="shared" ca="1" si="425"/>
        <v>632.23050000000001</v>
      </c>
      <c r="AB913">
        <f t="shared" ca="1" si="426"/>
        <v>2593.307531648662</v>
      </c>
      <c r="AC913">
        <f t="shared" ca="1" si="427"/>
        <v>482.07306851378365</v>
      </c>
      <c r="AD913">
        <f t="shared" ca="1" si="428"/>
        <v>280.07692026646265</v>
      </c>
      <c r="AE913">
        <f t="shared" ca="1" si="429"/>
        <v>1019.7665564573041</v>
      </c>
      <c r="AF913">
        <f t="shared" ca="1" si="430"/>
        <v>482.07256851378361</v>
      </c>
      <c r="AG913">
        <f t="shared" ca="1" si="431"/>
        <v>0</v>
      </c>
      <c r="AH913">
        <f ca="1">IF(V32="Supercritical",L913,IF(V32="Subcritical",W913,IF(AND(V913=1,AG913=1),IF(T913&gt;=AE913,L913,W913),IF(V913=1,L913,IF(AG913=1,W913,MAX($D$16,POWER((ABS(K913)^2)/($I$5*MAX(F913,0.1)^2),1/3)))))))</f>
        <v>2.1403668656741068</v>
      </c>
      <c r="AI913">
        <f t="shared" ca="1" si="432"/>
        <v>634.32086686567413</v>
      </c>
      <c r="AJ913">
        <f t="shared" ca="1" si="433"/>
        <v>635.39105029851123</v>
      </c>
      <c r="AM913">
        <v>0</v>
      </c>
      <c r="AN913">
        <v>0</v>
      </c>
      <c r="AO913">
        <f t="shared" si="434"/>
        <v>0</v>
      </c>
      <c r="AP913">
        <f t="shared" si="443"/>
        <v>0</v>
      </c>
      <c r="AQ913">
        <f t="shared" ca="1" si="435"/>
        <v>0.99999999999999978</v>
      </c>
      <c r="AR913" t="str">
        <f t="shared" ca="1" si="436"/>
        <v>Supercritical</v>
      </c>
      <c r="AS913">
        <f t="shared" ca="1" si="437"/>
        <v>3.8148159832266538E-3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191</v>
      </c>
      <c r="I914">
        <v>0</v>
      </c>
      <c r="J914">
        <f t="shared" si="438"/>
        <v>1</v>
      </c>
      <c r="K914">
        <f t="shared" si="439"/>
        <v>51</v>
      </c>
      <c r="L914">
        <f t="shared" ca="1" si="440"/>
        <v>0.05</v>
      </c>
      <c r="M914">
        <f t="shared" ca="1" si="413"/>
        <v>0.26</v>
      </c>
      <c r="N914">
        <f t="shared" ca="1" si="414"/>
        <v>4.9056603773584909E-2</v>
      </c>
      <c r="O914">
        <f t="shared" ca="1" si="415"/>
        <v>196.15384615384616</v>
      </c>
      <c r="P914">
        <f t="shared" ca="1" si="416"/>
        <v>632.2299999999999</v>
      </c>
      <c r="Q914">
        <f t="shared" ca="1" si="417"/>
        <v>2593.3070316486619</v>
      </c>
      <c r="R914">
        <f t="shared" ca="1" si="418"/>
        <v>482.07306851378365</v>
      </c>
      <c r="S914">
        <f t="shared" ca="1" si="419"/>
        <v>280.07692026646265</v>
      </c>
      <c r="T914">
        <f t="shared" ca="1" si="420"/>
        <v>1019.7665564573041</v>
      </c>
      <c r="U914">
        <f t="shared" ca="1" si="441"/>
        <v>-482.07256851378361</v>
      </c>
      <c r="V914">
        <f t="shared" ca="1" si="442"/>
        <v>0</v>
      </c>
      <c r="W914">
        <f t="shared" ca="1" si="421"/>
        <v>0.05</v>
      </c>
      <c r="X914">
        <f t="shared" ca="1" si="422"/>
        <v>0.26</v>
      </c>
      <c r="Y914">
        <f t="shared" ca="1" si="423"/>
        <v>4.9056603773584909E-2</v>
      </c>
      <c r="Z914">
        <f t="shared" ca="1" si="424"/>
        <v>196.15384615384616</v>
      </c>
      <c r="AA914">
        <f t="shared" ca="1" si="425"/>
        <v>632.2299999999999</v>
      </c>
      <c r="AB914">
        <f t="shared" ca="1" si="426"/>
        <v>2593.3070316486619</v>
      </c>
      <c r="AC914">
        <f t="shared" ca="1" si="427"/>
        <v>482.07306851378365</v>
      </c>
      <c r="AD914">
        <f t="shared" ca="1" si="428"/>
        <v>280.07692026646265</v>
      </c>
      <c r="AE914">
        <f t="shared" ca="1" si="429"/>
        <v>1019.7665564573041</v>
      </c>
      <c r="AF914">
        <f t="shared" ca="1" si="430"/>
        <v>482.07256851378361</v>
      </c>
      <c r="AG914">
        <f t="shared" ca="1" si="431"/>
        <v>0</v>
      </c>
      <c r="AH914">
        <f ca="1">IF(V32="Supercritical",L914,IF(V32="Subcritical",W914,IF(AND(V914=1,AG914=1),IF(T914&gt;=AE914,L914,W914),IF(V914=1,L914,IF(AG914=1,W914,MAX($D$16,POWER((ABS(K914)^2)/($I$5*MAX(F914,0.1)^2),1/3)))))))</f>
        <v>2.1403668656741068</v>
      </c>
      <c r="AI914">
        <f t="shared" ca="1" si="432"/>
        <v>634.32036686567403</v>
      </c>
      <c r="AJ914">
        <f t="shared" ca="1" si="433"/>
        <v>635.39055029851113</v>
      </c>
      <c r="AM914">
        <v>0</v>
      </c>
      <c r="AN914">
        <v>0</v>
      </c>
      <c r="AO914">
        <f t="shared" si="434"/>
        <v>0</v>
      </c>
      <c r="AP914">
        <f t="shared" si="443"/>
        <v>0</v>
      </c>
      <c r="AQ914">
        <f t="shared" ca="1" si="435"/>
        <v>0.99999999999999978</v>
      </c>
      <c r="AR914" t="str">
        <f t="shared" ca="1" si="436"/>
        <v>Supercritical</v>
      </c>
      <c r="AS914">
        <f t="shared" ca="1" si="437"/>
        <v>3.8148159832266538E-3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191</v>
      </c>
      <c r="I915">
        <v>0</v>
      </c>
      <c r="J915">
        <f t="shared" si="438"/>
        <v>1</v>
      </c>
      <c r="K915">
        <f t="shared" si="439"/>
        <v>51</v>
      </c>
      <c r="L915">
        <f t="shared" ca="1" si="440"/>
        <v>0.05</v>
      </c>
      <c r="M915">
        <f t="shared" ca="1" si="413"/>
        <v>0.26</v>
      </c>
      <c r="N915">
        <f t="shared" ca="1" si="414"/>
        <v>4.9056603773584909E-2</v>
      </c>
      <c r="O915">
        <f t="shared" ca="1" si="415"/>
        <v>196.15384615384616</v>
      </c>
      <c r="P915">
        <f t="shared" ca="1" si="416"/>
        <v>632.22949999999992</v>
      </c>
      <c r="Q915">
        <f t="shared" ca="1" si="417"/>
        <v>2593.3065316486618</v>
      </c>
      <c r="R915">
        <f t="shared" ca="1" si="418"/>
        <v>482.07306851378365</v>
      </c>
      <c r="S915">
        <f t="shared" ca="1" si="419"/>
        <v>280.07692026646265</v>
      </c>
      <c r="T915">
        <f t="shared" ca="1" si="420"/>
        <v>1019.7665564573041</v>
      </c>
      <c r="U915">
        <f t="shared" ca="1" si="441"/>
        <v>-482.07256851378361</v>
      </c>
      <c r="V915">
        <f t="shared" ca="1" si="442"/>
        <v>0</v>
      </c>
      <c r="W915">
        <f t="shared" ca="1" si="421"/>
        <v>0.05</v>
      </c>
      <c r="X915">
        <f t="shared" ca="1" si="422"/>
        <v>0.26</v>
      </c>
      <c r="Y915">
        <f t="shared" ca="1" si="423"/>
        <v>4.9056603773584909E-2</v>
      </c>
      <c r="Z915">
        <f t="shared" ca="1" si="424"/>
        <v>196.15384615384616</v>
      </c>
      <c r="AA915">
        <f t="shared" ca="1" si="425"/>
        <v>632.22949999999992</v>
      </c>
      <c r="AB915">
        <f t="shared" ca="1" si="426"/>
        <v>2593.3065316486618</v>
      </c>
      <c r="AC915">
        <f t="shared" ca="1" si="427"/>
        <v>482.07306851378365</v>
      </c>
      <c r="AD915">
        <f t="shared" ca="1" si="428"/>
        <v>280.07692026646265</v>
      </c>
      <c r="AE915">
        <f t="shared" ca="1" si="429"/>
        <v>1019.7665564573041</v>
      </c>
      <c r="AF915">
        <f t="shared" ca="1" si="430"/>
        <v>482.25887083179077</v>
      </c>
      <c r="AG915">
        <f t="shared" ca="1" si="431"/>
        <v>0</v>
      </c>
      <c r="AH915">
        <f ca="1">IF(V32="Supercritical",L915,IF(V32="Subcritical",W915,IF(AND(V915=1,AG915=1),IF(T915&gt;=AE915,L915,W915),IF(V915=1,L915,IF(AG915=1,W915,MAX($D$16,POWER((ABS(K915)^2)/($I$5*MAX(F915,0.1)^2),1/3)))))))</f>
        <v>2.1403668656741068</v>
      </c>
      <c r="AI915">
        <f t="shared" ca="1" si="432"/>
        <v>634.31986686567404</v>
      </c>
      <c r="AJ915">
        <f t="shared" ca="1" si="433"/>
        <v>635.39005029851114</v>
      </c>
      <c r="AM915">
        <v>0</v>
      </c>
      <c r="AN915">
        <v>0</v>
      </c>
      <c r="AO915">
        <f t="shared" si="434"/>
        <v>0</v>
      </c>
      <c r="AP915">
        <f t="shared" si="443"/>
        <v>0</v>
      </c>
      <c r="AQ915">
        <f t="shared" ca="1" si="435"/>
        <v>0.99999999999999978</v>
      </c>
      <c r="AR915" t="str">
        <f t="shared" ca="1" si="436"/>
        <v>Supercritical</v>
      </c>
      <c r="AS915">
        <f t="shared" ca="1" si="437"/>
        <v>3.8148159832266538E-3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191</v>
      </c>
      <c r="I916">
        <v>5.7000000000000002E-2</v>
      </c>
      <c r="J916">
        <f t="shared" si="438"/>
        <v>1</v>
      </c>
      <c r="K916">
        <f t="shared" si="439"/>
        <v>51</v>
      </c>
      <c r="L916">
        <f t="shared" ca="1" si="440"/>
        <v>0.05</v>
      </c>
      <c r="M916">
        <f t="shared" ca="1" si="413"/>
        <v>0.26</v>
      </c>
      <c r="N916">
        <f t="shared" ca="1" si="414"/>
        <v>4.9056603773584909E-2</v>
      </c>
      <c r="O916">
        <f t="shared" ca="1" si="415"/>
        <v>196.15384615384616</v>
      </c>
      <c r="P916">
        <f t="shared" ca="1" si="416"/>
        <v>632.22899999999993</v>
      </c>
      <c r="Q916">
        <f t="shared" ca="1" si="417"/>
        <v>2593.3060316486622</v>
      </c>
      <c r="R916">
        <f t="shared" ca="1" si="418"/>
        <v>482.07306851378365</v>
      </c>
      <c r="S916">
        <f t="shared" ca="1" si="419"/>
        <v>280.07692026646265</v>
      </c>
      <c r="T916">
        <f t="shared" ca="1" si="420"/>
        <v>1019.7665564573041</v>
      </c>
      <c r="U916">
        <f t="shared" ca="1" si="441"/>
        <v>-482.25887083179077</v>
      </c>
      <c r="V916">
        <f t="shared" ca="1" si="442"/>
        <v>0</v>
      </c>
      <c r="W916">
        <f t="shared" ca="1" si="421"/>
        <v>0.05</v>
      </c>
      <c r="X916">
        <f t="shared" ca="1" si="422"/>
        <v>0.26</v>
      </c>
      <c r="Y916">
        <f t="shared" ca="1" si="423"/>
        <v>4.9056603773584909E-2</v>
      </c>
      <c r="Z916">
        <f t="shared" ca="1" si="424"/>
        <v>196.15384615384616</v>
      </c>
      <c r="AA916">
        <f t="shared" ca="1" si="425"/>
        <v>632.22899999999993</v>
      </c>
      <c r="AB916">
        <f t="shared" ca="1" si="426"/>
        <v>2593.3060316486622</v>
      </c>
      <c r="AC916">
        <f t="shared" ca="1" si="427"/>
        <v>482.07306851378365</v>
      </c>
      <c r="AD916">
        <f t="shared" ca="1" si="428"/>
        <v>280.07692026646265</v>
      </c>
      <c r="AE916">
        <f t="shared" ca="1" si="429"/>
        <v>1019.7665564573041</v>
      </c>
      <c r="AF916">
        <f t="shared" ca="1" si="430"/>
        <v>482.25887083179032</v>
      </c>
      <c r="AG916">
        <f t="shared" ca="1" si="431"/>
        <v>0</v>
      </c>
      <c r="AH916">
        <f ca="1">IF(V32="Supercritical",L916,IF(V32="Subcritical",W916,IF(AND(V916=1,AG916=1),IF(T916&gt;=AE916,L916,W916),IF(V916=1,L916,IF(AG916=1,W916,MAX($D$16,POWER((ABS(K916)^2)/($I$5*MAX(F916,0.1)^2),1/3)))))))</f>
        <v>2.1403668656741068</v>
      </c>
      <c r="AI916">
        <f t="shared" ca="1" si="432"/>
        <v>634.31936686567406</v>
      </c>
      <c r="AJ916">
        <f t="shared" ca="1" si="433"/>
        <v>635.38955029851115</v>
      </c>
      <c r="AM916">
        <v>0</v>
      </c>
      <c r="AN916">
        <v>0</v>
      </c>
      <c r="AO916">
        <f t="shared" si="434"/>
        <v>0</v>
      </c>
      <c r="AP916">
        <f t="shared" si="443"/>
        <v>0</v>
      </c>
      <c r="AQ916">
        <f t="shared" ca="1" si="435"/>
        <v>0.99999999999999978</v>
      </c>
      <c r="AR916" t="str">
        <f t="shared" ca="1" si="436"/>
        <v>Supercritical</v>
      </c>
      <c r="AS916">
        <f t="shared" ca="1" si="437"/>
        <v>3.8148159832266538E-3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191</v>
      </c>
      <c r="I917">
        <v>5.7000000000000002E-2</v>
      </c>
      <c r="J917">
        <f t="shared" si="438"/>
        <v>1</v>
      </c>
      <c r="K917">
        <f t="shared" si="439"/>
        <v>51</v>
      </c>
      <c r="L917">
        <f t="shared" ca="1" si="440"/>
        <v>0.05</v>
      </c>
      <c r="M917">
        <f t="shared" ca="1" si="413"/>
        <v>0.26</v>
      </c>
      <c r="N917">
        <f t="shared" ca="1" si="414"/>
        <v>4.9056603773584909E-2</v>
      </c>
      <c r="O917">
        <f t="shared" ca="1" si="415"/>
        <v>196.15384615384616</v>
      </c>
      <c r="P917">
        <f t="shared" ca="1" si="416"/>
        <v>632.22849999999994</v>
      </c>
      <c r="Q917">
        <f t="shared" ca="1" si="417"/>
        <v>2593.3055316486621</v>
      </c>
      <c r="R917">
        <f t="shared" ca="1" si="418"/>
        <v>482.07306851378365</v>
      </c>
      <c r="S917">
        <f t="shared" ca="1" si="419"/>
        <v>280.07692026646265</v>
      </c>
      <c r="T917">
        <f t="shared" ca="1" si="420"/>
        <v>1019.7665564573041</v>
      </c>
      <c r="U917">
        <f t="shared" ca="1" si="441"/>
        <v>-482.25887083179032</v>
      </c>
      <c r="V917">
        <f t="shared" ca="1" si="442"/>
        <v>0</v>
      </c>
      <c r="W917">
        <f t="shared" ca="1" si="421"/>
        <v>0.05</v>
      </c>
      <c r="X917">
        <f t="shared" ca="1" si="422"/>
        <v>0.26</v>
      </c>
      <c r="Y917">
        <f t="shared" ca="1" si="423"/>
        <v>4.9056603773584909E-2</v>
      </c>
      <c r="Z917">
        <f t="shared" ca="1" si="424"/>
        <v>196.15384615384616</v>
      </c>
      <c r="AA917">
        <f t="shared" ca="1" si="425"/>
        <v>632.22849999999994</v>
      </c>
      <c r="AB917">
        <f t="shared" ca="1" si="426"/>
        <v>2593.3055316486621</v>
      </c>
      <c r="AC917">
        <f t="shared" ca="1" si="427"/>
        <v>482.07306851378365</v>
      </c>
      <c r="AD917">
        <f t="shared" ca="1" si="428"/>
        <v>280.07692026646265</v>
      </c>
      <c r="AE917">
        <f t="shared" ca="1" si="429"/>
        <v>1019.7665564573041</v>
      </c>
      <c r="AF917">
        <f t="shared" ca="1" si="430"/>
        <v>482.07910543722255</v>
      </c>
      <c r="AG917">
        <f t="shared" ca="1" si="431"/>
        <v>0</v>
      </c>
      <c r="AH917">
        <f ca="1">IF(V32="Supercritical",L917,IF(V32="Subcritical",W917,IF(AND(V917=1,AG917=1),IF(T917&gt;=AE917,L917,W917),IF(V917=1,L917,IF(AG917=1,W917,MAX($D$16,POWER((ABS(K917)^2)/($I$5*MAX(F917,0.1)^2),1/3)))))))</f>
        <v>2.1403668656741068</v>
      </c>
      <c r="AI917">
        <f t="shared" ca="1" si="432"/>
        <v>634.31886686567407</v>
      </c>
      <c r="AJ917">
        <f t="shared" ca="1" si="433"/>
        <v>635.38905029851117</v>
      </c>
      <c r="AM917">
        <v>0</v>
      </c>
      <c r="AN917">
        <v>0</v>
      </c>
      <c r="AO917">
        <f t="shared" si="434"/>
        <v>0</v>
      </c>
      <c r="AP917">
        <f t="shared" si="443"/>
        <v>0</v>
      </c>
      <c r="AQ917">
        <f t="shared" ca="1" si="435"/>
        <v>0.99999999999999978</v>
      </c>
      <c r="AR917" t="str">
        <f t="shared" ca="1" si="436"/>
        <v>Supercritical</v>
      </c>
      <c r="AS917">
        <f t="shared" ca="1" si="437"/>
        <v>3.8148159832266538E-3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191</v>
      </c>
      <c r="I918">
        <v>2E-3</v>
      </c>
      <c r="J918">
        <f t="shared" si="438"/>
        <v>1</v>
      </c>
      <c r="K918">
        <f t="shared" si="439"/>
        <v>51</v>
      </c>
      <c r="L918">
        <f t="shared" ca="1" si="440"/>
        <v>0.05</v>
      </c>
      <c r="M918">
        <f t="shared" ref="M918:M981" ca="1" si="444">((F918)+(G918)*(L918))*(L918)</f>
        <v>0.26</v>
      </c>
      <c r="N918">
        <f t="shared" ref="N918:N981" ca="1" si="445">(((F918)+(G918)*(L918))*(L918))/MAX((F918)+2*(L918)*SQRT(1+(G918)^2),0.000001)</f>
        <v>4.9056603773584909E-2</v>
      </c>
      <c r="O918">
        <f t="shared" ref="O918:O981" ca="1" si="446">ABS(K918)/MAX(((F918)+(G918)*(L918))*(L918),0.000001)</f>
        <v>196.15384615384616</v>
      </c>
      <c r="P918">
        <f t="shared" ref="P918:P981" ca="1" si="447">E918+L918</f>
        <v>632.22799999999995</v>
      </c>
      <c r="Q918">
        <f t="shared" ref="Q918:Q981" ca="1" si="448">P918+((ABS(K918)/MAX(((F918)+(G918)*(L918))*(L918),0.000001))^2)/(2*$I$5)</f>
        <v>2593.305031648662</v>
      </c>
      <c r="R918">
        <f t="shared" ref="R918:R981" ca="1" si="449">((ABS(K918)*$D$6)/(MAX(((F918)+(G918)*(L918))*(L918),0.000001)*MAX(((((F918)+(G918)*(L918))*(L918))/MAX((F918)+2*(L918)*SQRT(1+(G918)^2),0.000001))^(2/3),0.000001)))^2</f>
        <v>482.07306851378365</v>
      </c>
      <c r="S918">
        <f t="shared" ref="S918:S981" ca="1" si="450">ABS(ABS(K918)/MAX(((F918)+(G918)*(L918))*(L918),0.000001))/SQRT($I$5*MAX((((F918)+(G918)*(L918))*(L918))/MAX((F918)+2*(G918)*(L918),0.000001),0.000001))</f>
        <v>280.07692026646265</v>
      </c>
      <c r="T918">
        <f t="shared" ref="T918:T981" ca="1" si="451">((F918)*(L918)^2)/2+(G918)*(L918)^3/3+(ABS(K918)^2)/($I$5*MAX(((F918)+(G918)*(L918))*(L918),0.000001))</f>
        <v>1019.7665564573041</v>
      </c>
      <c r="U918">
        <f t="shared" ca="1" si="441"/>
        <v>-482.07910543722255</v>
      </c>
      <c r="V918">
        <f t="shared" ca="1" si="442"/>
        <v>0</v>
      </c>
      <c r="W918">
        <f t="shared" ref="W918:W981" ca="1" si="452">IF(OR($D$20=0,AG919=0),W919,IF(OR(W918=0,AD919&gt;1),MAX($D$16,POWER((ABS(K918)^2)/($I$5*MAX(F918,0.1)^2),1/3)),IF(AF918&gt;0,MAX($D$16,W918+((AF918)*$D$18*IF((AD918)&lt;1,1,-1))),IF(AF918&lt;0,IF(ABS((MAX($D$16,POWER((ABS(K918)^2)/($I$5*MAX(F918,0.1)^2),1/3)))-W918)&gt;$D$19,MAX($D$16,W918+($D$18*((MAX($D$16,POWER((ABS(K918)^2)/($I$5*MAX(F918,0.1)^2),1/3)))-W918))),MAX($D$16,POWER((ABS(K918)^2)/($I$5*MAX(F918,0.1)^2),1/3))),W918))))</f>
        <v>0.05</v>
      </c>
      <c r="X918">
        <f t="shared" ref="X918:X981" ca="1" si="453">((F918)+(G918)*(W918))*(W918)</f>
        <v>0.26</v>
      </c>
      <c r="Y918">
        <f t="shared" ref="Y918:Y981" ca="1" si="454">(((F918)+(G918)*(W918))*(W918))/MAX((F918)+2*(W918)*SQRT(1+(G918)^2),0.000001)</f>
        <v>4.9056603773584909E-2</v>
      </c>
      <c r="Z918">
        <f t="shared" ref="Z918:Z981" ca="1" si="455">ABS(K918)/MAX(((F918)+(G918)*(W918))*(W918),0.000001)</f>
        <v>196.15384615384616</v>
      </c>
      <c r="AA918">
        <f t="shared" ref="AA918:AA981" ca="1" si="456">E918+W918</f>
        <v>632.22799999999995</v>
      </c>
      <c r="AB918">
        <f t="shared" ref="AB918:AB981" ca="1" si="457">AA918+((ABS(K918)/MAX(((F918)+(G918)*(W918))*(W918),0.000001))^2)/(2*$I$5)</f>
        <v>2593.305031648662</v>
      </c>
      <c r="AC918">
        <f t="shared" ref="AC918:AC981" ca="1" si="458">((ABS(K918)*$D$6)/(MAX(((F918)+(G918)*(W918))*(W918),0.000001)*MAX(((((F918)+(G918)*(W918))*(W918))/MAX((F918)+2*(W918)*SQRT(1+(G918)^2),0.000001))^(2/3),0.000001)))^2</f>
        <v>482.07306851378365</v>
      </c>
      <c r="AD918">
        <f t="shared" ref="AD918:AD981" ca="1" si="459">ABS(ABS(K918)/MAX(((F918)+(G918)*(W918))*(W918),0.000001))/SQRT($I$5*MAX((((F918)+(G918)*(W918))*(W918))/MAX((F918)+2*(G918)*(W918),0.000001),0.000001))</f>
        <v>280.07692026646265</v>
      </c>
      <c r="AE918">
        <f t="shared" ref="AE918:AE981" ca="1" si="460">((F918)*(W918)^2)/2+(G918)*(W918)^3/3+(ABS(K918)^2)/($I$5*MAX(((F918)+(G918)*(W918))*(W918),0.000001))</f>
        <v>1019.7665564573041</v>
      </c>
      <c r="AF918">
        <f t="shared" ref="AF918:AF981" ca="1" si="461">AB919+(((AC918+AC919)/2)*J919)+(IF(Z918&gt;Z919,$D$8*((Z918^2-Z919^2)/(2*$I$5)),$D$9*((Z919^2-Z918^2)/(2*$I$5)))+($D$10*(ABS(I919)/90)*(MAX(Z918^2,Z919^2)/(2*$I$5))))-AB918</f>
        <v>482.56117850572537</v>
      </c>
      <c r="AG918">
        <f t="shared" ref="AG918:AG981" ca="1" si="462">IF(ROUND(AD918,3)=1,1,IF(AND(ABS(AF918)&lt;$D$19,AD918&lt;1),1,0))</f>
        <v>0</v>
      </c>
      <c r="AH918">
        <f ca="1">IF(V32="Supercritical",L918,IF(V32="Subcritical",W918,IF(AND(V918=1,AG918=1),IF(T918&gt;=AE918,L918,W918),IF(V918=1,L918,IF(AG918=1,W918,MAX($D$16,POWER((ABS(K918)^2)/($I$5*MAX(F918,0.1)^2),1/3)))))))</f>
        <v>2.1403668656741068</v>
      </c>
      <c r="AI918">
        <f t="shared" ref="AI918:AI981" ca="1" si="463">E918+AH918</f>
        <v>634.31836686567408</v>
      </c>
      <c r="AJ918">
        <f t="shared" ref="AJ918:AJ981" ca="1" si="464">AI918+((ABS(K918)/MAX(((F918)+(G918)*(AH918))*(AH918),0.000001))^2)/(2*$I$5)</f>
        <v>635.38855029851118</v>
      </c>
      <c r="AM918">
        <v>0</v>
      </c>
      <c r="AN918">
        <v>0</v>
      </c>
      <c r="AO918">
        <f t="shared" ref="AO918:AO981" si="465">AM918+AN918</f>
        <v>0</v>
      </c>
      <c r="AP918">
        <f t="shared" si="443"/>
        <v>0</v>
      </c>
      <c r="AQ918">
        <f t="shared" ref="AQ918:AQ981" ca="1" si="466">ABS(ABS(K918)/MAX(((F918)+(G918)*(AH918))*(AH918),0.000001))/SQRT($I$5*MAX((((F918)+(G918)*(AH918))*(AH918))/MAX((F918)+2*(G918)*(AH918),0.000001),0.000001))</f>
        <v>0.99999999999999978</v>
      </c>
      <c r="AR918" t="str">
        <f t="shared" ref="AR918:AR981" ca="1" si="467">IF(AQ918&lt;1,"Subcritical","Supercritical")</f>
        <v>Supercritical</v>
      </c>
      <c r="AS918">
        <f t="shared" ref="AS918:AS981" ca="1" si="468">((ABS(K918)*$D$6)/(MAX(((F918)+(G918)*(AH918))*(AH918),0.000001)*MAX(((((F918)+(G918)*(AH918))*(AH918))/MAX((F918)+2*(AH918)*SQRT(1+(G918)^2),0.000001))^(2/3),0.000001)))^2</f>
        <v>3.8148159832266538E-3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191</v>
      </c>
      <c r="I919">
        <v>2E-3</v>
      </c>
      <c r="J919">
        <f t="shared" ref="J919:J982" si="469">B919-B918</f>
        <v>1.0009999999999764</v>
      </c>
      <c r="K919">
        <f t="shared" ref="K919:K982" si="470">MAX(0,K918-AO918)</f>
        <v>51</v>
      </c>
      <c r="L919">
        <f t="shared" ref="L919:L982" ca="1" si="471">IF(OR($D$20=0,V918=0),L918,IF(OR(L919=0,S918&lt;1,S919&lt;1),MAX($D$16,POWER((ABS(K919)^2)/($I$5*MAX(F919,0.1)^2),1/3)),IF(U919&gt;0,MAX($D$16,L919+((U919)*$D$18*IF((S919)&lt;1,1,-1))),IF(U919&lt;0,IF(ABS((MAX($D$16,POWER((ABS(K919)^2)/($I$5*MAX(F919,0.1)^2),1/3)))-L919)&gt;$D$19,MAX($D$16,L919+($D$18*((MAX($D$16,POWER((ABS(K919)^2)/($I$5*MAX(F919,0.1)^2),1/3)))-L919))),MAX($D$16,POWER((ABS(K919)^2)/($I$5*MAX(F919,0.1)^2),1/3))),L919))))</f>
        <v>0.05</v>
      </c>
      <c r="M919">
        <f t="shared" ca="1" si="444"/>
        <v>0.26</v>
      </c>
      <c r="N919">
        <f t="shared" ca="1" si="445"/>
        <v>4.9056603773584909E-2</v>
      </c>
      <c r="O919">
        <f t="shared" ca="1" si="446"/>
        <v>196.15384615384616</v>
      </c>
      <c r="P919">
        <f t="shared" ca="1" si="447"/>
        <v>632.22749999999996</v>
      </c>
      <c r="Q919">
        <f t="shared" ca="1" si="448"/>
        <v>2593.3045316486623</v>
      </c>
      <c r="R919">
        <f t="shared" ca="1" si="449"/>
        <v>482.07306851378365</v>
      </c>
      <c r="S919">
        <f t="shared" ca="1" si="450"/>
        <v>280.07692026646265</v>
      </c>
      <c r="T919">
        <f t="shared" ca="1" si="451"/>
        <v>1019.7665564573041</v>
      </c>
      <c r="U919">
        <f t="shared" ref="U919:U982" ca="1" si="472">Q918-(((R918+R919)/2)*J919)-(IF(O918&gt;O919,$D$8*((O918^2-O919^2)/(2*$I$5)),$D$9*((O919^2-O918^2)/(2*$I$5)))+($D$10*(ABS(I919)/90)*(MAX(O918^2,O919^2)/(2*$I$5))))-Q919</f>
        <v>-482.56117850572537</v>
      </c>
      <c r="V919">
        <f t="shared" ref="V919:V982" ca="1" si="473">IF(ROUND(S919,3)=1,1,IF(AND(ABS(U919)&lt;$D$19,S919&gt;1),1,0))</f>
        <v>0</v>
      </c>
      <c r="W919">
        <f t="shared" ca="1" si="452"/>
        <v>0.05</v>
      </c>
      <c r="X919">
        <f t="shared" ca="1" si="453"/>
        <v>0.26</v>
      </c>
      <c r="Y919">
        <f t="shared" ca="1" si="454"/>
        <v>4.9056603773584909E-2</v>
      </c>
      <c r="Z919">
        <f t="shared" ca="1" si="455"/>
        <v>196.15384615384616</v>
      </c>
      <c r="AA919">
        <f t="shared" ca="1" si="456"/>
        <v>632.22749999999996</v>
      </c>
      <c r="AB919">
        <f t="shared" ca="1" si="457"/>
        <v>2593.3045316486623</v>
      </c>
      <c r="AC919">
        <f t="shared" ca="1" si="458"/>
        <v>482.07306851378365</v>
      </c>
      <c r="AD919">
        <f t="shared" ca="1" si="459"/>
        <v>280.07692026646265</v>
      </c>
      <c r="AE919">
        <f t="shared" ca="1" si="460"/>
        <v>1019.7665564573041</v>
      </c>
      <c r="AF919">
        <f t="shared" ca="1" si="461"/>
        <v>482.25887083179032</v>
      </c>
      <c r="AG919">
        <f t="shared" ca="1" si="462"/>
        <v>0</v>
      </c>
      <c r="AH919">
        <f ca="1">IF(V32="Supercritical",L919,IF(V32="Subcritical",W919,IF(AND(V919=1,AG919=1),IF(T919&gt;=AE919,L919,W919),IF(V919=1,L919,IF(AG919=1,W919,MAX($D$16,POWER((ABS(K919)^2)/($I$5*MAX(F919,0.1)^2),1/3)))))))</f>
        <v>2.1403668656741068</v>
      </c>
      <c r="AI919">
        <f t="shared" ca="1" si="463"/>
        <v>634.31786686567409</v>
      </c>
      <c r="AJ919">
        <f t="shared" ca="1" si="464"/>
        <v>635.38805029851119</v>
      </c>
      <c r="AM919">
        <v>0</v>
      </c>
      <c r="AN919">
        <v>0</v>
      </c>
      <c r="AO919">
        <f t="shared" si="465"/>
        <v>0</v>
      </c>
      <c r="AP919">
        <f t="shared" ref="AP919:AP982" si="474">AP918+AO919</f>
        <v>0</v>
      </c>
      <c r="AQ919">
        <f t="shared" ca="1" si="466"/>
        <v>0.99999999999999978</v>
      </c>
      <c r="AR919" t="str">
        <f t="shared" ca="1" si="467"/>
        <v>Supercritical</v>
      </c>
      <c r="AS919">
        <f t="shared" ca="1" si="468"/>
        <v>3.8148159832266538E-3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191</v>
      </c>
      <c r="I920">
        <v>5.7000000000000002E-2</v>
      </c>
      <c r="J920">
        <f t="shared" si="469"/>
        <v>1</v>
      </c>
      <c r="K920">
        <f t="shared" si="470"/>
        <v>51</v>
      </c>
      <c r="L920">
        <f t="shared" ca="1" si="471"/>
        <v>0.05</v>
      </c>
      <c r="M920">
        <f t="shared" ca="1" si="444"/>
        <v>0.26</v>
      </c>
      <c r="N920">
        <f t="shared" ca="1" si="445"/>
        <v>4.9056603773584909E-2</v>
      </c>
      <c r="O920">
        <f t="shared" ca="1" si="446"/>
        <v>196.15384615384616</v>
      </c>
      <c r="P920">
        <f t="shared" ca="1" si="447"/>
        <v>632.22699999999998</v>
      </c>
      <c r="Q920">
        <f t="shared" ca="1" si="448"/>
        <v>2593.3040316486622</v>
      </c>
      <c r="R920">
        <f t="shared" ca="1" si="449"/>
        <v>482.07306851378365</v>
      </c>
      <c r="S920">
        <f t="shared" ca="1" si="450"/>
        <v>280.07692026646265</v>
      </c>
      <c r="T920">
        <f t="shared" ca="1" si="451"/>
        <v>1019.7665564573041</v>
      </c>
      <c r="U920">
        <f t="shared" ca="1" si="472"/>
        <v>-482.25887083179032</v>
      </c>
      <c r="V920">
        <f t="shared" ca="1" si="473"/>
        <v>0</v>
      </c>
      <c r="W920">
        <f t="shared" ca="1" si="452"/>
        <v>0.05</v>
      </c>
      <c r="X920">
        <f t="shared" ca="1" si="453"/>
        <v>0.26</v>
      </c>
      <c r="Y920">
        <f t="shared" ca="1" si="454"/>
        <v>4.9056603773584909E-2</v>
      </c>
      <c r="Z920">
        <f t="shared" ca="1" si="455"/>
        <v>196.15384615384616</v>
      </c>
      <c r="AA920">
        <f t="shared" ca="1" si="456"/>
        <v>632.22699999999998</v>
      </c>
      <c r="AB920">
        <f t="shared" ca="1" si="457"/>
        <v>2593.3040316486622</v>
      </c>
      <c r="AC920">
        <f t="shared" ca="1" si="458"/>
        <v>482.07306851378365</v>
      </c>
      <c r="AD920">
        <f t="shared" ca="1" si="459"/>
        <v>280.07692026646265</v>
      </c>
      <c r="AE920">
        <f t="shared" ca="1" si="460"/>
        <v>1019.7665564573041</v>
      </c>
      <c r="AF920">
        <f t="shared" ca="1" si="461"/>
        <v>481.77679776328796</v>
      </c>
      <c r="AG920">
        <f t="shared" ca="1" si="462"/>
        <v>0</v>
      </c>
      <c r="AH920">
        <f ca="1">IF(V32="Supercritical",L920,IF(V32="Subcritical",W920,IF(AND(V920=1,AG920=1),IF(T920&gt;=AE920,L920,W920),IF(V920=1,L920,IF(AG920=1,W920,MAX($D$16,POWER((ABS(K920)^2)/($I$5*MAX(F920,0.1)^2),1/3)))))))</f>
        <v>2.1403668656741068</v>
      </c>
      <c r="AI920">
        <f t="shared" ca="1" si="463"/>
        <v>634.3173668656741</v>
      </c>
      <c r="AJ920">
        <f t="shared" ca="1" si="464"/>
        <v>635.3875502985112</v>
      </c>
      <c r="AM920">
        <v>0</v>
      </c>
      <c r="AN920">
        <v>0</v>
      </c>
      <c r="AO920">
        <f t="shared" si="465"/>
        <v>0</v>
      </c>
      <c r="AP920">
        <f t="shared" si="474"/>
        <v>0</v>
      </c>
      <c r="AQ920">
        <f t="shared" ca="1" si="466"/>
        <v>0.99999999999999978</v>
      </c>
      <c r="AR920" t="str">
        <f t="shared" ca="1" si="467"/>
        <v>Supercritical</v>
      </c>
      <c r="AS920">
        <f t="shared" ca="1" si="468"/>
        <v>3.8148159832266538E-3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191</v>
      </c>
      <c r="I921">
        <v>5.7000000000000002E-2</v>
      </c>
      <c r="J921">
        <f t="shared" si="469"/>
        <v>0.99900000000002365</v>
      </c>
      <c r="K921">
        <f t="shared" si="470"/>
        <v>51</v>
      </c>
      <c r="L921">
        <f t="shared" ca="1" si="471"/>
        <v>0.05</v>
      </c>
      <c r="M921">
        <f t="shared" ca="1" si="444"/>
        <v>0.26</v>
      </c>
      <c r="N921">
        <f t="shared" ca="1" si="445"/>
        <v>4.9056603773584909E-2</v>
      </c>
      <c r="O921">
        <f t="shared" ca="1" si="446"/>
        <v>196.15384615384616</v>
      </c>
      <c r="P921">
        <f t="shared" ca="1" si="447"/>
        <v>632.22649999999999</v>
      </c>
      <c r="Q921">
        <f t="shared" ca="1" si="448"/>
        <v>2593.3035316486621</v>
      </c>
      <c r="R921">
        <f t="shared" ca="1" si="449"/>
        <v>482.07306851378365</v>
      </c>
      <c r="S921">
        <f t="shared" ca="1" si="450"/>
        <v>280.07692026646265</v>
      </c>
      <c r="T921">
        <f t="shared" ca="1" si="451"/>
        <v>1019.7665564573041</v>
      </c>
      <c r="U921">
        <f t="shared" ca="1" si="472"/>
        <v>-481.77679776328796</v>
      </c>
      <c r="V921">
        <f t="shared" ca="1" si="473"/>
        <v>0</v>
      </c>
      <c r="W921">
        <f t="shared" ca="1" si="452"/>
        <v>0.05</v>
      </c>
      <c r="X921">
        <f t="shared" ca="1" si="453"/>
        <v>0.26</v>
      </c>
      <c r="Y921">
        <f t="shared" ca="1" si="454"/>
        <v>4.9056603773584909E-2</v>
      </c>
      <c r="Z921">
        <f t="shared" ca="1" si="455"/>
        <v>196.15384615384616</v>
      </c>
      <c r="AA921">
        <f t="shared" ca="1" si="456"/>
        <v>632.22649999999999</v>
      </c>
      <c r="AB921">
        <f t="shared" ca="1" si="457"/>
        <v>2593.3035316486621</v>
      </c>
      <c r="AC921">
        <f t="shared" ca="1" si="458"/>
        <v>482.07306851378365</v>
      </c>
      <c r="AD921">
        <f t="shared" ca="1" si="459"/>
        <v>280.07692026646265</v>
      </c>
      <c r="AE921">
        <f t="shared" ca="1" si="460"/>
        <v>1019.7665564573041</v>
      </c>
      <c r="AF921">
        <f t="shared" ca="1" si="461"/>
        <v>482.07256851378361</v>
      </c>
      <c r="AG921">
        <f t="shared" ca="1" si="462"/>
        <v>0</v>
      </c>
      <c r="AH921">
        <f ca="1">IF(V32="Supercritical",L921,IF(V32="Subcritical",W921,IF(AND(V921=1,AG921=1),IF(T921&gt;=AE921,L921,W921),IF(V921=1,L921,IF(AG921=1,W921,MAX($D$16,POWER((ABS(K921)^2)/($I$5*MAX(F921,0.1)^2),1/3)))))))</f>
        <v>2.1403668656741068</v>
      </c>
      <c r="AI921">
        <f t="shared" ca="1" si="463"/>
        <v>634.31686686567411</v>
      </c>
      <c r="AJ921">
        <f t="shared" ca="1" si="464"/>
        <v>635.38705029851121</v>
      </c>
      <c r="AM921">
        <v>0</v>
      </c>
      <c r="AN921">
        <v>0</v>
      </c>
      <c r="AO921">
        <f t="shared" si="465"/>
        <v>0</v>
      </c>
      <c r="AP921">
        <f t="shared" si="474"/>
        <v>0</v>
      </c>
      <c r="AQ921">
        <f t="shared" ca="1" si="466"/>
        <v>0.99999999999999978</v>
      </c>
      <c r="AR921" t="str">
        <f t="shared" ca="1" si="467"/>
        <v>Supercritical</v>
      </c>
      <c r="AS921">
        <f t="shared" ca="1" si="468"/>
        <v>3.8148159832266538E-3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191</v>
      </c>
      <c r="I922">
        <v>0</v>
      </c>
      <c r="J922">
        <f t="shared" si="469"/>
        <v>1</v>
      </c>
      <c r="K922">
        <f t="shared" si="470"/>
        <v>51</v>
      </c>
      <c r="L922">
        <f t="shared" ca="1" si="471"/>
        <v>0.05</v>
      </c>
      <c r="M922">
        <f t="shared" ca="1" si="444"/>
        <v>0.26</v>
      </c>
      <c r="N922">
        <f t="shared" ca="1" si="445"/>
        <v>4.9056603773584909E-2</v>
      </c>
      <c r="O922">
        <f t="shared" ca="1" si="446"/>
        <v>196.15384615384616</v>
      </c>
      <c r="P922">
        <f t="shared" ca="1" si="447"/>
        <v>632.226</v>
      </c>
      <c r="Q922">
        <f t="shared" ca="1" si="448"/>
        <v>2593.303031648662</v>
      </c>
      <c r="R922">
        <f t="shared" ca="1" si="449"/>
        <v>482.07306851378365</v>
      </c>
      <c r="S922">
        <f t="shared" ca="1" si="450"/>
        <v>280.07692026646265</v>
      </c>
      <c r="T922">
        <f t="shared" ca="1" si="451"/>
        <v>1019.7665564573041</v>
      </c>
      <c r="U922">
        <f t="shared" ca="1" si="472"/>
        <v>-482.07256851378361</v>
      </c>
      <c r="V922">
        <f t="shared" ca="1" si="473"/>
        <v>0</v>
      </c>
      <c r="W922">
        <f t="shared" ca="1" si="452"/>
        <v>0.05</v>
      </c>
      <c r="X922">
        <f t="shared" ca="1" si="453"/>
        <v>0.26</v>
      </c>
      <c r="Y922">
        <f t="shared" ca="1" si="454"/>
        <v>4.9056603773584909E-2</v>
      </c>
      <c r="Z922">
        <f t="shared" ca="1" si="455"/>
        <v>196.15384615384616</v>
      </c>
      <c r="AA922">
        <f t="shared" ca="1" si="456"/>
        <v>632.226</v>
      </c>
      <c r="AB922">
        <f t="shared" ca="1" si="457"/>
        <v>2593.303031648662</v>
      </c>
      <c r="AC922">
        <f t="shared" ca="1" si="458"/>
        <v>482.07306851378365</v>
      </c>
      <c r="AD922">
        <f t="shared" ca="1" si="459"/>
        <v>280.07692026646265</v>
      </c>
      <c r="AE922">
        <f t="shared" ca="1" si="460"/>
        <v>1019.7665564573041</v>
      </c>
      <c r="AF922">
        <f t="shared" ca="1" si="461"/>
        <v>482.07256851378361</v>
      </c>
      <c r="AG922">
        <f t="shared" ca="1" si="462"/>
        <v>0</v>
      </c>
      <c r="AH922">
        <f ca="1">IF(V32="Supercritical",L922,IF(V32="Subcritical",W922,IF(AND(V922=1,AG922=1),IF(T922&gt;=AE922,L922,W922),IF(V922=1,L922,IF(AG922=1,W922,MAX($D$16,POWER((ABS(K922)^2)/($I$5*MAX(F922,0.1)^2),1/3)))))))</f>
        <v>2.1403668656741068</v>
      </c>
      <c r="AI922">
        <f t="shared" ca="1" si="463"/>
        <v>634.31636686567413</v>
      </c>
      <c r="AJ922">
        <f t="shared" ca="1" si="464"/>
        <v>635.38655029851122</v>
      </c>
      <c r="AM922">
        <v>0</v>
      </c>
      <c r="AN922">
        <v>0</v>
      </c>
      <c r="AO922">
        <f t="shared" si="465"/>
        <v>0</v>
      </c>
      <c r="AP922">
        <f t="shared" si="474"/>
        <v>0</v>
      </c>
      <c r="AQ922">
        <f t="shared" ca="1" si="466"/>
        <v>0.99999999999999978</v>
      </c>
      <c r="AR922" t="str">
        <f t="shared" ca="1" si="467"/>
        <v>Supercritical</v>
      </c>
      <c r="AS922">
        <f t="shared" ca="1" si="468"/>
        <v>3.8148159832266538E-3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191</v>
      </c>
      <c r="I923">
        <v>0</v>
      </c>
      <c r="J923">
        <f t="shared" si="469"/>
        <v>1</v>
      </c>
      <c r="K923">
        <f t="shared" si="470"/>
        <v>51</v>
      </c>
      <c r="L923">
        <f t="shared" ca="1" si="471"/>
        <v>0.05</v>
      </c>
      <c r="M923">
        <f t="shared" ca="1" si="444"/>
        <v>0.26</v>
      </c>
      <c r="N923">
        <f t="shared" ca="1" si="445"/>
        <v>4.9056603773584909E-2</v>
      </c>
      <c r="O923">
        <f t="shared" ca="1" si="446"/>
        <v>196.15384615384616</v>
      </c>
      <c r="P923">
        <f t="shared" ca="1" si="447"/>
        <v>632.22550000000001</v>
      </c>
      <c r="Q923">
        <f t="shared" ca="1" si="448"/>
        <v>2593.3025316486619</v>
      </c>
      <c r="R923">
        <f t="shared" ca="1" si="449"/>
        <v>482.07306851378365</v>
      </c>
      <c r="S923">
        <f t="shared" ca="1" si="450"/>
        <v>280.07692026646265</v>
      </c>
      <c r="T923">
        <f t="shared" ca="1" si="451"/>
        <v>1019.7665564573041</v>
      </c>
      <c r="U923">
        <f t="shared" ca="1" si="472"/>
        <v>-482.07256851378361</v>
      </c>
      <c r="V923">
        <f t="shared" ca="1" si="473"/>
        <v>0</v>
      </c>
      <c r="W923">
        <f t="shared" ca="1" si="452"/>
        <v>0.05</v>
      </c>
      <c r="X923">
        <f t="shared" ca="1" si="453"/>
        <v>0.26</v>
      </c>
      <c r="Y923">
        <f t="shared" ca="1" si="454"/>
        <v>4.9056603773584909E-2</v>
      </c>
      <c r="Z923">
        <f t="shared" ca="1" si="455"/>
        <v>196.15384615384616</v>
      </c>
      <c r="AA923">
        <f t="shared" ca="1" si="456"/>
        <v>632.22550000000001</v>
      </c>
      <c r="AB923">
        <f t="shared" ca="1" si="457"/>
        <v>2593.3025316486619</v>
      </c>
      <c r="AC923">
        <f t="shared" ca="1" si="458"/>
        <v>482.07306851378365</v>
      </c>
      <c r="AD923">
        <f t="shared" ca="1" si="459"/>
        <v>280.07692026646265</v>
      </c>
      <c r="AE923">
        <f t="shared" ca="1" si="460"/>
        <v>1019.7665564573041</v>
      </c>
      <c r="AF923">
        <f t="shared" ca="1" si="461"/>
        <v>482.25887083179032</v>
      </c>
      <c r="AG923">
        <f t="shared" ca="1" si="462"/>
        <v>0</v>
      </c>
      <c r="AH923">
        <f ca="1">IF(V32="Supercritical",L923,IF(V32="Subcritical",W923,IF(AND(V923=1,AG923=1),IF(T923&gt;=AE923,L923,W923),IF(V923=1,L923,IF(AG923=1,W923,MAX($D$16,POWER((ABS(K923)^2)/($I$5*MAX(F923,0.1)^2),1/3)))))))</f>
        <v>2.1403668656741068</v>
      </c>
      <c r="AI923">
        <f t="shared" ca="1" si="463"/>
        <v>634.31586686567414</v>
      </c>
      <c r="AJ923">
        <f t="shared" ca="1" si="464"/>
        <v>635.38605029851124</v>
      </c>
      <c r="AM923">
        <v>0</v>
      </c>
      <c r="AN923">
        <v>0</v>
      </c>
      <c r="AO923">
        <f t="shared" si="465"/>
        <v>0</v>
      </c>
      <c r="AP923">
        <f t="shared" si="474"/>
        <v>0</v>
      </c>
      <c r="AQ923">
        <f t="shared" ca="1" si="466"/>
        <v>0.99999999999999978</v>
      </c>
      <c r="AR923" t="str">
        <f t="shared" ca="1" si="467"/>
        <v>Supercritical</v>
      </c>
      <c r="AS923">
        <f t="shared" ca="1" si="468"/>
        <v>3.8148159832266538E-3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191</v>
      </c>
      <c r="I924">
        <v>5.7000000000000002E-2</v>
      </c>
      <c r="J924">
        <f t="shared" si="469"/>
        <v>1</v>
      </c>
      <c r="K924">
        <f t="shared" si="470"/>
        <v>51</v>
      </c>
      <c r="L924">
        <f t="shared" ca="1" si="471"/>
        <v>0.05</v>
      </c>
      <c r="M924">
        <f t="shared" ca="1" si="444"/>
        <v>0.26</v>
      </c>
      <c r="N924">
        <f t="shared" ca="1" si="445"/>
        <v>4.9056603773584909E-2</v>
      </c>
      <c r="O924">
        <f t="shared" ca="1" si="446"/>
        <v>196.15384615384616</v>
      </c>
      <c r="P924">
        <f t="shared" ca="1" si="447"/>
        <v>632.22499999999991</v>
      </c>
      <c r="Q924">
        <f t="shared" ca="1" si="448"/>
        <v>2593.3020316486618</v>
      </c>
      <c r="R924">
        <f t="shared" ca="1" si="449"/>
        <v>482.07306851378365</v>
      </c>
      <c r="S924">
        <f t="shared" ca="1" si="450"/>
        <v>280.07692026646265</v>
      </c>
      <c r="T924">
        <f t="shared" ca="1" si="451"/>
        <v>1019.7665564573041</v>
      </c>
      <c r="U924">
        <f t="shared" ca="1" si="472"/>
        <v>-482.25887083179032</v>
      </c>
      <c r="V924">
        <f t="shared" ca="1" si="473"/>
        <v>0</v>
      </c>
      <c r="W924">
        <f t="shared" ca="1" si="452"/>
        <v>0.05</v>
      </c>
      <c r="X924">
        <f t="shared" ca="1" si="453"/>
        <v>0.26</v>
      </c>
      <c r="Y924">
        <f t="shared" ca="1" si="454"/>
        <v>4.9056603773584909E-2</v>
      </c>
      <c r="Z924">
        <f t="shared" ca="1" si="455"/>
        <v>196.15384615384616</v>
      </c>
      <c r="AA924">
        <f t="shared" ca="1" si="456"/>
        <v>632.22499999999991</v>
      </c>
      <c r="AB924">
        <f t="shared" ca="1" si="457"/>
        <v>2593.3020316486618</v>
      </c>
      <c r="AC924">
        <f t="shared" ca="1" si="458"/>
        <v>482.07306851378365</v>
      </c>
      <c r="AD924">
        <f t="shared" ca="1" si="459"/>
        <v>280.07692026646265</v>
      </c>
      <c r="AE924">
        <f t="shared" ca="1" si="460"/>
        <v>1019.7665564573041</v>
      </c>
      <c r="AF924">
        <f t="shared" ca="1" si="461"/>
        <v>482.25887083179077</v>
      </c>
      <c r="AG924">
        <f t="shared" ca="1" si="462"/>
        <v>0</v>
      </c>
      <c r="AH924">
        <f ca="1">IF(V32="Supercritical",L924,IF(V32="Subcritical",W924,IF(AND(V924=1,AG924=1),IF(T924&gt;=AE924,L924,W924),IF(V924=1,L924,IF(AG924=1,W924,MAX($D$16,POWER((ABS(K924)^2)/($I$5*MAX(F924,0.1)^2),1/3)))))))</f>
        <v>2.1403668656741068</v>
      </c>
      <c r="AI924">
        <f t="shared" ca="1" si="463"/>
        <v>634.31536686567404</v>
      </c>
      <c r="AJ924">
        <f t="shared" ca="1" si="464"/>
        <v>635.38555029851113</v>
      </c>
      <c r="AM924">
        <v>0</v>
      </c>
      <c r="AN924">
        <v>0</v>
      </c>
      <c r="AO924">
        <f t="shared" si="465"/>
        <v>0</v>
      </c>
      <c r="AP924">
        <f t="shared" si="474"/>
        <v>0</v>
      </c>
      <c r="AQ924">
        <f t="shared" ca="1" si="466"/>
        <v>0.99999999999999978</v>
      </c>
      <c r="AR924" t="str">
        <f t="shared" ca="1" si="467"/>
        <v>Supercritical</v>
      </c>
      <c r="AS924">
        <f t="shared" ca="1" si="468"/>
        <v>3.8148159832266538E-3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191</v>
      </c>
      <c r="I925">
        <v>5.7000000000000002E-2</v>
      </c>
      <c r="J925">
        <f t="shared" si="469"/>
        <v>1</v>
      </c>
      <c r="K925">
        <f t="shared" si="470"/>
        <v>51</v>
      </c>
      <c r="L925">
        <f t="shared" ca="1" si="471"/>
        <v>0.05</v>
      </c>
      <c r="M925">
        <f t="shared" ca="1" si="444"/>
        <v>0.26</v>
      </c>
      <c r="N925">
        <f t="shared" ca="1" si="445"/>
        <v>4.9056603773584909E-2</v>
      </c>
      <c r="O925">
        <f t="shared" ca="1" si="446"/>
        <v>196.15384615384616</v>
      </c>
      <c r="P925">
        <f t="shared" ca="1" si="447"/>
        <v>632.22449999999992</v>
      </c>
      <c r="Q925">
        <f t="shared" ca="1" si="448"/>
        <v>2593.3015316486621</v>
      </c>
      <c r="R925">
        <f t="shared" ca="1" si="449"/>
        <v>482.07306851378365</v>
      </c>
      <c r="S925">
        <f t="shared" ca="1" si="450"/>
        <v>280.07692026646265</v>
      </c>
      <c r="T925">
        <f t="shared" ca="1" si="451"/>
        <v>1019.7665564573041</v>
      </c>
      <c r="U925">
        <f t="shared" ca="1" si="472"/>
        <v>-482.25887083179077</v>
      </c>
      <c r="V925">
        <f t="shared" ca="1" si="473"/>
        <v>0</v>
      </c>
      <c r="W925">
        <f t="shared" ca="1" si="452"/>
        <v>0.05</v>
      </c>
      <c r="X925">
        <f t="shared" ca="1" si="453"/>
        <v>0.26</v>
      </c>
      <c r="Y925">
        <f t="shared" ca="1" si="454"/>
        <v>4.9056603773584909E-2</v>
      </c>
      <c r="Z925">
        <f t="shared" ca="1" si="455"/>
        <v>196.15384615384616</v>
      </c>
      <c r="AA925">
        <f t="shared" ca="1" si="456"/>
        <v>632.22449999999992</v>
      </c>
      <c r="AB925">
        <f t="shared" ca="1" si="457"/>
        <v>2593.3015316486621</v>
      </c>
      <c r="AC925">
        <f t="shared" ca="1" si="458"/>
        <v>482.07306851378365</v>
      </c>
      <c r="AD925">
        <f t="shared" ca="1" si="459"/>
        <v>280.07692026646265</v>
      </c>
      <c r="AE925">
        <f t="shared" ca="1" si="460"/>
        <v>1019.7665564573041</v>
      </c>
      <c r="AF925">
        <f t="shared" ca="1" si="461"/>
        <v>482.07256851378361</v>
      </c>
      <c r="AG925">
        <f t="shared" ca="1" si="462"/>
        <v>0</v>
      </c>
      <c r="AH925">
        <f ca="1">IF(V32="Supercritical",L925,IF(V32="Subcritical",W925,IF(AND(V925=1,AG925=1),IF(T925&gt;=AE925,L925,W925),IF(V925=1,L925,IF(AG925=1,W925,MAX($D$16,POWER((ABS(K925)^2)/($I$5*MAX(F925,0.1)^2),1/3)))))))</f>
        <v>2.1403668656741068</v>
      </c>
      <c r="AI925">
        <f t="shared" ca="1" si="463"/>
        <v>634.31486686567405</v>
      </c>
      <c r="AJ925">
        <f t="shared" ca="1" si="464"/>
        <v>635.38505029851115</v>
      </c>
      <c r="AM925">
        <v>0</v>
      </c>
      <c r="AN925">
        <v>0</v>
      </c>
      <c r="AO925">
        <f t="shared" si="465"/>
        <v>0</v>
      </c>
      <c r="AP925">
        <f t="shared" si="474"/>
        <v>0</v>
      </c>
      <c r="AQ925">
        <f t="shared" ca="1" si="466"/>
        <v>0.99999999999999978</v>
      </c>
      <c r="AR925" t="str">
        <f t="shared" ca="1" si="467"/>
        <v>Supercritical</v>
      </c>
      <c r="AS925">
        <f t="shared" ca="1" si="468"/>
        <v>3.8148159832266538E-3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191</v>
      </c>
      <c r="I926">
        <v>0</v>
      </c>
      <c r="J926">
        <f t="shared" si="469"/>
        <v>1</v>
      </c>
      <c r="K926">
        <f t="shared" si="470"/>
        <v>51</v>
      </c>
      <c r="L926">
        <f t="shared" ca="1" si="471"/>
        <v>0.05</v>
      </c>
      <c r="M926">
        <f t="shared" ca="1" si="444"/>
        <v>0.26</v>
      </c>
      <c r="N926">
        <f t="shared" ca="1" si="445"/>
        <v>4.9056603773584909E-2</v>
      </c>
      <c r="O926">
        <f t="shared" ca="1" si="446"/>
        <v>196.15384615384616</v>
      </c>
      <c r="P926">
        <f t="shared" ca="1" si="447"/>
        <v>632.22399999999993</v>
      </c>
      <c r="Q926">
        <f t="shared" ca="1" si="448"/>
        <v>2593.301031648662</v>
      </c>
      <c r="R926">
        <f t="shared" ca="1" si="449"/>
        <v>482.07306851378365</v>
      </c>
      <c r="S926">
        <f t="shared" ca="1" si="450"/>
        <v>280.07692026646265</v>
      </c>
      <c r="T926">
        <f t="shared" ca="1" si="451"/>
        <v>1019.7665564573041</v>
      </c>
      <c r="U926">
        <f t="shared" ca="1" si="472"/>
        <v>-482.07256851378361</v>
      </c>
      <c r="V926">
        <f t="shared" ca="1" si="473"/>
        <v>0</v>
      </c>
      <c r="W926">
        <f t="shared" ca="1" si="452"/>
        <v>0.05</v>
      </c>
      <c r="X926">
        <f t="shared" ca="1" si="453"/>
        <v>0.26</v>
      </c>
      <c r="Y926">
        <f t="shared" ca="1" si="454"/>
        <v>4.9056603773584909E-2</v>
      </c>
      <c r="Z926">
        <f t="shared" ca="1" si="455"/>
        <v>196.15384615384616</v>
      </c>
      <c r="AA926">
        <f t="shared" ca="1" si="456"/>
        <v>632.22399999999993</v>
      </c>
      <c r="AB926">
        <f t="shared" ca="1" si="457"/>
        <v>2593.301031648662</v>
      </c>
      <c r="AC926">
        <f t="shared" ca="1" si="458"/>
        <v>482.07306851378365</v>
      </c>
      <c r="AD926">
        <f t="shared" ca="1" si="459"/>
        <v>280.07692026646265</v>
      </c>
      <c r="AE926">
        <f t="shared" ca="1" si="460"/>
        <v>1019.7665564573041</v>
      </c>
      <c r="AF926">
        <f t="shared" ca="1" si="461"/>
        <v>482.07910543722255</v>
      </c>
      <c r="AG926">
        <f t="shared" ca="1" si="462"/>
        <v>0</v>
      </c>
      <c r="AH926">
        <f ca="1">IF(V32="Supercritical",L926,IF(V32="Subcritical",W926,IF(AND(V926=1,AG926=1),IF(T926&gt;=AE926,L926,W926),IF(V926=1,L926,IF(AG926=1,W926,MAX($D$16,POWER((ABS(K926)^2)/($I$5*MAX(F926,0.1)^2),1/3)))))))</f>
        <v>2.1403668656741068</v>
      </c>
      <c r="AI926">
        <f t="shared" ca="1" si="463"/>
        <v>634.31436686567406</v>
      </c>
      <c r="AJ926">
        <f t="shared" ca="1" si="464"/>
        <v>635.38455029851116</v>
      </c>
      <c r="AM926">
        <v>0</v>
      </c>
      <c r="AN926">
        <v>0</v>
      </c>
      <c r="AO926">
        <f t="shared" si="465"/>
        <v>0</v>
      </c>
      <c r="AP926">
        <f t="shared" si="474"/>
        <v>0</v>
      </c>
      <c r="AQ926">
        <f t="shared" ca="1" si="466"/>
        <v>0.99999999999999978</v>
      </c>
      <c r="AR926" t="str">
        <f t="shared" ca="1" si="467"/>
        <v>Supercritical</v>
      </c>
      <c r="AS926">
        <f t="shared" ca="1" si="468"/>
        <v>3.8148159832266538E-3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191</v>
      </c>
      <c r="I927">
        <v>2E-3</v>
      </c>
      <c r="J927">
        <f t="shared" si="469"/>
        <v>1</v>
      </c>
      <c r="K927">
        <f t="shared" si="470"/>
        <v>51</v>
      </c>
      <c r="L927">
        <f t="shared" ca="1" si="471"/>
        <v>0.05</v>
      </c>
      <c r="M927">
        <f t="shared" ca="1" si="444"/>
        <v>0.26</v>
      </c>
      <c r="N927">
        <f t="shared" ca="1" si="445"/>
        <v>4.9056603773584909E-2</v>
      </c>
      <c r="O927">
        <f t="shared" ca="1" si="446"/>
        <v>196.15384615384616</v>
      </c>
      <c r="P927">
        <f t="shared" ca="1" si="447"/>
        <v>632.22349999999994</v>
      </c>
      <c r="Q927">
        <f t="shared" ca="1" si="448"/>
        <v>2593.3005316486619</v>
      </c>
      <c r="R927">
        <f t="shared" ca="1" si="449"/>
        <v>482.07306851378365</v>
      </c>
      <c r="S927">
        <f t="shared" ca="1" si="450"/>
        <v>280.07692026646265</v>
      </c>
      <c r="T927">
        <f t="shared" ca="1" si="451"/>
        <v>1019.7665564573041</v>
      </c>
      <c r="U927">
        <f t="shared" ca="1" si="472"/>
        <v>-482.07910543722255</v>
      </c>
      <c r="V927">
        <f t="shared" ca="1" si="473"/>
        <v>0</v>
      </c>
      <c r="W927">
        <f t="shared" ca="1" si="452"/>
        <v>0.05</v>
      </c>
      <c r="X927">
        <f t="shared" ca="1" si="453"/>
        <v>0.26</v>
      </c>
      <c r="Y927">
        <f t="shared" ca="1" si="454"/>
        <v>4.9056603773584909E-2</v>
      </c>
      <c r="Z927">
        <f t="shared" ca="1" si="455"/>
        <v>196.15384615384616</v>
      </c>
      <c r="AA927">
        <f t="shared" ca="1" si="456"/>
        <v>632.22349999999994</v>
      </c>
      <c r="AB927">
        <f t="shared" ca="1" si="457"/>
        <v>2593.3005316486619</v>
      </c>
      <c r="AC927">
        <f t="shared" ca="1" si="458"/>
        <v>482.07306851378365</v>
      </c>
      <c r="AD927">
        <f t="shared" ca="1" si="459"/>
        <v>280.07692026646265</v>
      </c>
      <c r="AE927">
        <f t="shared" ca="1" si="460"/>
        <v>1019.7665564573041</v>
      </c>
      <c r="AF927">
        <f t="shared" ca="1" si="461"/>
        <v>482.75074928545109</v>
      </c>
      <c r="AG927">
        <f t="shared" ca="1" si="462"/>
        <v>0</v>
      </c>
      <c r="AH927">
        <f ca="1">IF(V32="Supercritical",L927,IF(V32="Subcritical",W927,IF(AND(V927=1,AG927=1),IF(T927&gt;=AE927,L927,W927),IF(V927=1,L927,IF(AG927=1,W927,MAX($D$16,POWER((ABS(K927)^2)/($I$5*MAX(F927,0.1)^2),1/3)))))))</f>
        <v>2.1403668656741068</v>
      </c>
      <c r="AI927">
        <f t="shared" ca="1" si="463"/>
        <v>634.31386686567407</v>
      </c>
      <c r="AJ927">
        <f t="shared" ca="1" si="464"/>
        <v>635.38405029851117</v>
      </c>
      <c r="AM927">
        <v>0</v>
      </c>
      <c r="AN927">
        <v>0</v>
      </c>
      <c r="AO927">
        <f t="shared" si="465"/>
        <v>0</v>
      </c>
      <c r="AP927">
        <f t="shared" si="474"/>
        <v>0</v>
      </c>
      <c r="AQ927">
        <f t="shared" ca="1" si="466"/>
        <v>0.99999999999999978</v>
      </c>
      <c r="AR927" t="str">
        <f t="shared" ca="1" si="467"/>
        <v>Supercritical</v>
      </c>
      <c r="AS927">
        <f t="shared" ca="1" si="468"/>
        <v>3.8148159832266538E-3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191</v>
      </c>
      <c r="I928">
        <v>0.06</v>
      </c>
      <c r="J928">
        <f t="shared" si="469"/>
        <v>1.0009999999999764</v>
      </c>
      <c r="K928">
        <f t="shared" si="470"/>
        <v>51</v>
      </c>
      <c r="L928">
        <f t="shared" ca="1" si="471"/>
        <v>0.05</v>
      </c>
      <c r="M928">
        <f t="shared" ca="1" si="444"/>
        <v>0.26</v>
      </c>
      <c r="N928">
        <f t="shared" ca="1" si="445"/>
        <v>4.9056603773584909E-2</v>
      </c>
      <c r="O928">
        <f t="shared" ca="1" si="446"/>
        <v>196.15384615384616</v>
      </c>
      <c r="P928">
        <f t="shared" ca="1" si="447"/>
        <v>632.22299999999996</v>
      </c>
      <c r="Q928">
        <f t="shared" ca="1" si="448"/>
        <v>2593.3000316486623</v>
      </c>
      <c r="R928">
        <f t="shared" ca="1" si="449"/>
        <v>482.07306851378365</v>
      </c>
      <c r="S928">
        <f t="shared" ca="1" si="450"/>
        <v>280.07692026646265</v>
      </c>
      <c r="T928">
        <f t="shared" ca="1" si="451"/>
        <v>1019.7665564573041</v>
      </c>
      <c r="U928">
        <f t="shared" ca="1" si="472"/>
        <v>-482.75074928545109</v>
      </c>
      <c r="V928">
        <f t="shared" ca="1" si="473"/>
        <v>0</v>
      </c>
      <c r="W928">
        <f t="shared" ca="1" si="452"/>
        <v>0.05</v>
      </c>
      <c r="X928">
        <f t="shared" ca="1" si="453"/>
        <v>0.26</v>
      </c>
      <c r="Y928">
        <f t="shared" ca="1" si="454"/>
        <v>4.9056603773584909E-2</v>
      </c>
      <c r="Z928">
        <f t="shared" ca="1" si="455"/>
        <v>196.15384615384616</v>
      </c>
      <c r="AA928">
        <f t="shared" ca="1" si="456"/>
        <v>632.22299999999996</v>
      </c>
      <c r="AB928">
        <f t="shared" ca="1" si="457"/>
        <v>2593.3000316486623</v>
      </c>
      <c r="AC928">
        <f t="shared" ca="1" si="458"/>
        <v>482.07306851378365</v>
      </c>
      <c r="AD928">
        <f t="shared" ca="1" si="459"/>
        <v>280.07692026646265</v>
      </c>
      <c r="AE928">
        <f t="shared" ca="1" si="460"/>
        <v>1019.7665564573041</v>
      </c>
      <c r="AF928">
        <f t="shared" ca="1" si="461"/>
        <v>482.25887083179032</v>
      </c>
      <c r="AG928">
        <f t="shared" ca="1" si="462"/>
        <v>0</v>
      </c>
      <c r="AH928">
        <f ca="1">IF(V32="Supercritical",L928,IF(V32="Subcritical",W928,IF(AND(V928=1,AG928=1),IF(T928&gt;=AE928,L928,W928),IF(V928=1,L928,IF(AG928=1,W928,MAX($D$16,POWER((ABS(K928)^2)/($I$5*MAX(F928,0.1)^2),1/3)))))))</f>
        <v>2.1403668656741068</v>
      </c>
      <c r="AI928">
        <f t="shared" ca="1" si="463"/>
        <v>634.31336686567408</v>
      </c>
      <c r="AJ928">
        <f t="shared" ca="1" si="464"/>
        <v>635.38355029851118</v>
      </c>
      <c r="AM928">
        <v>0</v>
      </c>
      <c r="AN928">
        <v>0</v>
      </c>
      <c r="AO928">
        <f t="shared" si="465"/>
        <v>0</v>
      </c>
      <c r="AP928">
        <f t="shared" si="474"/>
        <v>0</v>
      </c>
      <c r="AQ928">
        <f t="shared" ca="1" si="466"/>
        <v>0.99999999999999978</v>
      </c>
      <c r="AR928" t="str">
        <f t="shared" ca="1" si="467"/>
        <v>Supercritical</v>
      </c>
      <c r="AS928">
        <f t="shared" ca="1" si="468"/>
        <v>3.8148159832266538E-3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191</v>
      </c>
      <c r="I929">
        <v>5.7000000000000002E-2</v>
      </c>
      <c r="J929">
        <f t="shared" si="469"/>
        <v>1</v>
      </c>
      <c r="K929">
        <f t="shared" si="470"/>
        <v>51</v>
      </c>
      <c r="L929">
        <f t="shared" ca="1" si="471"/>
        <v>0.05</v>
      </c>
      <c r="M929">
        <f t="shared" ca="1" si="444"/>
        <v>0.26</v>
      </c>
      <c r="N929">
        <f t="shared" ca="1" si="445"/>
        <v>4.9056603773584909E-2</v>
      </c>
      <c r="O929">
        <f t="shared" ca="1" si="446"/>
        <v>196.15384615384616</v>
      </c>
      <c r="P929">
        <f t="shared" ca="1" si="447"/>
        <v>632.22249999999997</v>
      </c>
      <c r="Q929">
        <f t="shared" ca="1" si="448"/>
        <v>2593.2995316486622</v>
      </c>
      <c r="R929">
        <f t="shared" ca="1" si="449"/>
        <v>482.07306851378365</v>
      </c>
      <c r="S929">
        <f t="shared" ca="1" si="450"/>
        <v>280.07692026646265</v>
      </c>
      <c r="T929">
        <f t="shared" ca="1" si="451"/>
        <v>1019.7665564573041</v>
      </c>
      <c r="U929">
        <f t="shared" ca="1" si="472"/>
        <v>-482.25887083179032</v>
      </c>
      <c r="V929">
        <f t="shared" ca="1" si="473"/>
        <v>0</v>
      </c>
      <c r="W929">
        <f t="shared" ca="1" si="452"/>
        <v>0.05</v>
      </c>
      <c r="X929">
        <f t="shared" ca="1" si="453"/>
        <v>0.26</v>
      </c>
      <c r="Y929">
        <f t="shared" ca="1" si="454"/>
        <v>4.9056603773584909E-2</v>
      </c>
      <c r="Z929">
        <f t="shared" ca="1" si="455"/>
        <v>196.15384615384616</v>
      </c>
      <c r="AA929">
        <f t="shared" ca="1" si="456"/>
        <v>632.22249999999997</v>
      </c>
      <c r="AB929">
        <f t="shared" ca="1" si="457"/>
        <v>2593.2995316486622</v>
      </c>
      <c r="AC929">
        <f t="shared" ca="1" si="458"/>
        <v>482.07306851378365</v>
      </c>
      <c r="AD929">
        <f t="shared" ca="1" si="459"/>
        <v>280.07692026646265</v>
      </c>
      <c r="AE929">
        <f t="shared" ca="1" si="460"/>
        <v>1019.7665564573041</v>
      </c>
      <c r="AF929">
        <f t="shared" ca="1" si="461"/>
        <v>481.59049544528125</v>
      </c>
      <c r="AG929">
        <f t="shared" ca="1" si="462"/>
        <v>0</v>
      </c>
      <c r="AH929">
        <f ca="1">IF(V32="Supercritical",L929,IF(V32="Subcritical",W929,IF(AND(V929=1,AG929=1),IF(T929&gt;=AE929,L929,W929),IF(V929=1,L929,IF(AG929=1,W929,MAX($D$16,POWER((ABS(K929)^2)/($I$5*MAX(F929,0.1)^2),1/3)))))))</f>
        <v>2.1403668656741068</v>
      </c>
      <c r="AI929">
        <f t="shared" ca="1" si="463"/>
        <v>634.3128668656741</v>
      </c>
      <c r="AJ929">
        <f t="shared" ca="1" si="464"/>
        <v>635.38305029851119</v>
      </c>
      <c r="AM929">
        <v>0</v>
      </c>
      <c r="AN929">
        <v>0</v>
      </c>
      <c r="AO929">
        <f t="shared" si="465"/>
        <v>0</v>
      </c>
      <c r="AP929">
        <f t="shared" si="474"/>
        <v>0</v>
      </c>
      <c r="AQ929">
        <f t="shared" ca="1" si="466"/>
        <v>0.99999999999999978</v>
      </c>
      <c r="AR929" t="str">
        <f t="shared" ca="1" si="467"/>
        <v>Supercritical</v>
      </c>
      <c r="AS929">
        <f t="shared" ca="1" si="468"/>
        <v>3.8148159832266538E-3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191</v>
      </c>
      <c r="I930">
        <v>0</v>
      </c>
      <c r="J930">
        <f t="shared" si="469"/>
        <v>0.99900000000002365</v>
      </c>
      <c r="K930">
        <f t="shared" si="470"/>
        <v>51</v>
      </c>
      <c r="L930">
        <f t="shared" ca="1" si="471"/>
        <v>0.05</v>
      </c>
      <c r="M930">
        <f t="shared" ca="1" si="444"/>
        <v>0.26</v>
      </c>
      <c r="N930">
        <f t="shared" ca="1" si="445"/>
        <v>4.9056603773584909E-2</v>
      </c>
      <c r="O930">
        <f t="shared" ca="1" si="446"/>
        <v>196.15384615384616</v>
      </c>
      <c r="P930">
        <f t="shared" ca="1" si="447"/>
        <v>632.22199999999998</v>
      </c>
      <c r="Q930">
        <f t="shared" ca="1" si="448"/>
        <v>2593.2990316486621</v>
      </c>
      <c r="R930">
        <f t="shared" ca="1" si="449"/>
        <v>482.07306851378365</v>
      </c>
      <c r="S930">
        <f t="shared" ca="1" si="450"/>
        <v>280.07692026646265</v>
      </c>
      <c r="T930">
        <f t="shared" ca="1" si="451"/>
        <v>1019.7665564573041</v>
      </c>
      <c r="U930">
        <f t="shared" ca="1" si="472"/>
        <v>-481.59049544528125</v>
      </c>
      <c r="V930">
        <f t="shared" ca="1" si="473"/>
        <v>0</v>
      </c>
      <c r="W930">
        <f t="shared" ca="1" si="452"/>
        <v>0.05</v>
      </c>
      <c r="X930">
        <f t="shared" ca="1" si="453"/>
        <v>0.26</v>
      </c>
      <c r="Y930">
        <f t="shared" ca="1" si="454"/>
        <v>4.9056603773584909E-2</v>
      </c>
      <c r="Z930">
        <f t="shared" ca="1" si="455"/>
        <v>196.15384615384616</v>
      </c>
      <c r="AA930">
        <f t="shared" ca="1" si="456"/>
        <v>632.22199999999998</v>
      </c>
      <c r="AB930">
        <f t="shared" ca="1" si="457"/>
        <v>2593.2990316486621</v>
      </c>
      <c r="AC930">
        <f t="shared" ca="1" si="458"/>
        <v>482.07306851378365</v>
      </c>
      <c r="AD930">
        <f t="shared" ca="1" si="459"/>
        <v>280.07692026646265</v>
      </c>
      <c r="AE930">
        <f t="shared" ca="1" si="460"/>
        <v>1019.7665564573041</v>
      </c>
      <c r="AF930">
        <f t="shared" ca="1" si="461"/>
        <v>482.25887083179032</v>
      </c>
      <c r="AG930">
        <f t="shared" ca="1" si="462"/>
        <v>0</v>
      </c>
      <c r="AH930">
        <f ca="1">IF(V32="Supercritical",L930,IF(V32="Subcritical",W930,IF(AND(V930=1,AG930=1),IF(T930&gt;=AE930,L930,W930),IF(V930=1,L930,IF(AG930=1,W930,MAX($D$16,POWER((ABS(K930)^2)/($I$5*MAX(F930,0.1)^2),1/3)))))))</f>
        <v>2.1403668656741068</v>
      </c>
      <c r="AI930">
        <f t="shared" ca="1" si="463"/>
        <v>634.31236686567411</v>
      </c>
      <c r="AJ930">
        <f t="shared" ca="1" si="464"/>
        <v>635.38255029851121</v>
      </c>
      <c r="AM930">
        <v>0</v>
      </c>
      <c r="AN930">
        <v>0</v>
      </c>
      <c r="AO930">
        <f t="shared" si="465"/>
        <v>0</v>
      </c>
      <c r="AP930">
        <f t="shared" si="474"/>
        <v>0</v>
      </c>
      <c r="AQ930">
        <f t="shared" ca="1" si="466"/>
        <v>0.99999999999999978</v>
      </c>
      <c r="AR930" t="str">
        <f t="shared" ca="1" si="467"/>
        <v>Supercritical</v>
      </c>
      <c r="AS930">
        <f t="shared" ca="1" si="468"/>
        <v>3.8148159832266538E-3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191</v>
      </c>
      <c r="I931">
        <v>5.7000000000000002E-2</v>
      </c>
      <c r="J931">
        <f t="shared" si="469"/>
        <v>1</v>
      </c>
      <c r="K931">
        <f t="shared" si="470"/>
        <v>51</v>
      </c>
      <c r="L931">
        <f t="shared" ca="1" si="471"/>
        <v>0.05</v>
      </c>
      <c r="M931">
        <f t="shared" ca="1" si="444"/>
        <v>0.26</v>
      </c>
      <c r="N931">
        <f t="shared" ca="1" si="445"/>
        <v>4.9056603773584909E-2</v>
      </c>
      <c r="O931">
        <f t="shared" ca="1" si="446"/>
        <v>196.15384615384616</v>
      </c>
      <c r="P931">
        <f t="shared" ca="1" si="447"/>
        <v>632.22149999999999</v>
      </c>
      <c r="Q931">
        <f t="shared" ca="1" si="448"/>
        <v>2593.298531648662</v>
      </c>
      <c r="R931">
        <f t="shared" ca="1" si="449"/>
        <v>482.07306851378365</v>
      </c>
      <c r="S931">
        <f t="shared" ca="1" si="450"/>
        <v>280.07692026646265</v>
      </c>
      <c r="T931">
        <f t="shared" ca="1" si="451"/>
        <v>1019.7665564573041</v>
      </c>
      <c r="U931">
        <f t="shared" ca="1" si="472"/>
        <v>-482.25887083179032</v>
      </c>
      <c r="V931">
        <f t="shared" ca="1" si="473"/>
        <v>0</v>
      </c>
      <c r="W931">
        <f t="shared" ca="1" si="452"/>
        <v>0.05</v>
      </c>
      <c r="X931">
        <f t="shared" ca="1" si="453"/>
        <v>0.26</v>
      </c>
      <c r="Y931">
        <f t="shared" ca="1" si="454"/>
        <v>4.9056603773584909E-2</v>
      </c>
      <c r="Z931">
        <f t="shared" ca="1" si="455"/>
        <v>196.15384615384616</v>
      </c>
      <c r="AA931">
        <f t="shared" ca="1" si="456"/>
        <v>632.22149999999999</v>
      </c>
      <c r="AB931">
        <f t="shared" ca="1" si="457"/>
        <v>2593.298531648662</v>
      </c>
      <c r="AC931">
        <f t="shared" ca="1" si="458"/>
        <v>482.07306851378365</v>
      </c>
      <c r="AD931">
        <f t="shared" ca="1" si="459"/>
        <v>280.07692026646265</v>
      </c>
      <c r="AE931">
        <f t="shared" ca="1" si="460"/>
        <v>1019.7665564573041</v>
      </c>
      <c r="AF931">
        <f t="shared" ca="1" si="461"/>
        <v>482.25887083179032</v>
      </c>
      <c r="AG931">
        <f t="shared" ca="1" si="462"/>
        <v>0</v>
      </c>
      <c r="AH931">
        <f ca="1">IF(V32="Supercritical",L931,IF(V32="Subcritical",W931,IF(AND(V931=1,AG931=1),IF(T931&gt;=AE931,L931,W931),IF(V931=1,L931,IF(AG931=1,W931,MAX($D$16,POWER((ABS(K931)^2)/($I$5*MAX(F931,0.1)^2),1/3)))))))</f>
        <v>2.1403668656741068</v>
      </c>
      <c r="AI931">
        <f t="shared" ca="1" si="463"/>
        <v>634.31186686567412</v>
      </c>
      <c r="AJ931">
        <f t="shared" ca="1" si="464"/>
        <v>635.38205029851122</v>
      </c>
      <c r="AM931">
        <v>0</v>
      </c>
      <c r="AN931">
        <v>0</v>
      </c>
      <c r="AO931">
        <f t="shared" si="465"/>
        <v>0</v>
      </c>
      <c r="AP931">
        <f t="shared" si="474"/>
        <v>0</v>
      </c>
      <c r="AQ931">
        <f t="shared" ca="1" si="466"/>
        <v>0.99999999999999978</v>
      </c>
      <c r="AR931" t="str">
        <f t="shared" ca="1" si="467"/>
        <v>Supercritical</v>
      </c>
      <c r="AS931">
        <f t="shared" ca="1" si="468"/>
        <v>3.8148159832266538E-3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191</v>
      </c>
      <c r="I932">
        <v>5.7000000000000002E-2</v>
      </c>
      <c r="J932">
        <f t="shared" si="469"/>
        <v>1</v>
      </c>
      <c r="K932">
        <f t="shared" si="470"/>
        <v>51</v>
      </c>
      <c r="L932">
        <f t="shared" ca="1" si="471"/>
        <v>0.05</v>
      </c>
      <c r="M932">
        <f t="shared" ca="1" si="444"/>
        <v>0.26</v>
      </c>
      <c r="N932">
        <f t="shared" ca="1" si="445"/>
        <v>4.9056603773584909E-2</v>
      </c>
      <c r="O932">
        <f t="shared" ca="1" si="446"/>
        <v>196.15384615384616</v>
      </c>
      <c r="P932">
        <f t="shared" ca="1" si="447"/>
        <v>632.221</v>
      </c>
      <c r="Q932">
        <f t="shared" ca="1" si="448"/>
        <v>2593.2980316486619</v>
      </c>
      <c r="R932">
        <f t="shared" ca="1" si="449"/>
        <v>482.07306851378365</v>
      </c>
      <c r="S932">
        <f t="shared" ca="1" si="450"/>
        <v>280.07692026646265</v>
      </c>
      <c r="T932">
        <f t="shared" ca="1" si="451"/>
        <v>1019.7665564573041</v>
      </c>
      <c r="U932">
        <f t="shared" ca="1" si="472"/>
        <v>-482.25887083179032</v>
      </c>
      <c r="V932">
        <f t="shared" ca="1" si="473"/>
        <v>0</v>
      </c>
      <c r="W932">
        <f t="shared" ca="1" si="452"/>
        <v>0.05</v>
      </c>
      <c r="X932">
        <f t="shared" ca="1" si="453"/>
        <v>0.26</v>
      </c>
      <c r="Y932">
        <f t="shared" ca="1" si="454"/>
        <v>4.9056603773584909E-2</v>
      </c>
      <c r="Z932">
        <f t="shared" ca="1" si="455"/>
        <v>196.15384615384616</v>
      </c>
      <c r="AA932">
        <f t="shared" ca="1" si="456"/>
        <v>632.221</v>
      </c>
      <c r="AB932">
        <f t="shared" ca="1" si="457"/>
        <v>2593.2980316486619</v>
      </c>
      <c r="AC932">
        <f t="shared" ca="1" si="458"/>
        <v>482.07306851378365</v>
      </c>
      <c r="AD932">
        <f t="shared" ca="1" si="459"/>
        <v>280.07692026646265</v>
      </c>
      <c r="AE932">
        <f t="shared" ca="1" si="460"/>
        <v>1019.7665564573041</v>
      </c>
      <c r="AF932">
        <f t="shared" ca="1" si="461"/>
        <v>482.07256851378361</v>
      </c>
      <c r="AG932">
        <f t="shared" ca="1" si="462"/>
        <v>0</v>
      </c>
      <c r="AH932">
        <f ca="1">IF(V32="Supercritical",L932,IF(V32="Subcritical",W932,IF(AND(V932=1,AG932=1),IF(T932&gt;=AE932,L932,W932),IF(V932=1,L932,IF(AG932=1,W932,MAX($D$16,POWER((ABS(K932)^2)/($I$5*MAX(F932,0.1)^2),1/3)))))))</f>
        <v>2.1403668656741068</v>
      </c>
      <c r="AI932">
        <f t="shared" ca="1" si="463"/>
        <v>634.31136686567413</v>
      </c>
      <c r="AJ932">
        <f t="shared" ca="1" si="464"/>
        <v>635.38155029851123</v>
      </c>
      <c r="AM932">
        <v>0</v>
      </c>
      <c r="AN932">
        <v>0</v>
      </c>
      <c r="AO932">
        <f t="shared" si="465"/>
        <v>0</v>
      </c>
      <c r="AP932">
        <f t="shared" si="474"/>
        <v>0</v>
      </c>
      <c r="AQ932">
        <f t="shared" ca="1" si="466"/>
        <v>0.99999999999999978</v>
      </c>
      <c r="AR932" t="str">
        <f t="shared" ca="1" si="467"/>
        <v>Supercritical</v>
      </c>
      <c r="AS932">
        <f t="shared" ca="1" si="468"/>
        <v>3.8148159832266538E-3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191</v>
      </c>
      <c r="I933">
        <v>0</v>
      </c>
      <c r="J933">
        <f t="shared" si="469"/>
        <v>1</v>
      </c>
      <c r="K933">
        <f t="shared" si="470"/>
        <v>51</v>
      </c>
      <c r="L933">
        <f t="shared" ca="1" si="471"/>
        <v>0.05</v>
      </c>
      <c r="M933">
        <f t="shared" ca="1" si="444"/>
        <v>0.26</v>
      </c>
      <c r="N933">
        <f t="shared" ca="1" si="445"/>
        <v>4.9056603773584909E-2</v>
      </c>
      <c r="O933">
        <f t="shared" ca="1" si="446"/>
        <v>196.15384615384616</v>
      </c>
      <c r="P933">
        <f t="shared" ca="1" si="447"/>
        <v>632.2204999999999</v>
      </c>
      <c r="Q933">
        <f t="shared" ca="1" si="448"/>
        <v>2593.2975316486618</v>
      </c>
      <c r="R933">
        <f t="shared" ca="1" si="449"/>
        <v>482.07306851378365</v>
      </c>
      <c r="S933">
        <f t="shared" ca="1" si="450"/>
        <v>280.07692026646265</v>
      </c>
      <c r="T933">
        <f t="shared" ca="1" si="451"/>
        <v>1019.7665564573041</v>
      </c>
      <c r="U933">
        <f t="shared" ca="1" si="472"/>
        <v>-482.07256851378361</v>
      </c>
      <c r="V933">
        <f t="shared" ca="1" si="473"/>
        <v>0</v>
      </c>
      <c r="W933">
        <f t="shared" ca="1" si="452"/>
        <v>0.05</v>
      </c>
      <c r="X933">
        <f t="shared" ca="1" si="453"/>
        <v>0.26</v>
      </c>
      <c r="Y933">
        <f t="shared" ca="1" si="454"/>
        <v>4.9056603773584909E-2</v>
      </c>
      <c r="Z933">
        <f t="shared" ca="1" si="455"/>
        <v>196.15384615384616</v>
      </c>
      <c r="AA933">
        <f t="shared" ca="1" si="456"/>
        <v>632.2204999999999</v>
      </c>
      <c r="AB933">
        <f t="shared" ca="1" si="457"/>
        <v>2593.2975316486618</v>
      </c>
      <c r="AC933">
        <f t="shared" ca="1" si="458"/>
        <v>482.07306851378365</v>
      </c>
      <c r="AD933">
        <f t="shared" ca="1" si="459"/>
        <v>280.07692026646265</v>
      </c>
      <c r="AE933">
        <f t="shared" ca="1" si="460"/>
        <v>1019.7665564573041</v>
      </c>
      <c r="AF933">
        <f t="shared" ca="1" si="461"/>
        <v>482.07256851378406</v>
      </c>
      <c r="AG933">
        <f t="shared" ca="1" si="462"/>
        <v>0</v>
      </c>
      <c r="AH933">
        <f ca="1">IF(V32="Supercritical",L933,IF(V32="Subcritical",W933,IF(AND(V933=1,AG933=1),IF(T933&gt;=AE933,L933,W933),IF(V933=1,L933,IF(AG933=1,W933,MAX($D$16,POWER((ABS(K933)^2)/($I$5*MAX(F933,0.1)^2),1/3)))))))</f>
        <v>2.1403668656741068</v>
      </c>
      <c r="AI933">
        <f t="shared" ca="1" si="463"/>
        <v>634.31086686567403</v>
      </c>
      <c r="AJ933">
        <f t="shared" ca="1" si="464"/>
        <v>635.38105029851113</v>
      </c>
      <c r="AM933">
        <v>0</v>
      </c>
      <c r="AN933">
        <v>0</v>
      </c>
      <c r="AO933">
        <f t="shared" si="465"/>
        <v>0</v>
      </c>
      <c r="AP933">
        <f t="shared" si="474"/>
        <v>0</v>
      </c>
      <c r="AQ933">
        <f t="shared" ca="1" si="466"/>
        <v>0.99999999999999978</v>
      </c>
      <c r="AR933" t="str">
        <f t="shared" ca="1" si="467"/>
        <v>Supercritical</v>
      </c>
      <c r="AS933">
        <f t="shared" ca="1" si="468"/>
        <v>3.8148159832266538E-3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191</v>
      </c>
      <c r="I934">
        <v>0</v>
      </c>
      <c r="J934">
        <f t="shared" si="469"/>
        <v>1</v>
      </c>
      <c r="K934">
        <f t="shared" si="470"/>
        <v>51</v>
      </c>
      <c r="L934">
        <f t="shared" ca="1" si="471"/>
        <v>0.05</v>
      </c>
      <c r="M934">
        <f t="shared" ca="1" si="444"/>
        <v>0.26</v>
      </c>
      <c r="N934">
        <f t="shared" ca="1" si="445"/>
        <v>4.9056603773584909E-2</v>
      </c>
      <c r="O934">
        <f t="shared" ca="1" si="446"/>
        <v>196.15384615384616</v>
      </c>
      <c r="P934">
        <f t="shared" ca="1" si="447"/>
        <v>632.21999999999991</v>
      </c>
      <c r="Q934">
        <f t="shared" ca="1" si="448"/>
        <v>2593.2970316486621</v>
      </c>
      <c r="R934">
        <f t="shared" ca="1" si="449"/>
        <v>482.07306851378365</v>
      </c>
      <c r="S934">
        <f t="shared" ca="1" si="450"/>
        <v>280.07692026646265</v>
      </c>
      <c r="T934">
        <f t="shared" ca="1" si="451"/>
        <v>1019.7665564573041</v>
      </c>
      <c r="U934">
        <f t="shared" ca="1" si="472"/>
        <v>-482.07256851378406</v>
      </c>
      <c r="V934">
        <f t="shared" ca="1" si="473"/>
        <v>0</v>
      </c>
      <c r="W934">
        <f t="shared" ca="1" si="452"/>
        <v>0.05</v>
      </c>
      <c r="X934">
        <f t="shared" ca="1" si="453"/>
        <v>0.26</v>
      </c>
      <c r="Y934">
        <f t="shared" ca="1" si="454"/>
        <v>4.9056603773584909E-2</v>
      </c>
      <c r="Z934">
        <f t="shared" ca="1" si="455"/>
        <v>196.15384615384616</v>
      </c>
      <c r="AA934">
        <f t="shared" ca="1" si="456"/>
        <v>632.21999999999991</v>
      </c>
      <c r="AB934">
        <f t="shared" ca="1" si="457"/>
        <v>2593.2970316486621</v>
      </c>
      <c r="AC934">
        <f t="shared" ca="1" si="458"/>
        <v>482.07306851378365</v>
      </c>
      <c r="AD934">
        <f t="shared" ca="1" si="459"/>
        <v>280.07692026646265</v>
      </c>
      <c r="AE934">
        <f t="shared" ca="1" si="460"/>
        <v>1019.7665564573041</v>
      </c>
      <c r="AF934">
        <f t="shared" ca="1" si="461"/>
        <v>482.25887083179032</v>
      </c>
      <c r="AG934">
        <f t="shared" ca="1" si="462"/>
        <v>0</v>
      </c>
      <c r="AH934">
        <f ca="1">IF(V32="Supercritical",L934,IF(V32="Subcritical",W934,IF(AND(V934=1,AG934=1),IF(T934&gt;=AE934,L934,W934),IF(V934=1,L934,IF(AG934=1,W934,MAX($D$16,POWER((ABS(K934)^2)/($I$5*MAX(F934,0.1)^2),1/3)))))))</f>
        <v>2.1403668656741068</v>
      </c>
      <c r="AI934">
        <f t="shared" ca="1" si="463"/>
        <v>634.31036686567404</v>
      </c>
      <c r="AJ934">
        <f t="shared" ca="1" si="464"/>
        <v>635.38055029851114</v>
      </c>
      <c r="AM934">
        <v>0</v>
      </c>
      <c r="AN934">
        <v>0</v>
      </c>
      <c r="AO934">
        <f t="shared" si="465"/>
        <v>0</v>
      </c>
      <c r="AP934">
        <f t="shared" si="474"/>
        <v>0</v>
      </c>
      <c r="AQ934">
        <f t="shared" ca="1" si="466"/>
        <v>0.99999999999999978</v>
      </c>
      <c r="AR934" t="str">
        <f t="shared" ca="1" si="467"/>
        <v>Supercritical</v>
      </c>
      <c r="AS934">
        <f t="shared" ca="1" si="468"/>
        <v>3.8148159832266538E-3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191</v>
      </c>
      <c r="I935">
        <v>5.7000000000000002E-2</v>
      </c>
      <c r="J935">
        <f t="shared" si="469"/>
        <v>1</v>
      </c>
      <c r="K935">
        <f t="shared" si="470"/>
        <v>51</v>
      </c>
      <c r="L935">
        <f t="shared" ca="1" si="471"/>
        <v>0.05</v>
      </c>
      <c r="M935">
        <f t="shared" ca="1" si="444"/>
        <v>0.26</v>
      </c>
      <c r="N935">
        <f t="shared" ca="1" si="445"/>
        <v>4.9056603773584909E-2</v>
      </c>
      <c r="O935">
        <f t="shared" ca="1" si="446"/>
        <v>196.15384615384616</v>
      </c>
      <c r="P935">
        <f t="shared" ca="1" si="447"/>
        <v>632.21949999999993</v>
      </c>
      <c r="Q935">
        <f t="shared" ca="1" si="448"/>
        <v>2593.296531648662</v>
      </c>
      <c r="R935">
        <f t="shared" ca="1" si="449"/>
        <v>482.07306851378365</v>
      </c>
      <c r="S935">
        <f t="shared" ca="1" si="450"/>
        <v>280.07692026646265</v>
      </c>
      <c r="T935">
        <f t="shared" ca="1" si="451"/>
        <v>1019.7665564573041</v>
      </c>
      <c r="U935">
        <f t="shared" ca="1" si="472"/>
        <v>-482.25887083179032</v>
      </c>
      <c r="V935">
        <f t="shared" ca="1" si="473"/>
        <v>0</v>
      </c>
      <c r="W935">
        <f t="shared" ca="1" si="452"/>
        <v>0.05</v>
      </c>
      <c r="X935">
        <f t="shared" ca="1" si="453"/>
        <v>0.26</v>
      </c>
      <c r="Y935">
        <f t="shared" ca="1" si="454"/>
        <v>4.9056603773584909E-2</v>
      </c>
      <c r="Z935">
        <f t="shared" ca="1" si="455"/>
        <v>196.15384615384616</v>
      </c>
      <c r="AA935">
        <f t="shared" ca="1" si="456"/>
        <v>632.21949999999993</v>
      </c>
      <c r="AB935">
        <f t="shared" ca="1" si="457"/>
        <v>2593.296531648662</v>
      </c>
      <c r="AC935">
        <f t="shared" ca="1" si="458"/>
        <v>482.07306851378365</v>
      </c>
      <c r="AD935">
        <f t="shared" ca="1" si="459"/>
        <v>280.07692026646265</v>
      </c>
      <c r="AE935">
        <f t="shared" ca="1" si="460"/>
        <v>1019.7665564573041</v>
      </c>
      <c r="AF935">
        <f t="shared" ca="1" si="461"/>
        <v>482.26867621694828</v>
      </c>
      <c r="AG935">
        <f t="shared" ca="1" si="462"/>
        <v>0</v>
      </c>
      <c r="AH935">
        <f ca="1">IF(V32="Supercritical",L935,IF(V32="Subcritical",W935,IF(AND(V935=1,AG935=1),IF(T935&gt;=AE935,L935,W935),IF(V935=1,L935,IF(AG935=1,W935,MAX($D$16,POWER((ABS(K935)^2)/($I$5*MAX(F935,0.1)^2),1/3)))))))</f>
        <v>2.1403668656741068</v>
      </c>
      <c r="AI935">
        <f t="shared" ca="1" si="463"/>
        <v>634.30986686567405</v>
      </c>
      <c r="AJ935">
        <f t="shared" ca="1" si="464"/>
        <v>635.38005029851115</v>
      </c>
      <c r="AM935">
        <v>0</v>
      </c>
      <c r="AN935">
        <v>0</v>
      </c>
      <c r="AO935">
        <f t="shared" si="465"/>
        <v>0</v>
      </c>
      <c r="AP935">
        <f t="shared" si="474"/>
        <v>0</v>
      </c>
      <c r="AQ935">
        <f t="shared" ca="1" si="466"/>
        <v>0.99999999999999978</v>
      </c>
      <c r="AR935" t="str">
        <f t="shared" ca="1" si="467"/>
        <v>Supercritical</v>
      </c>
      <c r="AS935">
        <f t="shared" ca="1" si="468"/>
        <v>3.8148159832266538E-3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191</v>
      </c>
      <c r="I936">
        <v>0.06</v>
      </c>
      <c r="J936">
        <f t="shared" si="469"/>
        <v>1</v>
      </c>
      <c r="K936">
        <f t="shared" si="470"/>
        <v>51</v>
      </c>
      <c r="L936">
        <f t="shared" ca="1" si="471"/>
        <v>0.05</v>
      </c>
      <c r="M936">
        <f t="shared" ca="1" si="444"/>
        <v>0.26</v>
      </c>
      <c r="N936">
        <f t="shared" ca="1" si="445"/>
        <v>4.9056603773584909E-2</v>
      </c>
      <c r="O936">
        <f t="shared" ca="1" si="446"/>
        <v>196.15384615384616</v>
      </c>
      <c r="P936">
        <f t="shared" ca="1" si="447"/>
        <v>632.21899999999994</v>
      </c>
      <c r="Q936">
        <f t="shared" ca="1" si="448"/>
        <v>2593.2960316486619</v>
      </c>
      <c r="R936">
        <f t="shared" ca="1" si="449"/>
        <v>482.07306851378365</v>
      </c>
      <c r="S936">
        <f t="shared" ca="1" si="450"/>
        <v>280.07692026646265</v>
      </c>
      <c r="T936">
        <f t="shared" ca="1" si="451"/>
        <v>1019.7665564573041</v>
      </c>
      <c r="U936">
        <f t="shared" ca="1" si="472"/>
        <v>-482.26867621694828</v>
      </c>
      <c r="V936">
        <f t="shared" ca="1" si="473"/>
        <v>0</v>
      </c>
      <c r="W936">
        <f t="shared" ca="1" si="452"/>
        <v>0.05</v>
      </c>
      <c r="X936">
        <f t="shared" ca="1" si="453"/>
        <v>0.26</v>
      </c>
      <c r="Y936">
        <f t="shared" ca="1" si="454"/>
        <v>4.9056603773584909E-2</v>
      </c>
      <c r="Z936">
        <f t="shared" ca="1" si="455"/>
        <v>196.15384615384616</v>
      </c>
      <c r="AA936">
        <f t="shared" ca="1" si="456"/>
        <v>632.21899999999994</v>
      </c>
      <c r="AB936">
        <f t="shared" ca="1" si="457"/>
        <v>2593.2960316486619</v>
      </c>
      <c r="AC936">
        <f t="shared" ca="1" si="458"/>
        <v>482.07306851378365</v>
      </c>
      <c r="AD936">
        <f t="shared" ca="1" si="459"/>
        <v>280.07692026646265</v>
      </c>
      <c r="AE936">
        <f t="shared" ca="1" si="460"/>
        <v>1019.7665564573041</v>
      </c>
      <c r="AF936">
        <f t="shared" ca="1" si="461"/>
        <v>482.56117850572537</v>
      </c>
      <c r="AG936">
        <f t="shared" ca="1" si="462"/>
        <v>0</v>
      </c>
      <c r="AH936">
        <f ca="1">IF(V32="Supercritical",L936,IF(V32="Subcritical",W936,IF(AND(V936=1,AG936=1),IF(T936&gt;=AE936,L936,W936),IF(V936=1,L936,IF(AG936=1,W936,MAX($D$16,POWER((ABS(K936)^2)/($I$5*MAX(F936,0.1)^2),1/3)))))))</f>
        <v>2.1403668656741068</v>
      </c>
      <c r="AI936">
        <f t="shared" ca="1" si="463"/>
        <v>634.30936686567406</v>
      </c>
      <c r="AJ936">
        <f t="shared" ca="1" si="464"/>
        <v>635.37955029851116</v>
      </c>
      <c r="AM936">
        <v>0</v>
      </c>
      <c r="AN936">
        <v>0</v>
      </c>
      <c r="AO936">
        <f t="shared" si="465"/>
        <v>0</v>
      </c>
      <c r="AP936">
        <f t="shared" si="474"/>
        <v>0</v>
      </c>
      <c r="AQ936">
        <f t="shared" ca="1" si="466"/>
        <v>0.99999999999999978</v>
      </c>
      <c r="AR936" t="str">
        <f t="shared" ca="1" si="467"/>
        <v>Supercritical</v>
      </c>
      <c r="AS936">
        <f t="shared" ca="1" si="468"/>
        <v>3.8148159832266538E-3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191</v>
      </c>
      <c r="I937">
        <v>2E-3</v>
      </c>
      <c r="J937">
        <f t="shared" si="469"/>
        <v>1.0009999999999764</v>
      </c>
      <c r="K937">
        <f t="shared" si="470"/>
        <v>51</v>
      </c>
      <c r="L937">
        <f t="shared" ca="1" si="471"/>
        <v>0.05</v>
      </c>
      <c r="M937">
        <f t="shared" ca="1" si="444"/>
        <v>0.26</v>
      </c>
      <c r="N937">
        <f t="shared" ca="1" si="445"/>
        <v>4.9056603773584909E-2</v>
      </c>
      <c r="O937">
        <f t="shared" ca="1" si="446"/>
        <v>196.15384615384616</v>
      </c>
      <c r="P937">
        <f t="shared" ca="1" si="447"/>
        <v>632.21849999999995</v>
      </c>
      <c r="Q937">
        <f t="shared" ca="1" si="448"/>
        <v>2593.2955316486623</v>
      </c>
      <c r="R937">
        <f t="shared" ca="1" si="449"/>
        <v>482.07306851378365</v>
      </c>
      <c r="S937">
        <f t="shared" ca="1" si="450"/>
        <v>280.07692026646265</v>
      </c>
      <c r="T937">
        <f t="shared" ca="1" si="451"/>
        <v>1019.7665564573041</v>
      </c>
      <c r="U937">
        <f t="shared" ca="1" si="472"/>
        <v>-482.56117850572537</v>
      </c>
      <c r="V937">
        <f t="shared" ca="1" si="473"/>
        <v>0</v>
      </c>
      <c r="W937">
        <f t="shared" ca="1" si="452"/>
        <v>0.05</v>
      </c>
      <c r="X937">
        <f t="shared" ca="1" si="453"/>
        <v>0.26</v>
      </c>
      <c r="Y937">
        <f t="shared" ca="1" si="454"/>
        <v>4.9056603773584909E-2</v>
      </c>
      <c r="Z937">
        <f t="shared" ca="1" si="455"/>
        <v>196.15384615384616</v>
      </c>
      <c r="AA937">
        <f t="shared" ca="1" si="456"/>
        <v>632.21849999999995</v>
      </c>
      <c r="AB937">
        <f t="shared" ca="1" si="457"/>
        <v>2593.2955316486623</v>
      </c>
      <c r="AC937">
        <f t="shared" ca="1" si="458"/>
        <v>482.07306851378365</v>
      </c>
      <c r="AD937">
        <f t="shared" ca="1" si="459"/>
        <v>280.07692026646265</v>
      </c>
      <c r="AE937">
        <f t="shared" ca="1" si="460"/>
        <v>1019.7665564573041</v>
      </c>
      <c r="AF937">
        <f t="shared" ca="1" si="461"/>
        <v>482.07256851378361</v>
      </c>
      <c r="AG937">
        <f t="shared" ca="1" si="462"/>
        <v>0</v>
      </c>
      <c r="AH937">
        <f ca="1">IF(V32="Supercritical",L937,IF(V32="Subcritical",W937,IF(AND(V937=1,AG937=1),IF(T937&gt;=AE937,L937,W937),IF(V937=1,L937,IF(AG937=1,W937,MAX($D$16,POWER((ABS(K937)^2)/($I$5*MAX(F937,0.1)^2),1/3)))))))</f>
        <v>2.1403668656741068</v>
      </c>
      <c r="AI937">
        <f t="shared" ca="1" si="463"/>
        <v>634.30886686567408</v>
      </c>
      <c r="AJ937">
        <f t="shared" ca="1" si="464"/>
        <v>635.37905029851117</v>
      </c>
      <c r="AM937">
        <v>0</v>
      </c>
      <c r="AN937">
        <v>0</v>
      </c>
      <c r="AO937">
        <f t="shared" si="465"/>
        <v>0</v>
      </c>
      <c r="AP937">
        <f t="shared" si="474"/>
        <v>0</v>
      </c>
      <c r="AQ937">
        <f t="shared" ca="1" si="466"/>
        <v>0.99999999999999978</v>
      </c>
      <c r="AR937" t="str">
        <f t="shared" ca="1" si="467"/>
        <v>Supercritical</v>
      </c>
      <c r="AS937">
        <f t="shared" ca="1" si="468"/>
        <v>3.8148159832266538E-3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191</v>
      </c>
      <c r="I938">
        <v>0</v>
      </c>
      <c r="J938">
        <f t="shared" si="469"/>
        <v>1</v>
      </c>
      <c r="K938">
        <f t="shared" si="470"/>
        <v>51</v>
      </c>
      <c r="L938">
        <f t="shared" ca="1" si="471"/>
        <v>0.05</v>
      </c>
      <c r="M938">
        <f t="shared" ca="1" si="444"/>
        <v>0.26</v>
      </c>
      <c r="N938">
        <f t="shared" ca="1" si="445"/>
        <v>4.9056603773584909E-2</v>
      </c>
      <c r="O938">
        <f t="shared" ca="1" si="446"/>
        <v>196.15384615384616</v>
      </c>
      <c r="P938">
        <f t="shared" ca="1" si="447"/>
        <v>632.21799999999996</v>
      </c>
      <c r="Q938">
        <f t="shared" ca="1" si="448"/>
        <v>2593.2950316486622</v>
      </c>
      <c r="R938">
        <f t="shared" ca="1" si="449"/>
        <v>482.07306851378365</v>
      </c>
      <c r="S938">
        <f t="shared" ca="1" si="450"/>
        <v>280.07692026646265</v>
      </c>
      <c r="T938">
        <f t="shared" ca="1" si="451"/>
        <v>1019.7665564573041</v>
      </c>
      <c r="U938">
        <f t="shared" ca="1" si="472"/>
        <v>-482.07256851378361</v>
      </c>
      <c r="V938">
        <f t="shared" ca="1" si="473"/>
        <v>0</v>
      </c>
      <c r="W938">
        <f t="shared" ca="1" si="452"/>
        <v>0.05</v>
      </c>
      <c r="X938">
        <f t="shared" ca="1" si="453"/>
        <v>0.26</v>
      </c>
      <c r="Y938">
        <f t="shared" ca="1" si="454"/>
        <v>4.9056603773584909E-2</v>
      </c>
      <c r="Z938">
        <f t="shared" ca="1" si="455"/>
        <v>196.15384615384616</v>
      </c>
      <c r="AA938">
        <f t="shared" ca="1" si="456"/>
        <v>632.21799999999996</v>
      </c>
      <c r="AB938">
        <f t="shared" ca="1" si="457"/>
        <v>2593.2950316486622</v>
      </c>
      <c r="AC938">
        <f t="shared" ca="1" si="458"/>
        <v>482.07306851378365</v>
      </c>
      <c r="AD938">
        <f t="shared" ca="1" si="459"/>
        <v>280.07692026646265</v>
      </c>
      <c r="AE938">
        <f t="shared" ca="1" si="460"/>
        <v>1019.7665564573041</v>
      </c>
      <c r="AF938">
        <f t="shared" ca="1" si="461"/>
        <v>481.77679776328796</v>
      </c>
      <c r="AG938">
        <f t="shared" ca="1" si="462"/>
        <v>0</v>
      </c>
      <c r="AH938">
        <f ca="1">IF(V32="Supercritical",L938,IF(V32="Subcritical",W938,IF(AND(V938=1,AG938=1),IF(T938&gt;=AE938,L938,W938),IF(V938=1,L938,IF(AG938=1,W938,MAX($D$16,POWER((ABS(K938)^2)/($I$5*MAX(F938,0.1)^2),1/3)))))))</f>
        <v>2.1403668656741068</v>
      </c>
      <c r="AI938">
        <f t="shared" ca="1" si="463"/>
        <v>634.30836686567409</v>
      </c>
      <c r="AJ938">
        <f t="shared" ca="1" si="464"/>
        <v>635.37855029851119</v>
      </c>
      <c r="AM938">
        <v>0</v>
      </c>
      <c r="AN938">
        <v>0</v>
      </c>
      <c r="AO938">
        <f t="shared" si="465"/>
        <v>0</v>
      </c>
      <c r="AP938">
        <f t="shared" si="474"/>
        <v>0</v>
      </c>
      <c r="AQ938">
        <f t="shared" ca="1" si="466"/>
        <v>0.99999999999999978</v>
      </c>
      <c r="AR938" t="str">
        <f t="shared" ca="1" si="467"/>
        <v>Supercritical</v>
      </c>
      <c r="AS938">
        <f t="shared" ca="1" si="468"/>
        <v>3.8148159832266538E-3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191</v>
      </c>
      <c r="I939">
        <v>5.7000000000000002E-2</v>
      </c>
      <c r="J939">
        <f t="shared" si="469"/>
        <v>0.99900000000002365</v>
      </c>
      <c r="K939">
        <f t="shared" si="470"/>
        <v>51</v>
      </c>
      <c r="L939">
        <f t="shared" ca="1" si="471"/>
        <v>0.05</v>
      </c>
      <c r="M939">
        <f t="shared" ca="1" si="444"/>
        <v>0.26</v>
      </c>
      <c r="N939">
        <f t="shared" ca="1" si="445"/>
        <v>4.9056603773584909E-2</v>
      </c>
      <c r="O939">
        <f t="shared" ca="1" si="446"/>
        <v>196.15384615384616</v>
      </c>
      <c r="P939">
        <f t="shared" ca="1" si="447"/>
        <v>632.21749999999997</v>
      </c>
      <c r="Q939">
        <f t="shared" ca="1" si="448"/>
        <v>2593.2945316486621</v>
      </c>
      <c r="R939">
        <f t="shared" ca="1" si="449"/>
        <v>482.07306851378365</v>
      </c>
      <c r="S939">
        <f t="shared" ca="1" si="450"/>
        <v>280.07692026646265</v>
      </c>
      <c r="T939">
        <f t="shared" ca="1" si="451"/>
        <v>1019.7665564573041</v>
      </c>
      <c r="U939">
        <f t="shared" ca="1" si="472"/>
        <v>-481.77679776328796</v>
      </c>
      <c r="V939">
        <f t="shared" ca="1" si="473"/>
        <v>0</v>
      </c>
      <c r="W939">
        <f t="shared" ca="1" si="452"/>
        <v>0.05</v>
      </c>
      <c r="X939">
        <f t="shared" ca="1" si="453"/>
        <v>0.26</v>
      </c>
      <c r="Y939">
        <f t="shared" ca="1" si="454"/>
        <v>4.9056603773584909E-2</v>
      </c>
      <c r="Z939">
        <f t="shared" ca="1" si="455"/>
        <v>196.15384615384616</v>
      </c>
      <c r="AA939">
        <f t="shared" ca="1" si="456"/>
        <v>632.21749999999997</v>
      </c>
      <c r="AB939">
        <f t="shared" ca="1" si="457"/>
        <v>2593.2945316486621</v>
      </c>
      <c r="AC939">
        <f t="shared" ca="1" si="458"/>
        <v>482.07306851378365</v>
      </c>
      <c r="AD939">
        <f t="shared" ca="1" si="459"/>
        <v>280.07692026646265</v>
      </c>
      <c r="AE939">
        <f t="shared" ca="1" si="460"/>
        <v>1019.7665564573041</v>
      </c>
      <c r="AF939">
        <f t="shared" ca="1" si="461"/>
        <v>482.25887083179032</v>
      </c>
      <c r="AG939">
        <f t="shared" ca="1" si="462"/>
        <v>0</v>
      </c>
      <c r="AH939">
        <f ca="1">IF(V32="Supercritical",L939,IF(V32="Subcritical",W939,IF(AND(V939=1,AG939=1),IF(T939&gt;=AE939,L939,W939),IF(V939=1,L939,IF(AG939=1,W939,MAX($D$16,POWER((ABS(K939)^2)/($I$5*MAX(F939,0.1)^2),1/3)))))))</f>
        <v>2.1403668656741068</v>
      </c>
      <c r="AI939">
        <f t="shared" ca="1" si="463"/>
        <v>634.3078668656741</v>
      </c>
      <c r="AJ939">
        <f t="shared" ca="1" si="464"/>
        <v>635.3780502985112</v>
      </c>
      <c r="AM939">
        <v>0</v>
      </c>
      <c r="AN939">
        <v>0</v>
      </c>
      <c r="AO939">
        <f t="shared" si="465"/>
        <v>0</v>
      </c>
      <c r="AP939">
        <f t="shared" si="474"/>
        <v>0</v>
      </c>
      <c r="AQ939">
        <f t="shared" ca="1" si="466"/>
        <v>0.99999999999999978</v>
      </c>
      <c r="AR939" t="str">
        <f t="shared" ca="1" si="467"/>
        <v>Supercritical</v>
      </c>
      <c r="AS939">
        <f t="shared" ca="1" si="468"/>
        <v>3.8148159832266538E-3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191</v>
      </c>
      <c r="I940">
        <v>5.7000000000000002E-2</v>
      </c>
      <c r="J940">
        <f t="shared" si="469"/>
        <v>1</v>
      </c>
      <c r="K940">
        <f t="shared" si="470"/>
        <v>51</v>
      </c>
      <c r="L940">
        <f t="shared" ca="1" si="471"/>
        <v>0.05</v>
      </c>
      <c r="M940">
        <f t="shared" ca="1" si="444"/>
        <v>0.26</v>
      </c>
      <c r="N940">
        <f t="shared" ca="1" si="445"/>
        <v>4.9056603773584909E-2</v>
      </c>
      <c r="O940">
        <f t="shared" ca="1" si="446"/>
        <v>196.15384615384616</v>
      </c>
      <c r="P940">
        <f t="shared" ca="1" si="447"/>
        <v>632.21699999999998</v>
      </c>
      <c r="Q940">
        <f t="shared" ca="1" si="448"/>
        <v>2593.294031648662</v>
      </c>
      <c r="R940">
        <f t="shared" ca="1" si="449"/>
        <v>482.07306851378365</v>
      </c>
      <c r="S940">
        <f t="shared" ca="1" si="450"/>
        <v>280.07692026646265</v>
      </c>
      <c r="T940">
        <f t="shared" ca="1" si="451"/>
        <v>1019.7665564573041</v>
      </c>
      <c r="U940">
        <f t="shared" ca="1" si="472"/>
        <v>-482.25887083179032</v>
      </c>
      <c r="V940">
        <f t="shared" ca="1" si="473"/>
        <v>0</v>
      </c>
      <c r="W940">
        <f t="shared" ca="1" si="452"/>
        <v>0.05</v>
      </c>
      <c r="X940">
        <f t="shared" ca="1" si="453"/>
        <v>0.26</v>
      </c>
      <c r="Y940">
        <f t="shared" ca="1" si="454"/>
        <v>4.9056603773584909E-2</v>
      </c>
      <c r="Z940">
        <f t="shared" ca="1" si="455"/>
        <v>196.15384615384616</v>
      </c>
      <c r="AA940">
        <f t="shared" ca="1" si="456"/>
        <v>632.21699999999998</v>
      </c>
      <c r="AB940">
        <f t="shared" ca="1" si="457"/>
        <v>2593.294031648662</v>
      </c>
      <c r="AC940">
        <f t="shared" ca="1" si="458"/>
        <v>482.07306851378365</v>
      </c>
      <c r="AD940">
        <f t="shared" ca="1" si="459"/>
        <v>280.07692026646265</v>
      </c>
      <c r="AE940">
        <f t="shared" ca="1" si="460"/>
        <v>1019.7665564573041</v>
      </c>
      <c r="AF940">
        <f t="shared" ca="1" si="461"/>
        <v>482.07256851378361</v>
      </c>
      <c r="AG940">
        <f t="shared" ca="1" si="462"/>
        <v>0</v>
      </c>
      <c r="AH940">
        <f ca="1">IF(V32="Supercritical",L940,IF(V32="Subcritical",W940,IF(AND(V940=1,AG940=1),IF(T940&gt;=AE940,L940,W940),IF(V940=1,L940,IF(AG940=1,W940,MAX($D$16,POWER((ABS(K940)^2)/($I$5*MAX(F940,0.1)^2),1/3)))))))</f>
        <v>2.1403668656741068</v>
      </c>
      <c r="AI940">
        <f t="shared" ca="1" si="463"/>
        <v>634.30736686567411</v>
      </c>
      <c r="AJ940">
        <f t="shared" ca="1" si="464"/>
        <v>635.37755029851121</v>
      </c>
      <c r="AM940">
        <v>0</v>
      </c>
      <c r="AN940">
        <v>0</v>
      </c>
      <c r="AO940">
        <f t="shared" si="465"/>
        <v>0</v>
      </c>
      <c r="AP940">
        <f t="shared" si="474"/>
        <v>0</v>
      </c>
      <c r="AQ940">
        <f t="shared" ca="1" si="466"/>
        <v>0.99999999999999978</v>
      </c>
      <c r="AR940" t="str">
        <f t="shared" ca="1" si="467"/>
        <v>Supercritical</v>
      </c>
      <c r="AS940">
        <f t="shared" ca="1" si="468"/>
        <v>3.8148159832266538E-3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191</v>
      </c>
      <c r="I941">
        <v>0</v>
      </c>
      <c r="J941">
        <f t="shared" si="469"/>
        <v>1</v>
      </c>
      <c r="K941">
        <f t="shared" si="470"/>
        <v>51</v>
      </c>
      <c r="L941">
        <f t="shared" ca="1" si="471"/>
        <v>0.05</v>
      </c>
      <c r="M941">
        <f t="shared" ca="1" si="444"/>
        <v>0.26</v>
      </c>
      <c r="N941">
        <f t="shared" ca="1" si="445"/>
        <v>4.9056603773584909E-2</v>
      </c>
      <c r="O941">
        <f t="shared" ca="1" si="446"/>
        <v>196.15384615384616</v>
      </c>
      <c r="P941">
        <f t="shared" ca="1" si="447"/>
        <v>632.2165</v>
      </c>
      <c r="Q941">
        <f t="shared" ca="1" si="448"/>
        <v>2593.2935316486619</v>
      </c>
      <c r="R941">
        <f t="shared" ca="1" si="449"/>
        <v>482.07306851378365</v>
      </c>
      <c r="S941">
        <f t="shared" ca="1" si="450"/>
        <v>280.07692026646265</v>
      </c>
      <c r="T941">
        <f t="shared" ca="1" si="451"/>
        <v>1019.7665564573041</v>
      </c>
      <c r="U941">
        <f t="shared" ca="1" si="472"/>
        <v>-482.07256851378361</v>
      </c>
      <c r="V941">
        <f t="shared" ca="1" si="473"/>
        <v>0</v>
      </c>
      <c r="W941">
        <f t="shared" ca="1" si="452"/>
        <v>0.05</v>
      </c>
      <c r="X941">
        <f t="shared" ca="1" si="453"/>
        <v>0.26</v>
      </c>
      <c r="Y941">
        <f t="shared" ca="1" si="454"/>
        <v>4.9056603773584909E-2</v>
      </c>
      <c r="Z941">
        <f t="shared" ca="1" si="455"/>
        <v>196.15384615384616</v>
      </c>
      <c r="AA941">
        <f t="shared" ca="1" si="456"/>
        <v>632.2165</v>
      </c>
      <c r="AB941">
        <f t="shared" ca="1" si="457"/>
        <v>2593.2935316486619</v>
      </c>
      <c r="AC941">
        <f t="shared" ca="1" si="458"/>
        <v>482.07306851378365</v>
      </c>
      <c r="AD941">
        <f t="shared" ca="1" si="459"/>
        <v>280.07692026646265</v>
      </c>
      <c r="AE941">
        <f t="shared" ca="1" si="460"/>
        <v>1019.7665564573041</v>
      </c>
      <c r="AF941">
        <f t="shared" ca="1" si="461"/>
        <v>482.07256851378406</v>
      </c>
      <c r="AG941">
        <f t="shared" ca="1" si="462"/>
        <v>0</v>
      </c>
      <c r="AH941">
        <f ca="1">IF(V32="Supercritical",L941,IF(V32="Subcritical",W941,IF(AND(V941=1,AG941=1),IF(T941&gt;=AE941,L941,W941),IF(V941=1,L941,IF(AG941=1,W941,MAX($D$16,POWER((ABS(K941)^2)/($I$5*MAX(F941,0.1)^2),1/3)))))))</f>
        <v>2.1403668656741068</v>
      </c>
      <c r="AI941">
        <f t="shared" ca="1" si="463"/>
        <v>634.30686686567412</v>
      </c>
      <c r="AJ941">
        <f t="shared" ca="1" si="464"/>
        <v>635.37705029851122</v>
      </c>
      <c r="AM941">
        <v>0</v>
      </c>
      <c r="AN941">
        <v>0</v>
      </c>
      <c r="AO941">
        <f t="shared" si="465"/>
        <v>0</v>
      </c>
      <c r="AP941">
        <f t="shared" si="474"/>
        <v>0</v>
      </c>
      <c r="AQ941">
        <f t="shared" ca="1" si="466"/>
        <v>0.99999999999999978</v>
      </c>
      <c r="AR941" t="str">
        <f t="shared" ca="1" si="467"/>
        <v>Supercritical</v>
      </c>
      <c r="AS941">
        <f t="shared" ca="1" si="468"/>
        <v>3.8148159832266538E-3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191</v>
      </c>
      <c r="I942">
        <v>0</v>
      </c>
      <c r="J942">
        <f t="shared" si="469"/>
        <v>1</v>
      </c>
      <c r="K942">
        <f t="shared" si="470"/>
        <v>51</v>
      </c>
      <c r="L942">
        <f t="shared" ca="1" si="471"/>
        <v>0.05</v>
      </c>
      <c r="M942">
        <f t="shared" ca="1" si="444"/>
        <v>0.26</v>
      </c>
      <c r="N942">
        <f t="shared" ca="1" si="445"/>
        <v>4.9056603773584909E-2</v>
      </c>
      <c r="O942">
        <f t="shared" ca="1" si="446"/>
        <v>196.15384615384616</v>
      </c>
      <c r="P942">
        <f t="shared" ca="1" si="447"/>
        <v>632.21600000000001</v>
      </c>
      <c r="Q942">
        <f t="shared" ca="1" si="448"/>
        <v>2593.2930316486622</v>
      </c>
      <c r="R942">
        <f t="shared" ca="1" si="449"/>
        <v>482.07306851378365</v>
      </c>
      <c r="S942">
        <f t="shared" ca="1" si="450"/>
        <v>280.07692026646265</v>
      </c>
      <c r="T942">
        <f t="shared" ca="1" si="451"/>
        <v>1019.7665564573041</v>
      </c>
      <c r="U942">
        <f t="shared" ca="1" si="472"/>
        <v>-482.07256851378406</v>
      </c>
      <c r="V942">
        <f t="shared" ca="1" si="473"/>
        <v>0</v>
      </c>
      <c r="W942">
        <f t="shared" ca="1" si="452"/>
        <v>0.05</v>
      </c>
      <c r="X942">
        <f t="shared" ca="1" si="453"/>
        <v>0.26</v>
      </c>
      <c r="Y942">
        <f t="shared" ca="1" si="454"/>
        <v>4.9056603773584909E-2</v>
      </c>
      <c r="Z942">
        <f t="shared" ca="1" si="455"/>
        <v>196.15384615384616</v>
      </c>
      <c r="AA942">
        <f t="shared" ca="1" si="456"/>
        <v>632.21600000000001</v>
      </c>
      <c r="AB942">
        <f t="shared" ca="1" si="457"/>
        <v>2593.2930316486622</v>
      </c>
      <c r="AC942">
        <f t="shared" ca="1" si="458"/>
        <v>482.07306851378365</v>
      </c>
      <c r="AD942">
        <f t="shared" ca="1" si="459"/>
        <v>280.07692026646265</v>
      </c>
      <c r="AE942">
        <f t="shared" ca="1" si="460"/>
        <v>1019.7665564573041</v>
      </c>
      <c r="AF942">
        <f t="shared" ca="1" si="461"/>
        <v>482.25887083179032</v>
      </c>
      <c r="AG942">
        <f t="shared" ca="1" si="462"/>
        <v>0</v>
      </c>
      <c r="AH942">
        <f ca="1">IF(V32="Supercritical",L942,IF(V32="Subcritical",W942,IF(AND(V942=1,AG942=1),IF(T942&gt;=AE942,L942,W942),IF(V942=1,L942,IF(AG942=1,W942,MAX($D$16,POWER((ABS(K942)^2)/($I$5*MAX(F942,0.1)^2),1/3)))))))</f>
        <v>2.1403668656741068</v>
      </c>
      <c r="AI942">
        <f t="shared" ca="1" si="463"/>
        <v>634.30636686567414</v>
      </c>
      <c r="AJ942">
        <f t="shared" ca="1" si="464"/>
        <v>635.37655029851123</v>
      </c>
      <c r="AM942">
        <v>0</v>
      </c>
      <c r="AN942">
        <v>0</v>
      </c>
      <c r="AO942">
        <f t="shared" si="465"/>
        <v>0</v>
      </c>
      <c r="AP942">
        <f t="shared" si="474"/>
        <v>0</v>
      </c>
      <c r="AQ942">
        <f t="shared" ca="1" si="466"/>
        <v>0.99999999999999978</v>
      </c>
      <c r="AR942" t="str">
        <f t="shared" ca="1" si="467"/>
        <v>Supercritical</v>
      </c>
      <c r="AS942">
        <f t="shared" ca="1" si="468"/>
        <v>3.8148159832266538E-3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191</v>
      </c>
      <c r="I943">
        <v>5.7000000000000002E-2</v>
      </c>
      <c r="J943">
        <f t="shared" si="469"/>
        <v>1</v>
      </c>
      <c r="K943">
        <f t="shared" si="470"/>
        <v>51</v>
      </c>
      <c r="L943">
        <f t="shared" ca="1" si="471"/>
        <v>0.05</v>
      </c>
      <c r="M943">
        <f t="shared" ca="1" si="444"/>
        <v>0.26</v>
      </c>
      <c r="N943">
        <f t="shared" ca="1" si="445"/>
        <v>4.9056603773584909E-2</v>
      </c>
      <c r="O943">
        <f t="shared" ca="1" si="446"/>
        <v>196.15384615384616</v>
      </c>
      <c r="P943">
        <f t="shared" ca="1" si="447"/>
        <v>632.21549999999991</v>
      </c>
      <c r="Q943">
        <f t="shared" ca="1" si="448"/>
        <v>2593.2925316486621</v>
      </c>
      <c r="R943">
        <f t="shared" ca="1" si="449"/>
        <v>482.07306851378365</v>
      </c>
      <c r="S943">
        <f t="shared" ca="1" si="450"/>
        <v>280.07692026646265</v>
      </c>
      <c r="T943">
        <f t="shared" ca="1" si="451"/>
        <v>1019.7665564573041</v>
      </c>
      <c r="U943">
        <f t="shared" ca="1" si="472"/>
        <v>-482.25887083179032</v>
      </c>
      <c r="V943">
        <f t="shared" ca="1" si="473"/>
        <v>0</v>
      </c>
      <c r="W943">
        <f t="shared" ca="1" si="452"/>
        <v>0.05</v>
      </c>
      <c r="X943">
        <f t="shared" ca="1" si="453"/>
        <v>0.26</v>
      </c>
      <c r="Y943">
        <f t="shared" ca="1" si="454"/>
        <v>4.9056603773584909E-2</v>
      </c>
      <c r="Z943">
        <f t="shared" ca="1" si="455"/>
        <v>196.15384615384616</v>
      </c>
      <c r="AA943">
        <f t="shared" ca="1" si="456"/>
        <v>632.21549999999991</v>
      </c>
      <c r="AB943">
        <f t="shared" ca="1" si="457"/>
        <v>2593.2925316486621</v>
      </c>
      <c r="AC943">
        <f t="shared" ca="1" si="458"/>
        <v>482.07306851378365</v>
      </c>
      <c r="AD943">
        <f t="shared" ca="1" si="459"/>
        <v>280.07692026646265</v>
      </c>
      <c r="AE943">
        <f t="shared" ca="1" si="460"/>
        <v>1019.7665564573041</v>
      </c>
      <c r="AF943">
        <f t="shared" ca="1" si="461"/>
        <v>482.25887083179032</v>
      </c>
      <c r="AG943">
        <f t="shared" ca="1" si="462"/>
        <v>0</v>
      </c>
      <c r="AH943">
        <f ca="1">IF(V32="Supercritical",L943,IF(V32="Subcritical",W943,IF(AND(V943=1,AG943=1),IF(T943&gt;=AE943,L943,W943),IF(V943=1,L943,IF(AG943=1,W943,MAX($D$16,POWER((ABS(K943)^2)/($I$5*MAX(F943,0.1)^2),1/3)))))))</f>
        <v>2.1403668656741068</v>
      </c>
      <c r="AI943">
        <f t="shared" ca="1" si="463"/>
        <v>634.30586686567403</v>
      </c>
      <c r="AJ943">
        <f t="shared" ca="1" si="464"/>
        <v>635.37605029851113</v>
      </c>
      <c r="AM943">
        <v>0</v>
      </c>
      <c r="AN943">
        <v>0</v>
      </c>
      <c r="AO943">
        <f t="shared" si="465"/>
        <v>0</v>
      </c>
      <c r="AP943">
        <f t="shared" si="474"/>
        <v>0</v>
      </c>
      <c r="AQ943">
        <f t="shared" ca="1" si="466"/>
        <v>0.99999999999999978</v>
      </c>
      <c r="AR943" t="str">
        <f t="shared" ca="1" si="467"/>
        <v>Supercritical</v>
      </c>
      <c r="AS943">
        <f t="shared" ca="1" si="468"/>
        <v>3.8148159832266538E-3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191</v>
      </c>
      <c r="I944">
        <v>5.7000000000000002E-2</v>
      </c>
      <c r="J944">
        <f t="shared" si="469"/>
        <v>1</v>
      </c>
      <c r="K944">
        <f t="shared" si="470"/>
        <v>51</v>
      </c>
      <c r="L944">
        <f t="shared" ca="1" si="471"/>
        <v>0.05</v>
      </c>
      <c r="M944">
        <f t="shared" ca="1" si="444"/>
        <v>0.26</v>
      </c>
      <c r="N944">
        <f t="shared" ca="1" si="445"/>
        <v>4.9056603773584909E-2</v>
      </c>
      <c r="O944">
        <f t="shared" ca="1" si="446"/>
        <v>196.15384615384616</v>
      </c>
      <c r="P944">
        <f t="shared" ca="1" si="447"/>
        <v>632.21499999999992</v>
      </c>
      <c r="Q944">
        <f t="shared" ca="1" si="448"/>
        <v>2593.292031648662</v>
      </c>
      <c r="R944">
        <f t="shared" ca="1" si="449"/>
        <v>482.07306851378365</v>
      </c>
      <c r="S944">
        <f t="shared" ca="1" si="450"/>
        <v>280.07692026646265</v>
      </c>
      <c r="T944">
        <f t="shared" ca="1" si="451"/>
        <v>1019.7665564573041</v>
      </c>
      <c r="U944">
        <f t="shared" ca="1" si="472"/>
        <v>-482.25887083179032</v>
      </c>
      <c r="V944">
        <f t="shared" ca="1" si="473"/>
        <v>0</v>
      </c>
      <c r="W944">
        <f t="shared" ca="1" si="452"/>
        <v>0.05</v>
      </c>
      <c r="X944">
        <f t="shared" ca="1" si="453"/>
        <v>0.26</v>
      </c>
      <c r="Y944">
        <f t="shared" ca="1" si="454"/>
        <v>4.9056603773584909E-2</v>
      </c>
      <c r="Z944">
        <f t="shared" ca="1" si="455"/>
        <v>196.15384615384616</v>
      </c>
      <c r="AA944">
        <f t="shared" ca="1" si="456"/>
        <v>632.21499999999992</v>
      </c>
      <c r="AB944">
        <f t="shared" ca="1" si="457"/>
        <v>2593.292031648662</v>
      </c>
      <c r="AC944">
        <f t="shared" ca="1" si="458"/>
        <v>482.07306851378365</v>
      </c>
      <c r="AD944">
        <f t="shared" ca="1" si="459"/>
        <v>280.07692026646265</v>
      </c>
      <c r="AE944">
        <f t="shared" ca="1" si="460"/>
        <v>1019.7665564573041</v>
      </c>
      <c r="AF944">
        <f t="shared" ca="1" si="461"/>
        <v>482.07256851378361</v>
      </c>
      <c r="AG944">
        <f t="shared" ca="1" si="462"/>
        <v>0</v>
      </c>
      <c r="AH944">
        <f ca="1">IF(V32="Supercritical",L944,IF(V32="Subcritical",W944,IF(AND(V944=1,AG944=1),IF(T944&gt;=AE944,L944,W944),IF(V944=1,L944,IF(AG944=1,W944,MAX($D$16,POWER((ABS(K944)^2)/($I$5*MAX(F944,0.1)^2),1/3)))))))</f>
        <v>2.1403668656741068</v>
      </c>
      <c r="AI944">
        <f t="shared" ca="1" si="463"/>
        <v>634.30536686567405</v>
      </c>
      <c r="AJ944">
        <f t="shared" ca="1" si="464"/>
        <v>635.37555029851114</v>
      </c>
      <c r="AM944">
        <v>0</v>
      </c>
      <c r="AN944">
        <v>0</v>
      </c>
      <c r="AO944">
        <f t="shared" si="465"/>
        <v>0</v>
      </c>
      <c r="AP944">
        <f t="shared" si="474"/>
        <v>0</v>
      </c>
      <c r="AQ944">
        <f t="shared" ca="1" si="466"/>
        <v>0.99999999999999978</v>
      </c>
      <c r="AR944" t="str">
        <f t="shared" ca="1" si="467"/>
        <v>Supercritical</v>
      </c>
      <c r="AS944">
        <f t="shared" ca="1" si="468"/>
        <v>3.8148159832266538E-3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191</v>
      </c>
      <c r="I945">
        <v>0</v>
      </c>
      <c r="J945">
        <f t="shared" si="469"/>
        <v>1</v>
      </c>
      <c r="K945">
        <f t="shared" si="470"/>
        <v>51</v>
      </c>
      <c r="L945">
        <f t="shared" ca="1" si="471"/>
        <v>0.05</v>
      </c>
      <c r="M945">
        <f t="shared" ca="1" si="444"/>
        <v>0.26</v>
      </c>
      <c r="N945">
        <f t="shared" ca="1" si="445"/>
        <v>4.9056603773584909E-2</v>
      </c>
      <c r="O945">
        <f t="shared" ca="1" si="446"/>
        <v>196.15384615384616</v>
      </c>
      <c r="P945">
        <f t="shared" ca="1" si="447"/>
        <v>632.21449999999993</v>
      </c>
      <c r="Q945">
        <f t="shared" ca="1" si="448"/>
        <v>2593.2915316486619</v>
      </c>
      <c r="R945">
        <f t="shared" ca="1" si="449"/>
        <v>482.07306851378365</v>
      </c>
      <c r="S945">
        <f t="shared" ca="1" si="450"/>
        <v>280.07692026646265</v>
      </c>
      <c r="T945">
        <f t="shared" ca="1" si="451"/>
        <v>1019.7665564573041</v>
      </c>
      <c r="U945">
        <f t="shared" ca="1" si="472"/>
        <v>-482.07256851378361</v>
      </c>
      <c r="V945">
        <f t="shared" ca="1" si="473"/>
        <v>0</v>
      </c>
      <c r="W945">
        <f t="shared" ca="1" si="452"/>
        <v>0.05</v>
      </c>
      <c r="X945">
        <f t="shared" ca="1" si="453"/>
        <v>0.26</v>
      </c>
      <c r="Y945">
        <f t="shared" ca="1" si="454"/>
        <v>4.9056603773584909E-2</v>
      </c>
      <c r="Z945">
        <f t="shared" ca="1" si="455"/>
        <v>196.15384615384616</v>
      </c>
      <c r="AA945">
        <f t="shared" ca="1" si="456"/>
        <v>632.21449999999993</v>
      </c>
      <c r="AB945">
        <f t="shared" ca="1" si="457"/>
        <v>2593.2915316486619</v>
      </c>
      <c r="AC945">
        <f t="shared" ca="1" si="458"/>
        <v>482.07306851378365</v>
      </c>
      <c r="AD945">
        <f t="shared" ca="1" si="459"/>
        <v>280.07692026646265</v>
      </c>
      <c r="AE945">
        <f t="shared" ca="1" si="460"/>
        <v>1019.7665564573041</v>
      </c>
      <c r="AF945">
        <f t="shared" ca="1" si="461"/>
        <v>482.07910543722301</v>
      </c>
      <c r="AG945">
        <f t="shared" ca="1" si="462"/>
        <v>0</v>
      </c>
      <c r="AH945">
        <f ca="1">IF(V32="Supercritical",L945,IF(V32="Subcritical",W945,IF(AND(V945=1,AG945=1),IF(T945&gt;=AE945,L945,W945),IF(V945=1,L945,IF(AG945=1,W945,MAX($D$16,POWER((ABS(K945)^2)/($I$5*MAX(F945,0.1)^2),1/3)))))))</f>
        <v>2.1403668656741068</v>
      </c>
      <c r="AI945">
        <f t="shared" ca="1" si="463"/>
        <v>634.30486686567406</v>
      </c>
      <c r="AJ945">
        <f t="shared" ca="1" si="464"/>
        <v>635.37505029851116</v>
      </c>
      <c r="AM945">
        <v>0</v>
      </c>
      <c r="AN945">
        <v>0</v>
      </c>
      <c r="AO945">
        <f t="shared" si="465"/>
        <v>0</v>
      </c>
      <c r="AP945">
        <f t="shared" si="474"/>
        <v>0</v>
      </c>
      <c r="AQ945">
        <f t="shared" ca="1" si="466"/>
        <v>0.99999999999999978</v>
      </c>
      <c r="AR945" t="str">
        <f t="shared" ca="1" si="467"/>
        <v>Supercritical</v>
      </c>
      <c r="AS945">
        <f t="shared" ca="1" si="468"/>
        <v>3.8148159832266538E-3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191</v>
      </c>
      <c r="I946">
        <v>2E-3</v>
      </c>
      <c r="J946">
        <f t="shared" si="469"/>
        <v>1</v>
      </c>
      <c r="K946">
        <f t="shared" si="470"/>
        <v>51</v>
      </c>
      <c r="L946">
        <f t="shared" ca="1" si="471"/>
        <v>0.05</v>
      </c>
      <c r="M946">
        <f t="shared" ca="1" si="444"/>
        <v>0.26</v>
      </c>
      <c r="N946">
        <f t="shared" ca="1" si="445"/>
        <v>4.9056603773584909E-2</v>
      </c>
      <c r="O946">
        <f t="shared" ca="1" si="446"/>
        <v>196.15384615384616</v>
      </c>
      <c r="P946">
        <f t="shared" ca="1" si="447"/>
        <v>632.21399999999994</v>
      </c>
      <c r="Q946">
        <f t="shared" ca="1" si="448"/>
        <v>2593.2910316486623</v>
      </c>
      <c r="R946">
        <f t="shared" ca="1" si="449"/>
        <v>482.07306851378365</v>
      </c>
      <c r="S946">
        <f t="shared" ca="1" si="450"/>
        <v>280.07692026646265</v>
      </c>
      <c r="T946">
        <f t="shared" ca="1" si="451"/>
        <v>1019.7665564573041</v>
      </c>
      <c r="U946">
        <f t="shared" ca="1" si="472"/>
        <v>-482.07910543722301</v>
      </c>
      <c r="V946">
        <f t="shared" ca="1" si="473"/>
        <v>0</v>
      </c>
      <c r="W946">
        <f t="shared" ca="1" si="452"/>
        <v>0.05</v>
      </c>
      <c r="X946">
        <f t="shared" ca="1" si="453"/>
        <v>0.26</v>
      </c>
      <c r="Y946">
        <f t="shared" ca="1" si="454"/>
        <v>4.9056603773584909E-2</v>
      </c>
      <c r="Z946">
        <f t="shared" ca="1" si="455"/>
        <v>196.15384615384616</v>
      </c>
      <c r="AA946">
        <f t="shared" ca="1" si="456"/>
        <v>632.21399999999994</v>
      </c>
      <c r="AB946">
        <f t="shared" ca="1" si="457"/>
        <v>2593.2910316486623</v>
      </c>
      <c r="AC946">
        <f t="shared" ca="1" si="458"/>
        <v>482.07306851378365</v>
      </c>
      <c r="AD946">
        <f t="shared" ca="1" si="459"/>
        <v>280.07692026646265</v>
      </c>
      <c r="AE946">
        <f t="shared" ca="1" si="460"/>
        <v>1019.7665564573041</v>
      </c>
      <c r="AF946">
        <f t="shared" ca="1" si="461"/>
        <v>482.75074928545064</v>
      </c>
      <c r="AG946">
        <f t="shared" ca="1" si="462"/>
        <v>0</v>
      </c>
      <c r="AH946">
        <f ca="1">IF(V32="Supercritical",L946,IF(V32="Subcritical",W946,IF(AND(V946=1,AG946=1),IF(T946&gt;=AE946,L946,W946),IF(V946=1,L946,IF(AG946=1,W946,MAX($D$16,POWER((ABS(K946)^2)/($I$5*MAX(F946,0.1)^2),1/3)))))))</f>
        <v>2.1403668656741068</v>
      </c>
      <c r="AI946">
        <f t="shared" ca="1" si="463"/>
        <v>634.30436686567407</v>
      </c>
      <c r="AJ946">
        <f t="shared" ca="1" si="464"/>
        <v>635.37455029851117</v>
      </c>
      <c r="AM946">
        <v>0</v>
      </c>
      <c r="AN946">
        <v>0</v>
      </c>
      <c r="AO946">
        <f t="shared" si="465"/>
        <v>0</v>
      </c>
      <c r="AP946">
        <f t="shared" si="474"/>
        <v>0</v>
      </c>
      <c r="AQ946">
        <f t="shared" ca="1" si="466"/>
        <v>0.99999999999999978</v>
      </c>
      <c r="AR946" t="str">
        <f t="shared" ca="1" si="467"/>
        <v>Supercritical</v>
      </c>
      <c r="AS946">
        <f t="shared" ca="1" si="468"/>
        <v>3.8148159832266538E-3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191</v>
      </c>
      <c r="I947">
        <v>0.06</v>
      </c>
      <c r="J947">
        <f t="shared" si="469"/>
        <v>1.0009999999999764</v>
      </c>
      <c r="K947">
        <f t="shared" si="470"/>
        <v>51</v>
      </c>
      <c r="L947">
        <f t="shared" ca="1" si="471"/>
        <v>0.05</v>
      </c>
      <c r="M947">
        <f t="shared" ca="1" si="444"/>
        <v>0.26</v>
      </c>
      <c r="N947">
        <f t="shared" ca="1" si="445"/>
        <v>4.9056603773584909E-2</v>
      </c>
      <c r="O947">
        <f t="shared" ca="1" si="446"/>
        <v>196.15384615384616</v>
      </c>
      <c r="P947">
        <f t="shared" ca="1" si="447"/>
        <v>632.21349999999995</v>
      </c>
      <c r="Q947">
        <f t="shared" ca="1" si="448"/>
        <v>2593.2905316486622</v>
      </c>
      <c r="R947">
        <f t="shared" ca="1" si="449"/>
        <v>482.07306851378365</v>
      </c>
      <c r="S947">
        <f t="shared" ca="1" si="450"/>
        <v>280.07692026646265</v>
      </c>
      <c r="T947">
        <f t="shared" ca="1" si="451"/>
        <v>1019.7665564573041</v>
      </c>
      <c r="U947">
        <f t="shared" ca="1" si="472"/>
        <v>-482.75074928545064</v>
      </c>
      <c r="V947">
        <f t="shared" ca="1" si="473"/>
        <v>0</v>
      </c>
      <c r="W947">
        <f t="shared" ca="1" si="452"/>
        <v>0.05</v>
      </c>
      <c r="X947">
        <f t="shared" ca="1" si="453"/>
        <v>0.26</v>
      </c>
      <c r="Y947">
        <f t="shared" ca="1" si="454"/>
        <v>4.9056603773584909E-2</v>
      </c>
      <c r="Z947">
        <f t="shared" ca="1" si="455"/>
        <v>196.15384615384616</v>
      </c>
      <c r="AA947">
        <f t="shared" ca="1" si="456"/>
        <v>632.21349999999995</v>
      </c>
      <c r="AB947">
        <f t="shared" ca="1" si="457"/>
        <v>2593.2905316486622</v>
      </c>
      <c r="AC947">
        <f t="shared" ca="1" si="458"/>
        <v>482.07306851378365</v>
      </c>
      <c r="AD947">
        <f t="shared" ca="1" si="459"/>
        <v>280.07692026646265</v>
      </c>
      <c r="AE947">
        <f t="shared" ca="1" si="460"/>
        <v>1019.7665564573041</v>
      </c>
      <c r="AF947">
        <f t="shared" ca="1" si="461"/>
        <v>482.25887083179032</v>
      </c>
      <c r="AG947">
        <f t="shared" ca="1" si="462"/>
        <v>0</v>
      </c>
      <c r="AH947">
        <f ca="1">IF(V32="Supercritical",L947,IF(V32="Subcritical",W947,IF(AND(V947=1,AG947=1),IF(T947&gt;=AE947,L947,W947),IF(V947=1,L947,IF(AG947=1,W947,MAX($D$16,POWER((ABS(K947)^2)/($I$5*MAX(F947,0.1)^2),1/3)))))))</f>
        <v>2.1403668656741068</v>
      </c>
      <c r="AI947">
        <f t="shared" ca="1" si="463"/>
        <v>634.30386686567408</v>
      </c>
      <c r="AJ947">
        <f t="shared" ca="1" si="464"/>
        <v>635.37405029851118</v>
      </c>
      <c r="AM947">
        <v>0</v>
      </c>
      <c r="AN947">
        <v>0</v>
      </c>
      <c r="AO947">
        <f t="shared" si="465"/>
        <v>0</v>
      </c>
      <c r="AP947">
        <f t="shared" si="474"/>
        <v>0</v>
      </c>
      <c r="AQ947">
        <f t="shared" ca="1" si="466"/>
        <v>0.99999999999999978</v>
      </c>
      <c r="AR947" t="str">
        <f t="shared" ca="1" si="467"/>
        <v>Supercritical</v>
      </c>
      <c r="AS947">
        <f t="shared" ca="1" si="468"/>
        <v>3.8148159832266538E-3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191</v>
      </c>
      <c r="I948">
        <v>5.7000000000000002E-2</v>
      </c>
      <c r="J948">
        <f t="shared" si="469"/>
        <v>1</v>
      </c>
      <c r="K948">
        <f t="shared" si="470"/>
        <v>51</v>
      </c>
      <c r="L948">
        <f t="shared" ca="1" si="471"/>
        <v>0.05</v>
      </c>
      <c r="M948">
        <f t="shared" ca="1" si="444"/>
        <v>0.26</v>
      </c>
      <c r="N948">
        <f t="shared" ca="1" si="445"/>
        <v>4.9056603773584909E-2</v>
      </c>
      <c r="O948">
        <f t="shared" ca="1" si="446"/>
        <v>196.15384615384616</v>
      </c>
      <c r="P948">
        <f t="shared" ca="1" si="447"/>
        <v>632.21299999999997</v>
      </c>
      <c r="Q948">
        <f t="shared" ca="1" si="448"/>
        <v>2593.2900316486621</v>
      </c>
      <c r="R948">
        <f t="shared" ca="1" si="449"/>
        <v>482.07306851378365</v>
      </c>
      <c r="S948">
        <f t="shared" ca="1" si="450"/>
        <v>280.07692026646265</v>
      </c>
      <c r="T948">
        <f t="shared" ca="1" si="451"/>
        <v>1019.7665564573041</v>
      </c>
      <c r="U948">
        <f t="shared" ca="1" si="472"/>
        <v>-482.25887083179032</v>
      </c>
      <c r="V948">
        <f t="shared" ca="1" si="473"/>
        <v>0</v>
      </c>
      <c r="W948">
        <f t="shared" ca="1" si="452"/>
        <v>0.05</v>
      </c>
      <c r="X948">
        <f t="shared" ca="1" si="453"/>
        <v>0.26</v>
      </c>
      <c r="Y948">
        <f t="shared" ca="1" si="454"/>
        <v>4.9056603773584909E-2</v>
      </c>
      <c r="Z948">
        <f t="shared" ca="1" si="455"/>
        <v>196.15384615384616</v>
      </c>
      <c r="AA948">
        <f t="shared" ca="1" si="456"/>
        <v>632.21299999999997</v>
      </c>
      <c r="AB948">
        <f t="shared" ca="1" si="457"/>
        <v>2593.2900316486621</v>
      </c>
      <c r="AC948">
        <f t="shared" ca="1" si="458"/>
        <v>482.07306851378365</v>
      </c>
      <c r="AD948">
        <f t="shared" ca="1" si="459"/>
        <v>280.07692026646265</v>
      </c>
      <c r="AE948">
        <f t="shared" ca="1" si="460"/>
        <v>1019.7665564573041</v>
      </c>
      <c r="AF948">
        <f t="shared" ca="1" si="461"/>
        <v>481.59049544528125</v>
      </c>
      <c r="AG948">
        <f t="shared" ca="1" si="462"/>
        <v>0</v>
      </c>
      <c r="AH948">
        <f ca="1">IF(V32="Supercritical",L948,IF(V32="Subcritical",W948,IF(AND(V948=1,AG948=1),IF(T948&gt;=AE948,L948,W948),IF(V948=1,L948,IF(AG948=1,W948,MAX($D$16,POWER((ABS(K948)^2)/($I$5*MAX(F948,0.1)^2),1/3)))))))</f>
        <v>2.1403668656741068</v>
      </c>
      <c r="AI948">
        <f t="shared" ca="1" si="463"/>
        <v>634.30336686567409</v>
      </c>
      <c r="AJ948">
        <f t="shared" ca="1" si="464"/>
        <v>635.37355029851119</v>
      </c>
      <c r="AM948">
        <v>0</v>
      </c>
      <c r="AN948">
        <v>0</v>
      </c>
      <c r="AO948">
        <f t="shared" si="465"/>
        <v>0</v>
      </c>
      <c r="AP948">
        <f t="shared" si="474"/>
        <v>0</v>
      </c>
      <c r="AQ948">
        <f t="shared" ca="1" si="466"/>
        <v>0.99999999999999978</v>
      </c>
      <c r="AR948" t="str">
        <f t="shared" ca="1" si="467"/>
        <v>Supercritical</v>
      </c>
      <c r="AS948">
        <f t="shared" ca="1" si="468"/>
        <v>3.8148159832266538E-3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191</v>
      </c>
      <c r="I949">
        <v>0</v>
      </c>
      <c r="J949">
        <f t="shared" si="469"/>
        <v>0.99900000000002365</v>
      </c>
      <c r="K949">
        <f t="shared" si="470"/>
        <v>51</v>
      </c>
      <c r="L949">
        <f t="shared" ca="1" si="471"/>
        <v>0.05</v>
      </c>
      <c r="M949">
        <f t="shared" ca="1" si="444"/>
        <v>0.26</v>
      </c>
      <c r="N949">
        <f t="shared" ca="1" si="445"/>
        <v>4.9056603773584909E-2</v>
      </c>
      <c r="O949">
        <f t="shared" ca="1" si="446"/>
        <v>196.15384615384616</v>
      </c>
      <c r="P949">
        <f t="shared" ca="1" si="447"/>
        <v>632.21249999999998</v>
      </c>
      <c r="Q949">
        <f t="shared" ca="1" si="448"/>
        <v>2593.289531648662</v>
      </c>
      <c r="R949">
        <f t="shared" ca="1" si="449"/>
        <v>482.07306851378365</v>
      </c>
      <c r="S949">
        <f t="shared" ca="1" si="450"/>
        <v>280.07692026646265</v>
      </c>
      <c r="T949">
        <f t="shared" ca="1" si="451"/>
        <v>1019.7665564573041</v>
      </c>
      <c r="U949">
        <f t="shared" ca="1" si="472"/>
        <v>-481.59049544528125</v>
      </c>
      <c r="V949">
        <f t="shared" ca="1" si="473"/>
        <v>0</v>
      </c>
      <c r="W949">
        <f t="shared" ca="1" si="452"/>
        <v>0.05</v>
      </c>
      <c r="X949">
        <f t="shared" ca="1" si="453"/>
        <v>0.26</v>
      </c>
      <c r="Y949">
        <f t="shared" ca="1" si="454"/>
        <v>4.9056603773584909E-2</v>
      </c>
      <c r="Z949">
        <f t="shared" ca="1" si="455"/>
        <v>196.15384615384616</v>
      </c>
      <c r="AA949">
        <f t="shared" ca="1" si="456"/>
        <v>632.21249999999998</v>
      </c>
      <c r="AB949">
        <f t="shared" ca="1" si="457"/>
        <v>2593.289531648662</v>
      </c>
      <c r="AC949">
        <f t="shared" ca="1" si="458"/>
        <v>482.07306851378365</v>
      </c>
      <c r="AD949">
        <f t="shared" ca="1" si="459"/>
        <v>280.07692026646265</v>
      </c>
      <c r="AE949">
        <f t="shared" ca="1" si="460"/>
        <v>1019.7665564573041</v>
      </c>
      <c r="AF949">
        <f t="shared" ca="1" si="461"/>
        <v>482.07256851378361</v>
      </c>
      <c r="AG949">
        <f t="shared" ca="1" si="462"/>
        <v>0</v>
      </c>
      <c r="AH949">
        <f ca="1">IF(V32="Supercritical",L949,IF(V32="Subcritical",W949,IF(AND(V949=1,AG949=1),IF(T949&gt;=AE949,L949,W949),IF(V949=1,L949,IF(AG949=1,W949,MAX($D$16,POWER((ABS(K949)^2)/($I$5*MAX(F949,0.1)^2),1/3)))))))</f>
        <v>2.1403668656741068</v>
      </c>
      <c r="AI949">
        <f t="shared" ca="1" si="463"/>
        <v>634.3028668656741</v>
      </c>
      <c r="AJ949">
        <f t="shared" ca="1" si="464"/>
        <v>635.3730502985112</v>
      </c>
      <c r="AM949">
        <v>0</v>
      </c>
      <c r="AN949">
        <v>0</v>
      </c>
      <c r="AO949">
        <f t="shared" si="465"/>
        <v>0</v>
      </c>
      <c r="AP949">
        <f t="shared" si="474"/>
        <v>0</v>
      </c>
      <c r="AQ949">
        <f t="shared" ca="1" si="466"/>
        <v>0.99999999999999978</v>
      </c>
      <c r="AR949" t="str">
        <f t="shared" ca="1" si="467"/>
        <v>Supercritical</v>
      </c>
      <c r="AS949">
        <f t="shared" ca="1" si="468"/>
        <v>3.8148159832266538E-3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191</v>
      </c>
      <c r="I950">
        <v>0</v>
      </c>
      <c r="J950">
        <f t="shared" si="469"/>
        <v>1</v>
      </c>
      <c r="K950">
        <f t="shared" si="470"/>
        <v>51</v>
      </c>
      <c r="L950">
        <f t="shared" ca="1" si="471"/>
        <v>0.05</v>
      </c>
      <c r="M950">
        <f t="shared" ca="1" si="444"/>
        <v>0.26</v>
      </c>
      <c r="N950">
        <f t="shared" ca="1" si="445"/>
        <v>4.9056603773584909E-2</v>
      </c>
      <c r="O950">
        <f t="shared" ca="1" si="446"/>
        <v>196.15384615384616</v>
      </c>
      <c r="P950">
        <f t="shared" ca="1" si="447"/>
        <v>632.21199999999999</v>
      </c>
      <c r="Q950">
        <f t="shared" ca="1" si="448"/>
        <v>2593.2890316486619</v>
      </c>
      <c r="R950">
        <f t="shared" ca="1" si="449"/>
        <v>482.07306851378365</v>
      </c>
      <c r="S950">
        <f t="shared" ca="1" si="450"/>
        <v>280.07692026646265</v>
      </c>
      <c r="T950">
        <f t="shared" ca="1" si="451"/>
        <v>1019.7665564573041</v>
      </c>
      <c r="U950">
        <f t="shared" ca="1" si="472"/>
        <v>-482.07256851378361</v>
      </c>
      <c r="V950">
        <f t="shared" ca="1" si="473"/>
        <v>0</v>
      </c>
      <c r="W950">
        <f t="shared" ca="1" si="452"/>
        <v>0.05</v>
      </c>
      <c r="X950">
        <f t="shared" ca="1" si="453"/>
        <v>0.26</v>
      </c>
      <c r="Y950">
        <f t="shared" ca="1" si="454"/>
        <v>4.9056603773584909E-2</v>
      </c>
      <c r="Z950">
        <f t="shared" ca="1" si="455"/>
        <v>196.15384615384616</v>
      </c>
      <c r="AA950">
        <f t="shared" ca="1" si="456"/>
        <v>632.21199999999999</v>
      </c>
      <c r="AB950">
        <f t="shared" ca="1" si="457"/>
        <v>2593.2890316486619</v>
      </c>
      <c r="AC950">
        <f t="shared" ca="1" si="458"/>
        <v>482.07306851378365</v>
      </c>
      <c r="AD950">
        <f t="shared" ca="1" si="459"/>
        <v>280.07692026646265</v>
      </c>
      <c r="AE950">
        <f t="shared" ca="1" si="460"/>
        <v>1019.7665564573041</v>
      </c>
      <c r="AF950">
        <f t="shared" ca="1" si="461"/>
        <v>482.25887083179077</v>
      </c>
      <c r="AG950">
        <f t="shared" ca="1" si="462"/>
        <v>0</v>
      </c>
      <c r="AH950">
        <f ca="1">IF(V32="Supercritical",L950,IF(V32="Subcritical",W950,IF(AND(V950=1,AG950=1),IF(T950&gt;=AE950,L950,W950),IF(V950=1,L950,IF(AG950=1,W950,MAX($D$16,POWER((ABS(K950)^2)/($I$5*MAX(F950,0.1)^2),1/3)))))))</f>
        <v>2.1403668656741068</v>
      </c>
      <c r="AI950">
        <f t="shared" ca="1" si="463"/>
        <v>634.30236686567412</v>
      </c>
      <c r="AJ950">
        <f t="shared" ca="1" si="464"/>
        <v>635.37255029851121</v>
      </c>
      <c r="AM950">
        <v>0</v>
      </c>
      <c r="AN950">
        <v>0</v>
      </c>
      <c r="AO950">
        <f t="shared" si="465"/>
        <v>0</v>
      </c>
      <c r="AP950">
        <f t="shared" si="474"/>
        <v>0</v>
      </c>
      <c r="AQ950">
        <f t="shared" ca="1" si="466"/>
        <v>0.99999999999999978</v>
      </c>
      <c r="AR950" t="str">
        <f t="shared" ca="1" si="467"/>
        <v>Supercritical</v>
      </c>
      <c r="AS950">
        <f t="shared" ca="1" si="468"/>
        <v>3.8148159832266538E-3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191</v>
      </c>
      <c r="I951">
        <v>5.7000000000000002E-2</v>
      </c>
      <c r="J951">
        <f t="shared" si="469"/>
        <v>1</v>
      </c>
      <c r="K951">
        <f t="shared" si="470"/>
        <v>51</v>
      </c>
      <c r="L951">
        <f t="shared" ca="1" si="471"/>
        <v>0.05</v>
      </c>
      <c r="M951">
        <f t="shared" ca="1" si="444"/>
        <v>0.26</v>
      </c>
      <c r="N951">
        <f t="shared" ca="1" si="445"/>
        <v>4.9056603773584909E-2</v>
      </c>
      <c r="O951">
        <f t="shared" ca="1" si="446"/>
        <v>196.15384615384616</v>
      </c>
      <c r="P951">
        <f t="shared" ca="1" si="447"/>
        <v>632.2115</v>
      </c>
      <c r="Q951">
        <f t="shared" ca="1" si="448"/>
        <v>2593.2885316486622</v>
      </c>
      <c r="R951">
        <f t="shared" ca="1" si="449"/>
        <v>482.07306851378365</v>
      </c>
      <c r="S951">
        <f t="shared" ca="1" si="450"/>
        <v>280.07692026646265</v>
      </c>
      <c r="T951">
        <f t="shared" ca="1" si="451"/>
        <v>1019.7665564573041</v>
      </c>
      <c r="U951">
        <f t="shared" ca="1" si="472"/>
        <v>-482.25887083179077</v>
      </c>
      <c r="V951">
        <f t="shared" ca="1" si="473"/>
        <v>0</v>
      </c>
      <c r="W951">
        <f t="shared" ca="1" si="452"/>
        <v>0.05</v>
      </c>
      <c r="X951">
        <f t="shared" ca="1" si="453"/>
        <v>0.26</v>
      </c>
      <c r="Y951">
        <f t="shared" ca="1" si="454"/>
        <v>4.9056603773584909E-2</v>
      </c>
      <c r="Z951">
        <f t="shared" ca="1" si="455"/>
        <v>196.15384615384616</v>
      </c>
      <c r="AA951">
        <f t="shared" ca="1" si="456"/>
        <v>632.2115</v>
      </c>
      <c r="AB951">
        <f t="shared" ca="1" si="457"/>
        <v>2593.2885316486622</v>
      </c>
      <c r="AC951">
        <f t="shared" ca="1" si="458"/>
        <v>482.07306851378365</v>
      </c>
      <c r="AD951">
        <f t="shared" ca="1" si="459"/>
        <v>280.07692026646265</v>
      </c>
      <c r="AE951">
        <f t="shared" ca="1" si="460"/>
        <v>1019.7665564573041</v>
      </c>
      <c r="AF951">
        <f t="shared" ca="1" si="461"/>
        <v>482.25887083179032</v>
      </c>
      <c r="AG951">
        <f t="shared" ca="1" si="462"/>
        <v>0</v>
      </c>
      <c r="AH951">
        <f ca="1">IF(V32="Supercritical",L951,IF(V32="Subcritical",W951,IF(AND(V951=1,AG951=1),IF(T951&gt;=AE951,L951,W951),IF(V951=1,L951,IF(AG951=1,W951,MAX($D$16,POWER((ABS(K951)^2)/($I$5*MAX(F951,0.1)^2),1/3)))))))</f>
        <v>2.1403668656741068</v>
      </c>
      <c r="AI951">
        <f t="shared" ca="1" si="463"/>
        <v>634.30186686567413</v>
      </c>
      <c r="AJ951">
        <f t="shared" ca="1" si="464"/>
        <v>635.37205029851123</v>
      </c>
      <c r="AM951">
        <v>0</v>
      </c>
      <c r="AN951">
        <v>0</v>
      </c>
      <c r="AO951">
        <f t="shared" si="465"/>
        <v>0</v>
      </c>
      <c r="AP951">
        <f t="shared" si="474"/>
        <v>0</v>
      </c>
      <c r="AQ951">
        <f t="shared" ca="1" si="466"/>
        <v>0.99999999999999978</v>
      </c>
      <c r="AR951" t="str">
        <f t="shared" ca="1" si="467"/>
        <v>Supercritical</v>
      </c>
      <c r="AS951">
        <f t="shared" ca="1" si="468"/>
        <v>3.8148159832266538E-3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191</v>
      </c>
      <c r="I952">
        <v>5.7000000000000002E-2</v>
      </c>
      <c r="J952">
        <f t="shared" si="469"/>
        <v>1</v>
      </c>
      <c r="K952">
        <f t="shared" si="470"/>
        <v>51</v>
      </c>
      <c r="L952">
        <f t="shared" ca="1" si="471"/>
        <v>0.05</v>
      </c>
      <c r="M952">
        <f t="shared" ca="1" si="444"/>
        <v>0.26</v>
      </c>
      <c r="N952">
        <f t="shared" ca="1" si="445"/>
        <v>4.9056603773584909E-2</v>
      </c>
      <c r="O952">
        <f t="shared" ca="1" si="446"/>
        <v>196.15384615384616</v>
      </c>
      <c r="P952">
        <f t="shared" ca="1" si="447"/>
        <v>632.2109999999999</v>
      </c>
      <c r="Q952">
        <f t="shared" ca="1" si="448"/>
        <v>2593.2880316486621</v>
      </c>
      <c r="R952">
        <f t="shared" ca="1" si="449"/>
        <v>482.07306851378365</v>
      </c>
      <c r="S952">
        <f t="shared" ca="1" si="450"/>
        <v>280.07692026646265</v>
      </c>
      <c r="T952">
        <f t="shared" ca="1" si="451"/>
        <v>1019.7665564573041</v>
      </c>
      <c r="U952">
        <f t="shared" ca="1" si="472"/>
        <v>-482.25887083179032</v>
      </c>
      <c r="V952">
        <f t="shared" ca="1" si="473"/>
        <v>0</v>
      </c>
      <c r="W952">
        <f t="shared" ca="1" si="452"/>
        <v>0.05</v>
      </c>
      <c r="X952">
        <f t="shared" ca="1" si="453"/>
        <v>0.26</v>
      </c>
      <c r="Y952">
        <f t="shared" ca="1" si="454"/>
        <v>4.9056603773584909E-2</v>
      </c>
      <c r="Z952">
        <f t="shared" ca="1" si="455"/>
        <v>196.15384615384616</v>
      </c>
      <c r="AA952">
        <f t="shared" ca="1" si="456"/>
        <v>632.2109999999999</v>
      </c>
      <c r="AB952">
        <f t="shared" ca="1" si="457"/>
        <v>2593.2880316486621</v>
      </c>
      <c r="AC952">
        <f t="shared" ca="1" si="458"/>
        <v>482.07306851378365</v>
      </c>
      <c r="AD952">
        <f t="shared" ca="1" si="459"/>
        <v>280.07692026646265</v>
      </c>
      <c r="AE952">
        <f t="shared" ca="1" si="460"/>
        <v>1019.7665564573041</v>
      </c>
      <c r="AF952">
        <f t="shared" ca="1" si="461"/>
        <v>482.07256851378361</v>
      </c>
      <c r="AG952">
        <f t="shared" ca="1" si="462"/>
        <v>0</v>
      </c>
      <c r="AH952">
        <f ca="1">IF(V32="Supercritical",L952,IF(V32="Subcritical",W952,IF(AND(V952=1,AG952=1),IF(T952&gt;=AE952,L952,W952),IF(V952=1,L952,IF(AG952=1,W952,MAX($D$16,POWER((ABS(K952)^2)/($I$5*MAX(F952,0.1)^2),1/3)))))))</f>
        <v>2.1403668656741068</v>
      </c>
      <c r="AI952">
        <f t="shared" ca="1" si="463"/>
        <v>634.30136686567403</v>
      </c>
      <c r="AJ952">
        <f t="shared" ca="1" si="464"/>
        <v>635.37155029851112</v>
      </c>
      <c r="AM952">
        <v>0</v>
      </c>
      <c r="AN952">
        <v>0</v>
      </c>
      <c r="AO952">
        <f t="shared" si="465"/>
        <v>0</v>
      </c>
      <c r="AP952">
        <f t="shared" si="474"/>
        <v>0</v>
      </c>
      <c r="AQ952">
        <f t="shared" ca="1" si="466"/>
        <v>0.99999999999999978</v>
      </c>
      <c r="AR952" t="str">
        <f t="shared" ca="1" si="467"/>
        <v>Supercritical</v>
      </c>
      <c r="AS952">
        <f t="shared" ca="1" si="468"/>
        <v>3.8148159832266538E-3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191</v>
      </c>
      <c r="I953">
        <v>0</v>
      </c>
      <c r="J953">
        <f t="shared" si="469"/>
        <v>1</v>
      </c>
      <c r="K953">
        <f t="shared" si="470"/>
        <v>51</v>
      </c>
      <c r="L953">
        <f t="shared" ca="1" si="471"/>
        <v>0.05</v>
      </c>
      <c r="M953">
        <f t="shared" ca="1" si="444"/>
        <v>0.26</v>
      </c>
      <c r="N953">
        <f t="shared" ca="1" si="445"/>
        <v>4.9056603773584909E-2</v>
      </c>
      <c r="O953">
        <f t="shared" ca="1" si="446"/>
        <v>196.15384615384616</v>
      </c>
      <c r="P953">
        <f t="shared" ca="1" si="447"/>
        <v>632.21049999999991</v>
      </c>
      <c r="Q953">
        <f t="shared" ca="1" si="448"/>
        <v>2593.287531648662</v>
      </c>
      <c r="R953">
        <f t="shared" ca="1" si="449"/>
        <v>482.07306851378365</v>
      </c>
      <c r="S953">
        <f t="shared" ca="1" si="450"/>
        <v>280.07692026646265</v>
      </c>
      <c r="T953">
        <f t="shared" ca="1" si="451"/>
        <v>1019.7665564573041</v>
      </c>
      <c r="U953">
        <f t="shared" ca="1" si="472"/>
        <v>-482.07256851378361</v>
      </c>
      <c r="V953">
        <f t="shared" ca="1" si="473"/>
        <v>0</v>
      </c>
      <c r="W953">
        <f t="shared" ca="1" si="452"/>
        <v>0.05</v>
      </c>
      <c r="X953">
        <f t="shared" ca="1" si="453"/>
        <v>0.26</v>
      </c>
      <c r="Y953">
        <f t="shared" ca="1" si="454"/>
        <v>4.9056603773584909E-2</v>
      </c>
      <c r="Z953">
        <f t="shared" ca="1" si="455"/>
        <v>196.15384615384616</v>
      </c>
      <c r="AA953">
        <f t="shared" ca="1" si="456"/>
        <v>632.21049999999991</v>
      </c>
      <c r="AB953">
        <f t="shared" ca="1" si="457"/>
        <v>2593.287531648662</v>
      </c>
      <c r="AC953">
        <f t="shared" ca="1" si="458"/>
        <v>482.07306851378365</v>
      </c>
      <c r="AD953">
        <f t="shared" ca="1" si="459"/>
        <v>280.07692026646265</v>
      </c>
      <c r="AE953">
        <f t="shared" ca="1" si="460"/>
        <v>1019.7665564573041</v>
      </c>
      <c r="AF953">
        <f t="shared" ca="1" si="461"/>
        <v>482.07256851378361</v>
      </c>
      <c r="AG953">
        <f t="shared" ca="1" si="462"/>
        <v>0</v>
      </c>
      <c r="AH953">
        <f ca="1">IF(V32="Supercritical",L953,IF(V32="Subcritical",W953,IF(AND(V953=1,AG953=1),IF(T953&gt;=AE953,L953,W953),IF(V953=1,L953,IF(AG953=1,W953,MAX($D$16,POWER((ABS(K953)^2)/($I$5*MAX(F953,0.1)^2),1/3)))))))</f>
        <v>2.1403668656741068</v>
      </c>
      <c r="AI953">
        <f t="shared" ca="1" si="463"/>
        <v>634.30086686567404</v>
      </c>
      <c r="AJ953">
        <f t="shared" ca="1" si="464"/>
        <v>635.37105029851114</v>
      </c>
      <c r="AM953">
        <v>0</v>
      </c>
      <c r="AN953">
        <v>0</v>
      </c>
      <c r="AO953">
        <f t="shared" si="465"/>
        <v>0</v>
      </c>
      <c r="AP953">
        <f t="shared" si="474"/>
        <v>0</v>
      </c>
      <c r="AQ953">
        <f t="shared" ca="1" si="466"/>
        <v>0.99999999999999978</v>
      </c>
      <c r="AR953" t="str">
        <f t="shared" ca="1" si="467"/>
        <v>Supercritical</v>
      </c>
      <c r="AS953">
        <f t="shared" ca="1" si="468"/>
        <v>3.8148159832266538E-3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191</v>
      </c>
      <c r="I954">
        <v>0</v>
      </c>
      <c r="J954">
        <f t="shared" si="469"/>
        <v>1</v>
      </c>
      <c r="K954">
        <f t="shared" si="470"/>
        <v>51</v>
      </c>
      <c r="L954">
        <f t="shared" ca="1" si="471"/>
        <v>0.05</v>
      </c>
      <c r="M954">
        <f t="shared" ca="1" si="444"/>
        <v>0.26</v>
      </c>
      <c r="N954">
        <f t="shared" ca="1" si="445"/>
        <v>4.9056603773584909E-2</v>
      </c>
      <c r="O954">
        <f t="shared" ca="1" si="446"/>
        <v>196.15384615384616</v>
      </c>
      <c r="P954">
        <f t="shared" ca="1" si="447"/>
        <v>632.20999999999992</v>
      </c>
      <c r="Q954">
        <f t="shared" ca="1" si="448"/>
        <v>2593.2870316486619</v>
      </c>
      <c r="R954">
        <f t="shared" ca="1" si="449"/>
        <v>482.07306851378365</v>
      </c>
      <c r="S954">
        <f t="shared" ca="1" si="450"/>
        <v>280.07692026646265</v>
      </c>
      <c r="T954">
        <f t="shared" ca="1" si="451"/>
        <v>1019.7665564573041</v>
      </c>
      <c r="U954">
        <f t="shared" ca="1" si="472"/>
        <v>-482.07256851378361</v>
      </c>
      <c r="V954">
        <f t="shared" ca="1" si="473"/>
        <v>0</v>
      </c>
      <c r="W954">
        <f t="shared" ca="1" si="452"/>
        <v>0.05</v>
      </c>
      <c r="X954">
        <f t="shared" ca="1" si="453"/>
        <v>0.26</v>
      </c>
      <c r="Y954">
        <f t="shared" ca="1" si="454"/>
        <v>4.9056603773584909E-2</v>
      </c>
      <c r="Z954">
        <f t="shared" ca="1" si="455"/>
        <v>196.15384615384616</v>
      </c>
      <c r="AA954">
        <f t="shared" ca="1" si="456"/>
        <v>632.20999999999992</v>
      </c>
      <c r="AB954">
        <f t="shared" ca="1" si="457"/>
        <v>2593.2870316486619</v>
      </c>
      <c r="AC954">
        <f t="shared" ca="1" si="458"/>
        <v>482.07306851378365</v>
      </c>
      <c r="AD954">
        <f t="shared" ca="1" si="459"/>
        <v>280.07692026646265</v>
      </c>
      <c r="AE954">
        <f t="shared" ca="1" si="460"/>
        <v>1019.7665564573041</v>
      </c>
      <c r="AF954">
        <f t="shared" ca="1" si="461"/>
        <v>482.25233390835183</v>
      </c>
      <c r="AG954">
        <f t="shared" ca="1" si="462"/>
        <v>0</v>
      </c>
      <c r="AH954">
        <f ca="1">IF(V32="Supercritical",L954,IF(V32="Subcritical",W954,IF(AND(V954=1,AG954=1),IF(T954&gt;=AE954,L954,W954),IF(V954=1,L954,IF(AG954=1,W954,MAX($D$16,POWER((ABS(K954)^2)/($I$5*MAX(F954,0.1)^2),1/3)))))))</f>
        <v>2.1403668656741068</v>
      </c>
      <c r="AI954">
        <f t="shared" ca="1" si="463"/>
        <v>634.30036686567405</v>
      </c>
      <c r="AJ954">
        <f t="shared" ca="1" si="464"/>
        <v>635.37055029851115</v>
      </c>
      <c r="AM954">
        <v>0</v>
      </c>
      <c r="AN954">
        <v>0</v>
      </c>
      <c r="AO954">
        <f t="shared" si="465"/>
        <v>0</v>
      </c>
      <c r="AP954">
        <f t="shared" si="474"/>
        <v>0</v>
      </c>
      <c r="AQ954">
        <f t="shared" ca="1" si="466"/>
        <v>0.99999999999999978</v>
      </c>
      <c r="AR954" t="str">
        <f t="shared" ca="1" si="467"/>
        <v>Supercritical</v>
      </c>
      <c r="AS954">
        <f t="shared" ca="1" si="468"/>
        <v>3.8148159832266538E-3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191</v>
      </c>
      <c r="I955">
        <v>5.5E-2</v>
      </c>
      <c r="J955">
        <f t="shared" si="469"/>
        <v>1</v>
      </c>
      <c r="K955">
        <f t="shared" si="470"/>
        <v>51</v>
      </c>
      <c r="L955">
        <f t="shared" ca="1" si="471"/>
        <v>0.05</v>
      </c>
      <c r="M955">
        <f t="shared" ca="1" si="444"/>
        <v>0.26</v>
      </c>
      <c r="N955">
        <f t="shared" ca="1" si="445"/>
        <v>4.9056603773584909E-2</v>
      </c>
      <c r="O955">
        <f t="shared" ca="1" si="446"/>
        <v>196.15384615384616</v>
      </c>
      <c r="P955">
        <f t="shared" ca="1" si="447"/>
        <v>632.20949999999993</v>
      </c>
      <c r="Q955">
        <f t="shared" ca="1" si="448"/>
        <v>2593.2865316486623</v>
      </c>
      <c r="R955">
        <f t="shared" ca="1" si="449"/>
        <v>482.07306851378365</v>
      </c>
      <c r="S955">
        <f t="shared" ca="1" si="450"/>
        <v>280.07692026646265</v>
      </c>
      <c r="T955">
        <f t="shared" ca="1" si="451"/>
        <v>1019.7665564573041</v>
      </c>
      <c r="U955">
        <f t="shared" ca="1" si="472"/>
        <v>-482.25233390835183</v>
      </c>
      <c r="V955">
        <f t="shared" ca="1" si="473"/>
        <v>0</v>
      </c>
      <c r="W955">
        <f t="shared" ca="1" si="452"/>
        <v>0.05</v>
      </c>
      <c r="X955">
        <f t="shared" ca="1" si="453"/>
        <v>0.26</v>
      </c>
      <c r="Y955">
        <f t="shared" ca="1" si="454"/>
        <v>4.9056603773584909E-2</v>
      </c>
      <c r="Z955">
        <f t="shared" ca="1" si="455"/>
        <v>196.15384615384616</v>
      </c>
      <c r="AA955">
        <f t="shared" ca="1" si="456"/>
        <v>632.20949999999993</v>
      </c>
      <c r="AB955">
        <f t="shared" ca="1" si="457"/>
        <v>2593.2865316486623</v>
      </c>
      <c r="AC955">
        <f t="shared" ca="1" si="458"/>
        <v>482.07306851378365</v>
      </c>
      <c r="AD955">
        <f t="shared" ca="1" si="459"/>
        <v>280.07692026646265</v>
      </c>
      <c r="AE955">
        <f t="shared" ca="1" si="460"/>
        <v>1019.7665564573041</v>
      </c>
      <c r="AF955">
        <f t="shared" ca="1" si="461"/>
        <v>482.73440697685373</v>
      </c>
      <c r="AG955">
        <f t="shared" ca="1" si="462"/>
        <v>0</v>
      </c>
      <c r="AH955">
        <f ca="1">IF(V32="Supercritical",L955,IF(V32="Subcritical",W955,IF(AND(V955=1,AG955=1),IF(T955&gt;=AE955,L955,W955),IF(V955=1,L955,IF(AG955=1,W955,MAX($D$16,POWER((ABS(K955)^2)/($I$5*MAX(F955,0.1)^2),1/3)))))))</f>
        <v>2.1403668656741068</v>
      </c>
      <c r="AI955">
        <f t="shared" ca="1" si="463"/>
        <v>634.29986686567406</v>
      </c>
      <c r="AJ955">
        <f t="shared" ca="1" si="464"/>
        <v>635.37005029851116</v>
      </c>
      <c r="AM955">
        <v>0</v>
      </c>
      <c r="AN955">
        <v>0</v>
      </c>
      <c r="AO955">
        <f t="shared" si="465"/>
        <v>0</v>
      </c>
      <c r="AP955">
        <f t="shared" si="474"/>
        <v>0</v>
      </c>
      <c r="AQ955">
        <f t="shared" ca="1" si="466"/>
        <v>0.99999999999999978</v>
      </c>
      <c r="AR955" t="str">
        <f t="shared" ca="1" si="467"/>
        <v>Supercritical</v>
      </c>
      <c r="AS955">
        <f t="shared" ca="1" si="468"/>
        <v>3.8148159832266538E-3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191</v>
      </c>
      <c r="I956">
        <v>5.5E-2</v>
      </c>
      <c r="J956">
        <f t="shared" si="469"/>
        <v>1.0009999999999764</v>
      </c>
      <c r="K956">
        <f t="shared" si="470"/>
        <v>51</v>
      </c>
      <c r="L956">
        <f t="shared" ca="1" si="471"/>
        <v>0.05</v>
      </c>
      <c r="M956">
        <f t="shared" ca="1" si="444"/>
        <v>0.26</v>
      </c>
      <c r="N956">
        <f t="shared" ca="1" si="445"/>
        <v>4.9056603773584909E-2</v>
      </c>
      <c r="O956">
        <f t="shared" ca="1" si="446"/>
        <v>196.15384615384616</v>
      </c>
      <c r="P956">
        <f t="shared" ca="1" si="447"/>
        <v>632.20899999999995</v>
      </c>
      <c r="Q956">
        <f t="shared" ca="1" si="448"/>
        <v>2593.2860316486622</v>
      </c>
      <c r="R956">
        <f t="shared" ca="1" si="449"/>
        <v>482.07306851378365</v>
      </c>
      <c r="S956">
        <f t="shared" ca="1" si="450"/>
        <v>280.07692026646265</v>
      </c>
      <c r="T956">
        <f t="shared" ca="1" si="451"/>
        <v>1019.7665564573041</v>
      </c>
      <c r="U956">
        <f t="shared" ca="1" si="472"/>
        <v>-482.73440697685373</v>
      </c>
      <c r="V956">
        <f t="shared" ca="1" si="473"/>
        <v>0</v>
      </c>
      <c r="W956">
        <f t="shared" ca="1" si="452"/>
        <v>0.05</v>
      </c>
      <c r="X956">
        <f t="shared" ca="1" si="453"/>
        <v>0.26</v>
      </c>
      <c r="Y956">
        <f t="shared" ca="1" si="454"/>
        <v>4.9056603773584909E-2</v>
      </c>
      <c r="Z956">
        <f t="shared" ca="1" si="455"/>
        <v>196.15384615384616</v>
      </c>
      <c r="AA956">
        <f t="shared" ca="1" si="456"/>
        <v>632.20899999999995</v>
      </c>
      <c r="AB956">
        <f t="shared" ca="1" si="457"/>
        <v>2593.2860316486622</v>
      </c>
      <c r="AC956">
        <f t="shared" ca="1" si="458"/>
        <v>482.07306851378365</v>
      </c>
      <c r="AD956">
        <f t="shared" ca="1" si="459"/>
        <v>280.07692026646265</v>
      </c>
      <c r="AE956">
        <f t="shared" ca="1" si="460"/>
        <v>1019.7665564573041</v>
      </c>
      <c r="AF956">
        <f t="shared" ca="1" si="461"/>
        <v>482.07256851378361</v>
      </c>
      <c r="AG956">
        <f t="shared" ca="1" si="462"/>
        <v>0</v>
      </c>
      <c r="AH956">
        <f ca="1">IF(V32="Supercritical",L956,IF(V32="Subcritical",W956,IF(AND(V956=1,AG956=1),IF(T956&gt;=AE956,L956,W956),IF(V956=1,L956,IF(AG956=1,W956,MAX($D$16,POWER((ABS(K956)^2)/($I$5*MAX(F956,0.1)^2),1/3)))))))</f>
        <v>2.1403668656741068</v>
      </c>
      <c r="AI956">
        <f t="shared" ca="1" si="463"/>
        <v>634.29936686567407</v>
      </c>
      <c r="AJ956">
        <f t="shared" ca="1" si="464"/>
        <v>635.36955029851117</v>
      </c>
      <c r="AM956">
        <v>0</v>
      </c>
      <c r="AN956">
        <v>0</v>
      </c>
      <c r="AO956">
        <f t="shared" si="465"/>
        <v>0</v>
      </c>
      <c r="AP956">
        <f t="shared" si="474"/>
        <v>0</v>
      </c>
      <c r="AQ956">
        <f t="shared" ca="1" si="466"/>
        <v>0.99999999999999978</v>
      </c>
      <c r="AR956" t="str">
        <f t="shared" ca="1" si="467"/>
        <v>Supercritical</v>
      </c>
      <c r="AS956">
        <f t="shared" ca="1" si="468"/>
        <v>3.8148159832266538E-3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191</v>
      </c>
      <c r="I957">
        <v>0</v>
      </c>
      <c r="J957">
        <f t="shared" si="469"/>
        <v>1</v>
      </c>
      <c r="K957">
        <f t="shared" si="470"/>
        <v>51</v>
      </c>
      <c r="L957">
        <f t="shared" ca="1" si="471"/>
        <v>0.05</v>
      </c>
      <c r="M957">
        <f t="shared" ca="1" si="444"/>
        <v>0.26</v>
      </c>
      <c r="N957">
        <f t="shared" ca="1" si="445"/>
        <v>4.9056603773584909E-2</v>
      </c>
      <c r="O957">
        <f t="shared" ca="1" si="446"/>
        <v>196.15384615384616</v>
      </c>
      <c r="P957">
        <f t="shared" ca="1" si="447"/>
        <v>632.20849999999996</v>
      </c>
      <c r="Q957">
        <f t="shared" ca="1" si="448"/>
        <v>2593.2855316486621</v>
      </c>
      <c r="R957">
        <f t="shared" ca="1" si="449"/>
        <v>482.07306851378365</v>
      </c>
      <c r="S957">
        <f t="shared" ca="1" si="450"/>
        <v>280.07692026646265</v>
      </c>
      <c r="T957">
        <f t="shared" ca="1" si="451"/>
        <v>1019.7665564573041</v>
      </c>
      <c r="U957">
        <f t="shared" ca="1" si="472"/>
        <v>-482.07256851378361</v>
      </c>
      <c r="V957">
        <f t="shared" ca="1" si="473"/>
        <v>0</v>
      </c>
      <c r="W957">
        <f t="shared" ca="1" si="452"/>
        <v>0.05</v>
      </c>
      <c r="X957">
        <f t="shared" ca="1" si="453"/>
        <v>0.26</v>
      </c>
      <c r="Y957">
        <f t="shared" ca="1" si="454"/>
        <v>4.9056603773584909E-2</v>
      </c>
      <c r="Z957">
        <f t="shared" ca="1" si="455"/>
        <v>196.15384615384616</v>
      </c>
      <c r="AA957">
        <f t="shared" ca="1" si="456"/>
        <v>632.20849999999996</v>
      </c>
      <c r="AB957">
        <f t="shared" ca="1" si="457"/>
        <v>2593.2855316486621</v>
      </c>
      <c r="AC957">
        <f t="shared" ca="1" si="458"/>
        <v>482.07306851378365</v>
      </c>
      <c r="AD957">
        <f t="shared" ca="1" si="459"/>
        <v>280.07692026646265</v>
      </c>
      <c r="AE957">
        <f t="shared" ca="1" si="460"/>
        <v>1019.7665564573041</v>
      </c>
      <c r="AF957">
        <f t="shared" ca="1" si="461"/>
        <v>481.77679776328796</v>
      </c>
      <c r="AG957">
        <f t="shared" ca="1" si="462"/>
        <v>0</v>
      </c>
      <c r="AH957">
        <f ca="1">IF(V32="Supercritical",L957,IF(V32="Subcritical",W957,IF(AND(V957=1,AG957=1),IF(T957&gt;=AE957,L957,W957),IF(V957=1,L957,IF(AG957=1,W957,MAX($D$16,POWER((ABS(K957)^2)/($I$5*MAX(F957,0.1)^2),1/3)))))))</f>
        <v>2.1403668656741068</v>
      </c>
      <c r="AI957">
        <f t="shared" ca="1" si="463"/>
        <v>634.29886686567409</v>
      </c>
      <c r="AJ957">
        <f t="shared" ca="1" si="464"/>
        <v>635.36905029851118</v>
      </c>
      <c r="AM957">
        <v>0</v>
      </c>
      <c r="AN957">
        <v>0</v>
      </c>
      <c r="AO957">
        <f t="shared" si="465"/>
        <v>0</v>
      </c>
      <c r="AP957">
        <f t="shared" si="474"/>
        <v>0</v>
      </c>
      <c r="AQ957">
        <f t="shared" ca="1" si="466"/>
        <v>0.99999999999999978</v>
      </c>
      <c r="AR957" t="str">
        <f t="shared" ca="1" si="467"/>
        <v>Supercritical</v>
      </c>
      <c r="AS957">
        <f t="shared" ca="1" si="468"/>
        <v>3.8148159832266538E-3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191</v>
      </c>
      <c r="I958">
        <v>5.7000000000000002E-2</v>
      </c>
      <c r="J958">
        <f t="shared" si="469"/>
        <v>0.99900000000002365</v>
      </c>
      <c r="K958">
        <f t="shared" si="470"/>
        <v>51</v>
      </c>
      <c r="L958">
        <f t="shared" ca="1" si="471"/>
        <v>0.05</v>
      </c>
      <c r="M958">
        <f t="shared" ca="1" si="444"/>
        <v>0.26</v>
      </c>
      <c r="N958">
        <f t="shared" ca="1" si="445"/>
        <v>4.9056603773584909E-2</v>
      </c>
      <c r="O958">
        <f t="shared" ca="1" si="446"/>
        <v>196.15384615384616</v>
      </c>
      <c r="P958">
        <f t="shared" ca="1" si="447"/>
        <v>632.20799999999997</v>
      </c>
      <c r="Q958">
        <f t="shared" ca="1" si="448"/>
        <v>2593.285031648662</v>
      </c>
      <c r="R958">
        <f t="shared" ca="1" si="449"/>
        <v>482.07306851378365</v>
      </c>
      <c r="S958">
        <f t="shared" ca="1" si="450"/>
        <v>280.07692026646265</v>
      </c>
      <c r="T958">
        <f t="shared" ca="1" si="451"/>
        <v>1019.7665564573041</v>
      </c>
      <c r="U958">
        <f t="shared" ca="1" si="472"/>
        <v>-481.77679776328796</v>
      </c>
      <c r="V958">
        <f t="shared" ca="1" si="473"/>
        <v>0</v>
      </c>
      <c r="W958">
        <f t="shared" ca="1" si="452"/>
        <v>0.05</v>
      </c>
      <c r="X958">
        <f t="shared" ca="1" si="453"/>
        <v>0.26</v>
      </c>
      <c r="Y958">
        <f t="shared" ca="1" si="454"/>
        <v>4.9056603773584909E-2</v>
      </c>
      <c r="Z958">
        <f t="shared" ca="1" si="455"/>
        <v>196.15384615384616</v>
      </c>
      <c r="AA958">
        <f t="shared" ca="1" si="456"/>
        <v>632.20799999999997</v>
      </c>
      <c r="AB958">
        <f t="shared" ca="1" si="457"/>
        <v>2593.285031648662</v>
      </c>
      <c r="AC958">
        <f t="shared" ca="1" si="458"/>
        <v>482.07306851378365</v>
      </c>
      <c r="AD958">
        <f t="shared" ca="1" si="459"/>
        <v>280.07692026646265</v>
      </c>
      <c r="AE958">
        <f t="shared" ca="1" si="460"/>
        <v>1019.7665564573041</v>
      </c>
      <c r="AF958">
        <f t="shared" ca="1" si="461"/>
        <v>482.25887083179032</v>
      </c>
      <c r="AG958">
        <f t="shared" ca="1" si="462"/>
        <v>0</v>
      </c>
      <c r="AH958">
        <f ca="1">IF(V32="Supercritical",L958,IF(V32="Subcritical",W958,IF(AND(V958=1,AG958=1),IF(T958&gt;=AE958,L958,W958),IF(V958=1,L958,IF(AG958=1,W958,MAX($D$16,POWER((ABS(K958)^2)/($I$5*MAX(F958,0.1)^2),1/3)))))))</f>
        <v>2.1403668656741068</v>
      </c>
      <c r="AI958">
        <f t="shared" ca="1" si="463"/>
        <v>634.2983668656741</v>
      </c>
      <c r="AJ958">
        <f t="shared" ca="1" si="464"/>
        <v>635.3685502985112</v>
      </c>
      <c r="AM958">
        <v>0</v>
      </c>
      <c r="AN958">
        <v>0</v>
      </c>
      <c r="AO958">
        <f t="shared" si="465"/>
        <v>0</v>
      </c>
      <c r="AP958">
        <f t="shared" si="474"/>
        <v>0</v>
      </c>
      <c r="AQ958">
        <f t="shared" ca="1" si="466"/>
        <v>0.99999999999999978</v>
      </c>
      <c r="AR958" t="str">
        <f t="shared" ca="1" si="467"/>
        <v>Supercritical</v>
      </c>
      <c r="AS958">
        <f t="shared" ca="1" si="468"/>
        <v>3.8148159832266538E-3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191</v>
      </c>
      <c r="I959">
        <v>5.7000000000000002E-2</v>
      </c>
      <c r="J959">
        <f t="shared" si="469"/>
        <v>1</v>
      </c>
      <c r="K959">
        <f t="shared" si="470"/>
        <v>51</v>
      </c>
      <c r="L959">
        <f t="shared" ca="1" si="471"/>
        <v>0.05</v>
      </c>
      <c r="M959">
        <f t="shared" ca="1" si="444"/>
        <v>0.26</v>
      </c>
      <c r="N959">
        <f t="shared" ca="1" si="445"/>
        <v>4.9056603773584909E-2</v>
      </c>
      <c r="O959">
        <f t="shared" ca="1" si="446"/>
        <v>196.15384615384616</v>
      </c>
      <c r="P959">
        <f t="shared" ca="1" si="447"/>
        <v>632.20749999999998</v>
      </c>
      <c r="Q959">
        <f t="shared" ca="1" si="448"/>
        <v>2593.2845316486619</v>
      </c>
      <c r="R959">
        <f t="shared" ca="1" si="449"/>
        <v>482.07306851378365</v>
      </c>
      <c r="S959">
        <f t="shared" ca="1" si="450"/>
        <v>280.07692026646265</v>
      </c>
      <c r="T959">
        <f t="shared" ca="1" si="451"/>
        <v>1019.7665564573041</v>
      </c>
      <c r="U959">
        <f t="shared" ca="1" si="472"/>
        <v>-482.25887083179032</v>
      </c>
      <c r="V959">
        <f t="shared" ca="1" si="473"/>
        <v>0</v>
      </c>
      <c r="W959">
        <f t="shared" ca="1" si="452"/>
        <v>0.05</v>
      </c>
      <c r="X959">
        <f t="shared" ca="1" si="453"/>
        <v>0.26</v>
      </c>
      <c r="Y959">
        <f t="shared" ca="1" si="454"/>
        <v>4.9056603773584909E-2</v>
      </c>
      <c r="Z959">
        <f t="shared" ca="1" si="455"/>
        <v>196.15384615384616</v>
      </c>
      <c r="AA959">
        <f t="shared" ca="1" si="456"/>
        <v>632.20749999999998</v>
      </c>
      <c r="AB959">
        <f t="shared" ca="1" si="457"/>
        <v>2593.2845316486619</v>
      </c>
      <c r="AC959">
        <f t="shared" ca="1" si="458"/>
        <v>482.07306851378365</v>
      </c>
      <c r="AD959">
        <f t="shared" ca="1" si="459"/>
        <v>280.07692026646265</v>
      </c>
      <c r="AE959">
        <f t="shared" ca="1" si="460"/>
        <v>1019.7665564573041</v>
      </c>
      <c r="AF959">
        <f t="shared" ca="1" si="461"/>
        <v>482.07256851378406</v>
      </c>
      <c r="AG959">
        <f t="shared" ca="1" si="462"/>
        <v>0</v>
      </c>
      <c r="AH959">
        <f ca="1">IF(V32="Supercritical",L959,IF(V32="Subcritical",W959,IF(AND(V959=1,AG959=1),IF(T959&gt;=AE959,L959,W959),IF(V959=1,L959,IF(AG959=1,W959,MAX($D$16,POWER((ABS(K959)^2)/($I$5*MAX(F959,0.1)^2),1/3)))))))</f>
        <v>2.1403668656741068</v>
      </c>
      <c r="AI959">
        <f t="shared" ca="1" si="463"/>
        <v>634.29786686567411</v>
      </c>
      <c r="AJ959">
        <f t="shared" ca="1" si="464"/>
        <v>635.36805029851121</v>
      </c>
      <c r="AM959">
        <v>0</v>
      </c>
      <c r="AN959">
        <v>0</v>
      </c>
      <c r="AO959">
        <f t="shared" si="465"/>
        <v>0</v>
      </c>
      <c r="AP959">
        <f t="shared" si="474"/>
        <v>0</v>
      </c>
      <c r="AQ959">
        <f t="shared" ca="1" si="466"/>
        <v>0.99999999999999978</v>
      </c>
      <c r="AR959" t="str">
        <f t="shared" ca="1" si="467"/>
        <v>Supercritical</v>
      </c>
      <c r="AS959">
        <f t="shared" ca="1" si="468"/>
        <v>3.8148159832266538E-3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191</v>
      </c>
      <c r="I960">
        <v>0</v>
      </c>
      <c r="J960">
        <f t="shared" si="469"/>
        <v>1</v>
      </c>
      <c r="K960">
        <f t="shared" si="470"/>
        <v>51</v>
      </c>
      <c r="L960">
        <f t="shared" ca="1" si="471"/>
        <v>0.05</v>
      </c>
      <c r="M960">
        <f t="shared" ca="1" si="444"/>
        <v>0.26</v>
      </c>
      <c r="N960">
        <f t="shared" ca="1" si="445"/>
        <v>4.9056603773584909E-2</v>
      </c>
      <c r="O960">
        <f t="shared" ca="1" si="446"/>
        <v>196.15384615384616</v>
      </c>
      <c r="P960">
        <f t="shared" ca="1" si="447"/>
        <v>632.20699999999999</v>
      </c>
      <c r="Q960">
        <f t="shared" ca="1" si="448"/>
        <v>2593.2840316486622</v>
      </c>
      <c r="R960">
        <f t="shared" ca="1" si="449"/>
        <v>482.07306851378365</v>
      </c>
      <c r="S960">
        <f t="shared" ca="1" si="450"/>
        <v>280.07692026646265</v>
      </c>
      <c r="T960">
        <f t="shared" ca="1" si="451"/>
        <v>1019.7665564573041</v>
      </c>
      <c r="U960">
        <f t="shared" ca="1" si="472"/>
        <v>-482.07256851378406</v>
      </c>
      <c r="V960">
        <f t="shared" ca="1" si="473"/>
        <v>0</v>
      </c>
      <c r="W960">
        <f t="shared" ca="1" si="452"/>
        <v>0.05</v>
      </c>
      <c r="X960">
        <f t="shared" ca="1" si="453"/>
        <v>0.26</v>
      </c>
      <c r="Y960">
        <f t="shared" ca="1" si="454"/>
        <v>4.9056603773584909E-2</v>
      </c>
      <c r="Z960">
        <f t="shared" ca="1" si="455"/>
        <v>196.15384615384616</v>
      </c>
      <c r="AA960">
        <f t="shared" ca="1" si="456"/>
        <v>632.20699999999999</v>
      </c>
      <c r="AB960">
        <f t="shared" ca="1" si="457"/>
        <v>2593.2840316486622</v>
      </c>
      <c r="AC960">
        <f t="shared" ca="1" si="458"/>
        <v>482.07306851378365</v>
      </c>
      <c r="AD960">
        <f t="shared" ca="1" si="459"/>
        <v>280.07692026646265</v>
      </c>
      <c r="AE960">
        <f t="shared" ca="1" si="460"/>
        <v>1019.7665564573041</v>
      </c>
      <c r="AF960">
        <f t="shared" ca="1" si="461"/>
        <v>482.07256851378361</v>
      </c>
      <c r="AG960">
        <f t="shared" ca="1" si="462"/>
        <v>0</v>
      </c>
      <c r="AH960">
        <f ca="1">IF(V32="Supercritical",L960,IF(V32="Subcritical",W960,IF(AND(V960=1,AG960=1),IF(T960&gt;=AE960,L960,W960),IF(V960=1,L960,IF(AG960=1,W960,MAX($D$16,POWER((ABS(K960)^2)/($I$5*MAX(F960,0.1)^2),1/3)))))))</f>
        <v>2.1403668656741068</v>
      </c>
      <c r="AI960">
        <f t="shared" ca="1" si="463"/>
        <v>634.29736686567412</v>
      </c>
      <c r="AJ960">
        <f t="shared" ca="1" si="464"/>
        <v>635.36755029851122</v>
      </c>
      <c r="AM960">
        <v>0</v>
      </c>
      <c r="AN960">
        <v>0</v>
      </c>
      <c r="AO960">
        <f t="shared" si="465"/>
        <v>0</v>
      </c>
      <c r="AP960">
        <f t="shared" si="474"/>
        <v>0</v>
      </c>
      <c r="AQ960">
        <f t="shared" ca="1" si="466"/>
        <v>0.99999999999999978</v>
      </c>
      <c r="AR960" t="str">
        <f t="shared" ca="1" si="467"/>
        <v>Supercritical</v>
      </c>
      <c r="AS960">
        <f t="shared" ca="1" si="468"/>
        <v>3.8148159832266538E-3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191</v>
      </c>
      <c r="I961">
        <v>0</v>
      </c>
      <c r="J961">
        <f t="shared" si="469"/>
        <v>1</v>
      </c>
      <c r="K961">
        <f t="shared" si="470"/>
        <v>51</v>
      </c>
      <c r="L961">
        <f t="shared" ca="1" si="471"/>
        <v>0.05</v>
      </c>
      <c r="M961">
        <f t="shared" ca="1" si="444"/>
        <v>0.26</v>
      </c>
      <c r="N961">
        <f t="shared" ca="1" si="445"/>
        <v>4.9056603773584909E-2</v>
      </c>
      <c r="O961">
        <f t="shared" ca="1" si="446"/>
        <v>196.15384615384616</v>
      </c>
      <c r="P961">
        <f t="shared" ca="1" si="447"/>
        <v>632.20650000000001</v>
      </c>
      <c r="Q961">
        <f t="shared" ca="1" si="448"/>
        <v>2593.2835316486621</v>
      </c>
      <c r="R961">
        <f t="shared" ca="1" si="449"/>
        <v>482.07306851378365</v>
      </c>
      <c r="S961">
        <f t="shared" ca="1" si="450"/>
        <v>280.07692026646265</v>
      </c>
      <c r="T961">
        <f t="shared" ca="1" si="451"/>
        <v>1019.7665564573041</v>
      </c>
      <c r="U961">
        <f t="shared" ca="1" si="472"/>
        <v>-482.07256851378361</v>
      </c>
      <c r="V961">
        <f t="shared" ca="1" si="473"/>
        <v>0</v>
      </c>
      <c r="W961">
        <f t="shared" ca="1" si="452"/>
        <v>0.05</v>
      </c>
      <c r="X961">
        <f t="shared" ca="1" si="453"/>
        <v>0.26</v>
      </c>
      <c r="Y961">
        <f t="shared" ca="1" si="454"/>
        <v>4.9056603773584909E-2</v>
      </c>
      <c r="Z961">
        <f t="shared" ca="1" si="455"/>
        <v>196.15384615384616</v>
      </c>
      <c r="AA961">
        <f t="shared" ca="1" si="456"/>
        <v>632.20650000000001</v>
      </c>
      <c r="AB961">
        <f t="shared" ca="1" si="457"/>
        <v>2593.2835316486621</v>
      </c>
      <c r="AC961">
        <f t="shared" ca="1" si="458"/>
        <v>482.07306851378365</v>
      </c>
      <c r="AD961">
        <f t="shared" ca="1" si="459"/>
        <v>280.07692026646265</v>
      </c>
      <c r="AE961">
        <f t="shared" ca="1" si="460"/>
        <v>1019.7665564573041</v>
      </c>
      <c r="AF961">
        <f t="shared" ca="1" si="461"/>
        <v>482.25887083179032</v>
      </c>
      <c r="AG961">
        <f t="shared" ca="1" si="462"/>
        <v>0</v>
      </c>
      <c r="AH961">
        <f ca="1">IF(V32="Supercritical",L961,IF(V32="Subcritical",W961,IF(AND(V961=1,AG961=1),IF(T961&gt;=AE961,L961,W961),IF(V961=1,L961,IF(AG961=1,W961,MAX($D$16,POWER((ABS(K961)^2)/($I$5*MAX(F961,0.1)^2),1/3)))))))</f>
        <v>2.1403668656741068</v>
      </c>
      <c r="AI961">
        <f t="shared" ca="1" si="463"/>
        <v>634.29686686567413</v>
      </c>
      <c r="AJ961">
        <f t="shared" ca="1" si="464"/>
        <v>635.36705029851123</v>
      </c>
      <c r="AM961">
        <v>0</v>
      </c>
      <c r="AN961">
        <v>0</v>
      </c>
      <c r="AO961">
        <f t="shared" si="465"/>
        <v>0</v>
      </c>
      <c r="AP961">
        <f t="shared" si="474"/>
        <v>0</v>
      </c>
      <c r="AQ961">
        <f t="shared" ca="1" si="466"/>
        <v>0.99999999999999978</v>
      </c>
      <c r="AR961" t="str">
        <f t="shared" ca="1" si="467"/>
        <v>Supercritical</v>
      </c>
      <c r="AS961">
        <f t="shared" ca="1" si="468"/>
        <v>3.8148159832266538E-3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191</v>
      </c>
      <c r="I962">
        <v>5.7000000000000002E-2</v>
      </c>
      <c r="J962">
        <f t="shared" si="469"/>
        <v>1</v>
      </c>
      <c r="K962">
        <f t="shared" si="470"/>
        <v>51</v>
      </c>
      <c r="L962">
        <f t="shared" ca="1" si="471"/>
        <v>0.05</v>
      </c>
      <c r="M962">
        <f t="shared" ca="1" si="444"/>
        <v>0.26</v>
      </c>
      <c r="N962">
        <f t="shared" ca="1" si="445"/>
        <v>4.9056603773584909E-2</v>
      </c>
      <c r="O962">
        <f t="shared" ca="1" si="446"/>
        <v>196.15384615384616</v>
      </c>
      <c r="P962">
        <f t="shared" ca="1" si="447"/>
        <v>632.2059999999999</v>
      </c>
      <c r="Q962">
        <f t="shared" ca="1" si="448"/>
        <v>2593.283031648662</v>
      </c>
      <c r="R962">
        <f t="shared" ca="1" si="449"/>
        <v>482.07306851378365</v>
      </c>
      <c r="S962">
        <f t="shared" ca="1" si="450"/>
        <v>280.07692026646265</v>
      </c>
      <c r="T962">
        <f t="shared" ca="1" si="451"/>
        <v>1019.7665564573041</v>
      </c>
      <c r="U962">
        <f t="shared" ca="1" si="472"/>
        <v>-482.25887083179032</v>
      </c>
      <c r="V962">
        <f t="shared" ca="1" si="473"/>
        <v>0</v>
      </c>
      <c r="W962">
        <f t="shared" ca="1" si="452"/>
        <v>0.05</v>
      </c>
      <c r="X962">
        <f t="shared" ca="1" si="453"/>
        <v>0.26</v>
      </c>
      <c r="Y962">
        <f t="shared" ca="1" si="454"/>
        <v>4.9056603773584909E-2</v>
      </c>
      <c r="Z962">
        <f t="shared" ca="1" si="455"/>
        <v>196.15384615384616</v>
      </c>
      <c r="AA962">
        <f t="shared" ca="1" si="456"/>
        <v>632.2059999999999</v>
      </c>
      <c r="AB962">
        <f t="shared" ca="1" si="457"/>
        <v>2593.283031648662</v>
      </c>
      <c r="AC962">
        <f t="shared" ca="1" si="458"/>
        <v>482.07306851378365</v>
      </c>
      <c r="AD962">
        <f t="shared" ca="1" si="459"/>
        <v>280.07692026646265</v>
      </c>
      <c r="AE962">
        <f t="shared" ca="1" si="460"/>
        <v>1019.7665564573041</v>
      </c>
      <c r="AF962">
        <f t="shared" ca="1" si="461"/>
        <v>482.25887083179032</v>
      </c>
      <c r="AG962">
        <f t="shared" ca="1" si="462"/>
        <v>0</v>
      </c>
      <c r="AH962">
        <f ca="1">IF(V32="Supercritical",L962,IF(V32="Subcritical",W962,IF(AND(V962=1,AG962=1),IF(T962&gt;=AE962,L962,W962),IF(V962=1,L962,IF(AG962=1,W962,MAX($D$16,POWER((ABS(K962)^2)/($I$5*MAX(F962,0.1)^2),1/3)))))))</f>
        <v>2.1403668656741068</v>
      </c>
      <c r="AI962">
        <f t="shared" ca="1" si="463"/>
        <v>634.29636686567403</v>
      </c>
      <c r="AJ962">
        <f t="shared" ca="1" si="464"/>
        <v>635.36655029851113</v>
      </c>
      <c r="AM962">
        <v>0</v>
      </c>
      <c r="AN962">
        <v>0</v>
      </c>
      <c r="AO962">
        <f t="shared" si="465"/>
        <v>0</v>
      </c>
      <c r="AP962">
        <f t="shared" si="474"/>
        <v>0</v>
      </c>
      <c r="AQ962">
        <f t="shared" ca="1" si="466"/>
        <v>0.99999999999999978</v>
      </c>
      <c r="AR962" t="str">
        <f t="shared" ca="1" si="467"/>
        <v>Supercritical</v>
      </c>
      <c r="AS962">
        <f t="shared" ca="1" si="468"/>
        <v>3.8148159832266538E-3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191</v>
      </c>
      <c r="I963">
        <v>5.7000000000000002E-2</v>
      </c>
      <c r="J963">
        <f t="shared" si="469"/>
        <v>1</v>
      </c>
      <c r="K963">
        <f t="shared" si="470"/>
        <v>51</v>
      </c>
      <c r="L963">
        <f t="shared" ca="1" si="471"/>
        <v>0.05</v>
      </c>
      <c r="M963">
        <f t="shared" ca="1" si="444"/>
        <v>0.26</v>
      </c>
      <c r="N963">
        <f t="shared" ca="1" si="445"/>
        <v>4.9056603773584909E-2</v>
      </c>
      <c r="O963">
        <f t="shared" ca="1" si="446"/>
        <v>196.15384615384616</v>
      </c>
      <c r="P963">
        <f t="shared" ca="1" si="447"/>
        <v>632.20549999999992</v>
      </c>
      <c r="Q963">
        <f t="shared" ca="1" si="448"/>
        <v>2593.2825316486619</v>
      </c>
      <c r="R963">
        <f t="shared" ca="1" si="449"/>
        <v>482.07306851378365</v>
      </c>
      <c r="S963">
        <f t="shared" ca="1" si="450"/>
        <v>280.07692026646265</v>
      </c>
      <c r="T963">
        <f t="shared" ca="1" si="451"/>
        <v>1019.7665564573041</v>
      </c>
      <c r="U963">
        <f t="shared" ca="1" si="472"/>
        <v>-482.25887083179032</v>
      </c>
      <c r="V963">
        <f t="shared" ca="1" si="473"/>
        <v>0</v>
      </c>
      <c r="W963">
        <f t="shared" ca="1" si="452"/>
        <v>0.05</v>
      </c>
      <c r="X963">
        <f t="shared" ca="1" si="453"/>
        <v>0.26</v>
      </c>
      <c r="Y963">
        <f t="shared" ca="1" si="454"/>
        <v>4.9056603773584909E-2</v>
      </c>
      <c r="Z963">
        <f t="shared" ca="1" si="455"/>
        <v>196.15384615384616</v>
      </c>
      <c r="AA963">
        <f t="shared" ca="1" si="456"/>
        <v>632.20549999999992</v>
      </c>
      <c r="AB963">
        <f t="shared" ca="1" si="457"/>
        <v>2593.2825316486619</v>
      </c>
      <c r="AC963">
        <f t="shared" ca="1" si="458"/>
        <v>482.07306851378365</v>
      </c>
      <c r="AD963">
        <f t="shared" ca="1" si="459"/>
        <v>280.07692026646265</v>
      </c>
      <c r="AE963">
        <f t="shared" ca="1" si="460"/>
        <v>1019.7665564573041</v>
      </c>
      <c r="AF963">
        <f t="shared" ca="1" si="461"/>
        <v>482.07910543722301</v>
      </c>
      <c r="AG963">
        <f t="shared" ca="1" si="462"/>
        <v>0</v>
      </c>
      <c r="AH963">
        <f ca="1">IF(V32="Supercritical",L963,IF(V32="Subcritical",W963,IF(AND(V963=1,AG963=1),IF(T963&gt;=AE963,L963,W963),IF(V963=1,L963,IF(AG963=1,W963,MAX($D$16,POWER((ABS(K963)^2)/($I$5*MAX(F963,0.1)^2),1/3)))))))</f>
        <v>2.1403668656741068</v>
      </c>
      <c r="AI963">
        <f t="shared" ca="1" si="463"/>
        <v>634.29586686567404</v>
      </c>
      <c r="AJ963">
        <f t="shared" ca="1" si="464"/>
        <v>635.36605029851114</v>
      </c>
      <c r="AM963">
        <v>0</v>
      </c>
      <c r="AN963">
        <v>0</v>
      </c>
      <c r="AO963">
        <f t="shared" si="465"/>
        <v>0</v>
      </c>
      <c r="AP963">
        <f t="shared" si="474"/>
        <v>0</v>
      </c>
      <c r="AQ963">
        <f t="shared" ca="1" si="466"/>
        <v>0.99999999999999978</v>
      </c>
      <c r="AR963" t="str">
        <f t="shared" ca="1" si="467"/>
        <v>Supercritical</v>
      </c>
      <c r="AS963">
        <f t="shared" ca="1" si="468"/>
        <v>3.8148159832266538E-3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191</v>
      </c>
      <c r="I964">
        <v>2E-3</v>
      </c>
      <c r="J964">
        <f t="shared" si="469"/>
        <v>1</v>
      </c>
      <c r="K964">
        <f t="shared" si="470"/>
        <v>51</v>
      </c>
      <c r="L964">
        <f t="shared" ca="1" si="471"/>
        <v>0.05</v>
      </c>
      <c r="M964">
        <f t="shared" ca="1" si="444"/>
        <v>0.26</v>
      </c>
      <c r="N964">
        <f t="shared" ca="1" si="445"/>
        <v>4.9056603773584909E-2</v>
      </c>
      <c r="O964">
        <f t="shared" ca="1" si="446"/>
        <v>196.15384615384616</v>
      </c>
      <c r="P964">
        <f t="shared" ca="1" si="447"/>
        <v>632.20499999999993</v>
      </c>
      <c r="Q964">
        <f t="shared" ca="1" si="448"/>
        <v>2593.2820316486623</v>
      </c>
      <c r="R964">
        <f t="shared" ca="1" si="449"/>
        <v>482.07306851378365</v>
      </c>
      <c r="S964">
        <f t="shared" ca="1" si="450"/>
        <v>280.07692026646265</v>
      </c>
      <c r="T964">
        <f t="shared" ca="1" si="451"/>
        <v>1019.7665564573041</v>
      </c>
      <c r="U964">
        <f t="shared" ca="1" si="472"/>
        <v>-482.07910543722301</v>
      </c>
      <c r="V964">
        <f t="shared" ca="1" si="473"/>
        <v>0</v>
      </c>
      <c r="W964">
        <f t="shared" ca="1" si="452"/>
        <v>0.05</v>
      </c>
      <c r="X964">
        <f t="shared" ca="1" si="453"/>
        <v>0.26</v>
      </c>
      <c r="Y964">
        <f t="shared" ca="1" si="454"/>
        <v>4.9056603773584909E-2</v>
      </c>
      <c r="Z964">
        <f t="shared" ca="1" si="455"/>
        <v>196.15384615384616</v>
      </c>
      <c r="AA964">
        <f t="shared" ca="1" si="456"/>
        <v>632.20499999999993</v>
      </c>
      <c r="AB964">
        <f t="shared" ca="1" si="457"/>
        <v>2593.2820316486623</v>
      </c>
      <c r="AC964">
        <f t="shared" ca="1" si="458"/>
        <v>482.07306851378365</v>
      </c>
      <c r="AD964">
        <f t="shared" ca="1" si="459"/>
        <v>280.07692026646265</v>
      </c>
      <c r="AE964">
        <f t="shared" ca="1" si="460"/>
        <v>1019.7665564573041</v>
      </c>
      <c r="AF964">
        <f t="shared" ca="1" si="461"/>
        <v>482.56117850572491</v>
      </c>
      <c r="AG964">
        <f t="shared" ca="1" si="462"/>
        <v>0</v>
      </c>
      <c r="AH964">
        <f ca="1">IF(V32="Supercritical",L964,IF(V32="Subcritical",W964,IF(AND(V964=1,AG964=1),IF(T964&gt;=AE964,L964,W964),IF(V964=1,L964,IF(AG964=1,W964,MAX($D$16,POWER((ABS(K964)^2)/($I$5*MAX(F964,0.1)^2),1/3)))))))</f>
        <v>2.1403668656741068</v>
      </c>
      <c r="AI964">
        <f t="shared" ca="1" si="463"/>
        <v>634.29536686567405</v>
      </c>
      <c r="AJ964">
        <f t="shared" ca="1" si="464"/>
        <v>635.36555029851115</v>
      </c>
      <c r="AM964">
        <v>0</v>
      </c>
      <c r="AN964">
        <v>0</v>
      </c>
      <c r="AO964">
        <f t="shared" si="465"/>
        <v>0</v>
      </c>
      <c r="AP964">
        <f t="shared" si="474"/>
        <v>0</v>
      </c>
      <c r="AQ964">
        <f t="shared" ca="1" si="466"/>
        <v>0.99999999999999978</v>
      </c>
      <c r="AR964" t="str">
        <f t="shared" ca="1" si="467"/>
        <v>Supercritical</v>
      </c>
      <c r="AS964">
        <f t="shared" ca="1" si="468"/>
        <v>3.8148159832266538E-3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191</v>
      </c>
      <c r="I965">
        <v>2E-3</v>
      </c>
      <c r="J965">
        <f t="shared" si="469"/>
        <v>1.0009999999999764</v>
      </c>
      <c r="K965">
        <f t="shared" si="470"/>
        <v>51</v>
      </c>
      <c r="L965">
        <f t="shared" ca="1" si="471"/>
        <v>0.05</v>
      </c>
      <c r="M965">
        <f t="shared" ca="1" si="444"/>
        <v>0.26</v>
      </c>
      <c r="N965">
        <f t="shared" ca="1" si="445"/>
        <v>4.9056603773584909E-2</v>
      </c>
      <c r="O965">
        <f t="shared" ca="1" si="446"/>
        <v>196.15384615384616</v>
      </c>
      <c r="P965">
        <f t="shared" ca="1" si="447"/>
        <v>632.20449999999994</v>
      </c>
      <c r="Q965">
        <f t="shared" ca="1" si="448"/>
        <v>2593.2815316486622</v>
      </c>
      <c r="R965">
        <f t="shared" ca="1" si="449"/>
        <v>482.07306851378365</v>
      </c>
      <c r="S965">
        <f t="shared" ca="1" si="450"/>
        <v>280.07692026646265</v>
      </c>
      <c r="T965">
        <f t="shared" ca="1" si="451"/>
        <v>1019.7665564573041</v>
      </c>
      <c r="U965">
        <f t="shared" ca="1" si="472"/>
        <v>-482.56117850572491</v>
      </c>
      <c r="V965">
        <f t="shared" ca="1" si="473"/>
        <v>0</v>
      </c>
      <c r="W965">
        <f t="shared" ca="1" si="452"/>
        <v>0.05</v>
      </c>
      <c r="X965">
        <f t="shared" ca="1" si="453"/>
        <v>0.26</v>
      </c>
      <c r="Y965">
        <f t="shared" ca="1" si="454"/>
        <v>4.9056603773584909E-2</v>
      </c>
      <c r="Z965">
        <f t="shared" ca="1" si="455"/>
        <v>196.15384615384616</v>
      </c>
      <c r="AA965">
        <f t="shared" ca="1" si="456"/>
        <v>632.20449999999994</v>
      </c>
      <c r="AB965">
        <f t="shared" ca="1" si="457"/>
        <v>2593.2815316486622</v>
      </c>
      <c r="AC965">
        <f t="shared" ca="1" si="458"/>
        <v>482.07306851378365</v>
      </c>
      <c r="AD965">
        <f t="shared" ca="1" si="459"/>
        <v>280.07692026646265</v>
      </c>
      <c r="AE965">
        <f t="shared" ca="1" si="460"/>
        <v>1019.7665564573041</v>
      </c>
      <c r="AF965">
        <f t="shared" ca="1" si="461"/>
        <v>482.25887083179032</v>
      </c>
      <c r="AG965">
        <f t="shared" ca="1" si="462"/>
        <v>0</v>
      </c>
      <c r="AH965">
        <f ca="1">IF(V32="Supercritical",L965,IF(V32="Subcritical",W965,IF(AND(V965=1,AG965=1),IF(T965&gt;=AE965,L965,W965),IF(V965=1,L965,IF(AG965=1,W965,MAX($D$16,POWER((ABS(K965)^2)/($I$5*MAX(F965,0.1)^2),1/3)))))))</f>
        <v>2.1403668656741068</v>
      </c>
      <c r="AI965">
        <f t="shared" ca="1" si="463"/>
        <v>634.29486686567407</v>
      </c>
      <c r="AJ965">
        <f t="shared" ca="1" si="464"/>
        <v>635.36505029851116</v>
      </c>
      <c r="AM965">
        <v>0</v>
      </c>
      <c r="AN965">
        <v>0</v>
      </c>
      <c r="AO965">
        <f t="shared" si="465"/>
        <v>0</v>
      </c>
      <c r="AP965">
        <f t="shared" si="474"/>
        <v>0</v>
      </c>
      <c r="AQ965">
        <f t="shared" ca="1" si="466"/>
        <v>0.99999999999999978</v>
      </c>
      <c r="AR965" t="str">
        <f t="shared" ca="1" si="467"/>
        <v>Supercritical</v>
      </c>
      <c r="AS965">
        <f t="shared" ca="1" si="468"/>
        <v>3.8148159832266538E-3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191</v>
      </c>
      <c r="I966">
        <v>5.7000000000000002E-2</v>
      </c>
      <c r="J966">
        <f t="shared" si="469"/>
        <v>1</v>
      </c>
      <c r="K966">
        <f t="shared" si="470"/>
        <v>51</v>
      </c>
      <c r="L966">
        <f t="shared" ca="1" si="471"/>
        <v>0.05</v>
      </c>
      <c r="M966">
        <f t="shared" ca="1" si="444"/>
        <v>0.26</v>
      </c>
      <c r="N966">
        <f t="shared" ca="1" si="445"/>
        <v>4.9056603773584909E-2</v>
      </c>
      <c r="O966">
        <f t="shared" ca="1" si="446"/>
        <v>196.15384615384616</v>
      </c>
      <c r="P966">
        <f t="shared" ca="1" si="447"/>
        <v>632.20399999999995</v>
      </c>
      <c r="Q966">
        <f t="shared" ca="1" si="448"/>
        <v>2593.2810316486621</v>
      </c>
      <c r="R966">
        <f t="shared" ca="1" si="449"/>
        <v>482.07306851378365</v>
      </c>
      <c r="S966">
        <f t="shared" ca="1" si="450"/>
        <v>280.07692026646265</v>
      </c>
      <c r="T966">
        <f t="shared" ca="1" si="451"/>
        <v>1019.7665564573041</v>
      </c>
      <c r="U966">
        <f t="shared" ca="1" si="472"/>
        <v>-482.25887083179032</v>
      </c>
      <c r="V966">
        <f t="shared" ca="1" si="473"/>
        <v>0</v>
      </c>
      <c r="W966">
        <f t="shared" ca="1" si="452"/>
        <v>0.05</v>
      </c>
      <c r="X966">
        <f t="shared" ca="1" si="453"/>
        <v>0.26</v>
      </c>
      <c r="Y966">
        <f t="shared" ca="1" si="454"/>
        <v>4.9056603773584909E-2</v>
      </c>
      <c r="Z966">
        <f t="shared" ca="1" si="455"/>
        <v>196.15384615384616</v>
      </c>
      <c r="AA966">
        <f t="shared" ca="1" si="456"/>
        <v>632.20399999999995</v>
      </c>
      <c r="AB966">
        <f t="shared" ca="1" si="457"/>
        <v>2593.2810316486621</v>
      </c>
      <c r="AC966">
        <f t="shared" ca="1" si="458"/>
        <v>482.07306851378365</v>
      </c>
      <c r="AD966">
        <f t="shared" ca="1" si="459"/>
        <v>280.07692026646265</v>
      </c>
      <c r="AE966">
        <f t="shared" ca="1" si="460"/>
        <v>1019.7665564573041</v>
      </c>
      <c r="AF966">
        <f t="shared" ca="1" si="461"/>
        <v>482.25887083179032</v>
      </c>
      <c r="AG966">
        <f t="shared" ca="1" si="462"/>
        <v>0</v>
      </c>
      <c r="AH966">
        <f ca="1">IF(V32="Supercritical",L966,IF(V32="Subcritical",W966,IF(AND(V966=1,AG966=1),IF(T966&gt;=AE966,L966,W966),IF(V966=1,L966,IF(AG966=1,W966,MAX($D$16,POWER((ABS(K966)^2)/($I$5*MAX(F966,0.1)^2),1/3)))))))</f>
        <v>2.1403668656741068</v>
      </c>
      <c r="AI966">
        <f t="shared" ca="1" si="463"/>
        <v>634.29436686567408</v>
      </c>
      <c r="AJ966">
        <f t="shared" ca="1" si="464"/>
        <v>635.36455029851118</v>
      </c>
      <c r="AM966">
        <v>0</v>
      </c>
      <c r="AN966">
        <v>0</v>
      </c>
      <c r="AO966">
        <f t="shared" si="465"/>
        <v>0</v>
      </c>
      <c r="AP966">
        <f t="shared" si="474"/>
        <v>0</v>
      </c>
      <c r="AQ966">
        <f t="shared" ca="1" si="466"/>
        <v>0.99999999999999978</v>
      </c>
      <c r="AR966" t="str">
        <f t="shared" ca="1" si="467"/>
        <v>Supercritical</v>
      </c>
      <c r="AS966">
        <f t="shared" ca="1" si="468"/>
        <v>3.8148159832266538E-3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191</v>
      </c>
      <c r="I967">
        <v>5.7000000000000002E-2</v>
      </c>
      <c r="J967">
        <f t="shared" si="469"/>
        <v>1</v>
      </c>
      <c r="K967">
        <f t="shared" si="470"/>
        <v>51</v>
      </c>
      <c r="L967">
        <f t="shared" ca="1" si="471"/>
        <v>0.05</v>
      </c>
      <c r="M967">
        <f t="shared" ca="1" si="444"/>
        <v>0.26</v>
      </c>
      <c r="N967">
        <f t="shared" ca="1" si="445"/>
        <v>4.9056603773584909E-2</v>
      </c>
      <c r="O967">
        <f t="shared" ca="1" si="446"/>
        <v>196.15384615384616</v>
      </c>
      <c r="P967">
        <f t="shared" ca="1" si="447"/>
        <v>632.20349999999996</v>
      </c>
      <c r="Q967">
        <f t="shared" ca="1" si="448"/>
        <v>2593.280531648662</v>
      </c>
      <c r="R967">
        <f t="shared" ca="1" si="449"/>
        <v>482.07306851378365</v>
      </c>
      <c r="S967">
        <f t="shared" ca="1" si="450"/>
        <v>280.07692026646265</v>
      </c>
      <c r="T967">
        <f t="shared" ca="1" si="451"/>
        <v>1019.7665564573041</v>
      </c>
      <c r="U967">
        <f t="shared" ca="1" si="472"/>
        <v>-482.25887083179032</v>
      </c>
      <c r="V967">
        <f t="shared" ca="1" si="473"/>
        <v>0</v>
      </c>
      <c r="W967">
        <f t="shared" ca="1" si="452"/>
        <v>0.05</v>
      </c>
      <c r="X967">
        <f t="shared" ca="1" si="453"/>
        <v>0.26</v>
      </c>
      <c r="Y967">
        <f t="shared" ca="1" si="454"/>
        <v>4.9056603773584909E-2</v>
      </c>
      <c r="Z967">
        <f t="shared" ca="1" si="455"/>
        <v>196.15384615384616</v>
      </c>
      <c r="AA967">
        <f t="shared" ca="1" si="456"/>
        <v>632.20349999999996</v>
      </c>
      <c r="AB967">
        <f t="shared" ca="1" si="457"/>
        <v>2593.280531648662</v>
      </c>
      <c r="AC967">
        <f t="shared" ca="1" si="458"/>
        <v>482.07306851378365</v>
      </c>
      <c r="AD967">
        <f t="shared" ca="1" si="459"/>
        <v>280.07692026646265</v>
      </c>
      <c r="AE967">
        <f t="shared" ca="1" si="460"/>
        <v>1019.7665564573041</v>
      </c>
      <c r="AF967">
        <f t="shared" ca="1" si="461"/>
        <v>481.59049544528125</v>
      </c>
      <c r="AG967">
        <f t="shared" ca="1" si="462"/>
        <v>0</v>
      </c>
      <c r="AH967">
        <f ca="1">IF(V32="Supercritical",L967,IF(V32="Subcritical",W967,IF(AND(V967=1,AG967=1),IF(T967&gt;=AE967,L967,W967),IF(V967=1,L967,IF(AG967=1,W967,MAX($D$16,POWER((ABS(K967)^2)/($I$5*MAX(F967,0.1)^2),1/3)))))))</f>
        <v>2.1403668656741068</v>
      </c>
      <c r="AI967">
        <f t="shared" ca="1" si="463"/>
        <v>634.29386686567409</v>
      </c>
      <c r="AJ967">
        <f t="shared" ca="1" si="464"/>
        <v>635.36405029851119</v>
      </c>
      <c r="AM967">
        <v>0</v>
      </c>
      <c r="AN967">
        <v>0</v>
      </c>
      <c r="AO967">
        <f t="shared" si="465"/>
        <v>0</v>
      </c>
      <c r="AP967">
        <f t="shared" si="474"/>
        <v>0</v>
      </c>
      <c r="AQ967">
        <f t="shared" ca="1" si="466"/>
        <v>0.99999999999999978</v>
      </c>
      <c r="AR967" t="str">
        <f t="shared" ca="1" si="467"/>
        <v>Supercritical</v>
      </c>
      <c r="AS967">
        <f t="shared" ca="1" si="468"/>
        <v>3.8148159832266538E-3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191</v>
      </c>
      <c r="I968">
        <v>0</v>
      </c>
      <c r="J968">
        <f t="shared" si="469"/>
        <v>0.99900000000002365</v>
      </c>
      <c r="K968">
        <f t="shared" si="470"/>
        <v>51</v>
      </c>
      <c r="L968">
        <f t="shared" ca="1" si="471"/>
        <v>0.05</v>
      </c>
      <c r="M968">
        <f t="shared" ca="1" si="444"/>
        <v>0.26</v>
      </c>
      <c r="N968">
        <f t="shared" ca="1" si="445"/>
        <v>4.9056603773584909E-2</v>
      </c>
      <c r="O968">
        <f t="shared" ca="1" si="446"/>
        <v>196.15384615384616</v>
      </c>
      <c r="P968">
        <f t="shared" ca="1" si="447"/>
        <v>632.20299999999997</v>
      </c>
      <c r="Q968">
        <f t="shared" ca="1" si="448"/>
        <v>2593.2800316486619</v>
      </c>
      <c r="R968">
        <f t="shared" ca="1" si="449"/>
        <v>482.07306851378365</v>
      </c>
      <c r="S968">
        <f t="shared" ca="1" si="450"/>
        <v>280.07692026646265</v>
      </c>
      <c r="T968">
        <f t="shared" ca="1" si="451"/>
        <v>1019.7665564573041</v>
      </c>
      <c r="U968">
        <f t="shared" ca="1" si="472"/>
        <v>-481.59049544528125</v>
      </c>
      <c r="V968">
        <f t="shared" ca="1" si="473"/>
        <v>0</v>
      </c>
      <c r="W968">
        <f t="shared" ca="1" si="452"/>
        <v>0.05</v>
      </c>
      <c r="X968">
        <f t="shared" ca="1" si="453"/>
        <v>0.26</v>
      </c>
      <c r="Y968">
        <f t="shared" ca="1" si="454"/>
        <v>4.9056603773584909E-2</v>
      </c>
      <c r="Z968">
        <f t="shared" ca="1" si="455"/>
        <v>196.15384615384616</v>
      </c>
      <c r="AA968">
        <f t="shared" ca="1" si="456"/>
        <v>632.20299999999997</v>
      </c>
      <c r="AB968">
        <f t="shared" ca="1" si="457"/>
        <v>2593.2800316486619</v>
      </c>
      <c r="AC968">
        <f t="shared" ca="1" si="458"/>
        <v>482.07306851378365</v>
      </c>
      <c r="AD968">
        <f t="shared" ca="1" si="459"/>
        <v>280.07692026646265</v>
      </c>
      <c r="AE968">
        <f t="shared" ca="1" si="460"/>
        <v>1019.7665564573041</v>
      </c>
      <c r="AF968">
        <f t="shared" ca="1" si="461"/>
        <v>482.07256851378406</v>
      </c>
      <c r="AG968">
        <f t="shared" ca="1" si="462"/>
        <v>0</v>
      </c>
      <c r="AH968">
        <f ca="1">IF(V32="Supercritical",L968,IF(V32="Subcritical",W968,IF(AND(V968=1,AG968=1),IF(T968&gt;=AE968,L968,W968),IF(V968=1,L968,IF(AG968=1,W968,MAX($D$16,POWER((ABS(K968)^2)/($I$5*MAX(F968,0.1)^2),1/3)))))))</f>
        <v>2.1403668656741068</v>
      </c>
      <c r="AI968">
        <f t="shared" ca="1" si="463"/>
        <v>634.2933668656741</v>
      </c>
      <c r="AJ968">
        <f t="shared" ca="1" si="464"/>
        <v>635.3635502985112</v>
      </c>
      <c r="AM968">
        <v>0</v>
      </c>
      <c r="AN968">
        <v>0</v>
      </c>
      <c r="AO968">
        <f t="shared" si="465"/>
        <v>0</v>
      </c>
      <c r="AP968">
        <f t="shared" si="474"/>
        <v>0</v>
      </c>
      <c r="AQ968">
        <f t="shared" ca="1" si="466"/>
        <v>0.99999999999999978</v>
      </c>
      <c r="AR968" t="str">
        <f t="shared" ca="1" si="467"/>
        <v>Supercritical</v>
      </c>
      <c r="AS968">
        <f t="shared" ca="1" si="468"/>
        <v>3.8148159832266538E-3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191</v>
      </c>
      <c r="I969">
        <v>0</v>
      </c>
      <c r="J969">
        <f t="shared" si="469"/>
        <v>1</v>
      </c>
      <c r="K969">
        <f t="shared" si="470"/>
        <v>51</v>
      </c>
      <c r="L969">
        <f t="shared" ca="1" si="471"/>
        <v>0.05</v>
      </c>
      <c r="M969">
        <f t="shared" ca="1" si="444"/>
        <v>0.26</v>
      </c>
      <c r="N969">
        <f t="shared" ca="1" si="445"/>
        <v>4.9056603773584909E-2</v>
      </c>
      <c r="O969">
        <f t="shared" ca="1" si="446"/>
        <v>196.15384615384616</v>
      </c>
      <c r="P969">
        <f t="shared" ca="1" si="447"/>
        <v>632.20249999999999</v>
      </c>
      <c r="Q969">
        <f t="shared" ca="1" si="448"/>
        <v>2593.2795316486622</v>
      </c>
      <c r="R969">
        <f t="shared" ca="1" si="449"/>
        <v>482.07306851378365</v>
      </c>
      <c r="S969">
        <f t="shared" ca="1" si="450"/>
        <v>280.07692026646265</v>
      </c>
      <c r="T969">
        <f t="shared" ca="1" si="451"/>
        <v>1019.7665564573041</v>
      </c>
      <c r="U969">
        <f t="shared" ca="1" si="472"/>
        <v>-482.07256851378406</v>
      </c>
      <c r="V969">
        <f t="shared" ca="1" si="473"/>
        <v>0</v>
      </c>
      <c r="W969">
        <f t="shared" ca="1" si="452"/>
        <v>0.05</v>
      </c>
      <c r="X969">
        <f t="shared" ca="1" si="453"/>
        <v>0.26</v>
      </c>
      <c r="Y969">
        <f t="shared" ca="1" si="454"/>
        <v>4.9056603773584909E-2</v>
      </c>
      <c r="Z969">
        <f t="shared" ca="1" si="455"/>
        <v>196.15384615384616</v>
      </c>
      <c r="AA969">
        <f t="shared" ca="1" si="456"/>
        <v>632.20249999999999</v>
      </c>
      <c r="AB969">
        <f t="shared" ca="1" si="457"/>
        <v>2593.2795316486622</v>
      </c>
      <c r="AC969">
        <f t="shared" ca="1" si="458"/>
        <v>482.07306851378365</v>
      </c>
      <c r="AD969">
        <f t="shared" ca="1" si="459"/>
        <v>280.07692026646265</v>
      </c>
      <c r="AE969">
        <f t="shared" ca="1" si="460"/>
        <v>1019.7665564573041</v>
      </c>
      <c r="AF969">
        <f t="shared" ca="1" si="461"/>
        <v>482.25887083179032</v>
      </c>
      <c r="AG969">
        <f t="shared" ca="1" si="462"/>
        <v>0</v>
      </c>
      <c r="AH969">
        <f ca="1">IF(V32="Supercritical",L969,IF(V32="Subcritical",W969,IF(AND(V969=1,AG969=1),IF(T969&gt;=AE969,L969,W969),IF(V969=1,L969,IF(AG969=1,W969,MAX($D$16,POWER((ABS(K969)^2)/($I$5*MAX(F969,0.1)^2),1/3)))))))</f>
        <v>2.1403668656741068</v>
      </c>
      <c r="AI969">
        <f t="shared" ca="1" si="463"/>
        <v>634.29286686567411</v>
      </c>
      <c r="AJ969">
        <f t="shared" ca="1" si="464"/>
        <v>635.36305029851121</v>
      </c>
      <c r="AM969">
        <v>0</v>
      </c>
      <c r="AN969">
        <v>0</v>
      </c>
      <c r="AO969">
        <f t="shared" si="465"/>
        <v>0</v>
      </c>
      <c r="AP969">
        <f t="shared" si="474"/>
        <v>0</v>
      </c>
      <c r="AQ969">
        <f t="shared" ca="1" si="466"/>
        <v>0.99999999999999978</v>
      </c>
      <c r="AR969" t="str">
        <f t="shared" ca="1" si="467"/>
        <v>Supercritical</v>
      </c>
      <c r="AS969">
        <f t="shared" ca="1" si="468"/>
        <v>3.8148159832266538E-3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191</v>
      </c>
      <c r="I970">
        <v>5.7000000000000002E-2</v>
      </c>
      <c r="J970">
        <f t="shared" si="469"/>
        <v>1</v>
      </c>
      <c r="K970">
        <f t="shared" si="470"/>
        <v>51</v>
      </c>
      <c r="L970">
        <f t="shared" ca="1" si="471"/>
        <v>0.05</v>
      </c>
      <c r="M970">
        <f t="shared" ca="1" si="444"/>
        <v>0.26</v>
      </c>
      <c r="N970">
        <f t="shared" ca="1" si="445"/>
        <v>4.9056603773584909E-2</v>
      </c>
      <c r="O970">
        <f t="shared" ca="1" si="446"/>
        <v>196.15384615384616</v>
      </c>
      <c r="P970">
        <f t="shared" ca="1" si="447"/>
        <v>632.202</v>
      </c>
      <c r="Q970">
        <f t="shared" ca="1" si="448"/>
        <v>2593.2790316486621</v>
      </c>
      <c r="R970">
        <f t="shared" ca="1" si="449"/>
        <v>482.07306851378365</v>
      </c>
      <c r="S970">
        <f t="shared" ca="1" si="450"/>
        <v>280.07692026646265</v>
      </c>
      <c r="T970">
        <f t="shared" ca="1" si="451"/>
        <v>1019.7665564573041</v>
      </c>
      <c r="U970">
        <f t="shared" ca="1" si="472"/>
        <v>-482.25887083179032</v>
      </c>
      <c r="V970">
        <f t="shared" ca="1" si="473"/>
        <v>0</v>
      </c>
      <c r="W970">
        <f t="shared" ca="1" si="452"/>
        <v>0.05</v>
      </c>
      <c r="X970">
        <f t="shared" ca="1" si="453"/>
        <v>0.26</v>
      </c>
      <c r="Y970">
        <f t="shared" ca="1" si="454"/>
        <v>4.9056603773584909E-2</v>
      </c>
      <c r="Z970">
        <f t="shared" ca="1" si="455"/>
        <v>196.15384615384616</v>
      </c>
      <c r="AA970">
        <f t="shared" ca="1" si="456"/>
        <v>632.202</v>
      </c>
      <c r="AB970">
        <f t="shared" ca="1" si="457"/>
        <v>2593.2790316486621</v>
      </c>
      <c r="AC970">
        <f t="shared" ca="1" si="458"/>
        <v>482.07306851378365</v>
      </c>
      <c r="AD970">
        <f t="shared" ca="1" si="459"/>
        <v>280.07692026646265</v>
      </c>
      <c r="AE970">
        <f t="shared" ca="1" si="460"/>
        <v>1019.7665564573041</v>
      </c>
      <c r="AF970">
        <f t="shared" ca="1" si="461"/>
        <v>482.25887083179032</v>
      </c>
      <c r="AG970">
        <f t="shared" ca="1" si="462"/>
        <v>0</v>
      </c>
      <c r="AH970">
        <f ca="1">IF(V32="Supercritical",L970,IF(V32="Subcritical",W970,IF(AND(V970=1,AG970=1),IF(T970&gt;=AE970,L970,W970),IF(V970=1,L970,IF(AG970=1,W970,MAX($D$16,POWER((ABS(K970)^2)/($I$5*MAX(F970,0.1)^2),1/3)))))))</f>
        <v>2.1403668656741068</v>
      </c>
      <c r="AI970">
        <f t="shared" ca="1" si="463"/>
        <v>634.29236686567413</v>
      </c>
      <c r="AJ970">
        <f t="shared" ca="1" si="464"/>
        <v>635.36255029851122</v>
      </c>
      <c r="AM970">
        <v>0</v>
      </c>
      <c r="AN970">
        <v>0</v>
      </c>
      <c r="AO970">
        <f t="shared" si="465"/>
        <v>0</v>
      </c>
      <c r="AP970">
        <f t="shared" si="474"/>
        <v>0</v>
      </c>
      <c r="AQ970">
        <f t="shared" ca="1" si="466"/>
        <v>0.99999999999999978</v>
      </c>
      <c r="AR970" t="str">
        <f t="shared" ca="1" si="467"/>
        <v>Supercritical</v>
      </c>
      <c r="AS970">
        <f t="shared" ca="1" si="468"/>
        <v>3.8148159832266538E-3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191</v>
      </c>
      <c r="I971">
        <v>5.7000000000000002E-2</v>
      </c>
      <c r="J971">
        <f t="shared" si="469"/>
        <v>1</v>
      </c>
      <c r="K971">
        <f t="shared" si="470"/>
        <v>51</v>
      </c>
      <c r="L971">
        <f t="shared" ca="1" si="471"/>
        <v>0.05</v>
      </c>
      <c r="M971">
        <f t="shared" ca="1" si="444"/>
        <v>0.26</v>
      </c>
      <c r="N971">
        <f t="shared" ca="1" si="445"/>
        <v>4.9056603773584909E-2</v>
      </c>
      <c r="O971">
        <f t="shared" ca="1" si="446"/>
        <v>196.15384615384616</v>
      </c>
      <c r="P971">
        <f t="shared" ca="1" si="447"/>
        <v>632.20150000000001</v>
      </c>
      <c r="Q971">
        <f t="shared" ca="1" si="448"/>
        <v>2593.278531648662</v>
      </c>
      <c r="R971">
        <f t="shared" ca="1" si="449"/>
        <v>482.07306851378365</v>
      </c>
      <c r="S971">
        <f t="shared" ca="1" si="450"/>
        <v>280.07692026646265</v>
      </c>
      <c r="T971">
        <f t="shared" ca="1" si="451"/>
        <v>1019.7665564573041</v>
      </c>
      <c r="U971">
        <f t="shared" ca="1" si="472"/>
        <v>-482.25887083179032</v>
      </c>
      <c r="V971">
        <f t="shared" ca="1" si="473"/>
        <v>0</v>
      </c>
      <c r="W971">
        <f t="shared" ca="1" si="452"/>
        <v>0.05</v>
      </c>
      <c r="X971">
        <f t="shared" ca="1" si="453"/>
        <v>0.26</v>
      </c>
      <c r="Y971">
        <f t="shared" ca="1" si="454"/>
        <v>4.9056603773584909E-2</v>
      </c>
      <c r="Z971">
        <f t="shared" ca="1" si="455"/>
        <v>196.15384615384616</v>
      </c>
      <c r="AA971">
        <f t="shared" ca="1" si="456"/>
        <v>632.20150000000001</v>
      </c>
      <c r="AB971">
        <f t="shared" ca="1" si="457"/>
        <v>2593.278531648662</v>
      </c>
      <c r="AC971">
        <f t="shared" ca="1" si="458"/>
        <v>482.07306851378365</v>
      </c>
      <c r="AD971">
        <f t="shared" ca="1" si="459"/>
        <v>280.07692026646265</v>
      </c>
      <c r="AE971">
        <f t="shared" ca="1" si="460"/>
        <v>1019.7665564573041</v>
      </c>
      <c r="AF971">
        <f t="shared" ca="1" si="461"/>
        <v>482.07256851378361</v>
      </c>
      <c r="AG971">
        <f t="shared" ca="1" si="462"/>
        <v>0</v>
      </c>
      <c r="AH971">
        <f ca="1">IF(V32="Supercritical",L971,IF(V32="Subcritical",W971,IF(AND(V971=1,AG971=1),IF(T971&gt;=AE971,L971,W971),IF(V971=1,L971,IF(AG971=1,W971,MAX($D$16,POWER((ABS(K971)^2)/($I$5*MAX(F971,0.1)^2),1/3)))))))</f>
        <v>2.1403668656741068</v>
      </c>
      <c r="AI971">
        <f t="shared" ca="1" si="463"/>
        <v>634.29186686567414</v>
      </c>
      <c r="AJ971">
        <f t="shared" ca="1" si="464"/>
        <v>635.36205029851124</v>
      </c>
      <c r="AM971">
        <v>0</v>
      </c>
      <c r="AN971">
        <v>0</v>
      </c>
      <c r="AO971">
        <f t="shared" si="465"/>
        <v>0</v>
      </c>
      <c r="AP971">
        <f t="shared" si="474"/>
        <v>0</v>
      </c>
      <c r="AQ971">
        <f t="shared" ca="1" si="466"/>
        <v>0.99999999999999978</v>
      </c>
      <c r="AR971" t="str">
        <f t="shared" ca="1" si="467"/>
        <v>Supercritical</v>
      </c>
      <c r="AS971">
        <f t="shared" ca="1" si="468"/>
        <v>3.8148159832266538E-3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191</v>
      </c>
      <c r="I972">
        <v>0</v>
      </c>
      <c r="J972">
        <f t="shared" si="469"/>
        <v>1</v>
      </c>
      <c r="K972">
        <f t="shared" si="470"/>
        <v>51</v>
      </c>
      <c r="L972">
        <f t="shared" ca="1" si="471"/>
        <v>0.05</v>
      </c>
      <c r="M972">
        <f t="shared" ca="1" si="444"/>
        <v>0.26</v>
      </c>
      <c r="N972">
        <f t="shared" ca="1" si="445"/>
        <v>4.9056603773584909E-2</v>
      </c>
      <c r="O972">
        <f t="shared" ca="1" si="446"/>
        <v>196.15384615384616</v>
      </c>
      <c r="P972">
        <f t="shared" ca="1" si="447"/>
        <v>632.20099999999991</v>
      </c>
      <c r="Q972">
        <f t="shared" ca="1" si="448"/>
        <v>2593.2780316486619</v>
      </c>
      <c r="R972">
        <f t="shared" ca="1" si="449"/>
        <v>482.07306851378365</v>
      </c>
      <c r="S972">
        <f t="shared" ca="1" si="450"/>
        <v>280.07692026646265</v>
      </c>
      <c r="T972">
        <f t="shared" ca="1" si="451"/>
        <v>1019.7665564573041</v>
      </c>
      <c r="U972">
        <f t="shared" ca="1" si="472"/>
        <v>-482.07256851378361</v>
      </c>
      <c r="V972">
        <f t="shared" ca="1" si="473"/>
        <v>0</v>
      </c>
      <c r="W972">
        <f t="shared" ca="1" si="452"/>
        <v>0.05</v>
      </c>
      <c r="X972">
        <f t="shared" ca="1" si="453"/>
        <v>0.26</v>
      </c>
      <c r="Y972">
        <f t="shared" ca="1" si="454"/>
        <v>4.9056603773584909E-2</v>
      </c>
      <c r="Z972">
        <f t="shared" ca="1" si="455"/>
        <v>196.15384615384616</v>
      </c>
      <c r="AA972">
        <f t="shared" ca="1" si="456"/>
        <v>632.20099999999991</v>
      </c>
      <c r="AB972">
        <f t="shared" ca="1" si="457"/>
        <v>2593.2780316486619</v>
      </c>
      <c r="AC972">
        <f t="shared" ca="1" si="458"/>
        <v>482.07306851378365</v>
      </c>
      <c r="AD972">
        <f t="shared" ca="1" si="459"/>
        <v>280.07692026646265</v>
      </c>
      <c r="AE972">
        <f t="shared" ca="1" si="460"/>
        <v>1019.7665564573041</v>
      </c>
      <c r="AF972">
        <f t="shared" ca="1" si="461"/>
        <v>482.07256851378406</v>
      </c>
      <c r="AG972">
        <f t="shared" ca="1" si="462"/>
        <v>0</v>
      </c>
      <c r="AH972">
        <f ca="1">IF(V32="Supercritical",L972,IF(V32="Subcritical",W972,IF(AND(V972=1,AG972=1),IF(T972&gt;=AE972,L972,W972),IF(V972=1,L972,IF(AG972=1,W972,MAX($D$16,POWER((ABS(K972)^2)/($I$5*MAX(F972,0.1)^2),1/3)))))))</f>
        <v>2.1403668656741068</v>
      </c>
      <c r="AI972">
        <f t="shared" ca="1" si="463"/>
        <v>634.29136686567404</v>
      </c>
      <c r="AJ972">
        <f t="shared" ca="1" si="464"/>
        <v>635.36155029851113</v>
      </c>
      <c r="AM972">
        <v>0</v>
      </c>
      <c r="AN972">
        <v>0</v>
      </c>
      <c r="AO972">
        <f t="shared" si="465"/>
        <v>0</v>
      </c>
      <c r="AP972">
        <f t="shared" si="474"/>
        <v>0</v>
      </c>
      <c r="AQ972">
        <f t="shared" ca="1" si="466"/>
        <v>0.99999999999999978</v>
      </c>
      <c r="AR972" t="str">
        <f t="shared" ca="1" si="467"/>
        <v>Supercritical</v>
      </c>
      <c r="AS972">
        <f t="shared" ca="1" si="468"/>
        <v>3.8148159832266538E-3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191</v>
      </c>
      <c r="I973">
        <v>0</v>
      </c>
      <c r="J973">
        <f t="shared" si="469"/>
        <v>1</v>
      </c>
      <c r="K973">
        <f t="shared" si="470"/>
        <v>51</v>
      </c>
      <c r="L973">
        <f t="shared" ca="1" si="471"/>
        <v>0.05</v>
      </c>
      <c r="M973">
        <f t="shared" ca="1" si="444"/>
        <v>0.26</v>
      </c>
      <c r="N973">
        <f t="shared" ca="1" si="445"/>
        <v>4.9056603773584909E-2</v>
      </c>
      <c r="O973">
        <f t="shared" ca="1" si="446"/>
        <v>196.15384615384616</v>
      </c>
      <c r="P973">
        <f t="shared" ca="1" si="447"/>
        <v>632.20049999999992</v>
      </c>
      <c r="Q973">
        <f t="shared" ca="1" si="448"/>
        <v>2593.2775316486623</v>
      </c>
      <c r="R973">
        <f t="shared" ca="1" si="449"/>
        <v>482.07306851378365</v>
      </c>
      <c r="S973">
        <f t="shared" ca="1" si="450"/>
        <v>280.07692026646265</v>
      </c>
      <c r="T973">
        <f t="shared" ca="1" si="451"/>
        <v>1019.7665564573041</v>
      </c>
      <c r="U973">
        <f t="shared" ca="1" si="472"/>
        <v>-482.07256851378406</v>
      </c>
      <c r="V973">
        <f t="shared" ca="1" si="473"/>
        <v>0</v>
      </c>
      <c r="W973">
        <f t="shared" ca="1" si="452"/>
        <v>0.05</v>
      </c>
      <c r="X973">
        <f t="shared" ca="1" si="453"/>
        <v>0.26</v>
      </c>
      <c r="Y973">
        <f t="shared" ca="1" si="454"/>
        <v>4.9056603773584909E-2</v>
      </c>
      <c r="Z973">
        <f t="shared" ca="1" si="455"/>
        <v>196.15384615384616</v>
      </c>
      <c r="AA973">
        <f t="shared" ca="1" si="456"/>
        <v>632.20049999999992</v>
      </c>
      <c r="AB973">
        <f t="shared" ca="1" si="457"/>
        <v>2593.2775316486623</v>
      </c>
      <c r="AC973">
        <f t="shared" ca="1" si="458"/>
        <v>482.07306851378365</v>
      </c>
      <c r="AD973">
        <f t="shared" ca="1" si="459"/>
        <v>280.07692026646265</v>
      </c>
      <c r="AE973">
        <f t="shared" ca="1" si="460"/>
        <v>1019.7665564573041</v>
      </c>
      <c r="AF973">
        <f t="shared" ca="1" si="461"/>
        <v>482.25233390835137</v>
      </c>
      <c r="AG973">
        <f t="shared" ca="1" si="462"/>
        <v>0</v>
      </c>
      <c r="AH973">
        <f ca="1">IF(V32="Supercritical",L973,IF(V32="Subcritical",W973,IF(AND(V973=1,AG973=1),IF(T973&gt;=AE973,L973,W973),IF(V973=1,L973,IF(AG973=1,W973,MAX($D$16,POWER((ABS(K973)^2)/($I$5*MAX(F973,0.1)^2),1/3)))))))</f>
        <v>2.1403668656741068</v>
      </c>
      <c r="AI973">
        <f t="shared" ca="1" si="463"/>
        <v>634.29086686567405</v>
      </c>
      <c r="AJ973">
        <f t="shared" ca="1" si="464"/>
        <v>635.36105029851115</v>
      </c>
      <c r="AM973">
        <v>0</v>
      </c>
      <c r="AN973">
        <v>0</v>
      </c>
      <c r="AO973">
        <f t="shared" si="465"/>
        <v>0</v>
      </c>
      <c r="AP973">
        <f t="shared" si="474"/>
        <v>0</v>
      </c>
      <c r="AQ973">
        <f t="shared" ca="1" si="466"/>
        <v>0.99999999999999978</v>
      </c>
      <c r="AR973" t="str">
        <f t="shared" ca="1" si="467"/>
        <v>Supercritical</v>
      </c>
      <c r="AS973">
        <f t="shared" ca="1" si="468"/>
        <v>3.8148159832266538E-3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191</v>
      </c>
      <c r="I974">
        <v>5.5E-2</v>
      </c>
      <c r="J974">
        <f t="shared" si="469"/>
        <v>1</v>
      </c>
      <c r="K974">
        <f t="shared" si="470"/>
        <v>51</v>
      </c>
      <c r="L974">
        <f t="shared" ca="1" si="471"/>
        <v>0.05</v>
      </c>
      <c r="M974">
        <f t="shared" ca="1" si="444"/>
        <v>0.26</v>
      </c>
      <c r="N974">
        <f t="shared" ca="1" si="445"/>
        <v>4.9056603773584909E-2</v>
      </c>
      <c r="O974">
        <f t="shared" ca="1" si="446"/>
        <v>196.15384615384616</v>
      </c>
      <c r="P974">
        <f t="shared" ca="1" si="447"/>
        <v>632.19999999999993</v>
      </c>
      <c r="Q974">
        <f t="shared" ca="1" si="448"/>
        <v>2593.2770316486622</v>
      </c>
      <c r="R974">
        <f t="shared" ca="1" si="449"/>
        <v>482.07306851378365</v>
      </c>
      <c r="S974">
        <f t="shared" ca="1" si="450"/>
        <v>280.07692026646265</v>
      </c>
      <c r="T974">
        <f t="shared" ca="1" si="451"/>
        <v>1019.7665564573041</v>
      </c>
      <c r="U974">
        <f t="shared" ca="1" si="472"/>
        <v>-482.25233390835137</v>
      </c>
      <c r="V974">
        <f t="shared" ca="1" si="473"/>
        <v>0</v>
      </c>
      <c r="W974">
        <f t="shared" ca="1" si="452"/>
        <v>0.05</v>
      </c>
      <c r="X974">
        <f t="shared" ca="1" si="453"/>
        <v>0.26</v>
      </c>
      <c r="Y974">
        <f t="shared" ca="1" si="454"/>
        <v>4.9056603773584909E-2</v>
      </c>
      <c r="Z974">
        <f t="shared" ca="1" si="455"/>
        <v>196.15384615384616</v>
      </c>
      <c r="AA974">
        <f t="shared" ca="1" si="456"/>
        <v>632.19999999999993</v>
      </c>
      <c r="AB974">
        <f t="shared" ca="1" si="457"/>
        <v>2593.2770316486622</v>
      </c>
      <c r="AC974">
        <f t="shared" ca="1" si="458"/>
        <v>482.07306851378365</v>
      </c>
      <c r="AD974">
        <f t="shared" ca="1" si="459"/>
        <v>280.07692026646265</v>
      </c>
      <c r="AE974">
        <f t="shared" ca="1" si="460"/>
        <v>1019.7665564573041</v>
      </c>
      <c r="AF974">
        <f t="shared" ca="1" si="461"/>
        <v>482.73440697685373</v>
      </c>
      <c r="AG974">
        <f t="shared" ca="1" si="462"/>
        <v>0</v>
      </c>
      <c r="AH974">
        <f ca="1">IF(V32="Supercritical",L974,IF(V32="Subcritical",W974,IF(AND(V974=1,AG974=1),IF(T974&gt;=AE974,L974,W974),IF(V974=1,L974,IF(AG974=1,W974,MAX($D$16,POWER((ABS(K974)^2)/($I$5*MAX(F974,0.1)^2),1/3)))))))</f>
        <v>2.1403668656741068</v>
      </c>
      <c r="AI974">
        <f t="shared" ca="1" si="463"/>
        <v>634.29036686567406</v>
      </c>
      <c r="AJ974">
        <f t="shared" ca="1" si="464"/>
        <v>635.36055029851116</v>
      </c>
      <c r="AM974">
        <v>0</v>
      </c>
      <c r="AN974">
        <v>0</v>
      </c>
      <c r="AO974">
        <f t="shared" si="465"/>
        <v>0</v>
      </c>
      <c r="AP974">
        <f t="shared" si="474"/>
        <v>0</v>
      </c>
      <c r="AQ974">
        <f t="shared" ca="1" si="466"/>
        <v>0.99999999999999978</v>
      </c>
      <c r="AR974" t="str">
        <f t="shared" ca="1" si="467"/>
        <v>Supercritical</v>
      </c>
      <c r="AS974">
        <f t="shared" ca="1" si="468"/>
        <v>3.8148159832266538E-3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191</v>
      </c>
      <c r="I975">
        <v>5.5E-2</v>
      </c>
      <c r="J975">
        <f t="shared" si="469"/>
        <v>1.0009999999999764</v>
      </c>
      <c r="K975">
        <f t="shared" si="470"/>
        <v>51</v>
      </c>
      <c r="L975">
        <f t="shared" ca="1" si="471"/>
        <v>0.05</v>
      </c>
      <c r="M975">
        <f t="shared" ca="1" si="444"/>
        <v>0.26</v>
      </c>
      <c r="N975">
        <f t="shared" ca="1" si="445"/>
        <v>4.9056603773584909E-2</v>
      </c>
      <c r="O975">
        <f t="shared" ca="1" si="446"/>
        <v>196.15384615384616</v>
      </c>
      <c r="P975">
        <f t="shared" ca="1" si="447"/>
        <v>632.19949999999994</v>
      </c>
      <c r="Q975">
        <f t="shared" ca="1" si="448"/>
        <v>2593.2765316486621</v>
      </c>
      <c r="R975">
        <f t="shared" ca="1" si="449"/>
        <v>482.07306851378365</v>
      </c>
      <c r="S975">
        <f t="shared" ca="1" si="450"/>
        <v>280.07692026646265</v>
      </c>
      <c r="T975">
        <f t="shared" ca="1" si="451"/>
        <v>1019.7665564573041</v>
      </c>
      <c r="U975">
        <f t="shared" ca="1" si="472"/>
        <v>-482.73440697685373</v>
      </c>
      <c r="V975">
        <f t="shared" ca="1" si="473"/>
        <v>0</v>
      </c>
      <c r="W975">
        <f t="shared" ca="1" si="452"/>
        <v>0.05</v>
      </c>
      <c r="X975">
        <f t="shared" ca="1" si="453"/>
        <v>0.26</v>
      </c>
      <c r="Y975">
        <f t="shared" ca="1" si="454"/>
        <v>4.9056603773584909E-2</v>
      </c>
      <c r="Z975">
        <f t="shared" ca="1" si="455"/>
        <v>196.15384615384616</v>
      </c>
      <c r="AA975">
        <f t="shared" ca="1" si="456"/>
        <v>632.19949999999994</v>
      </c>
      <c r="AB975">
        <f t="shared" ca="1" si="457"/>
        <v>2593.2765316486621</v>
      </c>
      <c r="AC975">
        <f t="shared" ca="1" si="458"/>
        <v>482.07306851378365</v>
      </c>
      <c r="AD975">
        <f t="shared" ca="1" si="459"/>
        <v>280.07692026646265</v>
      </c>
      <c r="AE975">
        <f t="shared" ca="1" si="460"/>
        <v>1019.7665564573041</v>
      </c>
      <c r="AF975">
        <f t="shared" ca="1" si="461"/>
        <v>482.07256851378361</v>
      </c>
      <c r="AG975">
        <f t="shared" ca="1" si="462"/>
        <v>0</v>
      </c>
      <c r="AH975">
        <f ca="1">IF(V32="Supercritical",L975,IF(V32="Subcritical",W975,IF(AND(V975=1,AG975=1),IF(T975&gt;=AE975,L975,W975),IF(V975=1,L975,IF(AG975=1,W975,MAX($D$16,POWER((ABS(K975)^2)/($I$5*MAX(F975,0.1)^2),1/3)))))))</f>
        <v>2.1403668656741068</v>
      </c>
      <c r="AI975">
        <f t="shared" ca="1" si="463"/>
        <v>634.28986686567407</v>
      </c>
      <c r="AJ975">
        <f t="shared" ca="1" si="464"/>
        <v>635.36005029851117</v>
      </c>
      <c r="AM975">
        <v>0</v>
      </c>
      <c r="AN975">
        <v>0</v>
      </c>
      <c r="AO975">
        <f t="shared" si="465"/>
        <v>0</v>
      </c>
      <c r="AP975">
        <f t="shared" si="474"/>
        <v>0</v>
      </c>
      <c r="AQ975">
        <f t="shared" ca="1" si="466"/>
        <v>0.99999999999999978</v>
      </c>
      <c r="AR975" t="str">
        <f t="shared" ca="1" si="467"/>
        <v>Supercritical</v>
      </c>
      <c r="AS975">
        <f t="shared" ca="1" si="468"/>
        <v>3.8148159832266538E-3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191</v>
      </c>
      <c r="I976">
        <v>0</v>
      </c>
      <c r="J976">
        <f t="shared" si="469"/>
        <v>1</v>
      </c>
      <c r="K976">
        <f t="shared" si="470"/>
        <v>51</v>
      </c>
      <c r="L976">
        <f t="shared" ca="1" si="471"/>
        <v>0.05</v>
      </c>
      <c r="M976">
        <f t="shared" ca="1" si="444"/>
        <v>0.26</v>
      </c>
      <c r="N976">
        <f t="shared" ca="1" si="445"/>
        <v>4.9056603773584909E-2</v>
      </c>
      <c r="O976">
        <f t="shared" ca="1" si="446"/>
        <v>196.15384615384616</v>
      </c>
      <c r="P976">
        <f t="shared" ca="1" si="447"/>
        <v>632.19899999999996</v>
      </c>
      <c r="Q976">
        <f t="shared" ca="1" si="448"/>
        <v>2593.276031648662</v>
      </c>
      <c r="R976">
        <f t="shared" ca="1" si="449"/>
        <v>482.07306851378365</v>
      </c>
      <c r="S976">
        <f t="shared" ca="1" si="450"/>
        <v>280.07692026646265</v>
      </c>
      <c r="T976">
        <f t="shared" ca="1" si="451"/>
        <v>1019.7665564573041</v>
      </c>
      <c r="U976">
        <f t="shared" ca="1" si="472"/>
        <v>-482.07256851378361</v>
      </c>
      <c r="V976">
        <f t="shared" ca="1" si="473"/>
        <v>0</v>
      </c>
      <c r="W976">
        <f t="shared" ca="1" si="452"/>
        <v>0.05</v>
      </c>
      <c r="X976">
        <f t="shared" ca="1" si="453"/>
        <v>0.26</v>
      </c>
      <c r="Y976">
        <f t="shared" ca="1" si="454"/>
        <v>4.9056603773584909E-2</v>
      </c>
      <c r="Z976">
        <f t="shared" ca="1" si="455"/>
        <v>196.15384615384616</v>
      </c>
      <c r="AA976">
        <f t="shared" ca="1" si="456"/>
        <v>632.19899999999996</v>
      </c>
      <c r="AB976">
        <f t="shared" ca="1" si="457"/>
        <v>2593.276031648662</v>
      </c>
      <c r="AC976">
        <f t="shared" ca="1" si="458"/>
        <v>482.07306851378365</v>
      </c>
      <c r="AD976">
        <f t="shared" ca="1" si="459"/>
        <v>280.07692026646265</v>
      </c>
      <c r="AE976">
        <f t="shared" ca="1" si="460"/>
        <v>1019.7665564573041</v>
      </c>
      <c r="AF976">
        <f t="shared" ca="1" si="461"/>
        <v>481.59049544528125</v>
      </c>
      <c r="AG976">
        <f t="shared" ca="1" si="462"/>
        <v>0</v>
      </c>
      <c r="AH976">
        <f ca="1">IF(V32="Supercritical",L976,IF(V32="Subcritical",W976,IF(AND(V976=1,AG976=1),IF(T976&gt;=AE976,L976,W976),IF(V976=1,L976,IF(AG976=1,W976,MAX($D$16,POWER((ABS(K976)^2)/($I$5*MAX(F976,0.1)^2),1/3)))))))</f>
        <v>2.1403668656741068</v>
      </c>
      <c r="AI976">
        <f t="shared" ca="1" si="463"/>
        <v>634.28936686567408</v>
      </c>
      <c r="AJ976">
        <f t="shared" ca="1" si="464"/>
        <v>635.35955029851118</v>
      </c>
      <c r="AM976">
        <v>0</v>
      </c>
      <c r="AN976">
        <v>0</v>
      </c>
      <c r="AO976">
        <f t="shared" si="465"/>
        <v>0</v>
      </c>
      <c r="AP976">
        <f t="shared" si="474"/>
        <v>0</v>
      </c>
      <c r="AQ976">
        <f t="shared" ca="1" si="466"/>
        <v>0.99999999999999978</v>
      </c>
      <c r="AR976" t="str">
        <f t="shared" ca="1" si="467"/>
        <v>Supercritical</v>
      </c>
      <c r="AS976">
        <f t="shared" ca="1" si="468"/>
        <v>3.8148159832266538E-3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191</v>
      </c>
      <c r="I977">
        <v>0</v>
      </c>
      <c r="J977">
        <f t="shared" si="469"/>
        <v>0.99900000000002365</v>
      </c>
      <c r="K977">
        <f t="shared" si="470"/>
        <v>51</v>
      </c>
      <c r="L977">
        <f t="shared" ca="1" si="471"/>
        <v>0.05</v>
      </c>
      <c r="M977">
        <f t="shared" ca="1" si="444"/>
        <v>0.26</v>
      </c>
      <c r="N977">
        <f t="shared" ca="1" si="445"/>
        <v>4.9056603773584909E-2</v>
      </c>
      <c r="O977">
        <f t="shared" ca="1" si="446"/>
        <v>196.15384615384616</v>
      </c>
      <c r="P977">
        <f t="shared" ca="1" si="447"/>
        <v>632.19849999999997</v>
      </c>
      <c r="Q977">
        <f t="shared" ca="1" si="448"/>
        <v>2593.2755316486619</v>
      </c>
      <c r="R977">
        <f t="shared" ca="1" si="449"/>
        <v>482.07306851378365</v>
      </c>
      <c r="S977">
        <f t="shared" ca="1" si="450"/>
        <v>280.07692026646265</v>
      </c>
      <c r="T977">
        <f t="shared" ca="1" si="451"/>
        <v>1019.7665564573041</v>
      </c>
      <c r="U977">
        <f t="shared" ca="1" si="472"/>
        <v>-481.59049544528125</v>
      </c>
      <c r="V977">
        <f t="shared" ca="1" si="473"/>
        <v>0</v>
      </c>
      <c r="W977">
        <f t="shared" ca="1" si="452"/>
        <v>0.05</v>
      </c>
      <c r="X977">
        <f t="shared" ca="1" si="453"/>
        <v>0.26</v>
      </c>
      <c r="Y977">
        <f t="shared" ca="1" si="454"/>
        <v>4.9056603773584909E-2</v>
      </c>
      <c r="Z977">
        <f t="shared" ca="1" si="455"/>
        <v>196.15384615384616</v>
      </c>
      <c r="AA977">
        <f t="shared" ca="1" si="456"/>
        <v>632.19849999999997</v>
      </c>
      <c r="AB977">
        <f t="shared" ca="1" si="457"/>
        <v>2593.2755316486619</v>
      </c>
      <c r="AC977">
        <f t="shared" ca="1" si="458"/>
        <v>482.07306851378365</v>
      </c>
      <c r="AD977">
        <f t="shared" ca="1" si="459"/>
        <v>280.07692026646265</v>
      </c>
      <c r="AE977">
        <f t="shared" ca="1" si="460"/>
        <v>1019.7665564573041</v>
      </c>
      <c r="AF977">
        <f t="shared" ca="1" si="461"/>
        <v>482.25887083179077</v>
      </c>
      <c r="AG977">
        <f t="shared" ca="1" si="462"/>
        <v>0</v>
      </c>
      <c r="AH977">
        <f ca="1">IF(V32="Supercritical",L977,IF(V32="Subcritical",W977,IF(AND(V977=1,AG977=1),IF(T977&gt;=AE977,L977,W977),IF(V977=1,L977,IF(AG977=1,W977,MAX($D$16,POWER((ABS(K977)^2)/($I$5*MAX(F977,0.1)^2),1/3)))))))</f>
        <v>2.1403668656741068</v>
      </c>
      <c r="AI977">
        <f t="shared" ca="1" si="463"/>
        <v>634.28886686567409</v>
      </c>
      <c r="AJ977">
        <f t="shared" ca="1" si="464"/>
        <v>635.35905029851119</v>
      </c>
      <c r="AM977">
        <v>0</v>
      </c>
      <c r="AN977">
        <v>0</v>
      </c>
      <c r="AO977">
        <f t="shared" si="465"/>
        <v>0</v>
      </c>
      <c r="AP977">
        <f t="shared" si="474"/>
        <v>0</v>
      </c>
      <c r="AQ977">
        <f t="shared" ca="1" si="466"/>
        <v>0.99999999999999978</v>
      </c>
      <c r="AR977" t="str">
        <f t="shared" ca="1" si="467"/>
        <v>Supercritical</v>
      </c>
      <c r="AS977">
        <f t="shared" ca="1" si="468"/>
        <v>3.8148159832266538E-3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191</v>
      </c>
      <c r="I978">
        <v>5.7000000000000002E-2</v>
      </c>
      <c r="J978">
        <f t="shared" si="469"/>
        <v>1</v>
      </c>
      <c r="K978">
        <f t="shared" si="470"/>
        <v>51</v>
      </c>
      <c r="L978">
        <f t="shared" ca="1" si="471"/>
        <v>0.05</v>
      </c>
      <c r="M978">
        <f t="shared" ca="1" si="444"/>
        <v>0.26</v>
      </c>
      <c r="N978">
        <f t="shared" ca="1" si="445"/>
        <v>4.9056603773584909E-2</v>
      </c>
      <c r="O978">
        <f t="shared" ca="1" si="446"/>
        <v>196.15384615384616</v>
      </c>
      <c r="P978">
        <f t="shared" ca="1" si="447"/>
        <v>632.19799999999998</v>
      </c>
      <c r="Q978">
        <f t="shared" ca="1" si="448"/>
        <v>2593.2750316486622</v>
      </c>
      <c r="R978">
        <f t="shared" ca="1" si="449"/>
        <v>482.07306851378365</v>
      </c>
      <c r="S978">
        <f t="shared" ca="1" si="450"/>
        <v>280.07692026646265</v>
      </c>
      <c r="T978">
        <f t="shared" ca="1" si="451"/>
        <v>1019.7665564573041</v>
      </c>
      <c r="U978">
        <f t="shared" ca="1" si="472"/>
        <v>-482.25887083179077</v>
      </c>
      <c r="V978">
        <f t="shared" ca="1" si="473"/>
        <v>0</v>
      </c>
      <c r="W978">
        <f t="shared" ca="1" si="452"/>
        <v>0.05</v>
      </c>
      <c r="X978">
        <f t="shared" ca="1" si="453"/>
        <v>0.26</v>
      </c>
      <c r="Y978">
        <f t="shared" ca="1" si="454"/>
        <v>4.9056603773584909E-2</v>
      </c>
      <c r="Z978">
        <f t="shared" ca="1" si="455"/>
        <v>196.15384615384616</v>
      </c>
      <c r="AA978">
        <f t="shared" ca="1" si="456"/>
        <v>632.19799999999998</v>
      </c>
      <c r="AB978">
        <f t="shared" ca="1" si="457"/>
        <v>2593.2750316486622</v>
      </c>
      <c r="AC978">
        <f t="shared" ca="1" si="458"/>
        <v>482.07306851378365</v>
      </c>
      <c r="AD978">
        <f t="shared" ca="1" si="459"/>
        <v>280.07692026646265</v>
      </c>
      <c r="AE978">
        <f t="shared" ca="1" si="460"/>
        <v>1019.7665564573041</v>
      </c>
      <c r="AF978">
        <f t="shared" ca="1" si="461"/>
        <v>482.25887083179032</v>
      </c>
      <c r="AG978">
        <f t="shared" ca="1" si="462"/>
        <v>0</v>
      </c>
      <c r="AH978">
        <f ca="1">IF(V32="Supercritical",L978,IF(V32="Subcritical",W978,IF(AND(V978=1,AG978=1),IF(T978&gt;=AE978,L978,W978),IF(V978=1,L978,IF(AG978=1,W978,MAX($D$16,POWER((ABS(K978)^2)/($I$5*MAX(F978,0.1)^2),1/3)))))))</f>
        <v>2.1403668656741068</v>
      </c>
      <c r="AI978">
        <f t="shared" ca="1" si="463"/>
        <v>634.28836686567411</v>
      </c>
      <c r="AJ978">
        <f t="shared" ca="1" si="464"/>
        <v>635.3585502985112</v>
      </c>
      <c r="AM978">
        <v>0</v>
      </c>
      <c r="AN978">
        <v>0</v>
      </c>
      <c r="AO978">
        <f t="shared" si="465"/>
        <v>0</v>
      </c>
      <c r="AP978">
        <f t="shared" si="474"/>
        <v>0</v>
      </c>
      <c r="AQ978">
        <f t="shared" ca="1" si="466"/>
        <v>0.99999999999999978</v>
      </c>
      <c r="AR978" t="str">
        <f t="shared" ca="1" si="467"/>
        <v>Supercritical</v>
      </c>
      <c r="AS978">
        <f t="shared" ca="1" si="468"/>
        <v>3.8148159832266538E-3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191</v>
      </c>
      <c r="I979">
        <v>5.7000000000000002E-2</v>
      </c>
      <c r="J979">
        <f t="shared" si="469"/>
        <v>1</v>
      </c>
      <c r="K979">
        <f t="shared" si="470"/>
        <v>51</v>
      </c>
      <c r="L979">
        <f t="shared" ca="1" si="471"/>
        <v>0.05</v>
      </c>
      <c r="M979">
        <f t="shared" ca="1" si="444"/>
        <v>0.26</v>
      </c>
      <c r="N979">
        <f t="shared" ca="1" si="445"/>
        <v>4.9056603773584909E-2</v>
      </c>
      <c r="O979">
        <f t="shared" ca="1" si="446"/>
        <v>196.15384615384616</v>
      </c>
      <c r="P979">
        <f t="shared" ca="1" si="447"/>
        <v>632.19749999999999</v>
      </c>
      <c r="Q979">
        <f t="shared" ca="1" si="448"/>
        <v>2593.2745316486621</v>
      </c>
      <c r="R979">
        <f t="shared" ca="1" si="449"/>
        <v>482.07306851378365</v>
      </c>
      <c r="S979">
        <f t="shared" ca="1" si="450"/>
        <v>280.07692026646265</v>
      </c>
      <c r="T979">
        <f t="shared" ca="1" si="451"/>
        <v>1019.7665564573041</v>
      </c>
      <c r="U979">
        <f t="shared" ca="1" si="472"/>
        <v>-482.25887083179032</v>
      </c>
      <c r="V979">
        <f t="shared" ca="1" si="473"/>
        <v>0</v>
      </c>
      <c r="W979">
        <f t="shared" ca="1" si="452"/>
        <v>0.05</v>
      </c>
      <c r="X979">
        <f t="shared" ca="1" si="453"/>
        <v>0.26</v>
      </c>
      <c r="Y979">
        <f t="shared" ca="1" si="454"/>
        <v>4.9056603773584909E-2</v>
      </c>
      <c r="Z979">
        <f t="shared" ca="1" si="455"/>
        <v>196.15384615384616</v>
      </c>
      <c r="AA979">
        <f t="shared" ca="1" si="456"/>
        <v>632.19749999999999</v>
      </c>
      <c r="AB979">
        <f t="shared" ca="1" si="457"/>
        <v>2593.2745316486621</v>
      </c>
      <c r="AC979">
        <f t="shared" ca="1" si="458"/>
        <v>482.07306851378365</v>
      </c>
      <c r="AD979">
        <f t="shared" ca="1" si="459"/>
        <v>280.07692026646265</v>
      </c>
      <c r="AE979">
        <f t="shared" ca="1" si="460"/>
        <v>1019.7665564573041</v>
      </c>
      <c r="AF979">
        <f t="shared" ca="1" si="461"/>
        <v>482.07256851378361</v>
      </c>
      <c r="AG979">
        <f t="shared" ca="1" si="462"/>
        <v>0</v>
      </c>
      <c r="AH979">
        <f ca="1">IF(V32="Supercritical",L979,IF(V32="Subcritical",W979,IF(AND(V979=1,AG979=1),IF(T979&gt;=AE979,L979,W979),IF(V979=1,L979,IF(AG979=1,W979,MAX($D$16,POWER((ABS(K979)^2)/($I$5*MAX(F979,0.1)^2),1/3)))))))</f>
        <v>2.1403668656741068</v>
      </c>
      <c r="AI979">
        <f t="shared" ca="1" si="463"/>
        <v>634.28786686567412</v>
      </c>
      <c r="AJ979">
        <f t="shared" ca="1" si="464"/>
        <v>635.35805029851122</v>
      </c>
      <c r="AM979">
        <v>0</v>
      </c>
      <c r="AN979">
        <v>0</v>
      </c>
      <c r="AO979">
        <f t="shared" si="465"/>
        <v>0</v>
      </c>
      <c r="AP979">
        <f t="shared" si="474"/>
        <v>0</v>
      </c>
      <c r="AQ979">
        <f t="shared" ca="1" si="466"/>
        <v>0.99999999999999978</v>
      </c>
      <c r="AR979" t="str">
        <f t="shared" ca="1" si="467"/>
        <v>Supercritical</v>
      </c>
      <c r="AS979">
        <f t="shared" ca="1" si="468"/>
        <v>3.8148159832266538E-3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191</v>
      </c>
      <c r="I980">
        <v>0</v>
      </c>
      <c r="J980">
        <f t="shared" si="469"/>
        <v>1</v>
      </c>
      <c r="K980">
        <f t="shared" si="470"/>
        <v>51</v>
      </c>
      <c r="L980">
        <f t="shared" ca="1" si="471"/>
        <v>0.05</v>
      </c>
      <c r="M980">
        <f t="shared" ca="1" si="444"/>
        <v>0.26</v>
      </c>
      <c r="N980">
        <f t="shared" ca="1" si="445"/>
        <v>4.9056603773584909E-2</v>
      </c>
      <c r="O980">
        <f t="shared" ca="1" si="446"/>
        <v>196.15384615384616</v>
      </c>
      <c r="P980">
        <f t="shared" ca="1" si="447"/>
        <v>632.197</v>
      </c>
      <c r="Q980">
        <f t="shared" ca="1" si="448"/>
        <v>2593.274031648662</v>
      </c>
      <c r="R980">
        <f t="shared" ca="1" si="449"/>
        <v>482.07306851378365</v>
      </c>
      <c r="S980">
        <f t="shared" ca="1" si="450"/>
        <v>280.07692026646265</v>
      </c>
      <c r="T980">
        <f t="shared" ca="1" si="451"/>
        <v>1019.7665564573041</v>
      </c>
      <c r="U980">
        <f t="shared" ca="1" si="472"/>
        <v>-482.07256851378361</v>
      </c>
      <c r="V980">
        <f t="shared" ca="1" si="473"/>
        <v>0</v>
      </c>
      <c r="W980">
        <f t="shared" ca="1" si="452"/>
        <v>0.05</v>
      </c>
      <c r="X980">
        <f t="shared" ca="1" si="453"/>
        <v>0.26</v>
      </c>
      <c r="Y980">
        <f t="shared" ca="1" si="454"/>
        <v>4.9056603773584909E-2</v>
      </c>
      <c r="Z980">
        <f t="shared" ca="1" si="455"/>
        <v>196.15384615384616</v>
      </c>
      <c r="AA980">
        <f t="shared" ca="1" si="456"/>
        <v>632.197</v>
      </c>
      <c r="AB980">
        <f t="shared" ca="1" si="457"/>
        <v>2593.274031648662</v>
      </c>
      <c r="AC980">
        <f t="shared" ca="1" si="458"/>
        <v>482.07306851378365</v>
      </c>
      <c r="AD980">
        <f t="shared" ca="1" si="459"/>
        <v>280.07692026646265</v>
      </c>
      <c r="AE980">
        <f t="shared" ca="1" si="460"/>
        <v>1019.7665564573041</v>
      </c>
      <c r="AF980">
        <f t="shared" ca="1" si="461"/>
        <v>482.07256851378361</v>
      </c>
      <c r="AG980">
        <f t="shared" ca="1" si="462"/>
        <v>0</v>
      </c>
      <c r="AH980">
        <f ca="1">IF(V32="Supercritical",L980,IF(V32="Subcritical",W980,IF(AND(V980=1,AG980=1),IF(T980&gt;=AE980,L980,W980),IF(V980=1,L980,IF(AG980=1,W980,MAX($D$16,POWER((ABS(K980)^2)/($I$5*MAX(F980,0.1)^2),1/3)))))))</f>
        <v>2.1403668656741068</v>
      </c>
      <c r="AI980">
        <f t="shared" ca="1" si="463"/>
        <v>634.28736686567413</v>
      </c>
      <c r="AJ980">
        <f t="shared" ca="1" si="464"/>
        <v>635.35755029851123</v>
      </c>
      <c r="AM980">
        <v>0</v>
      </c>
      <c r="AN980">
        <v>0</v>
      </c>
      <c r="AO980">
        <f t="shared" si="465"/>
        <v>0</v>
      </c>
      <c r="AP980">
        <f t="shared" si="474"/>
        <v>0</v>
      </c>
      <c r="AQ980">
        <f t="shared" ca="1" si="466"/>
        <v>0.99999999999999978</v>
      </c>
      <c r="AR980" t="str">
        <f t="shared" ca="1" si="467"/>
        <v>Supercritical</v>
      </c>
      <c r="AS980">
        <f t="shared" ca="1" si="468"/>
        <v>3.8148159832266538E-3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191</v>
      </c>
      <c r="I981">
        <v>0</v>
      </c>
      <c r="J981">
        <f t="shared" si="469"/>
        <v>1</v>
      </c>
      <c r="K981">
        <f t="shared" si="470"/>
        <v>51</v>
      </c>
      <c r="L981">
        <f t="shared" ca="1" si="471"/>
        <v>0.05</v>
      </c>
      <c r="M981">
        <f t="shared" ca="1" si="444"/>
        <v>0.26</v>
      </c>
      <c r="N981">
        <f t="shared" ca="1" si="445"/>
        <v>4.9056603773584909E-2</v>
      </c>
      <c r="O981">
        <f t="shared" ca="1" si="446"/>
        <v>196.15384615384616</v>
      </c>
      <c r="P981">
        <f t="shared" ca="1" si="447"/>
        <v>632.1964999999999</v>
      </c>
      <c r="Q981">
        <f t="shared" ca="1" si="448"/>
        <v>2593.2735316486619</v>
      </c>
      <c r="R981">
        <f t="shared" ca="1" si="449"/>
        <v>482.07306851378365</v>
      </c>
      <c r="S981">
        <f t="shared" ca="1" si="450"/>
        <v>280.07692026646265</v>
      </c>
      <c r="T981">
        <f t="shared" ca="1" si="451"/>
        <v>1019.7665564573041</v>
      </c>
      <c r="U981">
        <f t="shared" ca="1" si="472"/>
        <v>-482.07256851378361</v>
      </c>
      <c r="V981">
        <f t="shared" ca="1" si="473"/>
        <v>0</v>
      </c>
      <c r="W981">
        <f t="shared" ca="1" si="452"/>
        <v>0.05</v>
      </c>
      <c r="X981">
        <f t="shared" ca="1" si="453"/>
        <v>0.26</v>
      </c>
      <c r="Y981">
        <f t="shared" ca="1" si="454"/>
        <v>4.9056603773584909E-2</v>
      </c>
      <c r="Z981">
        <f t="shared" ca="1" si="455"/>
        <v>196.15384615384616</v>
      </c>
      <c r="AA981">
        <f t="shared" ca="1" si="456"/>
        <v>632.1964999999999</v>
      </c>
      <c r="AB981">
        <f t="shared" ca="1" si="457"/>
        <v>2593.2735316486619</v>
      </c>
      <c r="AC981">
        <f t="shared" ca="1" si="458"/>
        <v>482.07306851378365</v>
      </c>
      <c r="AD981">
        <f t="shared" ca="1" si="459"/>
        <v>280.07692026646265</v>
      </c>
      <c r="AE981">
        <f t="shared" ca="1" si="460"/>
        <v>1019.7665564573041</v>
      </c>
      <c r="AF981">
        <f t="shared" ca="1" si="461"/>
        <v>482.25887083179077</v>
      </c>
      <c r="AG981">
        <f t="shared" ca="1" si="462"/>
        <v>0</v>
      </c>
      <c r="AH981">
        <f ca="1">IF(V32="Supercritical",L981,IF(V32="Subcritical",W981,IF(AND(V981=1,AG981=1),IF(T981&gt;=AE981,L981,W981),IF(V981=1,L981,IF(AG981=1,W981,MAX($D$16,POWER((ABS(K981)^2)/($I$5*MAX(F981,0.1)^2),1/3)))))))</f>
        <v>2.1403668656741068</v>
      </c>
      <c r="AI981">
        <f t="shared" ca="1" si="463"/>
        <v>634.28686686567403</v>
      </c>
      <c r="AJ981">
        <f t="shared" ca="1" si="464"/>
        <v>635.35705029851113</v>
      </c>
      <c r="AM981">
        <v>0</v>
      </c>
      <c r="AN981">
        <v>0</v>
      </c>
      <c r="AO981">
        <f t="shared" si="465"/>
        <v>0</v>
      </c>
      <c r="AP981">
        <f t="shared" si="474"/>
        <v>0</v>
      </c>
      <c r="AQ981">
        <f t="shared" ca="1" si="466"/>
        <v>0.99999999999999978</v>
      </c>
      <c r="AR981" t="str">
        <f t="shared" ca="1" si="467"/>
        <v>Supercritical</v>
      </c>
      <c r="AS981">
        <f t="shared" ca="1" si="468"/>
        <v>3.8148159832266538E-3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191</v>
      </c>
      <c r="I982">
        <v>5.7000000000000002E-2</v>
      </c>
      <c r="J982">
        <f t="shared" si="469"/>
        <v>1</v>
      </c>
      <c r="K982">
        <f t="shared" si="470"/>
        <v>51</v>
      </c>
      <c r="L982">
        <f t="shared" ca="1" si="471"/>
        <v>0.05</v>
      </c>
      <c r="M982">
        <f t="shared" ref="M982:M1045" ca="1" si="475">((F982)+(G982)*(L982))*(L982)</f>
        <v>0.26</v>
      </c>
      <c r="N982">
        <f t="shared" ref="N982:N1045" ca="1" si="476">(((F982)+(G982)*(L982))*(L982))/MAX((F982)+2*(L982)*SQRT(1+(G982)^2),0.000001)</f>
        <v>4.9056603773584909E-2</v>
      </c>
      <c r="O982">
        <f t="shared" ref="O982:O1045" ca="1" si="477">ABS(K982)/MAX(((F982)+(G982)*(L982))*(L982),0.000001)</f>
        <v>196.15384615384616</v>
      </c>
      <c r="P982">
        <f t="shared" ref="P982:P1045" ca="1" si="478">E982+L982</f>
        <v>632.19599999999991</v>
      </c>
      <c r="Q982">
        <f t="shared" ref="Q982:Q1045" ca="1" si="479">P982+((ABS(K982)/MAX(((F982)+(G982)*(L982))*(L982),0.000001))^2)/(2*$I$5)</f>
        <v>2593.2730316486623</v>
      </c>
      <c r="R982">
        <f t="shared" ref="R982:R1045" ca="1" si="480">((ABS(K982)*$D$6)/(MAX(((F982)+(G982)*(L982))*(L982),0.000001)*MAX(((((F982)+(G982)*(L982))*(L982))/MAX((F982)+2*(L982)*SQRT(1+(G982)^2),0.000001))^(2/3),0.000001)))^2</f>
        <v>482.07306851378365</v>
      </c>
      <c r="S982">
        <f t="shared" ref="S982:S1045" ca="1" si="481">ABS(ABS(K982)/MAX(((F982)+(G982)*(L982))*(L982),0.000001))/SQRT($I$5*MAX((((F982)+(G982)*(L982))*(L982))/MAX((F982)+2*(G982)*(L982),0.000001),0.000001))</f>
        <v>280.07692026646265</v>
      </c>
      <c r="T982">
        <f t="shared" ref="T982:T1045" ca="1" si="482">((F982)*(L982)^2)/2+(G982)*(L982)^3/3+(ABS(K982)^2)/($I$5*MAX(((F982)+(G982)*(L982))*(L982),0.000001))</f>
        <v>1019.7665564573041</v>
      </c>
      <c r="U982">
        <f t="shared" ca="1" si="472"/>
        <v>-482.25887083179077</v>
      </c>
      <c r="V982">
        <f t="shared" ca="1" si="473"/>
        <v>0</v>
      </c>
      <c r="W982">
        <f t="shared" ref="W982:W1045" ca="1" si="483">IF(OR($D$20=0,AG983=0),W983,IF(OR(W982=0,AD983&gt;1),MAX($D$16,POWER((ABS(K982)^2)/($I$5*MAX(F982,0.1)^2),1/3)),IF(AF982&gt;0,MAX($D$16,W982+((AF982)*$D$18*IF((AD982)&lt;1,1,-1))),IF(AF982&lt;0,IF(ABS((MAX($D$16,POWER((ABS(K982)^2)/($I$5*MAX(F982,0.1)^2),1/3)))-W982)&gt;$D$19,MAX($D$16,W982+($D$18*((MAX($D$16,POWER((ABS(K982)^2)/($I$5*MAX(F982,0.1)^2),1/3)))-W982))),MAX($D$16,POWER((ABS(K982)^2)/($I$5*MAX(F982,0.1)^2),1/3))),W982))))</f>
        <v>0.05</v>
      </c>
      <c r="X982">
        <f t="shared" ref="X982:X1045" ca="1" si="484">((F982)+(G982)*(W982))*(W982)</f>
        <v>0.26</v>
      </c>
      <c r="Y982">
        <f t="shared" ref="Y982:Y1045" ca="1" si="485">(((F982)+(G982)*(W982))*(W982))/MAX((F982)+2*(W982)*SQRT(1+(G982)^2),0.000001)</f>
        <v>4.9056603773584909E-2</v>
      </c>
      <c r="Z982">
        <f t="shared" ref="Z982:Z1045" ca="1" si="486">ABS(K982)/MAX(((F982)+(G982)*(W982))*(W982),0.000001)</f>
        <v>196.15384615384616</v>
      </c>
      <c r="AA982">
        <f t="shared" ref="AA982:AA1045" ca="1" si="487">E982+W982</f>
        <v>632.19599999999991</v>
      </c>
      <c r="AB982">
        <f t="shared" ref="AB982:AB1045" ca="1" si="488">AA982+((ABS(K982)/MAX(((F982)+(G982)*(W982))*(W982),0.000001))^2)/(2*$I$5)</f>
        <v>2593.2730316486623</v>
      </c>
      <c r="AC982">
        <f t="shared" ref="AC982:AC1045" ca="1" si="489">((ABS(K982)*$D$6)/(MAX(((F982)+(G982)*(W982))*(W982),0.000001)*MAX(((((F982)+(G982)*(W982))*(W982))/MAX((F982)+2*(W982)*SQRT(1+(G982)^2),0.000001))^(2/3),0.000001)))^2</f>
        <v>482.07306851378365</v>
      </c>
      <c r="AD982">
        <f t="shared" ref="AD982:AD1045" ca="1" si="490">ABS(ABS(K982)/MAX(((F982)+(G982)*(W982))*(W982),0.000001))/SQRT($I$5*MAX((((F982)+(G982)*(W982))*(W982))/MAX((F982)+2*(G982)*(W982),0.000001),0.000001))</f>
        <v>280.07692026646265</v>
      </c>
      <c r="AE982">
        <f t="shared" ref="AE982:AE1045" ca="1" si="491">((F982)*(W982)^2)/2+(G982)*(W982)^3/3+(ABS(K982)^2)/($I$5*MAX(((F982)+(G982)*(W982))*(W982),0.000001))</f>
        <v>1019.7665564573041</v>
      </c>
      <c r="AF982">
        <f t="shared" ref="AF982:AF1045" ca="1" si="492">AB983+(((AC982+AC983)/2)*J983)+(IF(Z982&gt;Z983,$D$8*((Z982^2-Z983^2)/(2*$I$5)),$D$9*((Z983^2-Z982^2)/(2*$I$5)))+($D$10*(ABS(I983)/90)*(MAX(Z982^2,Z983^2)/(2*$I$5))))-AB982</f>
        <v>482.26867621694828</v>
      </c>
      <c r="AG982">
        <f t="shared" ref="AG982:AG1045" ca="1" si="493">IF(ROUND(AD982,3)=1,1,IF(AND(ABS(AF982)&lt;$D$19,AD982&lt;1),1,0))</f>
        <v>0</v>
      </c>
      <c r="AH982">
        <f ca="1">IF(V32="Supercritical",L982,IF(V32="Subcritical",W982,IF(AND(V982=1,AG982=1),IF(T982&gt;=AE982,L982,W982),IF(V982=1,L982,IF(AG982=1,W982,MAX($D$16,POWER((ABS(K982)^2)/($I$5*MAX(F982,0.1)^2),1/3)))))))</f>
        <v>2.1403668656741068</v>
      </c>
      <c r="AI982">
        <f t="shared" ref="AI982:AI1045" ca="1" si="494">E982+AH982</f>
        <v>634.28636686567404</v>
      </c>
      <c r="AJ982">
        <f t="shared" ref="AJ982:AJ1045" ca="1" si="495">AI982+((ABS(K982)/MAX(((F982)+(G982)*(AH982))*(AH982),0.000001))^2)/(2*$I$5)</f>
        <v>635.35655029851114</v>
      </c>
      <c r="AM982">
        <v>0</v>
      </c>
      <c r="AN982">
        <v>0</v>
      </c>
      <c r="AO982">
        <f t="shared" ref="AO982:AO1045" si="496">AM982+AN982</f>
        <v>0</v>
      </c>
      <c r="AP982">
        <f t="shared" si="474"/>
        <v>0</v>
      </c>
      <c r="AQ982">
        <f t="shared" ref="AQ982:AQ1045" ca="1" si="497">ABS(ABS(K982)/MAX(((F982)+(G982)*(AH982))*(AH982),0.000001))/SQRT($I$5*MAX((((F982)+(G982)*(AH982))*(AH982))/MAX((F982)+2*(G982)*(AH982),0.000001),0.000001))</f>
        <v>0.99999999999999978</v>
      </c>
      <c r="AR982" t="str">
        <f t="shared" ref="AR982:AR1045" ca="1" si="498">IF(AQ982&lt;1,"Subcritical","Supercritical")</f>
        <v>Supercritical</v>
      </c>
      <c r="AS982">
        <f t="shared" ref="AS982:AS1045" ca="1" si="499">((ABS(K982)*$D$6)/(MAX(((F982)+(G982)*(AH982))*(AH982),0.000001)*MAX(((((F982)+(G982)*(AH982))*(AH982))/MAX((F982)+2*(AH982)*SQRT(1+(G982)^2),0.000001))^(2/3),0.000001)))^2</f>
        <v>3.8148159832266538E-3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191</v>
      </c>
      <c r="I983">
        <v>0.06</v>
      </c>
      <c r="J983">
        <f t="shared" ref="J983:J1046" si="500">B983-B982</f>
        <v>1</v>
      </c>
      <c r="K983">
        <f t="shared" ref="K983:K1046" si="501">MAX(0,K982-AO982)</f>
        <v>51</v>
      </c>
      <c r="L983">
        <f t="shared" ref="L983:L1046" ca="1" si="502">IF(OR($D$20=0,V982=0),L982,IF(OR(L983=0,S982&lt;1,S983&lt;1),MAX($D$16,POWER((ABS(K983)^2)/($I$5*MAX(F983,0.1)^2),1/3)),IF(U983&gt;0,MAX($D$16,L983+((U983)*$D$18*IF((S983)&lt;1,1,-1))),IF(U983&lt;0,IF(ABS((MAX($D$16,POWER((ABS(K983)^2)/($I$5*MAX(F983,0.1)^2),1/3)))-L983)&gt;$D$19,MAX($D$16,L983+($D$18*((MAX($D$16,POWER((ABS(K983)^2)/($I$5*MAX(F983,0.1)^2),1/3)))-L983))),MAX($D$16,POWER((ABS(K983)^2)/($I$5*MAX(F983,0.1)^2),1/3))),L983))))</f>
        <v>0.05</v>
      </c>
      <c r="M983">
        <f t="shared" ca="1" si="475"/>
        <v>0.26</v>
      </c>
      <c r="N983">
        <f t="shared" ca="1" si="476"/>
        <v>4.9056603773584909E-2</v>
      </c>
      <c r="O983">
        <f t="shared" ca="1" si="477"/>
        <v>196.15384615384616</v>
      </c>
      <c r="P983">
        <f t="shared" ca="1" si="478"/>
        <v>632.19549999999992</v>
      </c>
      <c r="Q983">
        <f t="shared" ca="1" si="479"/>
        <v>2593.2725316486622</v>
      </c>
      <c r="R983">
        <f t="shared" ca="1" si="480"/>
        <v>482.07306851378365</v>
      </c>
      <c r="S983">
        <f t="shared" ca="1" si="481"/>
        <v>280.07692026646265</v>
      </c>
      <c r="T983">
        <f t="shared" ca="1" si="482"/>
        <v>1019.7665564573041</v>
      </c>
      <c r="U983">
        <f t="shared" ref="U983:U1046" ca="1" si="503">Q982-(((R982+R983)/2)*J983)-(IF(O982&gt;O983,$D$8*((O982^2-O983^2)/(2*$I$5)),$D$9*((O983^2-O982^2)/(2*$I$5)))+($D$10*(ABS(I983)/90)*(MAX(O982^2,O983^2)/(2*$I$5))))-Q983</f>
        <v>-482.26867621694828</v>
      </c>
      <c r="V983">
        <f t="shared" ref="V983:V1046" ca="1" si="504">IF(ROUND(S983,3)=1,1,IF(AND(ABS(U983)&lt;$D$19,S983&gt;1),1,0))</f>
        <v>0</v>
      </c>
      <c r="W983">
        <f t="shared" ca="1" si="483"/>
        <v>0.05</v>
      </c>
      <c r="X983">
        <f t="shared" ca="1" si="484"/>
        <v>0.26</v>
      </c>
      <c r="Y983">
        <f t="shared" ca="1" si="485"/>
        <v>4.9056603773584909E-2</v>
      </c>
      <c r="Z983">
        <f t="shared" ca="1" si="486"/>
        <v>196.15384615384616</v>
      </c>
      <c r="AA983">
        <f t="shared" ca="1" si="487"/>
        <v>632.19549999999992</v>
      </c>
      <c r="AB983">
        <f t="shared" ca="1" si="488"/>
        <v>2593.2725316486622</v>
      </c>
      <c r="AC983">
        <f t="shared" ca="1" si="489"/>
        <v>482.07306851378365</v>
      </c>
      <c r="AD983">
        <f t="shared" ca="1" si="490"/>
        <v>280.07692026646265</v>
      </c>
      <c r="AE983">
        <f t="shared" ca="1" si="491"/>
        <v>1019.7665564573041</v>
      </c>
      <c r="AF983">
        <f t="shared" ca="1" si="492"/>
        <v>482.56117850572491</v>
      </c>
      <c r="AG983">
        <f t="shared" ca="1" si="493"/>
        <v>0</v>
      </c>
      <c r="AH983">
        <f ca="1">IF(V32="Supercritical",L983,IF(V32="Subcritical",W983,IF(AND(V983=1,AG983=1),IF(T983&gt;=AE983,L983,W983),IF(V983=1,L983,IF(AG983=1,W983,MAX($D$16,POWER((ABS(K983)^2)/($I$5*MAX(F983,0.1)^2),1/3)))))))</f>
        <v>2.1403668656741068</v>
      </c>
      <c r="AI983">
        <f t="shared" ca="1" si="494"/>
        <v>634.28586686567405</v>
      </c>
      <c r="AJ983">
        <f t="shared" ca="1" si="495"/>
        <v>635.35605029851115</v>
      </c>
      <c r="AM983">
        <v>0</v>
      </c>
      <c r="AN983">
        <v>0</v>
      </c>
      <c r="AO983">
        <f t="shared" si="496"/>
        <v>0</v>
      </c>
      <c r="AP983">
        <f t="shared" ref="AP983:AP1046" si="505">AP982+AO983</f>
        <v>0</v>
      </c>
      <c r="AQ983">
        <f t="shared" ca="1" si="497"/>
        <v>0.99999999999999978</v>
      </c>
      <c r="AR983" t="str">
        <f t="shared" ca="1" si="498"/>
        <v>Supercritical</v>
      </c>
      <c r="AS983">
        <f t="shared" ca="1" si="499"/>
        <v>3.8148159832266538E-3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191</v>
      </c>
      <c r="I984">
        <v>2E-3</v>
      </c>
      <c r="J984">
        <f t="shared" si="500"/>
        <v>1.0009999999999764</v>
      </c>
      <c r="K984">
        <f t="shared" si="501"/>
        <v>51</v>
      </c>
      <c r="L984">
        <f t="shared" ca="1" si="502"/>
        <v>0.05</v>
      </c>
      <c r="M984">
        <f t="shared" ca="1" si="475"/>
        <v>0.26</v>
      </c>
      <c r="N984">
        <f t="shared" ca="1" si="476"/>
        <v>4.9056603773584909E-2</v>
      </c>
      <c r="O984">
        <f t="shared" ca="1" si="477"/>
        <v>196.15384615384616</v>
      </c>
      <c r="P984">
        <f t="shared" ca="1" si="478"/>
        <v>632.19499999999994</v>
      </c>
      <c r="Q984">
        <f t="shared" ca="1" si="479"/>
        <v>2593.2720316486621</v>
      </c>
      <c r="R984">
        <f t="shared" ca="1" si="480"/>
        <v>482.07306851378365</v>
      </c>
      <c r="S984">
        <f t="shared" ca="1" si="481"/>
        <v>280.07692026646265</v>
      </c>
      <c r="T984">
        <f t="shared" ca="1" si="482"/>
        <v>1019.7665564573041</v>
      </c>
      <c r="U984">
        <f t="shared" ca="1" si="503"/>
        <v>-482.56117850572491</v>
      </c>
      <c r="V984">
        <f t="shared" ca="1" si="504"/>
        <v>0</v>
      </c>
      <c r="W984">
        <f t="shared" ca="1" si="483"/>
        <v>0.05</v>
      </c>
      <c r="X984">
        <f t="shared" ca="1" si="484"/>
        <v>0.26</v>
      </c>
      <c r="Y984">
        <f t="shared" ca="1" si="485"/>
        <v>4.9056603773584909E-2</v>
      </c>
      <c r="Z984">
        <f t="shared" ca="1" si="486"/>
        <v>196.15384615384616</v>
      </c>
      <c r="AA984">
        <f t="shared" ca="1" si="487"/>
        <v>632.19499999999994</v>
      </c>
      <c r="AB984">
        <f t="shared" ca="1" si="488"/>
        <v>2593.2720316486621</v>
      </c>
      <c r="AC984">
        <f t="shared" ca="1" si="489"/>
        <v>482.07306851378365</v>
      </c>
      <c r="AD984">
        <f t="shared" ca="1" si="490"/>
        <v>280.07692026646265</v>
      </c>
      <c r="AE984">
        <f t="shared" ca="1" si="491"/>
        <v>1019.7665564573041</v>
      </c>
      <c r="AF984">
        <f t="shared" ca="1" si="492"/>
        <v>482.07256851378361</v>
      </c>
      <c r="AG984">
        <f t="shared" ca="1" si="493"/>
        <v>0</v>
      </c>
      <c r="AH984">
        <f ca="1">IF(V32="Supercritical",L984,IF(V32="Subcritical",W984,IF(AND(V984=1,AG984=1),IF(T984&gt;=AE984,L984,W984),IF(V984=1,L984,IF(AG984=1,W984,MAX($D$16,POWER((ABS(K984)^2)/($I$5*MAX(F984,0.1)^2),1/3)))))))</f>
        <v>2.1403668656741068</v>
      </c>
      <c r="AI984">
        <f t="shared" ca="1" si="494"/>
        <v>634.28536686567406</v>
      </c>
      <c r="AJ984">
        <f t="shared" ca="1" si="495"/>
        <v>635.35555029851116</v>
      </c>
      <c r="AM984">
        <v>0</v>
      </c>
      <c r="AN984">
        <v>0</v>
      </c>
      <c r="AO984">
        <f t="shared" si="496"/>
        <v>0</v>
      </c>
      <c r="AP984">
        <f t="shared" si="505"/>
        <v>0</v>
      </c>
      <c r="AQ984">
        <f t="shared" ca="1" si="497"/>
        <v>0.99999999999999978</v>
      </c>
      <c r="AR984" t="str">
        <f t="shared" ca="1" si="498"/>
        <v>Supercritical</v>
      </c>
      <c r="AS984">
        <f t="shared" ca="1" si="499"/>
        <v>3.8148159832266538E-3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191</v>
      </c>
      <c r="I985">
        <v>0</v>
      </c>
      <c r="J985">
        <f t="shared" si="500"/>
        <v>1</v>
      </c>
      <c r="K985">
        <f t="shared" si="501"/>
        <v>51</v>
      </c>
      <c r="L985">
        <f t="shared" ca="1" si="502"/>
        <v>0.05</v>
      </c>
      <c r="M985">
        <f t="shared" ca="1" si="475"/>
        <v>0.26</v>
      </c>
      <c r="N985">
        <f t="shared" ca="1" si="476"/>
        <v>4.9056603773584909E-2</v>
      </c>
      <c r="O985">
        <f t="shared" ca="1" si="477"/>
        <v>196.15384615384616</v>
      </c>
      <c r="P985">
        <f t="shared" ca="1" si="478"/>
        <v>632.19449999999995</v>
      </c>
      <c r="Q985">
        <f t="shared" ca="1" si="479"/>
        <v>2593.2715316486619</v>
      </c>
      <c r="R985">
        <f t="shared" ca="1" si="480"/>
        <v>482.07306851378365</v>
      </c>
      <c r="S985">
        <f t="shared" ca="1" si="481"/>
        <v>280.07692026646265</v>
      </c>
      <c r="T985">
        <f t="shared" ca="1" si="482"/>
        <v>1019.7665564573041</v>
      </c>
      <c r="U985">
        <f t="shared" ca="1" si="503"/>
        <v>-482.07256851378361</v>
      </c>
      <c r="V985">
        <f t="shared" ca="1" si="504"/>
        <v>0</v>
      </c>
      <c r="W985">
        <f t="shared" ca="1" si="483"/>
        <v>0.05</v>
      </c>
      <c r="X985">
        <f t="shared" ca="1" si="484"/>
        <v>0.26</v>
      </c>
      <c r="Y985">
        <f t="shared" ca="1" si="485"/>
        <v>4.9056603773584909E-2</v>
      </c>
      <c r="Z985">
        <f t="shared" ca="1" si="486"/>
        <v>196.15384615384616</v>
      </c>
      <c r="AA985">
        <f t="shared" ca="1" si="487"/>
        <v>632.19449999999995</v>
      </c>
      <c r="AB985">
        <f t="shared" ca="1" si="488"/>
        <v>2593.2715316486619</v>
      </c>
      <c r="AC985">
        <f t="shared" ca="1" si="489"/>
        <v>482.07306851378365</v>
      </c>
      <c r="AD985">
        <f t="shared" ca="1" si="490"/>
        <v>280.07692026646265</v>
      </c>
      <c r="AE985">
        <f t="shared" ca="1" si="491"/>
        <v>1019.7665564573041</v>
      </c>
      <c r="AF985">
        <f t="shared" ca="1" si="492"/>
        <v>481.77679776328796</v>
      </c>
      <c r="AG985">
        <f t="shared" ca="1" si="493"/>
        <v>0</v>
      </c>
      <c r="AH985">
        <f ca="1">IF(V32="Supercritical",L985,IF(V32="Subcritical",W985,IF(AND(V985=1,AG985=1),IF(T985&gt;=AE985,L985,W985),IF(V985=1,L985,IF(AG985=1,W985,MAX($D$16,POWER((ABS(K985)^2)/($I$5*MAX(F985,0.1)^2),1/3)))))))</f>
        <v>2.1403668656741068</v>
      </c>
      <c r="AI985">
        <f t="shared" ca="1" si="494"/>
        <v>634.28486686567408</v>
      </c>
      <c r="AJ985">
        <f t="shared" ca="1" si="495"/>
        <v>635.35505029851117</v>
      </c>
      <c r="AM985">
        <v>0</v>
      </c>
      <c r="AN985">
        <v>0</v>
      </c>
      <c r="AO985">
        <f t="shared" si="496"/>
        <v>0</v>
      </c>
      <c r="AP985">
        <f t="shared" si="505"/>
        <v>0</v>
      </c>
      <c r="AQ985">
        <f t="shared" ca="1" si="497"/>
        <v>0.99999999999999978</v>
      </c>
      <c r="AR985" t="str">
        <f t="shared" ca="1" si="498"/>
        <v>Supercritical</v>
      </c>
      <c r="AS985">
        <f t="shared" ca="1" si="499"/>
        <v>3.8148159832266538E-3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191</v>
      </c>
      <c r="I986">
        <v>5.7000000000000002E-2</v>
      </c>
      <c r="J986">
        <f t="shared" si="500"/>
        <v>0.99900000000002365</v>
      </c>
      <c r="K986">
        <f t="shared" si="501"/>
        <v>51</v>
      </c>
      <c r="L986">
        <f t="shared" ca="1" si="502"/>
        <v>0.05</v>
      </c>
      <c r="M986">
        <f t="shared" ca="1" si="475"/>
        <v>0.26</v>
      </c>
      <c r="N986">
        <f t="shared" ca="1" si="476"/>
        <v>4.9056603773584909E-2</v>
      </c>
      <c r="O986">
        <f t="shared" ca="1" si="477"/>
        <v>196.15384615384616</v>
      </c>
      <c r="P986">
        <f t="shared" ca="1" si="478"/>
        <v>632.19399999999996</v>
      </c>
      <c r="Q986">
        <f t="shared" ca="1" si="479"/>
        <v>2593.2710316486618</v>
      </c>
      <c r="R986">
        <f t="shared" ca="1" si="480"/>
        <v>482.07306851378365</v>
      </c>
      <c r="S986">
        <f t="shared" ca="1" si="481"/>
        <v>280.07692026646265</v>
      </c>
      <c r="T986">
        <f t="shared" ca="1" si="482"/>
        <v>1019.7665564573041</v>
      </c>
      <c r="U986">
        <f t="shared" ca="1" si="503"/>
        <v>-481.77679776328796</v>
      </c>
      <c r="V986">
        <f t="shared" ca="1" si="504"/>
        <v>0</v>
      </c>
      <c r="W986">
        <f t="shared" ca="1" si="483"/>
        <v>0.05</v>
      </c>
      <c r="X986">
        <f t="shared" ca="1" si="484"/>
        <v>0.26</v>
      </c>
      <c r="Y986">
        <f t="shared" ca="1" si="485"/>
        <v>4.9056603773584909E-2</v>
      </c>
      <c r="Z986">
        <f t="shared" ca="1" si="486"/>
        <v>196.15384615384616</v>
      </c>
      <c r="AA986">
        <f t="shared" ca="1" si="487"/>
        <v>632.19399999999996</v>
      </c>
      <c r="AB986">
        <f t="shared" ca="1" si="488"/>
        <v>2593.2710316486618</v>
      </c>
      <c r="AC986">
        <f t="shared" ca="1" si="489"/>
        <v>482.07306851378365</v>
      </c>
      <c r="AD986">
        <f t="shared" ca="1" si="490"/>
        <v>280.07692026646265</v>
      </c>
      <c r="AE986">
        <f t="shared" ca="1" si="491"/>
        <v>1019.7665564573041</v>
      </c>
      <c r="AF986">
        <f t="shared" ca="1" si="492"/>
        <v>482.25887083179077</v>
      </c>
      <c r="AG986">
        <f t="shared" ca="1" si="493"/>
        <v>0</v>
      </c>
      <c r="AH986">
        <f ca="1">IF(V32="Supercritical",L986,IF(V32="Subcritical",W986,IF(AND(V986=1,AG986=1),IF(T986&gt;=AE986,L986,W986),IF(V986=1,L986,IF(AG986=1,W986,MAX($D$16,POWER((ABS(K986)^2)/($I$5*MAX(F986,0.1)^2),1/3)))))))</f>
        <v>2.1403668656741068</v>
      </c>
      <c r="AI986">
        <f t="shared" ca="1" si="494"/>
        <v>634.28436686567409</v>
      </c>
      <c r="AJ986">
        <f t="shared" ca="1" si="495"/>
        <v>635.35455029851119</v>
      </c>
      <c r="AM986">
        <v>0</v>
      </c>
      <c r="AN986">
        <v>0</v>
      </c>
      <c r="AO986">
        <f t="shared" si="496"/>
        <v>0</v>
      </c>
      <c r="AP986">
        <f t="shared" si="505"/>
        <v>0</v>
      </c>
      <c r="AQ986">
        <f t="shared" ca="1" si="497"/>
        <v>0.99999999999999978</v>
      </c>
      <c r="AR986" t="str">
        <f t="shared" ca="1" si="498"/>
        <v>Supercritical</v>
      </c>
      <c r="AS986">
        <f t="shared" ca="1" si="499"/>
        <v>3.8148159832266538E-3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191</v>
      </c>
      <c r="I987">
        <v>5.7000000000000002E-2</v>
      </c>
      <c r="J987">
        <f t="shared" si="500"/>
        <v>1</v>
      </c>
      <c r="K987">
        <f t="shared" si="501"/>
        <v>51</v>
      </c>
      <c r="L987">
        <f t="shared" ca="1" si="502"/>
        <v>0.05</v>
      </c>
      <c r="M987">
        <f t="shared" ca="1" si="475"/>
        <v>0.26</v>
      </c>
      <c r="N987">
        <f t="shared" ca="1" si="476"/>
        <v>4.9056603773584909E-2</v>
      </c>
      <c r="O987">
        <f t="shared" ca="1" si="477"/>
        <v>196.15384615384616</v>
      </c>
      <c r="P987">
        <f t="shared" ca="1" si="478"/>
        <v>632.19349999999997</v>
      </c>
      <c r="Q987">
        <f t="shared" ca="1" si="479"/>
        <v>2593.2705316486622</v>
      </c>
      <c r="R987">
        <f t="shared" ca="1" si="480"/>
        <v>482.07306851378365</v>
      </c>
      <c r="S987">
        <f t="shared" ca="1" si="481"/>
        <v>280.07692026646265</v>
      </c>
      <c r="T987">
        <f t="shared" ca="1" si="482"/>
        <v>1019.7665564573041</v>
      </c>
      <c r="U987">
        <f t="shared" ca="1" si="503"/>
        <v>-482.25887083179077</v>
      </c>
      <c r="V987">
        <f t="shared" ca="1" si="504"/>
        <v>0</v>
      </c>
      <c r="W987">
        <f t="shared" ca="1" si="483"/>
        <v>0.05</v>
      </c>
      <c r="X987">
        <f t="shared" ca="1" si="484"/>
        <v>0.26</v>
      </c>
      <c r="Y987">
        <f t="shared" ca="1" si="485"/>
        <v>4.9056603773584909E-2</v>
      </c>
      <c r="Z987">
        <f t="shared" ca="1" si="486"/>
        <v>196.15384615384616</v>
      </c>
      <c r="AA987">
        <f t="shared" ca="1" si="487"/>
        <v>632.19349999999997</v>
      </c>
      <c r="AB987">
        <f t="shared" ca="1" si="488"/>
        <v>2593.2705316486622</v>
      </c>
      <c r="AC987">
        <f t="shared" ca="1" si="489"/>
        <v>482.07306851378365</v>
      </c>
      <c r="AD987">
        <f t="shared" ca="1" si="490"/>
        <v>280.07692026646265</v>
      </c>
      <c r="AE987">
        <f t="shared" ca="1" si="491"/>
        <v>1019.7665564573041</v>
      </c>
      <c r="AF987">
        <f t="shared" ca="1" si="492"/>
        <v>482.07256851378361</v>
      </c>
      <c r="AG987">
        <f t="shared" ca="1" si="493"/>
        <v>0</v>
      </c>
      <c r="AH987">
        <f ca="1">IF(V32="Supercritical",L987,IF(V32="Subcritical",W987,IF(AND(V987=1,AG987=1),IF(T987&gt;=AE987,L987,W987),IF(V987=1,L987,IF(AG987=1,W987,MAX($D$16,POWER((ABS(K987)^2)/($I$5*MAX(F987,0.1)^2),1/3)))))))</f>
        <v>2.1403668656741068</v>
      </c>
      <c r="AI987">
        <f t="shared" ca="1" si="494"/>
        <v>634.2838668656741</v>
      </c>
      <c r="AJ987">
        <f t="shared" ca="1" si="495"/>
        <v>635.3540502985112</v>
      </c>
      <c r="AM987">
        <v>0</v>
      </c>
      <c r="AN987">
        <v>0</v>
      </c>
      <c r="AO987">
        <f t="shared" si="496"/>
        <v>0</v>
      </c>
      <c r="AP987">
        <f t="shared" si="505"/>
        <v>0</v>
      </c>
      <c r="AQ987">
        <f t="shared" ca="1" si="497"/>
        <v>0.99999999999999978</v>
      </c>
      <c r="AR987" t="str">
        <f t="shared" ca="1" si="498"/>
        <v>Supercritical</v>
      </c>
      <c r="AS987">
        <f t="shared" ca="1" si="499"/>
        <v>3.8148159832266538E-3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191</v>
      </c>
      <c r="I988">
        <v>0</v>
      </c>
      <c r="J988">
        <f t="shared" si="500"/>
        <v>1</v>
      </c>
      <c r="K988">
        <f t="shared" si="501"/>
        <v>51</v>
      </c>
      <c r="L988">
        <f t="shared" ca="1" si="502"/>
        <v>0.05</v>
      </c>
      <c r="M988">
        <f t="shared" ca="1" si="475"/>
        <v>0.26</v>
      </c>
      <c r="N988">
        <f t="shared" ca="1" si="476"/>
        <v>4.9056603773584909E-2</v>
      </c>
      <c r="O988">
        <f t="shared" ca="1" si="477"/>
        <v>196.15384615384616</v>
      </c>
      <c r="P988">
        <f t="shared" ca="1" si="478"/>
        <v>632.19299999999998</v>
      </c>
      <c r="Q988">
        <f t="shared" ca="1" si="479"/>
        <v>2593.2700316486621</v>
      </c>
      <c r="R988">
        <f t="shared" ca="1" si="480"/>
        <v>482.07306851378365</v>
      </c>
      <c r="S988">
        <f t="shared" ca="1" si="481"/>
        <v>280.07692026646265</v>
      </c>
      <c r="T988">
        <f t="shared" ca="1" si="482"/>
        <v>1019.7665564573041</v>
      </c>
      <c r="U988">
        <f t="shared" ca="1" si="503"/>
        <v>-482.07256851378361</v>
      </c>
      <c r="V988">
        <f t="shared" ca="1" si="504"/>
        <v>0</v>
      </c>
      <c r="W988">
        <f t="shared" ca="1" si="483"/>
        <v>0.05</v>
      </c>
      <c r="X988">
        <f t="shared" ca="1" si="484"/>
        <v>0.26</v>
      </c>
      <c r="Y988">
        <f t="shared" ca="1" si="485"/>
        <v>4.9056603773584909E-2</v>
      </c>
      <c r="Z988">
        <f t="shared" ca="1" si="486"/>
        <v>196.15384615384616</v>
      </c>
      <c r="AA988">
        <f t="shared" ca="1" si="487"/>
        <v>632.19299999999998</v>
      </c>
      <c r="AB988">
        <f t="shared" ca="1" si="488"/>
        <v>2593.2700316486621</v>
      </c>
      <c r="AC988">
        <f t="shared" ca="1" si="489"/>
        <v>482.07306851378365</v>
      </c>
      <c r="AD988">
        <f t="shared" ca="1" si="490"/>
        <v>280.07692026646265</v>
      </c>
      <c r="AE988">
        <f t="shared" ca="1" si="491"/>
        <v>1019.7665564573041</v>
      </c>
      <c r="AF988">
        <f t="shared" ca="1" si="492"/>
        <v>482.25887083179032</v>
      </c>
      <c r="AG988">
        <f t="shared" ca="1" si="493"/>
        <v>0</v>
      </c>
      <c r="AH988">
        <f ca="1">IF(V32="Supercritical",L988,IF(V32="Subcritical",W988,IF(AND(V988=1,AG988=1),IF(T988&gt;=AE988,L988,W988),IF(V988=1,L988,IF(AG988=1,W988,MAX($D$16,POWER((ABS(K988)^2)/($I$5*MAX(F988,0.1)^2),1/3)))))))</f>
        <v>2.1403668656741068</v>
      </c>
      <c r="AI988">
        <f t="shared" ca="1" si="494"/>
        <v>634.28336686567411</v>
      </c>
      <c r="AJ988">
        <f t="shared" ca="1" si="495"/>
        <v>635.35355029851121</v>
      </c>
      <c r="AM988">
        <v>0</v>
      </c>
      <c r="AN988">
        <v>0</v>
      </c>
      <c r="AO988">
        <f t="shared" si="496"/>
        <v>0</v>
      </c>
      <c r="AP988">
        <f t="shared" si="505"/>
        <v>0</v>
      </c>
      <c r="AQ988">
        <f t="shared" ca="1" si="497"/>
        <v>0.99999999999999978</v>
      </c>
      <c r="AR988" t="str">
        <f t="shared" ca="1" si="498"/>
        <v>Supercritical</v>
      </c>
      <c r="AS988">
        <f t="shared" ca="1" si="499"/>
        <v>3.8148159832266538E-3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191</v>
      </c>
      <c r="I989">
        <v>5.7000000000000002E-2</v>
      </c>
      <c r="J989">
        <f t="shared" si="500"/>
        <v>1</v>
      </c>
      <c r="K989">
        <f t="shared" si="501"/>
        <v>51</v>
      </c>
      <c r="L989">
        <f t="shared" ca="1" si="502"/>
        <v>0.05</v>
      </c>
      <c r="M989">
        <f t="shared" ca="1" si="475"/>
        <v>0.26</v>
      </c>
      <c r="N989">
        <f t="shared" ca="1" si="476"/>
        <v>4.9056603773584909E-2</v>
      </c>
      <c r="O989">
        <f t="shared" ca="1" si="477"/>
        <v>196.15384615384616</v>
      </c>
      <c r="P989">
        <f t="shared" ca="1" si="478"/>
        <v>632.1925</v>
      </c>
      <c r="Q989">
        <f t="shared" ca="1" si="479"/>
        <v>2593.269531648662</v>
      </c>
      <c r="R989">
        <f t="shared" ca="1" si="480"/>
        <v>482.07306851378365</v>
      </c>
      <c r="S989">
        <f t="shared" ca="1" si="481"/>
        <v>280.07692026646265</v>
      </c>
      <c r="T989">
        <f t="shared" ca="1" si="482"/>
        <v>1019.7665564573041</v>
      </c>
      <c r="U989">
        <f t="shared" ca="1" si="503"/>
        <v>-482.25887083179032</v>
      </c>
      <c r="V989">
        <f t="shared" ca="1" si="504"/>
        <v>0</v>
      </c>
      <c r="W989">
        <f t="shared" ca="1" si="483"/>
        <v>0.05</v>
      </c>
      <c r="X989">
        <f t="shared" ca="1" si="484"/>
        <v>0.26</v>
      </c>
      <c r="Y989">
        <f t="shared" ca="1" si="485"/>
        <v>4.9056603773584909E-2</v>
      </c>
      <c r="Z989">
        <f t="shared" ca="1" si="486"/>
        <v>196.15384615384616</v>
      </c>
      <c r="AA989">
        <f t="shared" ca="1" si="487"/>
        <v>632.1925</v>
      </c>
      <c r="AB989">
        <f t="shared" ca="1" si="488"/>
        <v>2593.269531648662</v>
      </c>
      <c r="AC989">
        <f t="shared" ca="1" si="489"/>
        <v>482.07306851378365</v>
      </c>
      <c r="AD989">
        <f t="shared" ca="1" si="490"/>
        <v>280.07692026646265</v>
      </c>
      <c r="AE989">
        <f t="shared" ca="1" si="491"/>
        <v>1019.7665564573041</v>
      </c>
      <c r="AF989">
        <f t="shared" ca="1" si="492"/>
        <v>482.25887083179077</v>
      </c>
      <c r="AG989">
        <f t="shared" ca="1" si="493"/>
        <v>0</v>
      </c>
      <c r="AH989">
        <f ca="1">IF(V32="Supercritical",L989,IF(V32="Subcritical",W989,IF(AND(V989=1,AG989=1),IF(T989&gt;=AE989,L989,W989),IF(V989=1,L989,IF(AG989=1,W989,MAX($D$16,POWER((ABS(K989)^2)/($I$5*MAX(F989,0.1)^2),1/3)))))))</f>
        <v>2.1403668656741068</v>
      </c>
      <c r="AI989">
        <f t="shared" ca="1" si="494"/>
        <v>634.28286686567412</v>
      </c>
      <c r="AJ989">
        <f t="shared" ca="1" si="495"/>
        <v>635.35305029851122</v>
      </c>
      <c r="AM989">
        <v>0</v>
      </c>
      <c r="AN989">
        <v>0</v>
      </c>
      <c r="AO989">
        <f t="shared" si="496"/>
        <v>0</v>
      </c>
      <c r="AP989">
        <f t="shared" si="505"/>
        <v>0</v>
      </c>
      <c r="AQ989">
        <f t="shared" ca="1" si="497"/>
        <v>0.99999999999999978</v>
      </c>
      <c r="AR989" t="str">
        <f t="shared" ca="1" si="498"/>
        <v>Supercritical</v>
      </c>
      <c r="AS989">
        <f t="shared" ca="1" si="499"/>
        <v>3.8148159832266538E-3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191</v>
      </c>
      <c r="I990">
        <v>5.7000000000000002E-2</v>
      </c>
      <c r="J990">
        <f t="shared" si="500"/>
        <v>1</v>
      </c>
      <c r="K990">
        <f t="shared" si="501"/>
        <v>51</v>
      </c>
      <c r="L990">
        <f t="shared" ca="1" si="502"/>
        <v>0.05</v>
      </c>
      <c r="M990">
        <f t="shared" ca="1" si="475"/>
        <v>0.26</v>
      </c>
      <c r="N990">
        <f t="shared" ca="1" si="476"/>
        <v>4.9056603773584909E-2</v>
      </c>
      <c r="O990">
        <f t="shared" ca="1" si="477"/>
        <v>196.15384615384616</v>
      </c>
      <c r="P990">
        <f t="shared" ca="1" si="478"/>
        <v>632.19200000000001</v>
      </c>
      <c r="Q990">
        <f t="shared" ca="1" si="479"/>
        <v>2593.2690316486623</v>
      </c>
      <c r="R990">
        <f t="shared" ca="1" si="480"/>
        <v>482.07306851378365</v>
      </c>
      <c r="S990">
        <f t="shared" ca="1" si="481"/>
        <v>280.07692026646265</v>
      </c>
      <c r="T990">
        <f t="shared" ca="1" si="482"/>
        <v>1019.7665564573041</v>
      </c>
      <c r="U990">
        <f t="shared" ca="1" si="503"/>
        <v>-482.25887083179077</v>
      </c>
      <c r="V990">
        <f t="shared" ca="1" si="504"/>
        <v>0</v>
      </c>
      <c r="W990">
        <f t="shared" ca="1" si="483"/>
        <v>0.05</v>
      </c>
      <c r="X990">
        <f t="shared" ca="1" si="484"/>
        <v>0.26</v>
      </c>
      <c r="Y990">
        <f t="shared" ca="1" si="485"/>
        <v>4.9056603773584909E-2</v>
      </c>
      <c r="Z990">
        <f t="shared" ca="1" si="486"/>
        <v>196.15384615384616</v>
      </c>
      <c r="AA990">
        <f t="shared" ca="1" si="487"/>
        <v>632.19200000000001</v>
      </c>
      <c r="AB990">
        <f t="shared" ca="1" si="488"/>
        <v>2593.2690316486623</v>
      </c>
      <c r="AC990">
        <f t="shared" ca="1" si="489"/>
        <v>482.07306851378365</v>
      </c>
      <c r="AD990">
        <f t="shared" ca="1" si="490"/>
        <v>280.07692026646265</v>
      </c>
      <c r="AE990">
        <f t="shared" ca="1" si="491"/>
        <v>1019.7665564573041</v>
      </c>
      <c r="AF990">
        <f t="shared" ca="1" si="492"/>
        <v>482.07256851378361</v>
      </c>
      <c r="AG990">
        <f t="shared" ca="1" si="493"/>
        <v>0</v>
      </c>
      <c r="AH990">
        <f ca="1">IF(V32="Supercritical",L990,IF(V32="Subcritical",W990,IF(AND(V990=1,AG990=1),IF(T990&gt;=AE990,L990,W990),IF(V990=1,L990,IF(AG990=1,W990,MAX($D$16,POWER((ABS(K990)^2)/($I$5*MAX(F990,0.1)^2),1/3)))))))</f>
        <v>2.1403668656741068</v>
      </c>
      <c r="AI990">
        <f t="shared" ca="1" si="494"/>
        <v>634.28236686567413</v>
      </c>
      <c r="AJ990">
        <f t="shared" ca="1" si="495"/>
        <v>635.35255029851123</v>
      </c>
      <c r="AM990">
        <v>0</v>
      </c>
      <c r="AN990">
        <v>0</v>
      </c>
      <c r="AO990">
        <f t="shared" si="496"/>
        <v>0</v>
      </c>
      <c r="AP990">
        <f t="shared" si="505"/>
        <v>0</v>
      </c>
      <c r="AQ990">
        <f t="shared" ca="1" si="497"/>
        <v>0.99999999999999978</v>
      </c>
      <c r="AR990" t="str">
        <f t="shared" ca="1" si="498"/>
        <v>Supercritical</v>
      </c>
      <c r="AS990">
        <f t="shared" ca="1" si="499"/>
        <v>3.8148159832266538E-3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191</v>
      </c>
      <c r="I991">
        <v>0</v>
      </c>
      <c r="J991">
        <f t="shared" si="500"/>
        <v>1</v>
      </c>
      <c r="K991">
        <f t="shared" si="501"/>
        <v>51</v>
      </c>
      <c r="L991">
        <f t="shared" ca="1" si="502"/>
        <v>0.05</v>
      </c>
      <c r="M991">
        <f t="shared" ca="1" si="475"/>
        <v>0.26</v>
      </c>
      <c r="N991">
        <f t="shared" ca="1" si="476"/>
        <v>4.9056603773584909E-2</v>
      </c>
      <c r="O991">
        <f t="shared" ca="1" si="477"/>
        <v>196.15384615384616</v>
      </c>
      <c r="P991">
        <f t="shared" ca="1" si="478"/>
        <v>632.19149999999991</v>
      </c>
      <c r="Q991">
        <f t="shared" ca="1" si="479"/>
        <v>2593.2685316486622</v>
      </c>
      <c r="R991">
        <f t="shared" ca="1" si="480"/>
        <v>482.07306851378365</v>
      </c>
      <c r="S991">
        <f t="shared" ca="1" si="481"/>
        <v>280.07692026646265</v>
      </c>
      <c r="T991">
        <f t="shared" ca="1" si="482"/>
        <v>1019.7665564573041</v>
      </c>
      <c r="U991">
        <f t="shared" ca="1" si="503"/>
        <v>-482.07256851378361</v>
      </c>
      <c r="V991">
        <f t="shared" ca="1" si="504"/>
        <v>0</v>
      </c>
      <c r="W991">
        <f t="shared" ca="1" si="483"/>
        <v>0.05</v>
      </c>
      <c r="X991">
        <f t="shared" ca="1" si="484"/>
        <v>0.26</v>
      </c>
      <c r="Y991">
        <f t="shared" ca="1" si="485"/>
        <v>4.9056603773584909E-2</v>
      </c>
      <c r="Z991">
        <f t="shared" ca="1" si="486"/>
        <v>196.15384615384616</v>
      </c>
      <c r="AA991">
        <f t="shared" ca="1" si="487"/>
        <v>632.19149999999991</v>
      </c>
      <c r="AB991">
        <f t="shared" ca="1" si="488"/>
        <v>2593.2685316486622</v>
      </c>
      <c r="AC991">
        <f t="shared" ca="1" si="489"/>
        <v>482.07306851378365</v>
      </c>
      <c r="AD991">
        <f t="shared" ca="1" si="490"/>
        <v>280.07692026646265</v>
      </c>
      <c r="AE991">
        <f t="shared" ca="1" si="491"/>
        <v>1019.7665564573041</v>
      </c>
      <c r="AF991">
        <f t="shared" ca="1" si="492"/>
        <v>482.07910543722255</v>
      </c>
      <c r="AG991">
        <f t="shared" ca="1" si="493"/>
        <v>0</v>
      </c>
      <c r="AH991">
        <f ca="1">IF(V32="Supercritical",L991,IF(V32="Subcritical",W991,IF(AND(V991=1,AG991=1),IF(T991&gt;=AE991,L991,W991),IF(V991=1,L991,IF(AG991=1,W991,MAX($D$16,POWER((ABS(K991)^2)/($I$5*MAX(F991,0.1)^2),1/3)))))))</f>
        <v>2.1403668656741068</v>
      </c>
      <c r="AI991">
        <f t="shared" ca="1" si="494"/>
        <v>634.28186686567403</v>
      </c>
      <c r="AJ991">
        <f t="shared" ca="1" si="495"/>
        <v>635.35205029851113</v>
      </c>
      <c r="AM991">
        <v>0</v>
      </c>
      <c r="AN991">
        <v>0</v>
      </c>
      <c r="AO991">
        <f t="shared" si="496"/>
        <v>0</v>
      </c>
      <c r="AP991">
        <f t="shared" si="505"/>
        <v>0</v>
      </c>
      <c r="AQ991">
        <f t="shared" ca="1" si="497"/>
        <v>0.99999999999999978</v>
      </c>
      <c r="AR991" t="str">
        <f t="shared" ca="1" si="498"/>
        <v>Supercritical</v>
      </c>
      <c r="AS991">
        <f t="shared" ca="1" si="499"/>
        <v>3.8148159832266538E-3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191</v>
      </c>
      <c r="I992">
        <v>2E-3</v>
      </c>
      <c r="J992">
        <f t="shared" si="500"/>
        <v>1</v>
      </c>
      <c r="K992">
        <f t="shared" si="501"/>
        <v>51</v>
      </c>
      <c r="L992">
        <f t="shared" ca="1" si="502"/>
        <v>0.05</v>
      </c>
      <c r="M992">
        <f t="shared" ca="1" si="475"/>
        <v>0.26</v>
      </c>
      <c r="N992">
        <f t="shared" ca="1" si="476"/>
        <v>4.9056603773584909E-2</v>
      </c>
      <c r="O992">
        <f t="shared" ca="1" si="477"/>
        <v>196.15384615384616</v>
      </c>
      <c r="P992">
        <f t="shared" ca="1" si="478"/>
        <v>632.19099999999992</v>
      </c>
      <c r="Q992">
        <f t="shared" ca="1" si="479"/>
        <v>2593.2680316486621</v>
      </c>
      <c r="R992">
        <f t="shared" ca="1" si="480"/>
        <v>482.07306851378365</v>
      </c>
      <c r="S992">
        <f t="shared" ca="1" si="481"/>
        <v>280.07692026646265</v>
      </c>
      <c r="T992">
        <f t="shared" ca="1" si="482"/>
        <v>1019.7665564573041</v>
      </c>
      <c r="U992">
        <f t="shared" ca="1" si="503"/>
        <v>-482.07910543722255</v>
      </c>
      <c r="V992">
        <f t="shared" ca="1" si="504"/>
        <v>0</v>
      </c>
      <c r="W992">
        <f t="shared" ca="1" si="483"/>
        <v>0.05</v>
      </c>
      <c r="X992">
        <f t="shared" ca="1" si="484"/>
        <v>0.26</v>
      </c>
      <c r="Y992">
        <f t="shared" ca="1" si="485"/>
        <v>4.9056603773584909E-2</v>
      </c>
      <c r="Z992">
        <f t="shared" ca="1" si="486"/>
        <v>196.15384615384616</v>
      </c>
      <c r="AA992">
        <f t="shared" ca="1" si="487"/>
        <v>632.19099999999992</v>
      </c>
      <c r="AB992">
        <f t="shared" ca="1" si="488"/>
        <v>2593.2680316486621</v>
      </c>
      <c r="AC992">
        <f t="shared" ca="1" si="489"/>
        <v>482.07306851378365</v>
      </c>
      <c r="AD992">
        <f t="shared" ca="1" si="490"/>
        <v>280.07692026646265</v>
      </c>
      <c r="AE992">
        <f t="shared" ca="1" si="491"/>
        <v>1019.7665564573041</v>
      </c>
      <c r="AF992">
        <f t="shared" ca="1" si="492"/>
        <v>482.75074928545064</v>
      </c>
      <c r="AG992">
        <f t="shared" ca="1" si="493"/>
        <v>0</v>
      </c>
      <c r="AH992">
        <f ca="1">IF(V32="Supercritical",L992,IF(V32="Subcritical",W992,IF(AND(V992=1,AG992=1),IF(T992&gt;=AE992,L992,W992),IF(V992=1,L992,IF(AG992=1,W992,MAX($D$16,POWER((ABS(K992)^2)/($I$5*MAX(F992,0.1)^2),1/3)))))))</f>
        <v>2.1403668656741068</v>
      </c>
      <c r="AI992">
        <f t="shared" ca="1" si="494"/>
        <v>634.28136686567404</v>
      </c>
      <c r="AJ992">
        <f t="shared" ca="1" si="495"/>
        <v>635.35155029851114</v>
      </c>
      <c r="AM992">
        <v>0</v>
      </c>
      <c r="AN992">
        <v>0</v>
      </c>
      <c r="AO992">
        <f t="shared" si="496"/>
        <v>0</v>
      </c>
      <c r="AP992">
        <f t="shared" si="505"/>
        <v>0</v>
      </c>
      <c r="AQ992">
        <f t="shared" ca="1" si="497"/>
        <v>0.99999999999999978</v>
      </c>
      <c r="AR992" t="str">
        <f t="shared" ca="1" si="498"/>
        <v>Supercritical</v>
      </c>
      <c r="AS992">
        <f t="shared" ca="1" si="499"/>
        <v>3.8148159832266538E-3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191</v>
      </c>
      <c r="I993">
        <v>0.06</v>
      </c>
      <c r="J993">
        <f t="shared" si="500"/>
        <v>1.0009999999999764</v>
      </c>
      <c r="K993">
        <f t="shared" si="501"/>
        <v>51</v>
      </c>
      <c r="L993">
        <f t="shared" ca="1" si="502"/>
        <v>0.05</v>
      </c>
      <c r="M993">
        <f t="shared" ca="1" si="475"/>
        <v>0.26</v>
      </c>
      <c r="N993">
        <f t="shared" ca="1" si="476"/>
        <v>4.9056603773584909E-2</v>
      </c>
      <c r="O993">
        <f t="shared" ca="1" si="477"/>
        <v>196.15384615384616</v>
      </c>
      <c r="P993">
        <f t="shared" ca="1" si="478"/>
        <v>632.19049999999993</v>
      </c>
      <c r="Q993">
        <f t="shared" ca="1" si="479"/>
        <v>2593.267531648662</v>
      </c>
      <c r="R993">
        <f t="shared" ca="1" si="480"/>
        <v>482.07306851378365</v>
      </c>
      <c r="S993">
        <f t="shared" ca="1" si="481"/>
        <v>280.07692026646265</v>
      </c>
      <c r="T993">
        <f t="shared" ca="1" si="482"/>
        <v>1019.7665564573041</v>
      </c>
      <c r="U993">
        <f t="shared" ca="1" si="503"/>
        <v>-482.75074928545064</v>
      </c>
      <c r="V993">
        <f t="shared" ca="1" si="504"/>
        <v>0</v>
      </c>
      <c r="W993">
        <f t="shared" ca="1" si="483"/>
        <v>0.05</v>
      </c>
      <c r="X993">
        <f t="shared" ca="1" si="484"/>
        <v>0.26</v>
      </c>
      <c r="Y993">
        <f t="shared" ca="1" si="485"/>
        <v>4.9056603773584909E-2</v>
      </c>
      <c r="Z993">
        <f t="shared" ca="1" si="486"/>
        <v>196.15384615384616</v>
      </c>
      <c r="AA993">
        <f t="shared" ca="1" si="487"/>
        <v>632.19049999999993</v>
      </c>
      <c r="AB993">
        <f t="shared" ca="1" si="488"/>
        <v>2593.267531648662</v>
      </c>
      <c r="AC993">
        <f t="shared" ca="1" si="489"/>
        <v>482.07306851378365</v>
      </c>
      <c r="AD993">
        <f t="shared" ca="1" si="490"/>
        <v>280.07692026646265</v>
      </c>
      <c r="AE993">
        <f t="shared" ca="1" si="491"/>
        <v>1019.7665564573041</v>
      </c>
      <c r="AF993">
        <f t="shared" ca="1" si="492"/>
        <v>482.25887083179032</v>
      </c>
      <c r="AG993">
        <f t="shared" ca="1" si="493"/>
        <v>0</v>
      </c>
      <c r="AH993">
        <f ca="1">IF(V32="Supercritical",L993,IF(V32="Subcritical",W993,IF(AND(V993=1,AG993=1),IF(T993&gt;=AE993,L993,W993),IF(V993=1,L993,IF(AG993=1,W993,MAX($D$16,POWER((ABS(K993)^2)/($I$5*MAX(F993,0.1)^2),1/3)))))))</f>
        <v>2.1403668656741068</v>
      </c>
      <c r="AI993">
        <f t="shared" ca="1" si="494"/>
        <v>634.28086686567406</v>
      </c>
      <c r="AJ993">
        <f t="shared" ca="1" si="495"/>
        <v>635.35105029851115</v>
      </c>
      <c r="AM993">
        <v>0</v>
      </c>
      <c r="AN993">
        <v>0</v>
      </c>
      <c r="AO993">
        <f t="shared" si="496"/>
        <v>0</v>
      </c>
      <c r="AP993">
        <f t="shared" si="505"/>
        <v>0</v>
      </c>
      <c r="AQ993">
        <f t="shared" ca="1" si="497"/>
        <v>0.99999999999999978</v>
      </c>
      <c r="AR993" t="str">
        <f t="shared" ca="1" si="498"/>
        <v>Supercritical</v>
      </c>
      <c r="AS993">
        <f t="shared" ca="1" si="499"/>
        <v>3.8148159832266538E-3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191</v>
      </c>
      <c r="I994">
        <v>5.7000000000000002E-2</v>
      </c>
      <c r="J994">
        <f t="shared" si="500"/>
        <v>1</v>
      </c>
      <c r="K994">
        <f t="shared" si="501"/>
        <v>51</v>
      </c>
      <c r="L994">
        <f t="shared" ca="1" si="502"/>
        <v>0.05</v>
      </c>
      <c r="M994">
        <f t="shared" ca="1" si="475"/>
        <v>0.26</v>
      </c>
      <c r="N994">
        <f t="shared" ca="1" si="476"/>
        <v>4.9056603773584909E-2</v>
      </c>
      <c r="O994">
        <f t="shared" ca="1" si="477"/>
        <v>196.15384615384616</v>
      </c>
      <c r="P994">
        <f t="shared" ca="1" si="478"/>
        <v>632.18999999999994</v>
      </c>
      <c r="Q994">
        <f t="shared" ca="1" si="479"/>
        <v>2593.2670316486619</v>
      </c>
      <c r="R994">
        <f t="shared" ca="1" si="480"/>
        <v>482.07306851378365</v>
      </c>
      <c r="S994">
        <f t="shared" ca="1" si="481"/>
        <v>280.07692026646265</v>
      </c>
      <c r="T994">
        <f t="shared" ca="1" si="482"/>
        <v>1019.7665564573041</v>
      </c>
      <c r="U994">
        <f t="shared" ca="1" si="503"/>
        <v>-482.25887083179032</v>
      </c>
      <c r="V994">
        <f t="shared" ca="1" si="504"/>
        <v>0</v>
      </c>
      <c r="W994">
        <f t="shared" ca="1" si="483"/>
        <v>0.05</v>
      </c>
      <c r="X994">
        <f t="shared" ca="1" si="484"/>
        <v>0.26</v>
      </c>
      <c r="Y994">
        <f t="shared" ca="1" si="485"/>
        <v>4.9056603773584909E-2</v>
      </c>
      <c r="Z994">
        <f t="shared" ca="1" si="486"/>
        <v>196.15384615384616</v>
      </c>
      <c r="AA994">
        <f t="shared" ca="1" si="487"/>
        <v>632.18999999999994</v>
      </c>
      <c r="AB994">
        <f t="shared" ca="1" si="488"/>
        <v>2593.2670316486619</v>
      </c>
      <c r="AC994">
        <f t="shared" ca="1" si="489"/>
        <v>482.07306851378365</v>
      </c>
      <c r="AD994">
        <f t="shared" ca="1" si="490"/>
        <v>280.07692026646265</v>
      </c>
      <c r="AE994">
        <f t="shared" ca="1" si="491"/>
        <v>1019.7665564573041</v>
      </c>
      <c r="AF994">
        <f t="shared" ca="1" si="492"/>
        <v>482.07256851378361</v>
      </c>
      <c r="AG994">
        <f t="shared" ca="1" si="493"/>
        <v>0</v>
      </c>
      <c r="AH994">
        <f ca="1">IF(V32="Supercritical",L994,IF(V32="Subcritical",W994,IF(AND(V994=1,AG994=1),IF(T994&gt;=AE994,L994,W994),IF(V994=1,L994,IF(AG994=1,W994,MAX($D$16,POWER((ABS(K994)^2)/($I$5*MAX(F994,0.1)^2),1/3)))))))</f>
        <v>2.1403668656741068</v>
      </c>
      <c r="AI994">
        <f t="shared" ca="1" si="494"/>
        <v>634.28036686567407</v>
      </c>
      <c r="AJ994">
        <f t="shared" ca="1" si="495"/>
        <v>635.35055029851117</v>
      </c>
      <c r="AM994">
        <v>0</v>
      </c>
      <c r="AN994">
        <v>0</v>
      </c>
      <c r="AO994">
        <f t="shared" si="496"/>
        <v>0</v>
      </c>
      <c r="AP994">
        <f t="shared" si="505"/>
        <v>0</v>
      </c>
      <c r="AQ994">
        <f t="shared" ca="1" si="497"/>
        <v>0.99999999999999978</v>
      </c>
      <c r="AR994" t="str">
        <f t="shared" ca="1" si="498"/>
        <v>Supercritical</v>
      </c>
      <c r="AS994">
        <f t="shared" ca="1" si="499"/>
        <v>3.8148159832266538E-3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191</v>
      </c>
      <c r="I995">
        <v>0</v>
      </c>
      <c r="J995">
        <f t="shared" si="500"/>
        <v>1</v>
      </c>
      <c r="K995">
        <f t="shared" si="501"/>
        <v>51</v>
      </c>
      <c r="L995">
        <f t="shared" ca="1" si="502"/>
        <v>0.05</v>
      </c>
      <c r="M995">
        <f t="shared" ca="1" si="475"/>
        <v>0.26</v>
      </c>
      <c r="N995">
        <f t="shared" ca="1" si="476"/>
        <v>4.9056603773584909E-2</v>
      </c>
      <c r="O995">
        <f t="shared" ca="1" si="477"/>
        <v>196.15384615384616</v>
      </c>
      <c r="P995">
        <f t="shared" ca="1" si="478"/>
        <v>632.18949999999995</v>
      </c>
      <c r="Q995">
        <f t="shared" ca="1" si="479"/>
        <v>2593.2665316486618</v>
      </c>
      <c r="R995">
        <f t="shared" ca="1" si="480"/>
        <v>482.07306851378365</v>
      </c>
      <c r="S995">
        <f t="shared" ca="1" si="481"/>
        <v>280.07692026646265</v>
      </c>
      <c r="T995">
        <f t="shared" ca="1" si="482"/>
        <v>1019.7665564573041</v>
      </c>
      <c r="U995">
        <f t="shared" ca="1" si="503"/>
        <v>-482.07256851378361</v>
      </c>
      <c r="V995">
        <f t="shared" ca="1" si="504"/>
        <v>0</v>
      </c>
      <c r="W995">
        <f t="shared" ca="1" si="483"/>
        <v>0.05</v>
      </c>
      <c r="X995">
        <f t="shared" ca="1" si="484"/>
        <v>0.26</v>
      </c>
      <c r="Y995">
        <f t="shared" ca="1" si="485"/>
        <v>4.9056603773584909E-2</v>
      </c>
      <c r="Z995">
        <f t="shared" ca="1" si="486"/>
        <v>196.15384615384616</v>
      </c>
      <c r="AA995">
        <f t="shared" ca="1" si="487"/>
        <v>632.18949999999995</v>
      </c>
      <c r="AB995">
        <f t="shared" ca="1" si="488"/>
        <v>2593.2665316486618</v>
      </c>
      <c r="AC995">
        <f t="shared" ca="1" si="489"/>
        <v>482.07306851378365</v>
      </c>
      <c r="AD995">
        <f t="shared" ca="1" si="490"/>
        <v>280.07692026646265</v>
      </c>
      <c r="AE995">
        <f t="shared" ca="1" si="491"/>
        <v>1019.7665564573041</v>
      </c>
      <c r="AF995">
        <f t="shared" ca="1" si="492"/>
        <v>481.5904954452817</v>
      </c>
      <c r="AG995">
        <f t="shared" ca="1" si="493"/>
        <v>0</v>
      </c>
      <c r="AH995">
        <f ca="1">IF(V32="Supercritical",L995,IF(V32="Subcritical",W995,IF(AND(V995=1,AG995=1),IF(T995&gt;=AE995,L995,W995),IF(V995=1,L995,IF(AG995=1,W995,MAX($D$16,POWER((ABS(K995)^2)/($I$5*MAX(F995,0.1)^2),1/3)))))))</f>
        <v>2.1403668656741068</v>
      </c>
      <c r="AI995">
        <f t="shared" ca="1" si="494"/>
        <v>634.27986686567408</v>
      </c>
      <c r="AJ995">
        <f t="shared" ca="1" si="495"/>
        <v>635.35005029851118</v>
      </c>
      <c r="AM995">
        <v>0</v>
      </c>
      <c r="AN995">
        <v>0</v>
      </c>
      <c r="AO995">
        <f t="shared" si="496"/>
        <v>0</v>
      </c>
      <c r="AP995">
        <f t="shared" si="505"/>
        <v>0</v>
      </c>
      <c r="AQ995">
        <f t="shared" ca="1" si="497"/>
        <v>0.99999999999999978</v>
      </c>
      <c r="AR995" t="str">
        <f t="shared" ca="1" si="498"/>
        <v>Supercritical</v>
      </c>
      <c r="AS995">
        <f t="shared" ca="1" si="499"/>
        <v>3.8148159832266538E-3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191</v>
      </c>
      <c r="I996">
        <v>0</v>
      </c>
      <c r="J996">
        <f t="shared" si="500"/>
        <v>0.99900000000002365</v>
      </c>
      <c r="K996">
        <f t="shared" si="501"/>
        <v>51</v>
      </c>
      <c r="L996">
        <f t="shared" ca="1" si="502"/>
        <v>0.05</v>
      </c>
      <c r="M996">
        <f t="shared" ca="1" si="475"/>
        <v>0.26</v>
      </c>
      <c r="N996">
        <f t="shared" ca="1" si="476"/>
        <v>4.9056603773584909E-2</v>
      </c>
      <c r="O996">
        <f t="shared" ca="1" si="477"/>
        <v>196.15384615384616</v>
      </c>
      <c r="P996">
        <f t="shared" ca="1" si="478"/>
        <v>632.18899999999996</v>
      </c>
      <c r="Q996">
        <f t="shared" ca="1" si="479"/>
        <v>2593.2660316486622</v>
      </c>
      <c r="R996">
        <f t="shared" ca="1" si="480"/>
        <v>482.07306851378365</v>
      </c>
      <c r="S996">
        <f t="shared" ca="1" si="481"/>
        <v>280.07692026646265</v>
      </c>
      <c r="T996">
        <f t="shared" ca="1" si="482"/>
        <v>1019.7665564573041</v>
      </c>
      <c r="U996">
        <f t="shared" ca="1" si="503"/>
        <v>-481.5904954452817</v>
      </c>
      <c r="V996">
        <f t="shared" ca="1" si="504"/>
        <v>0</v>
      </c>
      <c r="W996">
        <f t="shared" ca="1" si="483"/>
        <v>0.05</v>
      </c>
      <c r="X996">
        <f t="shared" ca="1" si="484"/>
        <v>0.26</v>
      </c>
      <c r="Y996">
        <f t="shared" ca="1" si="485"/>
        <v>4.9056603773584909E-2</v>
      </c>
      <c r="Z996">
        <f t="shared" ca="1" si="486"/>
        <v>196.15384615384616</v>
      </c>
      <c r="AA996">
        <f t="shared" ca="1" si="487"/>
        <v>632.18899999999996</v>
      </c>
      <c r="AB996">
        <f t="shared" ca="1" si="488"/>
        <v>2593.2660316486622</v>
      </c>
      <c r="AC996">
        <f t="shared" ca="1" si="489"/>
        <v>482.07306851378365</v>
      </c>
      <c r="AD996">
        <f t="shared" ca="1" si="490"/>
        <v>280.07692026646265</v>
      </c>
      <c r="AE996">
        <f t="shared" ca="1" si="491"/>
        <v>1019.7665564573041</v>
      </c>
      <c r="AF996">
        <f t="shared" ca="1" si="492"/>
        <v>482.25887083179032</v>
      </c>
      <c r="AG996">
        <f t="shared" ca="1" si="493"/>
        <v>0</v>
      </c>
      <c r="AH996">
        <f ca="1">IF(V32="Supercritical",L996,IF(V32="Subcritical",W996,IF(AND(V996=1,AG996=1),IF(T996&gt;=AE996,L996,W996),IF(V996=1,L996,IF(AG996=1,W996,MAX($D$16,POWER((ABS(K996)^2)/($I$5*MAX(F996,0.1)^2),1/3)))))))</f>
        <v>2.1403668656741068</v>
      </c>
      <c r="AI996">
        <f t="shared" ca="1" si="494"/>
        <v>634.27936686567409</v>
      </c>
      <c r="AJ996">
        <f t="shared" ca="1" si="495"/>
        <v>635.34955029851119</v>
      </c>
      <c r="AM996">
        <v>0</v>
      </c>
      <c r="AN996">
        <v>0</v>
      </c>
      <c r="AO996">
        <f t="shared" si="496"/>
        <v>0</v>
      </c>
      <c r="AP996">
        <f t="shared" si="505"/>
        <v>0</v>
      </c>
      <c r="AQ996">
        <f t="shared" ca="1" si="497"/>
        <v>0.99999999999999978</v>
      </c>
      <c r="AR996" t="str">
        <f t="shared" ca="1" si="498"/>
        <v>Supercritical</v>
      </c>
      <c r="AS996">
        <f t="shared" ca="1" si="499"/>
        <v>3.8148159832266538E-3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191</v>
      </c>
      <c r="I997">
        <v>5.7000000000000002E-2</v>
      </c>
      <c r="J997">
        <f t="shared" si="500"/>
        <v>1</v>
      </c>
      <c r="K997">
        <f t="shared" si="501"/>
        <v>51</v>
      </c>
      <c r="L997">
        <f t="shared" ca="1" si="502"/>
        <v>0.05</v>
      </c>
      <c r="M997">
        <f t="shared" ca="1" si="475"/>
        <v>0.26</v>
      </c>
      <c r="N997">
        <f t="shared" ca="1" si="476"/>
        <v>4.9056603773584909E-2</v>
      </c>
      <c r="O997">
        <f t="shared" ca="1" si="477"/>
        <v>196.15384615384616</v>
      </c>
      <c r="P997">
        <f t="shared" ca="1" si="478"/>
        <v>632.18849999999998</v>
      </c>
      <c r="Q997">
        <f t="shared" ca="1" si="479"/>
        <v>2593.2655316486621</v>
      </c>
      <c r="R997">
        <f t="shared" ca="1" si="480"/>
        <v>482.07306851378365</v>
      </c>
      <c r="S997">
        <f t="shared" ca="1" si="481"/>
        <v>280.07692026646265</v>
      </c>
      <c r="T997">
        <f t="shared" ca="1" si="482"/>
        <v>1019.7665564573041</v>
      </c>
      <c r="U997">
        <f t="shared" ca="1" si="503"/>
        <v>-482.25887083179032</v>
      </c>
      <c r="V997">
        <f t="shared" ca="1" si="504"/>
        <v>0</v>
      </c>
      <c r="W997">
        <f t="shared" ca="1" si="483"/>
        <v>0.05</v>
      </c>
      <c r="X997">
        <f t="shared" ca="1" si="484"/>
        <v>0.26</v>
      </c>
      <c r="Y997">
        <f t="shared" ca="1" si="485"/>
        <v>4.9056603773584909E-2</v>
      </c>
      <c r="Z997">
        <f t="shared" ca="1" si="486"/>
        <v>196.15384615384616</v>
      </c>
      <c r="AA997">
        <f t="shared" ca="1" si="487"/>
        <v>632.18849999999998</v>
      </c>
      <c r="AB997">
        <f t="shared" ca="1" si="488"/>
        <v>2593.2655316486621</v>
      </c>
      <c r="AC997">
        <f t="shared" ca="1" si="489"/>
        <v>482.07306851378365</v>
      </c>
      <c r="AD997">
        <f t="shared" ca="1" si="490"/>
        <v>280.07692026646265</v>
      </c>
      <c r="AE997">
        <f t="shared" ca="1" si="491"/>
        <v>1019.7665564573041</v>
      </c>
      <c r="AF997">
        <f t="shared" ca="1" si="492"/>
        <v>482.25887083179032</v>
      </c>
      <c r="AG997">
        <f t="shared" ca="1" si="493"/>
        <v>0</v>
      </c>
      <c r="AH997">
        <f ca="1">IF(V32="Supercritical",L997,IF(V32="Subcritical",W997,IF(AND(V997=1,AG997=1),IF(T997&gt;=AE997,L997,W997),IF(V997=1,L997,IF(AG997=1,W997,MAX($D$16,POWER((ABS(K997)^2)/($I$5*MAX(F997,0.1)^2),1/3)))))))</f>
        <v>2.1403668656741068</v>
      </c>
      <c r="AI997">
        <f t="shared" ca="1" si="494"/>
        <v>634.2788668656741</v>
      </c>
      <c r="AJ997">
        <f t="shared" ca="1" si="495"/>
        <v>635.3490502985112</v>
      </c>
      <c r="AM997">
        <v>0</v>
      </c>
      <c r="AN997">
        <v>0</v>
      </c>
      <c r="AO997">
        <f t="shared" si="496"/>
        <v>0</v>
      </c>
      <c r="AP997">
        <f t="shared" si="505"/>
        <v>0</v>
      </c>
      <c r="AQ997">
        <f t="shared" ca="1" si="497"/>
        <v>0.99999999999999978</v>
      </c>
      <c r="AR997" t="str">
        <f t="shared" ca="1" si="498"/>
        <v>Supercritical</v>
      </c>
      <c r="AS997">
        <f t="shared" ca="1" si="499"/>
        <v>3.8148159832266538E-3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191</v>
      </c>
      <c r="I998">
        <v>5.7000000000000002E-2</v>
      </c>
      <c r="J998">
        <f t="shared" si="500"/>
        <v>1</v>
      </c>
      <c r="K998">
        <f t="shared" si="501"/>
        <v>51</v>
      </c>
      <c r="L998">
        <f t="shared" ca="1" si="502"/>
        <v>0.05</v>
      </c>
      <c r="M998">
        <f t="shared" ca="1" si="475"/>
        <v>0.26</v>
      </c>
      <c r="N998">
        <f t="shared" ca="1" si="476"/>
        <v>4.9056603773584909E-2</v>
      </c>
      <c r="O998">
        <f t="shared" ca="1" si="477"/>
        <v>196.15384615384616</v>
      </c>
      <c r="P998">
        <f t="shared" ca="1" si="478"/>
        <v>632.18799999999999</v>
      </c>
      <c r="Q998">
        <f t="shared" ca="1" si="479"/>
        <v>2593.265031648662</v>
      </c>
      <c r="R998">
        <f t="shared" ca="1" si="480"/>
        <v>482.07306851378365</v>
      </c>
      <c r="S998">
        <f t="shared" ca="1" si="481"/>
        <v>280.07692026646265</v>
      </c>
      <c r="T998">
        <f t="shared" ca="1" si="482"/>
        <v>1019.7665564573041</v>
      </c>
      <c r="U998">
        <f t="shared" ca="1" si="503"/>
        <v>-482.25887083179032</v>
      </c>
      <c r="V998">
        <f t="shared" ca="1" si="504"/>
        <v>0</v>
      </c>
      <c r="W998">
        <f t="shared" ca="1" si="483"/>
        <v>0.05</v>
      </c>
      <c r="X998">
        <f t="shared" ca="1" si="484"/>
        <v>0.26</v>
      </c>
      <c r="Y998">
        <f t="shared" ca="1" si="485"/>
        <v>4.9056603773584909E-2</v>
      </c>
      <c r="Z998">
        <f t="shared" ca="1" si="486"/>
        <v>196.15384615384616</v>
      </c>
      <c r="AA998">
        <f t="shared" ca="1" si="487"/>
        <v>632.18799999999999</v>
      </c>
      <c r="AB998">
        <f t="shared" ca="1" si="488"/>
        <v>2593.265031648662</v>
      </c>
      <c r="AC998">
        <f t="shared" ca="1" si="489"/>
        <v>482.07306851378365</v>
      </c>
      <c r="AD998">
        <f t="shared" ca="1" si="490"/>
        <v>280.07692026646265</v>
      </c>
      <c r="AE998">
        <f t="shared" ca="1" si="491"/>
        <v>1019.7665564573041</v>
      </c>
      <c r="AF998">
        <f t="shared" ca="1" si="492"/>
        <v>482.07256851378406</v>
      </c>
      <c r="AG998">
        <f t="shared" ca="1" si="493"/>
        <v>0</v>
      </c>
      <c r="AH998">
        <f ca="1">IF(V32="Supercritical",L998,IF(V32="Subcritical",W998,IF(AND(V998=1,AG998=1),IF(T998&gt;=AE998,L998,W998),IF(V998=1,L998,IF(AG998=1,W998,MAX($D$16,POWER((ABS(K998)^2)/($I$5*MAX(F998,0.1)^2),1/3)))))))</f>
        <v>2.1403668656741068</v>
      </c>
      <c r="AI998">
        <f t="shared" ca="1" si="494"/>
        <v>634.27836686567412</v>
      </c>
      <c r="AJ998">
        <f t="shared" ca="1" si="495"/>
        <v>635.34855029851121</v>
      </c>
      <c r="AM998">
        <v>0</v>
      </c>
      <c r="AN998">
        <v>0</v>
      </c>
      <c r="AO998">
        <f t="shared" si="496"/>
        <v>0</v>
      </c>
      <c r="AP998">
        <f t="shared" si="505"/>
        <v>0</v>
      </c>
      <c r="AQ998">
        <f t="shared" ca="1" si="497"/>
        <v>0.99999999999999978</v>
      </c>
      <c r="AR998" t="str">
        <f t="shared" ca="1" si="498"/>
        <v>Supercritical</v>
      </c>
      <c r="AS998">
        <f t="shared" ca="1" si="499"/>
        <v>3.8148159832266538E-3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191</v>
      </c>
      <c r="I999">
        <v>0</v>
      </c>
      <c r="J999">
        <f t="shared" si="500"/>
        <v>1</v>
      </c>
      <c r="K999">
        <f t="shared" si="501"/>
        <v>51</v>
      </c>
      <c r="L999">
        <f t="shared" ca="1" si="502"/>
        <v>0.05</v>
      </c>
      <c r="M999">
        <f t="shared" ca="1" si="475"/>
        <v>0.26</v>
      </c>
      <c r="N999">
        <f t="shared" ca="1" si="476"/>
        <v>4.9056603773584909E-2</v>
      </c>
      <c r="O999">
        <f t="shared" ca="1" si="477"/>
        <v>196.15384615384616</v>
      </c>
      <c r="P999">
        <f t="shared" ca="1" si="478"/>
        <v>632.1875</v>
      </c>
      <c r="Q999">
        <f t="shared" ca="1" si="479"/>
        <v>2593.2645316486623</v>
      </c>
      <c r="R999">
        <f t="shared" ca="1" si="480"/>
        <v>482.07306851378365</v>
      </c>
      <c r="S999">
        <f t="shared" ca="1" si="481"/>
        <v>280.07692026646265</v>
      </c>
      <c r="T999">
        <f t="shared" ca="1" si="482"/>
        <v>1019.7665564573041</v>
      </c>
      <c r="U999">
        <f t="shared" ca="1" si="503"/>
        <v>-482.07256851378406</v>
      </c>
      <c r="V999">
        <f t="shared" ca="1" si="504"/>
        <v>0</v>
      </c>
      <c r="W999">
        <f t="shared" ca="1" si="483"/>
        <v>0.05</v>
      </c>
      <c r="X999">
        <f t="shared" ca="1" si="484"/>
        <v>0.26</v>
      </c>
      <c r="Y999">
        <f t="shared" ca="1" si="485"/>
        <v>4.9056603773584909E-2</v>
      </c>
      <c r="Z999">
        <f t="shared" ca="1" si="486"/>
        <v>196.15384615384616</v>
      </c>
      <c r="AA999">
        <f t="shared" ca="1" si="487"/>
        <v>632.1875</v>
      </c>
      <c r="AB999">
        <f t="shared" ca="1" si="488"/>
        <v>2593.2645316486623</v>
      </c>
      <c r="AC999">
        <f t="shared" ca="1" si="489"/>
        <v>482.07306851378365</v>
      </c>
      <c r="AD999">
        <f t="shared" ca="1" si="490"/>
        <v>280.07692026646265</v>
      </c>
      <c r="AE999">
        <f t="shared" ca="1" si="491"/>
        <v>1019.7665564573041</v>
      </c>
      <c r="AF999">
        <f t="shared" ca="1" si="492"/>
        <v>482.07256851378361</v>
      </c>
      <c r="AG999">
        <f t="shared" ca="1" si="493"/>
        <v>0</v>
      </c>
      <c r="AH999">
        <f ca="1">IF(V32="Supercritical",L999,IF(V32="Subcritical",W999,IF(AND(V999=1,AG999=1),IF(T999&gt;=AE999,L999,W999),IF(V999=1,L999,IF(AG999=1,W999,MAX($D$16,POWER((ABS(K999)^2)/($I$5*MAX(F999,0.1)^2),1/3)))))))</f>
        <v>2.1403668656741068</v>
      </c>
      <c r="AI999">
        <f t="shared" ca="1" si="494"/>
        <v>634.27786686567413</v>
      </c>
      <c r="AJ999">
        <f t="shared" ca="1" si="495"/>
        <v>635.34805029851123</v>
      </c>
      <c r="AM999">
        <v>0</v>
      </c>
      <c r="AN999">
        <v>0</v>
      </c>
      <c r="AO999">
        <f t="shared" si="496"/>
        <v>0</v>
      </c>
      <c r="AP999">
        <f t="shared" si="505"/>
        <v>0</v>
      </c>
      <c r="AQ999">
        <f t="shared" ca="1" si="497"/>
        <v>0.99999999999999978</v>
      </c>
      <c r="AR999" t="str">
        <f t="shared" ca="1" si="498"/>
        <v>Supercritical</v>
      </c>
      <c r="AS999">
        <f t="shared" ca="1" si="499"/>
        <v>3.8148159832266538E-3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191</v>
      </c>
      <c r="I1000">
        <v>0</v>
      </c>
      <c r="J1000">
        <f t="shared" si="500"/>
        <v>1</v>
      </c>
      <c r="K1000">
        <f t="shared" si="501"/>
        <v>51</v>
      </c>
      <c r="L1000">
        <f t="shared" ca="1" si="502"/>
        <v>0.05</v>
      </c>
      <c r="M1000">
        <f t="shared" ca="1" si="475"/>
        <v>0.26</v>
      </c>
      <c r="N1000">
        <f t="shared" ca="1" si="476"/>
        <v>4.9056603773584909E-2</v>
      </c>
      <c r="O1000">
        <f t="shared" ca="1" si="477"/>
        <v>196.15384615384616</v>
      </c>
      <c r="P1000">
        <f t="shared" ca="1" si="478"/>
        <v>632.1869999999999</v>
      </c>
      <c r="Q1000">
        <f t="shared" ca="1" si="479"/>
        <v>2593.2640316486622</v>
      </c>
      <c r="R1000">
        <f t="shared" ca="1" si="480"/>
        <v>482.07306851378365</v>
      </c>
      <c r="S1000">
        <f t="shared" ca="1" si="481"/>
        <v>280.07692026646265</v>
      </c>
      <c r="T1000">
        <f t="shared" ca="1" si="482"/>
        <v>1019.7665564573041</v>
      </c>
      <c r="U1000">
        <f t="shared" ca="1" si="503"/>
        <v>-482.07256851378361</v>
      </c>
      <c r="V1000">
        <f t="shared" ca="1" si="504"/>
        <v>0</v>
      </c>
      <c r="W1000">
        <f t="shared" ca="1" si="483"/>
        <v>0.05</v>
      </c>
      <c r="X1000">
        <f t="shared" ca="1" si="484"/>
        <v>0.26</v>
      </c>
      <c r="Y1000">
        <f t="shared" ca="1" si="485"/>
        <v>4.9056603773584909E-2</v>
      </c>
      <c r="Z1000">
        <f t="shared" ca="1" si="486"/>
        <v>196.15384615384616</v>
      </c>
      <c r="AA1000">
        <f t="shared" ca="1" si="487"/>
        <v>632.1869999999999</v>
      </c>
      <c r="AB1000">
        <f t="shared" ca="1" si="488"/>
        <v>2593.2640316486622</v>
      </c>
      <c r="AC1000">
        <f t="shared" ca="1" si="489"/>
        <v>482.07306851378365</v>
      </c>
      <c r="AD1000">
        <f t="shared" ca="1" si="490"/>
        <v>280.07692026646265</v>
      </c>
      <c r="AE1000">
        <f t="shared" ca="1" si="491"/>
        <v>1019.7665564573041</v>
      </c>
      <c r="AF1000">
        <f t="shared" ca="1" si="492"/>
        <v>482.25887083179032</v>
      </c>
      <c r="AG1000">
        <f t="shared" ca="1" si="493"/>
        <v>0</v>
      </c>
      <c r="AH1000">
        <f ca="1">IF(V32="Supercritical",L1000,IF(V32="Subcritical",W1000,IF(AND(V1000=1,AG1000=1),IF(T1000&gt;=AE1000,L1000,W1000),IF(V1000=1,L1000,IF(AG1000=1,W1000,MAX($D$16,POWER((ABS(K1000)^2)/($I$5*MAX(F1000,0.1)^2),1/3)))))))</f>
        <v>2.1403668656741068</v>
      </c>
      <c r="AI1000">
        <f t="shared" ca="1" si="494"/>
        <v>634.27736686567403</v>
      </c>
      <c r="AJ1000">
        <f t="shared" ca="1" si="495"/>
        <v>635.34755029851112</v>
      </c>
      <c r="AM1000">
        <v>0</v>
      </c>
      <c r="AN1000">
        <v>0</v>
      </c>
      <c r="AO1000">
        <f t="shared" si="496"/>
        <v>0</v>
      </c>
      <c r="AP1000">
        <f t="shared" si="505"/>
        <v>0</v>
      </c>
      <c r="AQ1000">
        <f t="shared" ca="1" si="497"/>
        <v>0.99999999999999978</v>
      </c>
      <c r="AR1000" t="str">
        <f t="shared" ca="1" si="498"/>
        <v>Supercritical</v>
      </c>
      <c r="AS1000">
        <f t="shared" ca="1" si="499"/>
        <v>3.8148159832266538E-3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191</v>
      </c>
      <c r="I1001">
        <v>5.7000000000000002E-2</v>
      </c>
      <c r="J1001">
        <f t="shared" si="500"/>
        <v>1</v>
      </c>
      <c r="K1001">
        <f t="shared" si="501"/>
        <v>51</v>
      </c>
      <c r="L1001">
        <f t="shared" ca="1" si="502"/>
        <v>0.05</v>
      </c>
      <c r="M1001">
        <f t="shared" ca="1" si="475"/>
        <v>0.26</v>
      </c>
      <c r="N1001">
        <f t="shared" ca="1" si="476"/>
        <v>4.9056603773584909E-2</v>
      </c>
      <c r="O1001">
        <f t="shared" ca="1" si="477"/>
        <v>196.15384615384616</v>
      </c>
      <c r="P1001">
        <f t="shared" ca="1" si="478"/>
        <v>632.18649999999991</v>
      </c>
      <c r="Q1001">
        <f t="shared" ca="1" si="479"/>
        <v>2593.2635316486621</v>
      </c>
      <c r="R1001">
        <f t="shared" ca="1" si="480"/>
        <v>482.07306851378365</v>
      </c>
      <c r="S1001">
        <f t="shared" ca="1" si="481"/>
        <v>280.07692026646265</v>
      </c>
      <c r="T1001">
        <f t="shared" ca="1" si="482"/>
        <v>1019.7665564573041</v>
      </c>
      <c r="U1001">
        <f t="shared" ca="1" si="503"/>
        <v>-482.25887083179032</v>
      </c>
      <c r="V1001">
        <f t="shared" ca="1" si="504"/>
        <v>0</v>
      </c>
      <c r="W1001">
        <f t="shared" ca="1" si="483"/>
        <v>0.05</v>
      </c>
      <c r="X1001">
        <f t="shared" ca="1" si="484"/>
        <v>0.26</v>
      </c>
      <c r="Y1001">
        <f t="shared" ca="1" si="485"/>
        <v>4.9056603773584909E-2</v>
      </c>
      <c r="Z1001">
        <f t="shared" ca="1" si="486"/>
        <v>196.15384615384616</v>
      </c>
      <c r="AA1001">
        <f t="shared" ca="1" si="487"/>
        <v>632.18649999999991</v>
      </c>
      <c r="AB1001">
        <f t="shared" ca="1" si="488"/>
        <v>2593.2635316486621</v>
      </c>
      <c r="AC1001">
        <f t="shared" ca="1" si="489"/>
        <v>482.07306851378365</v>
      </c>
      <c r="AD1001">
        <f t="shared" ca="1" si="490"/>
        <v>280.07692026646265</v>
      </c>
      <c r="AE1001">
        <f t="shared" ca="1" si="491"/>
        <v>1019.7665564573041</v>
      </c>
      <c r="AF1001">
        <f t="shared" ca="1" si="492"/>
        <v>482.26867621694828</v>
      </c>
      <c r="AG1001">
        <f t="shared" ca="1" si="493"/>
        <v>0</v>
      </c>
      <c r="AH1001">
        <f ca="1">IF(V32="Supercritical",L1001,IF(V32="Subcritical",W1001,IF(AND(V1001=1,AG1001=1),IF(T1001&gt;=AE1001,L1001,W1001),IF(V1001=1,L1001,IF(AG1001=1,W1001,MAX($D$16,POWER((ABS(K1001)^2)/($I$5*MAX(F1001,0.1)^2),1/3)))))))</f>
        <v>2.1403668656741068</v>
      </c>
      <c r="AI1001">
        <f t="shared" ca="1" si="494"/>
        <v>634.27686686567404</v>
      </c>
      <c r="AJ1001">
        <f t="shared" ca="1" si="495"/>
        <v>635.34705029851114</v>
      </c>
      <c r="AM1001">
        <v>0</v>
      </c>
      <c r="AN1001">
        <v>0</v>
      </c>
      <c r="AO1001">
        <f t="shared" si="496"/>
        <v>0</v>
      </c>
      <c r="AP1001">
        <f t="shared" si="505"/>
        <v>0</v>
      </c>
      <c r="AQ1001">
        <f t="shared" ca="1" si="497"/>
        <v>0.99999999999999978</v>
      </c>
      <c r="AR1001" t="str">
        <f t="shared" ca="1" si="498"/>
        <v>Supercritical</v>
      </c>
      <c r="AS1001">
        <f t="shared" ca="1" si="499"/>
        <v>3.8148159832266538E-3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191</v>
      </c>
      <c r="I1002">
        <v>0.06</v>
      </c>
      <c r="J1002">
        <f t="shared" si="500"/>
        <v>1</v>
      </c>
      <c r="K1002">
        <f t="shared" si="501"/>
        <v>51</v>
      </c>
      <c r="L1002">
        <f t="shared" ca="1" si="502"/>
        <v>0.05</v>
      </c>
      <c r="M1002">
        <f t="shared" ca="1" si="475"/>
        <v>0.26</v>
      </c>
      <c r="N1002">
        <f t="shared" ca="1" si="476"/>
        <v>4.9056603773584909E-2</v>
      </c>
      <c r="O1002">
        <f t="shared" ca="1" si="477"/>
        <v>196.15384615384616</v>
      </c>
      <c r="P1002">
        <f t="shared" ca="1" si="478"/>
        <v>632.18599999999992</v>
      </c>
      <c r="Q1002">
        <f t="shared" ca="1" si="479"/>
        <v>2593.263031648662</v>
      </c>
      <c r="R1002">
        <f t="shared" ca="1" si="480"/>
        <v>482.07306851378365</v>
      </c>
      <c r="S1002">
        <f t="shared" ca="1" si="481"/>
        <v>280.07692026646265</v>
      </c>
      <c r="T1002">
        <f t="shared" ca="1" si="482"/>
        <v>1019.7665564573041</v>
      </c>
      <c r="U1002">
        <f t="shared" ca="1" si="503"/>
        <v>-482.26867621694828</v>
      </c>
      <c r="V1002">
        <f t="shared" ca="1" si="504"/>
        <v>0</v>
      </c>
      <c r="W1002">
        <f t="shared" ca="1" si="483"/>
        <v>0.05</v>
      </c>
      <c r="X1002">
        <f t="shared" ca="1" si="484"/>
        <v>0.26</v>
      </c>
      <c r="Y1002">
        <f t="shared" ca="1" si="485"/>
        <v>4.9056603773584909E-2</v>
      </c>
      <c r="Z1002">
        <f t="shared" ca="1" si="486"/>
        <v>196.15384615384616</v>
      </c>
      <c r="AA1002">
        <f t="shared" ca="1" si="487"/>
        <v>632.18599999999992</v>
      </c>
      <c r="AB1002">
        <f t="shared" ca="1" si="488"/>
        <v>2593.263031648662</v>
      </c>
      <c r="AC1002">
        <f t="shared" ca="1" si="489"/>
        <v>482.07306851378365</v>
      </c>
      <c r="AD1002">
        <f t="shared" ca="1" si="490"/>
        <v>280.07692026646265</v>
      </c>
      <c r="AE1002">
        <f t="shared" ca="1" si="491"/>
        <v>1019.7665564573041</v>
      </c>
      <c r="AF1002">
        <f t="shared" ca="1" si="492"/>
        <v>482.56117850572491</v>
      </c>
      <c r="AG1002">
        <f t="shared" ca="1" si="493"/>
        <v>0</v>
      </c>
      <c r="AH1002">
        <f ca="1">IF(V32="Supercritical",L1002,IF(V32="Subcritical",W1002,IF(AND(V1002=1,AG1002=1),IF(T1002&gt;=AE1002,L1002,W1002),IF(V1002=1,L1002,IF(AG1002=1,W1002,MAX($D$16,POWER((ABS(K1002)^2)/($I$5*MAX(F1002,0.1)^2),1/3)))))))</f>
        <v>2.1403668656741068</v>
      </c>
      <c r="AI1002">
        <f t="shared" ca="1" si="494"/>
        <v>634.27636686567405</v>
      </c>
      <c r="AJ1002">
        <f t="shared" ca="1" si="495"/>
        <v>635.34655029851115</v>
      </c>
      <c r="AM1002">
        <v>0</v>
      </c>
      <c r="AN1002">
        <v>0</v>
      </c>
      <c r="AO1002">
        <f t="shared" si="496"/>
        <v>0</v>
      </c>
      <c r="AP1002">
        <f t="shared" si="505"/>
        <v>0</v>
      </c>
      <c r="AQ1002">
        <f t="shared" ca="1" si="497"/>
        <v>0.99999999999999978</v>
      </c>
      <c r="AR1002" t="str">
        <f t="shared" ca="1" si="498"/>
        <v>Supercritical</v>
      </c>
      <c r="AS1002">
        <f t="shared" ca="1" si="499"/>
        <v>3.8148159832266538E-3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191</v>
      </c>
      <c r="I1003">
        <v>2E-3</v>
      </c>
      <c r="J1003">
        <f t="shared" si="500"/>
        <v>1.0009999999999764</v>
      </c>
      <c r="K1003">
        <f t="shared" si="501"/>
        <v>51</v>
      </c>
      <c r="L1003">
        <f t="shared" ca="1" si="502"/>
        <v>0.05</v>
      </c>
      <c r="M1003">
        <f t="shared" ca="1" si="475"/>
        <v>0.26</v>
      </c>
      <c r="N1003">
        <f t="shared" ca="1" si="476"/>
        <v>4.9056603773584909E-2</v>
      </c>
      <c r="O1003">
        <f t="shared" ca="1" si="477"/>
        <v>196.15384615384616</v>
      </c>
      <c r="P1003">
        <f t="shared" ca="1" si="478"/>
        <v>632.18549999999993</v>
      </c>
      <c r="Q1003">
        <f t="shared" ca="1" si="479"/>
        <v>2593.2625316486619</v>
      </c>
      <c r="R1003">
        <f t="shared" ca="1" si="480"/>
        <v>482.07306851378365</v>
      </c>
      <c r="S1003">
        <f t="shared" ca="1" si="481"/>
        <v>280.07692026646265</v>
      </c>
      <c r="T1003">
        <f t="shared" ca="1" si="482"/>
        <v>1019.7665564573041</v>
      </c>
      <c r="U1003">
        <f t="shared" ca="1" si="503"/>
        <v>-482.56117850572491</v>
      </c>
      <c r="V1003">
        <f t="shared" ca="1" si="504"/>
        <v>0</v>
      </c>
      <c r="W1003">
        <f t="shared" ca="1" si="483"/>
        <v>0.05</v>
      </c>
      <c r="X1003">
        <f t="shared" ca="1" si="484"/>
        <v>0.26</v>
      </c>
      <c r="Y1003">
        <f t="shared" ca="1" si="485"/>
        <v>4.9056603773584909E-2</v>
      </c>
      <c r="Z1003">
        <f t="shared" ca="1" si="486"/>
        <v>196.15384615384616</v>
      </c>
      <c r="AA1003">
        <f t="shared" ca="1" si="487"/>
        <v>632.18549999999993</v>
      </c>
      <c r="AB1003">
        <f t="shared" ca="1" si="488"/>
        <v>2593.2625316486619</v>
      </c>
      <c r="AC1003">
        <f t="shared" ca="1" si="489"/>
        <v>482.07306851378365</v>
      </c>
      <c r="AD1003">
        <f t="shared" ca="1" si="490"/>
        <v>280.07692026646265</v>
      </c>
      <c r="AE1003">
        <f t="shared" ca="1" si="491"/>
        <v>1019.7665564573041</v>
      </c>
      <c r="AF1003">
        <f t="shared" ca="1" si="492"/>
        <v>482.07256851378361</v>
      </c>
      <c r="AG1003">
        <f t="shared" ca="1" si="493"/>
        <v>0</v>
      </c>
      <c r="AH1003">
        <f ca="1">IF(V32="Supercritical",L1003,IF(V32="Subcritical",W1003,IF(AND(V1003=1,AG1003=1),IF(T1003&gt;=AE1003,L1003,W1003),IF(V1003=1,L1003,IF(AG1003=1,W1003,MAX($D$16,POWER((ABS(K1003)^2)/($I$5*MAX(F1003,0.1)^2),1/3)))))))</f>
        <v>2.1403668656741068</v>
      </c>
      <c r="AI1003">
        <f t="shared" ca="1" si="494"/>
        <v>634.27586686567406</v>
      </c>
      <c r="AJ1003">
        <f t="shared" ca="1" si="495"/>
        <v>635.34605029851116</v>
      </c>
      <c r="AM1003">
        <v>0</v>
      </c>
      <c r="AN1003">
        <v>0</v>
      </c>
      <c r="AO1003">
        <f t="shared" si="496"/>
        <v>0</v>
      </c>
      <c r="AP1003">
        <f t="shared" si="505"/>
        <v>0</v>
      </c>
      <c r="AQ1003">
        <f t="shared" ca="1" si="497"/>
        <v>0.99999999999999978</v>
      </c>
      <c r="AR1003" t="str">
        <f t="shared" ca="1" si="498"/>
        <v>Supercritical</v>
      </c>
      <c r="AS1003">
        <f t="shared" ca="1" si="499"/>
        <v>3.8148159832266538E-3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191</v>
      </c>
      <c r="I1004">
        <v>0</v>
      </c>
      <c r="J1004">
        <f t="shared" si="500"/>
        <v>1</v>
      </c>
      <c r="K1004">
        <f t="shared" si="501"/>
        <v>51</v>
      </c>
      <c r="L1004">
        <f t="shared" ca="1" si="502"/>
        <v>0.05</v>
      </c>
      <c r="M1004">
        <f t="shared" ca="1" si="475"/>
        <v>0.26</v>
      </c>
      <c r="N1004">
        <f t="shared" ca="1" si="476"/>
        <v>4.9056603773584909E-2</v>
      </c>
      <c r="O1004">
        <f t="shared" ca="1" si="477"/>
        <v>196.15384615384616</v>
      </c>
      <c r="P1004">
        <f t="shared" ca="1" si="478"/>
        <v>632.18499999999995</v>
      </c>
      <c r="Q1004">
        <f t="shared" ca="1" si="479"/>
        <v>2593.2620316486618</v>
      </c>
      <c r="R1004">
        <f t="shared" ca="1" si="480"/>
        <v>482.07306851378365</v>
      </c>
      <c r="S1004">
        <f t="shared" ca="1" si="481"/>
        <v>280.07692026646265</v>
      </c>
      <c r="T1004">
        <f t="shared" ca="1" si="482"/>
        <v>1019.7665564573041</v>
      </c>
      <c r="U1004">
        <f t="shared" ca="1" si="503"/>
        <v>-482.07256851378361</v>
      </c>
      <c r="V1004">
        <f t="shared" ca="1" si="504"/>
        <v>0</v>
      </c>
      <c r="W1004">
        <f t="shared" ca="1" si="483"/>
        <v>0.05</v>
      </c>
      <c r="X1004">
        <f t="shared" ca="1" si="484"/>
        <v>0.26</v>
      </c>
      <c r="Y1004">
        <f t="shared" ca="1" si="485"/>
        <v>4.9056603773584909E-2</v>
      </c>
      <c r="Z1004">
        <f t="shared" ca="1" si="486"/>
        <v>196.15384615384616</v>
      </c>
      <c r="AA1004">
        <f t="shared" ca="1" si="487"/>
        <v>632.18499999999995</v>
      </c>
      <c r="AB1004">
        <f t="shared" ca="1" si="488"/>
        <v>2593.2620316486618</v>
      </c>
      <c r="AC1004">
        <f t="shared" ca="1" si="489"/>
        <v>482.07306851378365</v>
      </c>
      <c r="AD1004">
        <f t="shared" ca="1" si="490"/>
        <v>280.07692026646265</v>
      </c>
      <c r="AE1004">
        <f t="shared" ca="1" si="491"/>
        <v>1019.7665564573041</v>
      </c>
      <c r="AF1004">
        <f t="shared" ca="1" si="492"/>
        <v>481.77679776328841</v>
      </c>
      <c r="AG1004">
        <f t="shared" ca="1" si="493"/>
        <v>0</v>
      </c>
      <c r="AH1004">
        <f ca="1">IF(V32="Supercritical",L1004,IF(V32="Subcritical",W1004,IF(AND(V1004=1,AG1004=1),IF(T1004&gt;=AE1004,L1004,W1004),IF(V1004=1,L1004,IF(AG1004=1,W1004,MAX($D$16,POWER((ABS(K1004)^2)/($I$5*MAX(F1004,0.1)^2),1/3)))))))</f>
        <v>2.1403668656741068</v>
      </c>
      <c r="AI1004">
        <f t="shared" ca="1" si="494"/>
        <v>634.27536686567407</v>
      </c>
      <c r="AJ1004">
        <f t="shared" ca="1" si="495"/>
        <v>635.34555029851117</v>
      </c>
      <c r="AM1004">
        <v>0</v>
      </c>
      <c r="AN1004">
        <v>0</v>
      </c>
      <c r="AO1004">
        <f t="shared" si="496"/>
        <v>0</v>
      </c>
      <c r="AP1004">
        <f t="shared" si="505"/>
        <v>0</v>
      </c>
      <c r="AQ1004">
        <f t="shared" ca="1" si="497"/>
        <v>0.99999999999999978</v>
      </c>
      <c r="AR1004" t="str">
        <f t="shared" ca="1" si="498"/>
        <v>Supercritical</v>
      </c>
      <c r="AS1004">
        <f t="shared" ca="1" si="499"/>
        <v>3.8148159832266538E-3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191</v>
      </c>
      <c r="I1005">
        <v>5.7000000000000002E-2</v>
      </c>
      <c r="J1005">
        <f t="shared" si="500"/>
        <v>0.99900000000002365</v>
      </c>
      <c r="K1005">
        <f t="shared" si="501"/>
        <v>51</v>
      </c>
      <c r="L1005">
        <f t="shared" ca="1" si="502"/>
        <v>0.05</v>
      </c>
      <c r="M1005">
        <f t="shared" ca="1" si="475"/>
        <v>0.26</v>
      </c>
      <c r="N1005">
        <f t="shared" ca="1" si="476"/>
        <v>4.9056603773584909E-2</v>
      </c>
      <c r="O1005">
        <f t="shared" ca="1" si="477"/>
        <v>196.15384615384616</v>
      </c>
      <c r="P1005">
        <f t="shared" ca="1" si="478"/>
        <v>632.18449999999996</v>
      </c>
      <c r="Q1005">
        <f t="shared" ca="1" si="479"/>
        <v>2593.2615316486622</v>
      </c>
      <c r="R1005">
        <f t="shared" ca="1" si="480"/>
        <v>482.07306851378365</v>
      </c>
      <c r="S1005">
        <f t="shared" ca="1" si="481"/>
        <v>280.07692026646265</v>
      </c>
      <c r="T1005">
        <f t="shared" ca="1" si="482"/>
        <v>1019.7665564573041</v>
      </c>
      <c r="U1005">
        <f t="shared" ca="1" si="503"/>
        <v>-481.77679776328841</v>
      </c>
      <c r="V1005">
        <f t="shared" ca="1" si="504"/>
        <v>0</v>
      </c>
      <c r="W1005">
        <f t="shared" ca="1" si="483"/>
        <v>0.05</v>
      </c>
      <c r="X1005">
        <f t="shared" ca="1" si="484"/>
        <v>0.26</v>
      </c>
      <c r="Y1005">
        <f t="shared" ca="1" si="485"/>
        <v>4.9056603773584909E-2</v>
      </c>
      <c r="Z1005">
        <f t="shared" ca="1" si="486"/>
        <v>196.15384615384616</v>
      </c>
      <c r="AA1005">
        <f t="shared" ca="1" si="487"/>
        <v>632.18449999999996</v>
      </c>
      <c r="AB1005">
        <f t="shared" ca="1" si="488"/>
        <v>2593.2615316486622</v>
      </c>
      <c r="AC1005">
        <f t="shared" ca="1" si="489"/>
        <v>482.07306851378365</v>
      </c>
      <c r="AD1005">
        <f t="shared" ca="1" si="490"/>
        <v>280.07692026646265</v>
      </c>
      <c r="AE1005">
        <f t="shared" ca="1" si="491"/>
        <v>1019.7665564573041</v>
      </c>
      <c r="AF1005">
        <f t="shared" ca="1" si="492"/>
        <v>482.25887083179032</v>
      </c>
      <c r="AG1005">
        <f t="shared" ca="1" si="493"/>
        <v>0</v>
      </c>
      <c r="AH1005">
        <f ca="1">IF(V32="Supercritical",L1005,IF(V32="Subcritical",W1005,IF(AND(V1005=1,AG1005=1),IF(T1005&gt;=AE1005,L1005,W1005),IF(V1005=1,L1005,IF(AG1005=1,W1005,MAX($D$16,POWER((ABS(K1005)^2)/($I$5*MAX(F1005,0.1)^2),1/3)))))))</f>
        <v>2.1403668656741068</v>
      </c>
      <c r="AI1005">
        <f t="shared" ca="1" si="494"/>
        <v>634.27486686567408</v>
      </c>
      <c r="AJ1005">
        <f t="shared" ca="1" si="495"/>
        <v>635.34505029851118</v>
      </c>
      <c r="AM1005">
        <v>0</v>
      </c>
      <c r="AN1005">
        <v>0</v>
      </c>
      <c r="AO1005">
        <f t="shared" si="496"/>
        <v>0</v>
      </c>
      <c r="AP1005">
        <f t="shared" si="505"/>
        <v>0</v>
      </c>
      <c r="AQ1005">
        <f t="shared" ca="1" si="497"/>
        <v>0.99999999999999978</v>
      </c>
      <c r="AR1005" t="str">
        <f t="shared" ca="1" si="498"/>
        <v>Supercritical</v>
      </c>
      <c r="AS1005">
        <f t="shared" ca="1" si="499"/>
        <v>3.8148159832266538E-3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191</v>
      </c>
      <c r="I1006">
        <v>5.7000000000000002E-2</v>
      </c>
      <c r="J1006">
        <f t="shared" si="500"/>
        <v>1</v>
      </c>
      <c r="K1006">
        <f t="shared" si="501"/>
        <v>51</v>
      </c>
      <c r="L1006">
        <f t="shared" ca="1" si="502"/>
        <v>0.05</v>
      </c>
      <c r="M1006">
        <f t="shared" ca="1" si="475"/>
        <v>0.26</v>
      </c>
      <c r="N1006">
        <f t="shared" ca="1" si="476"/>
        <v>4.9056603773584909E-2</v>
      </c>
      <c r="O1006">
        <f t="shared" ca="1" si="477"/>
        <v>196.15384615384616</v>
      </c>
      <c r="P1006">
        <f t="shared" ca="1" si="478"/>
        <v>632.18399999999997</v>
      </c>
      <c r="Q1006">
        <f t="shared" ca="1" si="479"/>
        <v>2593.2610316486621</v>
      </c>
      <c r="R1006">
        <f t="shared" ca="1" si="480"/>
        <v>482.07306851378365</v>
      </c>
      <c r="S1006">
        <f t="shared" ca="1" si="481"/>
        <v>280.07692026646265</v>
      </c>
      <c r="T1006">
        <f t="shared" ca="1" si="482"/>
        <v>1019.7665564573041</v>
      </c>
      <c r="U1006">
        <f t="shared" ca="1" si="503"/>
        <v>-482.25887083179032</v>
      </c>
      <c r="V1006">
        <f t="shared" ca="1" si="504"/>
        <v>0</v>
      </c>
      <c r="W1006">
        <f t="shared" ca="1" si="483"/>
        <v>0.05</v>
      </c>
      <c r="X1006">
        <f t="shared" ca="1" si="484"/>
        <v>0.26</v>
      </c>
      <c r="Y1006">
        <f t="shared" ca="1" si="485"/>
        <v>4.9056603773584909E-2</v>
      </c>
      <c r="Z1006">
        <f t="shared" ca="1" si="486"/>
        <v>196.15384615384616</v>
      </c>
      <c r="AA1006">
        <f t="shared" ca="1" si="487"/>
        <v>632.18399999999997</v>
      </c>
      <c r="AB1006">
        <f t="shared" ca="1" si="488"/>
        <v>2593.2610316486621</v>
      </c>
      <c r="AC1006">
        <f t="shared" ca="1" si="489"/>
        <v>482.07306851378365</v>
      </c>
      <c r="AD1006">
        <f t="shared" ca="1" si="490"/>
        <v>280.07692026646265</v>
      </c>
      <c r="AE1006">
        <f t="shared" ca="1" si="491"/>
        <v>1019.7665564573041</v>
      </c>
      <c r="AF1006">
        <f t="shared" ca="1" si="492"/>
        <v>482.07256851378361</v>
      </c>
      <c r="AG1006">
        <f t="shared" ca="1" si="493"/>
        <v>0</v>
      </c>
      <c r="AH1006">
        <f ca="1">IF(V32="Supercritical",L1006,IF(V32="Subcritical",W1006,IF(AND(V1006=1,AG1006=1),IF(T1006&gt;=AE1006,L1006,W1006),IF(V1006=1,L1006,IF(AG1006=1,W1006,MAX($D$16,POWER((ABS(K1006)^2)/($I$5*MAX(F1006,0.1)^2),1/3)))))))</f>
        <v>2.1403668656741068</v>
      </c>
      <c r="AI1006">
        <f t="shared" ca="1" si="494"/>
        <v>634.2743668656741</v>
      </c>
      <c r="AJ1006">
        <f t="shared" ca="1" si="495"/>
        <v>635.34455029851119</v>
      </c>
      <c r="AM1006">
        <v>0</v>
      </c>
      <c r="AN1006">
        <v>0</v>
      </c>
      <c r="AO1006">
        <f t="shared" si="496"/>
        <v>0</v>
      </c>
      <c r="AP1006">
        <f t="shared" si="505"/>
        <v>0</v>
      </c>
      <c r="AQ1006">
        <f t="shared" ca="1" si="497"/>
        <v>0.99999999999999978</v>
      </c>
      <c r="AR1006" t="str">
        <f t="shared" ca="1" si="498"/>
        <v>Supercritical</v>
      </c>
      <c r="AS1006">
        <f t="shared" ca="1" si="499"/>
        <v>3.8148159832266538E-3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191</v>
      </c>
      <c r="I1007">
        <v>0</v>
      </c>
      <c r="J1007">
        <f t="shared" si="500"/>
        <v>1</v>
      </c>
      <c r="K1007">
        <f t="shared" si="501"/>
        <v>51</v>
      </c>
      <c r="L1007">
        <f t="shared" ca="1" si="502"/>
        <v>0.05</v>
      </c>
      <c r="M1007">
        <f t="shared" ca="1" si="475"/>
        <v>0.26</v>
      </c>
      <c r="N1007">
        <f t="shared" ca="1" si="476"/>
        <v>4.9056603773584909E-2</v>
      </c>
      <c r="O1007">
        <f t="shared" ca="1" si="477"/>
        <v>196.15384615384616</v>
      </c>
      <c r="P1007">
        <f t="shared" ca="1" si="478"/>
        <v>632.18349999999998</v>
      </c>
      <c r="Q1007">
        <f t="shared" ca="1" si="479"/>
        <v>2593.260531648662</v>
      </c>
      <c r="R1007">
        <f t="shared" ca="1" si="480"/>
        <v>482.07306851378365</v>
      </c>
      <c r="S1007">
        <f t="shared" ca="1" si="481"/>
        <v>280.07692026646265</v>
      </c>
      <c r="T1007">
        <f t="shared" ca="1" si="482"/>
        <v>1019.7665564573041</v>
      </c>
      <c r="U1007">
        <f t="shared" ca="1" si="503"/>
        <v>-482.07256851378361</v>
      </c>
      <c r="V1007">
        <f t="shared" ca="1" si="504"/>
        <v>0</v>
      </c>
      <c r="W1007">
        <f t="shared" ca="1" si="483"/>
        <v>0.05</v>
      </c>
      <c r="X1007">
        <f t="shared" ca="1" si="484"/>
        <v>0.26</v>
      </c>
      <c r="Y1007">
        <f t="shared" ca="1" si="485"/>
        <v>4.9056603773584909E-2</v>
      </c>
      <c r="Z1007">
        <f t="shared" ca="1" si="486"/>
        <v>196.15384615384616</v>
      </c>
      <c r="AA1007">
        <f t="shared" ca="1" si="487"/>
        <v>632.18349999999998</v>
      </c>
      <c r="AB1007">
        <f t="shared" ca="1" si="488"/>
        <v>2593.260531648662</v>
      </c>
      <c r="AC1007">
        <f t="shared" ca="1" si="489"/>
        <v>482.07306851378365</v>
      </c>
      <c r="AD1007">
        <f t="shared" ca="1" si="490"/>
        <v>280.07692026646265</v>
      </c>
      <c r="AE1007">
        <f t="shared" ca="1" si="491"/>
        <v>1019.7665564573041</v>
      </c>
      <c r="AF1007">
        <f t="shared" ca="1" si="492"/>
        <v>482.07256851378406</v>
      </c>
      <c r="AG1007">
        <f t="shared" ca="1" si="493"/>
        <v>0</v>
      </c>
      <c r="AH1007">
        <f ca="1">IF(V32="Supercritical",L1007,IF(V32="Subcritical",W1007,IF(AND(V1007=1,AG1007=1),IF(T1007&gt;=AE1007,L1007,W1007),IF(V1007=1,L1007,IF(AG1007=1,W1007,MAX($D$16,POWER((ABS(K1007)^2)/($I$5*MAX(F1007,0.1)^2),1/3)))))))</f>
        <v>2.1403668656741068</v>
      </c>
      <c r="AI1007">
        <f t="shared" ca="1" si="494"/>
        <v>634.27386686567411</v>
      </c>
      <c r="AJ1007">
        <f t="shared" ca="1" si="495"/>
        <v>635.34405029851121</v>
      </c>
      <c r="AM1007">
        <v>0</v>
      </c>
      <c r="AN1007">
        <v>0</v>
      </c>
      <c r="AO1007">
        <f t="shared" si="496"/>
        <v>0</v>
      </c>
      <c r="AP1007">
        <f t="shared" si="505"/>
        <v>0</v>
      </c>
      <c r="AQ1007">
        <f t="shared" ca="1" si="497"/>
        <v>0.99999999999999978</v>
      </c>
      <c r="AR1007" t="str">
        <f t="shared" ca="1" si="498"/>
        <v>Supercritical</v>
      </c>
      <c r="AS1007">
        <f t="shared" ca="1" si="499"/>
        <v>3.8148159832266538E-3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191</v>
      </c>
      <c r="I1008">
        <v>0</v>
      </c>
      <c r="J1008">
        <f t="shared" si="500"/>
        <v>1</v>
      </c>
      <c r="K1008">
        <f t="shared" si="501"/>
        <v>51</v>
      </c>
      <c r="L1008">
        <f t="shared" ca="1" si="502"/>
        <v>0.05</v>
      </c>
      <c r="M1008">
        <f t="shared" ca="1" si="475"/>
        <v>0.26</v>
      </c>
      <c r="N1008">
        <f t="shared" ca="1" si="476"/>
        <v>4.9056603773584909E-2</v>
      </c>
      <c r="O1008">
        <f t="shared" ca="1" si="477"/>
        <v>196.15384615384616</v>
      </c>
      <c r="P1008">
        <f t="shared" ca="1" si="478"/>
        <v>632.18299999999999</v>
      </c>
      <c r="Q1008">
        <f t="shared" ca="1" si="479"/>
        <v>2593.2600316486623</v>
      </c>
      <c r="R1008">
        <f t="shared" ca="1" si="480"/>
        <v>482.07306851378365</v>
      </c>
      <c r="S1008">
        <f t="shared" ca="1" si="481"/>
        <v>280.07692026646265</v>
      </c>
      <c r="T1008">
        <f t="shared" ca="1" si="482"/>
        <v>1019.7665564573041</v>
      </c>
      <c r="U1008">
        <f t="shared" ca="1" si="503"/>
        <v>-482.07256851378406</v>
      </c>
      <c r="V1008">
        <f t="shared" ca="1" si="504"/>
        <v>0</v>
      </c>
      <c r="W1008">
        <f t="shared" ca="1" si="483"/>
        <v>0.05</v>
      </c>
      <c r="X1008">
        <f t="shared" ca="1" si="484"/>
        <v>0.26</v>
      </c>
      <c r="Y1008">
        <f t="shared" ca="1" si="485"/>
        <v>4.9056603773584909E-2</v>
      </c>
      <c r="Z1008">
        <f t="shared" ca="1" si="486"/>
        <v>196.15384615384616</v>
      </c>
      <c r="AA1008">
        <f t="shared" ca="1" si="487"/>
        <v>632.18299999999999</v>
      </c>
      <c r="AB1008">
        <f t="shared" ca="1" si="488"/>
        <v>2593.2600316486623</v>
      </c>
      <c r="AC1008">
        <f t="shared" ca="1" si="489"/>
        <v>482.07306851378365</v>
      </c>
      <c r="AD1008">
        <f t="shared" ca="1" si="490"/>
        <v>280.07692026646265</v>
      </c>
      <c r="AE1008">
        <f t="shared" ca="1" si="491"/>
        <v>1019.7665564573041</v>
      </c>
      <c r="AF1008">
        <f t="shared" ca="1" si="492"/>
        <v>482.25887083179032</v>
      </c>
      <c r="AG1008">
        <f t="shared" ca="1" si="493"/>
        <v>0</v>
      </c>
      <c r="AH1008">
        <f ca="1">IF(V32="Supercritical",L1008,IF(V32="Subcritical",W1008,IF(AND(V1008=1,AG1008=1),IF(T1008&gt;=AE1008,L1008,W1008),IF(V1008=1,L1008,IF(AG1008=1,W1008,MAX($D$16,POWER((ABS(K1008)^2)/($I$5*MAX(F1008,0.1)^2),1/3)))))))</f>
        <v>2.1403668656741068</v>
      </c>
      <c r="AI1008">
        <f t="shared" ca="1" si="494"/>
        <v>634.27336686567412</v>
      </c>
      <c r="AJ1008">
        <f t="shared" ca="1" si="495"/>
        <v>635.34355029851122</v>
      </c>
      <c r="AM1008">
        <v>0</v>
      </c>
      <c r="AN1008">
        <v>0</v>
      </c>
      <c r="AO1008">
        <f t="shared" si="496"/>
        <v>0</v>
      </c>
      <c r="AP1008">
        <f t="shared" si="505"/>
        <v>0</v>
      </c>
      <c r="AQ1008">
        <f t="shared" ca="1" si="497"/>
        <v>0.99999999999999978</v>
      </c>
      <c r="AR1008" t="str">
        <f t="shared" ca="1" si="498"/>
        <v>Supercritical</v>
      </c>
      <c r="AS1008">
        <f t="shared" ca="1" si="499"/>
        <v>3.8148159832266538E-3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191</v>
      </c>
      <c r="I1009">
        <v>5.7000000000000002E-2</v>
      </c>
      <c r="J1009">
        <f t="shared" si="500"/>
        <v>1</v>
      </c>
      <c r="K1009">
        <f t="shared" si="501"/>
        <v>51</v>
      </c>
      <c r="L1009">
        <f t="shared" ca="1" si="502"/>
        <v>0.05</v>
      </c>
      <c r="M1009">
        <f t="shared" ca="1" si="475"/>
        <v>0.26</v>
      </c>
      <c r="N1009">
        <f t="shared" ca="1" si="476"/>
        <v>4.9056603773584909E-2</v>
      </c>
      <c r="O1009">
        <f t="shared" ca="1" si="477"/>
        <v>196.15384615384616</v>
      </c>
      <c r="P1009">
        <f t="shared" ca="1" si="478"/>
        <v>632.1825</v>
      </c>
      <c r="Q1009">
        <f t="shared" ca="1" si="479"/>
        <v>2593.2595316486622</v>
      </c>
      <c r="R1009">
        <f t="shared" ca="1" si="480"/>
        <v>482.07306851378365</v>
      </c>
      <c r="S1009">
        <f t="shared" ca="1" si="481"/>
        <v>280.07692026646265</v>
      </c>
      <c r="T1009">
        <f t="shared" ca="1" si="482"/>
        <v>1019.7665564573041</v>
      </c>
      <c r="U1009">
        <f t="shared" ca="1" si="503"/>
        <v>-482.25887083179032</v>
      </c>
      <c r="V1009">
        <f t="shared" ca="1" si="504"/>
        <v>0</v>
      </c>
      <c r="W1009">
        <f t="shared" ca="1" si="483"/>
        <v>0.05</v>
      </c>
      <c r="X1009">
        <f t="shared" ca="1" si="484"/>
        <v>0.26</v>
      </c>
      <c r="Y1009">
        <f t="shared" ca="1" si="485"/>
        <v>4.9056603773584909E-2</v>
      </c>
      <c r="Z1009">
        <f t="shared" ca="1" si="486"/>
        <v>196.15384615384616</v>
      </c>
      <c r="AA1009">
        <f t="shared" ca="1" si="487"/>
        <v>632.1825</v>
      </c>
      <c r="AB1009">
        <f t="shared" ca="1" si="488"/>
        <v>2593.2595316486622</v>
      </c>
      <c r="AC1009">
        <f t="shared" ca="1" si="489"/>
        <v>482.07306851378365</v>
      </c>
      <c r="AD1009">
        <f t="shared" ca="1" si="490"/>
        <v>280.07692026646265</v>
      </c>
      <c r="AE1009">
        <f t="shared" ca="1" si="491"/>
        <v>1019.7665564573041</v>
      </c>
      <c r="AF1009">
        <f t="shared" ca="1" si="492"/>
        <v>482.25887083179032</v>
      </c>
      <c r="AG1009">
        <f t="shared" ca="1" si="493"/>
        <v>0</v>
      </c>
      <c r="AH1009">
        <f ca="1">IF(V32="Supercritical",L1009,IF(V32="Subcritical",W1009,IF(AND(V1009=1,AG1009=1),IF(T1009&gt;=AE1009,L1009,W1009),IF(V1009=1,L1009,IF(AG1009=1,W1009,MAX($D$16,POWER((ABS(K1009)^2)/($I$5*MAX(F1009,0.1)^2),1/3)))))))</f>
        <v>2.1403668656741068</v>
      </c>
      <c r="AI1009">
        <f t="shared" ca="1" si="494"/>
        <v>634.27286686567413</v>
      </c>
      <c r="AJ1009">
        <f t="shared" ca="1" si="495"/>
        <v>635.34305029851123</v>
      </c>
      <c r="AM1009">
        <v>0</v>
      </c>
      <c r="AN1009">
        <v>0</v>
      </c>
      <c r="AO1009">
        <f t="shared" si="496"/>
        <v>0</v>
      </c>
      <c r="AP1009">
        <f t="shared" si="505"/>
        <v>0</v>
      </c>
      <c r="AQ1009">
        <f t="shared" ca="1" si="497"/>
        <v>0.99999999999999978</v>
      </c>
      <c r="AR1009" t="str">
        <f t="shared" ca="1" si="498"/>
        <v>Supercritical</v>
      </c>
      <c r="AS1009">
        <f t="shared" ca="1" si="499"/>
        <v>3.8148159832266538E-3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191</v>
      </c>
      <c r="I1010">
        <v>5.7000000000000002E-2</v>
      </c>
      <c r="J1010">
        <f t="shared" si="500"/>
        <v>1</v>
      </c>
      <c r="K1010">
        <f t="shared" si="501"/>
        <v>51</v>
      </c>
      <c r="L1010">
        <f t="shared" ca="1" si="502"/>
        <v>0.05</v>
      </c>
      <c r="M1010">
        <f t="shared" ca="1" si="475"/>
        <v>0.26</v>
      </c>
      <c r="N1010">
        <f t="shared" ca="1" si="476"/>
        <v>4.9056603773584909E-2</v>
      </c>
      <c r="O1010">
        <f t="shared" ca="1" si="477"/>
        <v>196.15384615384616</v>
      </c>
      <c r="P1010">
        <f t="shared" ca="1" si="478"/>
        <v>632.1819999999999</v>
      </c>
      <c r="Q1010">
        <f t="shared" ca="1" si="479"/>
        <v>2593.2590316486621</v>
      </c>
      <c r="R1010">
        <f t="shared" ca="1" si="480"/>
        <v>482.07306851378365</v>
      </c>
      <c r="S1010">
        <f t="shared" ca="1" si="481"/>
        <v>280.07692026646265</v>
      </c>
      <c r="T1010">
        <f t="shared" ca="1" si="482"/>
        <v>1019.7665564573041</v>
      </c>
      <c r="U1010">
        <f t="shared" ca="1" si="503"/>
        <v>-482.25887083179032</v>
      </c>
      <c r="V1010">
        <f t="shared" ca="1" si="504"/>
        <v>0</v>
      </c>
      <c r="W1010">
        <f t="shared" ca="1" si="483"/>
        <v>0.05</v>
      </c>
      <c r="X1010">
        <f t="shared" ca="1" si="484"/>
        <v>0.26</v>
      </c>
      <c r="Y1010">
        <f t="shared" ca="1" si="485"/>
        <v>4.9056603773584909E-2</v>
      </c>
      <c r="Z1010">
        <f t="shared" ca="1" si="486"/>
        <v>196.15384615384616</v>
      </c>
      <c r="AA1010">
        <f t="shared" ca="1" si="487"/>
        <v>632.1819999999999</v>
      </c>
      <c r="AB1010">
        <f t="shared" ca="1" si="488"/>
        <v>2593.2590316486621</v>
      </c>
      <c r="AC1010">
        <f t="shared" ca="1" si="489"/>
        <v>482.07306851378365</v>
      </c>
      <c r="AD1010">
        <f t="shared" ca="1" si="490"/>
        <v>280.07692026646265</v>
      </c>
      <c r="AE1010">
        <f t="shared" ca="1" si="491"/>
        <v>1019.7665564573041</v>
      </c>
      <c r="AF1010">
        <f t="shared" ca="1" si="492"/>
        <v>482.07910543722255</v>
      </c>
      <c r="AG1010">
        <f t="shared" ca="1" si="493"/>
        <v>0</v>
      </c>
      <c r="AH1010">
        <f ca="1">IF(V32="Supercritical",L1010,IF(V32="Subcritical",W1010,IF(AND(V1010=1,AG1010=1),IF(T1010&gt;=AE1010,L1010,W1010),IF(V1010=1,L1010,IF(AG1010=1,W1010,MAX($D$16,POWER((ABS(K1010)^2)/($I$5*MAX(F1010,0.1)^2),1/3)))))))</f>
        <v>2.1403668656741068</v>
      </c>
      <c r="AI1010">
        <f t="shared" ca="1" si="494"/>
        <v>634.27236686567403</v>
      </c>
      <c r="AJ1010">
        <f t="shared" ca="1" si="495"/>
        <v>635.34255029851113</v>
      </c>
      <c r="AM1010">
        <v>0</v>
      </c>
      <c r="AN1010">
        <v>0</v>
      </c>
      <c r="AO1010">
        <f t="shared" si="496"/>
        <v>0</v>
      </c>
      <c r="AP1010">
        <f t="shared" si="505"/>
        <v>0</v>
      </c>
      <c r="AQ1010">
        <f t="shared" ca="1" si="497"/>
        <v>0.99999999999999978</v>
      </c>
      <c r="AR1010" t="str">
        <f t="shared" ca="1" si="498"/>
        <v>Supercritical</v>
      </c>
      <c r="AS1010">
        <f t="shared" ca="1" si="499"/>
        <v>3.8148159832266538E-3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191</v>
      </c>
      <c r="I1011">
        <v>2E-3</v>
      </c>
      <c r="J1011">
        <f t="shared" si="500"/>
        <v>1</v>
      </c>
      <c r="K1011">
        <f t="shared" si="501"/>
        <v>51</v>
      </c>
      <c r="L1011">
        <f t="shared" ca="1" si="502"/>
        <v>0.05</v>
      </c>
      <c r="M1011">
        <f t="shared" ca="1" si="475"/>
        <v>0.26</v>
      </c>
      <c r="N1011">
        <f t="shared" ca="1" si="476"/>
        <v>4.9056603773584909E-2</v>
      </c>
      <c r="O1011">
        <f t="shared" ca="1" si="477"/>
        <v>196.15384615384616</v>
      </c>
      <c r="P1011">
        <f t="shared" ca="1" si="478"/>
        <v>632.18149999999991</v>
      </c>
      <c r="Q1011">
        <f t="shared" ca="1" si="479"/>
        <v>2593.258531648662</v>
      </c>
      <c r="R1011">
        <f t="shared" ca="1" si="480"/>
        <v>482.07306851378365</v>
      </c>
      <c r="S1011">
        <f t="shared" ca="1" si="481"/>
        <v>280.07692026646265</v>
      </c>
      <c r="T1011">
        <f t="shared" ca="1" si="482"/>
        <v>1019.7665564573041</v>
      </c>
      <c r="U1011">
        <f t="shared" ca="1" si="503"/>
        <v>-482.07910543722255</v>
      </c>
      <c r="V1011">
        <f t="shared" ca="1" si="504"/>
        <v>0</v>
      </c>
      <c r="W1011">
        <f t="shared" ca="1" si="483"/>
        <v>0.05</v>
      </c>
      <c r="X1011">
        <f t="shared" ca="1" si="484"/>
        <v>0.26</v>
      </c>
      <c r="Y1011">
        <f t="shared" ca="1" si="485"/>
        <v>4.9056603773584909E-2</v>
      </c>
      <c r="Z1011">
        <f t="shared" ca="1" si="486"/>
        <v>196.15384615384616</v>
      </c>
      <c r="AA1011">
        <f t="shared" ca="1" si="487"/>
        <v>632.18149999999991</v>
      </c>
      <c r="AB1011">
        <f t="shared" ca="1" si="488"/>
        <v>2593.258531648662</v>
      </c>
      <c r="AC1011">
        <f t="shared" ca="1" si="489"/>
        <v>482.07306851378365</v>
      </c>
      <c r="AD1011">
        <f t="shared" ca="1" si="490"/>
        <v>280.07692026646265</v>
      </c>
      <c r="AE1011">
        <f t="shared" ca="1" si="491"/>
        <v>1019.7665564573041</v>
      </c>
      <c r="AF1011">
        <f t="shared" ca="1" si="492"/>
        <v>482.56117850572491</v>
      </c>
      <c r="AG1011">
        <f t="shared" ca="1" si="493"/>
        <v>0</v>
      </c>
      <c r="AH1011">
        <f ca="1">IF(V32="Supercritical",L1011,IF(V32="Subcritical",W1011,IF(AND(V1011=1,AG1011=1),IF(T1011&gt;=AE1011,L1011,W1011),IF(V1011=1,L1011,IF(AG1011=1,W1011,MAX($D$16,POWER((ABS(K1011)^2)/($I$5*MAX(F1011,0.1)^2),1/3)))))))</f>
        <v>2.1403668656741068</v>
      </c>
      <c r="AI1011">
        <f t="shared" ca="1" si="494"/>
        <v>634.27186686567404</v>
      </c>
      <c r="AJ1011">
        <f t="shared" ca="1" si="495"/>
        <v>635.34205029851114</v>
      </c>
      <c r="AM1011">
        <v>0</v>
      </c>
      <c r="AN1011">
        <v>0</v>
      </c>
      <c r="AO1011">
        <f t="shared" si="496"/>
        <v>0</v>
      </c>
      <c r="AP1011">
        <f t="shared" si="505"/>
        <v>0</v>
      </c>
      <c r="AQ1011">
        <f t="shared" ca="1" si="497"/>
        <v>0.99999999999999978</v>
      </c>
      <c r="AR1011" t="str">
        <f t="shared" ca="1" si="498"/>
        <v>Supercritical</v>
      </c>
      <c r="AS1011">
        <f t="shared" ca="1" si="499"/>
        <v>3.8148159832266538E-3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191</v>
      </c>
      <c r="I1012">
        <v>2E-3</v>
      </c>
      <c r="J1012">
        <f t="shared" si="500"/>
        <v>1.0009999999999764</v>
      </c>
      <c r="K1012">
        <f t="shared" si="501"/>
        <v>51</v>
      </c>
      <c r="L1012">
        <f t="shared" ca="1" si="502"/>
        <v>0.05</v>
      </c>
      <c r="M1012">
        <f t="shared" ca="1" si="475"/>
        <v>0.26</v>
      </c>
      <c r="N1012">
        <f t="shared" ca="1" si="476"/>
        <v>4.9056603773584909E-2</v>
      </c>
      <c r="O1012">
        <f t="shared" ca="1" si="477"/>
        <v>196.15384615384616</v>
      </c>
      <c r="P1012">
        <f t="shared" ca="1" si="478"/>
        <v>632.18099999999993</v>
      </c>
      <c r="Q1012">
        <f t="shared" ca="1" si="479"/>
        <v>2593.2580316486619</v>
      </c>
      <c r="R1012">
        <f t="shared" ca="1" si="480"/>
        <v>482.07306851378365</v>
      </c>
      <c r="S1012">
        <f t="shared" ca="1" si="481"/>
        <v>280.07692026646265</v>
      </c>
      <c r="T1012">
        <f t="shared" ca="1" si="482"/>
        <v>1019.7665564573041</v>
      </c>
      <c r="U1012">
        <f t="shared" ca="1" si="503"/>
        <v>-482.56117850572491</v>
      </c>
      <c r="V1012">
        <f t="shared" ca="1" si="504"/>
        <v>0</v>
      </c>
      <c r="W1012">
        <f t="shared" ca="1" si="483"/>
        <v>0.05</v>
      </c>
      <c r="X1012">
        <f t="shared" ca="1" si="484"/>
        <v>0.26</v>
      </c>
      <c r="Y1012">
        <f t="shared" ca="1" si="485"/>
        <v>4.9056603773584909E-2</v>
      </c>
      <c r="Z1012">
        <f t="shared" ca="1" si="486"/>
        <v>196.15384615384616</v>
      </c>
      <c r="AA1012">
        <f t="shared" ca="1" si="487"/>
        <v>632.18099999999993</v>
      </c>
      <c r="AB1012">
        <f t="shared" ca="1" si="488"/>
        <v>2593.2580316486619</v>
      </c>
      <c r="AC1012">
        <f t="shared" ca="1" si="489"/>
        <v>482.07306851378365</v>
      </c>
      <c r="AD1012">
        <f t="shared" ca="1" si="490"/>
        <v>280.07692026646265</v>
      </c>
      <c r="AE1012">
        <f t="shared" ca="1" si="491"/>
        <v>1019.7665564573041</v>
      </c>
      <c r="AF1012">
        <f t="shared" ca="1" si="492"/>
        <v>482.25887083179032</v>
      </c>
      <c r="AG1012">
        <f t="shared" ca="1" si="493"/>
        <v>0</v>
      </c>
      <c r="AH1012">
        <f ca="1">IF(V32="Supercritical",L1012,IF(V32="Subcritical",W1012,IF(AND(V1012=1,AG1012=1),IF(T1012&gt;=AE1012,L1012,W1012),IF(V1012=1,L1012,IF(AG1012=1,W1012,MAX($D$16,POWER((ABS(K1012)^2)/($I$5*MAX(F1012,0.1)^2),1/3)))))))</f>
        <v>2.1403668656741068</v>
      </c>
      <c r="AI1012">
        <f t="shared" ca="1" si="494"/>
        <v>634.27136686567405</v>
      </c>
      <c r="AJ1012">
        <f t="shared" ca="1" si="495"/>
        <v>635.34155029851115</v>
      </c>
      <c r="AM1012">
        <v>0</v>
      </c>
      <c r="AN1012">
        <v>0</v>
      </c>
      <c r="AO1012">
        <f t="shared" si="496"/>
        <v>0</v>
      </c>
      <c r="AP1012">
        <f t="shared" si="505"/>
        <v>0</v>
      </c>
      <c r="AQ1012">
        <f t="shared" ca="1" si="497"/>
        <v>0.99999999999999978</v>
      </c>
      <c r="AR1012" t="str">
        <f t="shared" ca="1" si="498"/>
        <v>Supercritical</v>
      </c>
      <c r="AS1012">
        <f t="shared" ca="1" si="499"/>
        <v>3.8148159832266538E-3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191</v>
      </c>
      <c r="I1013">
        <v>5.7000000000000002E-2</v>
      </c>
      <c r="J1013">
        <f t="shared" si="500"/>
        <v>1</v>
      </c>
      <c r="K1013">
        <f t="shared" si="501"/>
        <v>51</v>
      </c>
      <c r="L1013">
        <f t="shared" ca="1" si="502"/>
        <v>0.05</v>
      </c>
      <c r="M1013">
        <f t="shared" ca="1" si="475"/>
        <v>0.26</v>
      </c>
      <c r="N1013">
        <f t="shared" ca="1" si="476"/>
        <v>4.9056603773584909E-2</v>
      </c>
      <c r="O1013">
        <f t="shared" ca="1" si="477"/>
        <v>196.15384615384616</v>
      </c>
      <c r="P1013">
        <f t="shared" ca="1" si="478"/>
        <v>632.18049999999994</v>
      </c>
      <c r="Q1013">
        <f t="shared" ca="1" si="479"/>
        <v>2593.2575316486618</v>
      </c>
      <c r="R1013">
        <f t="shared" ca="1" si="480"/>
        <v>482.07306851378365</v>
      </c>
      <c r="S1013">
        <f t="shared" ca="1" si="481"/>
        <v>280.07692026646265</v>
      </c>
      <c r="T1013">
        <f t="shared" ca="1" si="482"/>
        <v>1019.7665564573041</v>
      </c>
      <c r="U1013">
        <f t="shared" ca="1" si="503"/>
        <v>-482.25887083179032</v>
      </c>
      <c r="V1013">
        <f t="shared" ca="1" si="504"/>
        <v>0</v>
      </c>
      <c r="W1013">
        <f t="shared" ca="1" si="483"/>
        <v>0.05</v>
      </c>
      <c r="X1013">
        <f t="shared" ca="1" si="484"/>
        <v>0.26</v>
      </c>
      <c r="Y1013">
        <f t="shared" ca="1" si="485"/>
        <v>4.9056603773584909E-2</v>
      </c>
      <c r="Z1013">
        <f t="shared" ca="1" si="486"/>
        <v>196.15384615384616</v>
      </c>
      <c r="AA1013">
        <f t="shared" ca="1" si="487"/>
        <v>632.18049999999994</v>
      </c>
      <c r="AB1013">
        <f t="shared" ca="1" si="488"/>
        <v>2593.2575316486618</v>
      </c>
      <c r="AC1013">
        <f t="shared" ca="1" si="489"/>
        <v>482.07306851378365</v>
      </c>
      <c r="AD1013">
        <f t="shared" ca="1" si="490"/>
        <v>280.07692026646265</v>
      </c>
      <c r="AE1013">
        <f t="shared" ca="1" si="491"/>
        <v>1019.7665564573041</v>
      </c>
      <c r="AF1013">
        <f t="shared" ca="1" si="492"/>
        <v>482.25887083179077</v>
      </c>
      <c r="AG1013">
        <f t="shared" ca="1" si="493"/>
        <v>0</v>
      </c>
      <c r="AH1013">
        <f ca="1">IF(V32="Supercritical",L1013,IF(V32="Subcritical",W1013,IF(AND(V1013=1,AG1013=1),IF(T1013&gt;=AE1013,L1013,W1013),IF(V1013=1,L1013,IF(AG1013=1,W1013,MAX($D$16,POWER((ABS(K1013)^2)/($I$5*MAX(F1013,0.1)^2),1/3)))))))</f>
        <v>2.1403668656741068</v>
      </c>
      <c r="AI1013">
        <f t="shared" ca="1" si="494"/>
        <v>634.27086686567407</v>
      </c>
      <c r="AJ1013">
        <f t="shared" ca="1" si="495"/>
        <v>635.34105029851116</v>
      </c>
      <c r="AM1013">
        <v>0</v>
      </c>
      <c r="AN1013">
        <v>0</v>
      </c>
      <c r="AO1013">
        <f t="shared" si="496"/>
        <v>0</v>
      </c>
      <c r="AP1013">
        <f t="shared" si="505"/>
        <v>0</v>
      </c>
      <c r="AQ1013">
        <f t="shared" ca="1" si="497"/>
        <v>0.99999999999999978</v>
      </c>
      <c r="AR1013" t="str">
        <f t="shared" ca="1" si="498"/>
        <v>Supercritical</v>
      </c>
      <c r="AS1013">
        <f t="shared" ca="1" si="499"/>
        <v>3.8148159832266538E-3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191</v>
      </c>
      <c r="I1014">
        <v>5.7000000000000002E-2</v>
      </c>
      <c r="J1014">
        <f t="shared" si="500"/>
        <v>1</v>
      </c>
      <c r="K1014">
        <f t="shared" si="501"/>
        <v>51</v>
      </c>
      <c r="L1014">
        <f t="shared" ca="1" si="502"/>
        <v>0.05</v>
      </c>
      <c r="M1014">
        <f t="shared" ca="1" si="475"/>
        <v>0.26</v>
      </c>
      <c r="N1014">
        <f t="shared" ca="1" si="476"/>
        <v>4.9056603773584909E-2</v>
      </c>
      <c r="O1014">
        <f t="shared" ca="1" si="477"/>
        <v>196.15384615384616</v>
      </c>
      <c r="P1014">
        <f t="shared" ca="1" si="478"/>
        <v>632.17999999999995</v>
      </c>
      <c r="Q1014">
        <f t="shared" ca="1" si="479"/>
        <v>2593.2570316486622</v>
      </c>
      <c r="R1014">
        <f t="shared" ca="1" si="480"/>
        <v>482.07306851378365</v>
      </c>
      <c r="S1014">
        <f t="shared" ca="1" si="481"/>
        <v>280.07692026646265</v>
      </c>
      <c r="T1014">
        <f t="shared" ca="1" si="482"/>
        <v>1019.7665564573041</v>
      </c>
      <c r="U1014">
        <f t="shared" ca="1" si="503"/>
        <v>-482.25887083179077</v>
      </c>
      <c r="V1014">
        <f t="shared" ca="1" si="504"/>
        <v>0</v>
      </c>
      <c r="W1014">
        <f t="shared" ca="1" si="483"/>
        <v>0.05</v>
      </c>
      <c r="X1014">
        <f t="shared" ca="1" si="484"/>
        <v>0.26</v>
      </c>
      <c r="Y1014">
        <f t="shared" ca="1" si="485"/>
        <v>4.9056603773584909E-2</v>
      </c>
      <c r="Z1014">
        <f t="shared" ca="1" si="486"/>
        <v>196.15384615384616</v>
      </c>
      <c r="AA1014">
        <f t="shared" ca="1" si="487"/>
        <v>632.17999999999995</v>
      </c>
      <c r="AB1014">
        <f t="shared" ca="1" si="488"/>
        <v>2593.2570316486622</v>
      </c>
      <c r="AC1014">
        <f t="shared" ca="1" si="489"/>
        <v>482.07306851378365</v>
      </c>
      <c r="AD1014">
        <f t="shared" ca="1" si="490"/>
        <v>280.07692026646265</v>
      </c>
      <c r="AE1014">
        <f t="shared" ca="1" si="491"/>
        <v>1019.7665564573041</v>
      </c>
      <c r="AF1014">
        <f t="shared" ca="1" si="492"/>
        <v>481.59049544528125</v>
      </c>
      <c r="AG1014">
        <f t="shared" ca="1" si="493"/>
        <v>0</v>
      </c>
      <c r="AH1014">
        <f ca="1">IF(V32="Supercritical",L1014,IF(V32="Subcritical",W1014,IF(AND(V1014=1,AG1014=1),IF(T1014&gt;=AE1014,L1014,W1014),IF(V1014=1,L1014,IF(AG1014=1,W1014,MAX($D$16,POWER((ABS(K1014)^2)/($I$5*MAX(F1014,0.1)^2),1/3)))))))</f>
        <v>2.1403668656741068</v>
      </c>
      <c r="AI1014">
        <f t="shared" ca="1" si="494"/>
        <v>634.27036686567408</v>
      </c>
      <c r="AJ1014">
        <f t="shared" ca="1" si="495"/>
        <v>635.34055029851118</v>
      </c>
      <c r="AM1014">
        <v>0</v>
      </c>
      <c r="AN1014">
        <v>0</v>
      </c>
      <c r="AO1014">
        <f t="shared" si="496"/>
        <v>0</v>
      </c>
      <c r="AP1014">
        <f t="shared" si="505"/>
        <v>0</v>
      </c>
      <c r="AQ1014">
        <f t="shared" ca="1" si="497"/>
        <v>0.99999999999999978</v>
      </c>
      <c r="AR1014" t="str">
        <f t="shared" ca="1" si="498"/>
        <v>Supercritical</v>
      </c>
      <c r="AS1014">
        <f t="shared" ca="1" si="499"/>
        <v>3.8148159832266538E-3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191</v>
      </c>
      <c r="I1015">
        <v>0</v>
      </c>
      <c r="J1015">
        <f t="shared" si="500"/>
        <v>0.99900000000002365</v>
      </c>
      <c r="K1015">
        <f t="shared" si="501"/>
        <v>51</v>
      </c>
      <c r="L1015">
        <f t="shared" ca="1" si="502"/>
        <v>0.05</v>
      </c>
      <c r="M1015">
        <f t="shared" ca="1" si="475"/>
        <v>0.26</v>
      </c>
      <c r="N1015">
        <f t="shared" ca="1" si="476"/>
        <v>4.9056603773584909E-2</v>
      </c>
      <c r="O1015">
        <f t="shared" ca="1" si="477"/>
        <v>196.15384615384616</v>
      </c>
      <c r="P1015">
        <f t="shared" ca="1" si="478"/>
        <v>632.17949999999996</v>
      </c>
      <c r="Q1015">
        <f t="shared" ca="1" si="479"/>
        <v>2593.2565316486621</v>
      </c>
      <c r="R1015">
        <f t="shared" ca="1" si="480"/>
        <v>482.07306851378365</v>
      </c>
      <c r="S1015">
        <f t="shared" ca="1" si="481"/>
        <v>280.07692026646265</v>
      </c>
      <c r="T1015">
        <f t="shared" ca="1" si="482"/>
        <v>1019.7665564573041</v>
      </c>
      <c r="U1015">
        <f t="shared" ca="1" si="503"/>
        <v>-481.59049544528125</v>
      </c>
      <c r="V1015">
        <f t="shared" ca="1" si="504"/>
        <v>0</v>
      </c>
      <c r="W1015">
        <f t="shared" ca="1" si="483"/>
        <v>0.05</v>
      </c>
      <c r="X1015">
        <f t="shared" ca="1" si="484"/>
        <v>0.26</v>
      </c>
      <c r="Y1015">
        <f t="shared" ca="1" si="485"/>
        <v>4.9056603773584909E-2</v>
      </c>
      <c r="Z1015">
        <f t="shared" ca="1" si="486"/>
        <v>196.15384615384616</v>
      </c>
      <c r="AA1015">
        <f t="shared" ca="1" si="487"/>
        <v>632.17949999999996</v>
      </c>
      <c r="AB1015">
        <f t="shared" ca="1" si="488"/>
        <v>2593.2565316486621</v>
      </c>
      <c r="AC1015">
        <f t="shared" ca="1" si="489"/>
        <v>482.07306851378365</v>
      </c>
      <c r="AD1015">
        <f t="shared" ca="1" si="490"/>
        <v>280.07692026646265</v>
      </c>
      <c r="AE1015">
        <f t="shared" ca="1" si="491"/>
        <v>1019.7665564573041</v>
      </c>
      <c r="AF1015">
        <f t="shared" ca="1" si="492"/>
        <v>482.25887083179032</v>
      </c>
      <c r="AG1015">
        <f t="shared" ca="1" si="493"/>
        <v>0</v>
      </c>
      <c r="AH1015">
        <f ca="1">IF(V32="Supercritical",L1015,IF(V32="Subcritical",W1015,IF(AND(V1015=1,AG1015=1),IF(T1015&gt;=AE1015,L1015,W1015),IF(V1015=1,L1015,IF(AG1015=1,W1015,MAX($D$16,POWER((ABS(K1015)^2)/($I$5*MAX(F1015,0.1)^2),1/3)))))))</f>
        <v>2.1403668656741068</v>
      </c>
      <c r="AI1015">
        <f t="shared" ca="1" si="494"/>
        <v>634.26986686567409</v>
      </c>
      <c r="AJ1015">
        <f t="shared" ca="1" si="495"/>
        <v>635.34005029851119</v>
      </c>
      <c r="AM1015">
        <v>0</v>
      </c>
      <c r="AN1015">
        <v>0</v>
      </c>
      <c r="AO1015">
        <f t="shared" si="496"/>
        <v>0</v>
      </c>
      <c r="AP1015">
        <f t="shared" si="505"/>
        <v>0</v>
      </c>
      <c r="AQ1015">
        <f t="shared" ca="1" si="497"/>
        <v>0.99999999999999978</v>
      </c>
      <c r="AR1015" t="str">
        <f t="shared" ca="1" si="498"/>
        <v>Supercritical</v>
      </c>
      <c r="AS1015">
        <f t="shared" ca="1" si="499"/>
        <v>3.8148159832266538E-3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191</v>
      </c>
      <c r="I1016">
        <v>5.7000000000000002E-2</v>
      </c>
      <c r="J1016">
        <f t="shared" si="500"/>
        <v>1</v>
      </c>
      <c r="K1016">
        <f t="shared" si="501"/>
        <v>51</v>
      </c>
      <c r="L1016">
        <f t="shared" ca="1" si="502"/>
        <v>0.05</v>
      </c>
      <c r="M1016">
        <f t="shared" ca="1" si="475"/>
        <v>0.26</v>
      </c>
      <c r="N1016">
        <f t="shared" ca="1" si="476"/>
        <v>4.9056603773584909E-2</v>
      </c>
      <c r="O1016">
        <f t="shared" ca="1" si="477"/>
        <v>196.15384615384616</v>
      </c>
      <c r="P1016">
        <f t="shared" ca="1" si="478"/>
        <v>632.17899999999997</v>
      </c>
      <c r="Q1016">
        <f t="shared" ca="1" si="479"/>
        <v>2593.256031648662</v>
      </c>
      <c r="R1016">
        <f t="shared" ca="1" si="480"/>
        <v>482.07306851378365</v>
      </c>
      <c r="S1016">
        <f t="shared" ca="1" si="481"/>
        <v>280.07692026646265</v>
      </c>
      <c r="T1016">
        <f t="shared" ca="1" si="482"/>
        <v>1019.7665564573041</v>
      </c>
      <c r="U1016">
        <f t="shared" ca="1" si="503"/>
        <v>-482.25887083179032</v>
      </c>
      <c r="V1016">
        <f t="shared" ca="1" si="504"/>
        <v>0</v>
      </c>
      <c r="W1016">
        <f t="shared" ca="1" si="483"/>
        <v>0.05</v>
      </c>
      <c r="X1016">
        <f t="shared" ca="1" si="484"/>
        <v>0.26</v>
      </c>
      <c r="Y1016">
        <f t="shared" ca="1" si="485"/>
        <v>4.9056603773584909E-2</v>
      </c>
      <c r="Z1016">
        <f t="shared" ca="1" si="486"/>
        <v>196.15384615384616</v>
      </c>
      <c r="AA1016">
        <f t="shared" ca="1" si="487"/>
        <v>632.17899999999997</v>
      </c>
      <c r="AB1016">
        <f t="shared" ca="1" si="488"/>
        <v>2593.256031648662</v>
      </c>
      <c r="AC1016">
        <f t="shared" ca="1" si="489"/>
        <v>482.07306851378365</v>
      </c>
      <c r="AD1016">
        <f t="shared" ca="1" si="490"/>
        <v>280.07692026646265</v>
      </c>
      <c r="AE1016">
        <f t="shared" ca="1" si="491"/>
        <v>1019.7665564573041</v>
      </c>
      <c r="AF1016">
        <f t="shared" ca="1" si="492"/>
        <v>482.25887083179077</v>
      </c>
      <c r="AG1016">
        <f t="shared" ca="1" si="493"/>
        <v>0</v>
      </c>
      <c r="AH1016">
        <f ca="1">IF(V32="Supercritical",L1016,IF(V32="Subcritical",W1016,IF(AND(V1016=1,AG1016=1),IF(T1016&gt;=AE1016,L1016,W1016),IF(V1016=1,L1016,IF(AG1016=1,W1016,MAX($D$16,POWER((ABS(K1016)^2)/($I$5*MAX(F1016,0.1)^2),1/3)))))))</f>
        <v>2.1403668656741068</v>
      </c>
      <c r="AI1016">
        <f t="shared" ca="1" si="494"/>
        <v>634.2693668656741</v>
      </c>
      <c r="AJ1016">
        <f t="shared" ca="1" si="495"/>
        <v>635.3395502985112</v>
      </c>
      <c r="AM1016">
        <v>0</v>
      </c>
      <c r="AN1016">
        <v>0</v>
      </c>
      <c r="AO1016">
        <f t="shared" si="496"/>
        <v>0</v>
      </c>
      <c r="AP1016">
        <f t="shared" si="505"/>
        <v>0</v>
      </c>
      <c r="AQ1016">
        <f t="shared" ca="1" si="497"/>
        <v>0.99999999999999978</v>
      </c>
      <c r="AR1016" t="str">
        <f t="shared" ca="1" si="498"/>
        <v>Supercritical</v>
      </c>
      <c r="AS1016">
        <f t="shared" ca="1" si="499"/>
        <v>3.8148159832266538E-3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191</v>
      </c>
      <c r="I1017">
        <v>5.7000000000000002E-2</v>
      </c>
      <c r="J1017">
        <f t="shared" si="500"/>
        <v>1</v>
      </c>
      <c r="K1017">
        <f t="shared" si="501"/>
        <v>51</v>
      </c>
      <c r="L1017">
        <f t="shared" ca="1" si="502"/>
        <v>0.05</v>
      </c>
      <c r="M1017">
        <f t="shared" ca="1" si="475"/>
        <v>0.26</v>
      </c>
      <c r="N1017">
        <f t="shared" ca="1" si="476"/>
        <v>4.9056603773584909E-2</v>
      </c>
      <c r="O1017">
        <f t="shared" ca="1" si="477"/>
        <v>196.15384615384616</v>
      </c>
      <c r="P1017">
        <f t="shared" ca="1" si="478"/>
        <v>632.17849999999999</v>
      </c>
      <c r="Q1017">
        <f t="shared" ca="1" si="479"/>
        <v>2593.2555316486623</v>
      </c>
      <c r="R1017">
        <f t="shared" ca="1" si="480"/>
        <v>482.07306851378365</v>
      </c>
      <c r="S1017">
        <f t="shared" ca="1" si="481"/>
        <v>280.07692026646265</v>
      </c>
      <c r="T1017">
        <f t="shared" ca="1" si="482"/>
        <v>1019.7665564573041</v>
      </c>
      <c r="U1017">
        <f t="shared" ca="1" si="503"/>
        <v>-482.25887083179077</v>
      </c>
      <c r="V1017">
        <f t="shared" ca="1" si="504"/>
        <v>0</v>
      </c>
      <c r="W1017">
        <f t="shared" ca="1" si="483"/>
        <v>0.05</v>
      </c>
      <c r="X1017">
        <f t="shared" ca="1" si="484"/>
        <v>0.26</v>
      </c>
      <c r="Y1017">
        <f t="shared" ca="1" si="485"/>
        <v>4.9056603773584909E-2</v>
      </c>
      <c r="Z1017">
        <f t="shared" ca="1" si="486"/>
        <v>196.15384615384616</v>
      </c>
      <c r="AA1017">
        <f t="shared" ca="1" si="487"/>
        <v>632.17849999999999</v>
      </c>
      <c r="AB1017">
        <f t="shared" ca="1" si="488"/>
        <v>2593.2555316486623</v>
      </c>
      <c r="AC1017">
        <f t="shared" ca="1" si="489"/>
        <v>482.07306851378365</v>
      </c>
      <c r="AD1017">
        <f t="shared" ca="1" si="490"/>
        <v>280.07692026646265</v>
      </c>
      <c r="AE1017">
        <f t="shared" ca="1" si="491"/>
        <v>1019.7665564573041</v>
      </c>
      <c r="AF1017">
        <f t="shared" ca="1" si="492"/>
        <v>482.07256851378361</v>
      </c>
      <c r="AG1017">
        <f t="shared" ca="1" si="493"/>
        <v>0</v>
      </c>
      <c r="AH1017">
        <f ca="1">IF(V32="Supercritical",L1017,IF(V32="Subcritical",W1017,IF(AND(V1017=1,AG1017=1),IF(T1017&gt;=AE1017,L1017,W1017),IF(V1017=1,L1017,IF(AG1017=1,W1017,MAX($D$16,POWER((ABS(K1017)^2)/($I$5*MAX(F1017,0.1)^2),1/3)))))))</f>
        <v>2.1403668656741068</v>
      </c>
      <c r="AI1017">
        <f t="shared" ca="1" si="494"/>
        <v>634.26886686567411</v>
      </c>
      <c r="AJ1017">
        <f t="shared" ca="1" si="495"/>
        <v>635.33905029851121</v>
      </c>
      <c r="AM1017">
        <v>0</v>
      </c>
      <c r="AN1017">
        <v>0</v>
      </c>
      <c r="AO1017">
        <f t="shared" si="496"/>
        <v>0</v>
      </c>
      <c r="AP1017">
        <f t="shared" si="505"/>
        <v>0</v>
      </c>
      <c r="AQ1017">
        <f t="shared" ca="1" si="497"/>
        <v>0.99999999999999978</v>
      </c>
      <c r="AR1017" t="str">
        <f t="shared" ca="1" si="498"/>
        <v>Supercritical</v>
      </c>
      <c r="AS1017">
        <f t="shared" ca="1" si="499"/>
        <v>3.8148159832266538E-3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191</v>
      </c>
      <c r="I1018">
        <v>0</v>
      </c>
      <c r="J1018">
        <f t="shared" si="500"/>
        <v>1</v>
      </c>
      <c r="K1018">
        <f t="shared" si="501"/>
        <v>51</v>
      </c>
      <c r="L1018">
        <f t="shared" ca="1" si="502"/>
        <v>0.05</v>
      </c>
      <c r="M1018">
        <f t="shared" ca="1" si="475"/>
        <v>0.26</v>
      </c>
      <c r="N1018">
        <f t="shared" ca="1" si="476"/>
        <v>4.9056603773584909E-2</v>
      </c>
      <c r="O1018">
        <f t="shared" ca="1" si="477"/>
        <v>196.15384615384616</v>
      </c>
      <c r="P1018">
        <f t="shared" ca="1" si="478"/>
        <v>632.178</v>
      </c>
      <c r="Q1018">
        <f t="shared" ca="1" si="479"/>
        <v>2593.2550316486622</v>
      </c>
      <c r="R1018">
        <f t="shared" ca="1" si="480"/>
        <v>482.07306851378365</v>
      </c>
      <c r="S1018">
        <f t="shared" ca="1" si="481"/>
        <v>280.07692026646265</v>
      </c>
      <c r="T1018">
        <f t="shared" ca="1" si="482"/>
        <v>1019.7665564573041</v>
      </c>
      <c r="U1018">
        <f t="shared" ca="1" si="503"/>
        <v>-482.07256851378361</v>
      </c>
      <c r="V1018">
        <f t="shared" ca="1" si="504"/>
        <v>0</v>
      </c>
      <c r="W1018">
        <f t="shared" ca="1" si="483"/>
        <v>0.05</v>
      </c>
      <c r="X1018">
        <f t="shared" ca="1" si="484"/>
        <v>0.26</v>
      </c>
      <c r="Y1018">
        <f t="shared" ca="1" si="485"/>
        <v>4.9056603773584909E-2</v>
      </c>
      <c r="Z1018">
        <f t="shared" ca="1" si="486"/>
        <v>196.15384615384616</v>
      </c>
      <c r="AA1018">
        <f t="shared" ca="1" si="487"/>
        <v>632.178</v>
      </c>
      <c r="AB1018">
        <f t="shared" ca="1" si="488"/>
        <v>2593.2550316486622</v>
      </c>
      <c r="AC1018">
        <f t="shared" ca="1" si="489"/>
        <v>482.07306851378365</v>
      </c>
      <c r="AD1018">
        <f t="shared" ca="1" si="490"/>
        <v>280.07692026646265</v>
      </c>
      <c r="AE1018">
        <f t="shared" ca="1" si="491"/>
        <v>1019.7665564573041</v>
      </c>
      <c r="AF1018">
        <f t="shared" ca="1" si="492"/>
        <v>482.07256851378361</v>
      </c>
      <c r="AG1018">
        <f t="shared" ca="1" si="493"/>
        <v>0</v>
      </c>
      <c r="AH1018">
        <f ca="1">IF(V32="Supercritical",L1018,IF(V32="Subcritical",W1018,IF(AND(V1018=1,AG1018=1),IF(T1018&gt;=AE1018,L1018,W1018),IF(V1018=1,L1018,IF(AG1018=1,W1018,MAX($D$16,POWER((ABS(K1018)^2)/($I$5*MAX(F1018,0.1)^2),1/3)))))))</f>
        <v>2.1403668656741068</v>
      </c>
      <c r="AI1018">
        <f t="shared" ca="1" si="494"/>
        <v>634.26836686567412</v>
      </c>
      <c r="AJ1018">
        <f t="shared" ca="1" si="495"/>
        <v>635.33855029851122</v>
      </c>
      <c r="AM1018">
        <v>0</v>
      </c>
      <c r="AN1018">
        <v>0</v>
      </c>
      <c r="AO1018">
        <f t="shared" si="496"/>
        <v>0</v>
      </c>
      <c r="AP1018">
        <f t="shared" si="505"/>
        <v>0</v>
      </c>
      <c r="AQ1018">
        <f t="shared" ca="1" si="497"/>
        <v>0.99999999999999978</v>
      </c>
      <c r="AR1018" t="str">
        <f t="shared" ca="1" si="498"/>
        <v>Supercritical</v>
      </c>
      <c r="AS1018">
        <f t="shared" ca="1" si="499"/>
        <v>3.8148159832266538E-3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191</v>
      </c>
      <c r="I1019">
        <v>0</v>
      </c>
      <c r="J1019">
        <f t="shared" si="500"/>
        <v>1</v>
      </c>
      <c r="K1019">
        <f t="shared" si="501"/>
        <v>51</v>
      </c>
      <c r="L1019">
        <f t="shared" ca="1" si="502"/>
        <v>0.05</v>
      </c>
      <c r="M1019">
        <f t="shared" ca="1" si="475"/>
        <v>0.26</v>
      </c>
      <c r="N1019">
        <f t="shared" ca="1" si="476"/>
        <v>4.9056603773584909E-2</v>
      </c>
      <c r="O1019">
        <f t="shared" ca="1" si="477"/>
        <v>196.15384615384616</v>
      </c>
      <c r="P1019">
        <f t="shared" ca="1" si="478"/>
        <v>632.17750000000001</v>
      </c>
      <c r="Q1019">
        <f t="shared" ca="1" si="479"/>
        <v>2593.2545316486621</v>
      </c>
      <c r="R1019">
        <f t="shared" ca="1" si="480"/>
        <v>482.07306851378365</v>
      </c>
      <c r="S1019">
        <f t="shared" ca="1" si="481"/>
        <v>280.07692026646265</v>
      </c>
      <c r="T1019">
        <f t="shared" ca="1" si="482"/>
        <v>1019.7665564573041</v>
      </c>
      <c r="U1019">
        <f t="shared" ca="1" si="503"/>
        <v>-482.07256851378361</v>
      </c>
      <c r="V1019">
        <f t="shared" ca="1" si="504"/>
        <v>0</v>
      </c>
      <c r="W1019">
        <f t="shared" ca="1" si="483"/>
        <v>0.05</v>
      </c>
      <c r="X1019">
        <f t="shared" ca="1" si="484"/>
        <v>0.26</v>
      </c>
      <c r="Y1019">
        <f t="shared" ca="1" si="485"/>
        <v>4.9056603773584909E-2</v>
      </c>
      <c r="Z1019">
        <f t="shared" ca="1" si="486"/>
        <v>196.15384615384616</v>
      </c>
      <c r="AA1019">
        <f t="shared" ca="1" si="487"/>
        <v>632.17750000000001</v>
      </c>
      <c r="AB1019">
        <f t="shared" ca="1" si="488"/>
        <v>2593.2545316486621</v>
      </c>
      <c r="AC1019">
        <f t="shared" ca="1" si="489"/>
        <v>482.07306851378365</v>
      </c>
      <c r="AD1019">
        <f t="shared" ca="1" si="490"/>
        <v>280.07692026646265</v>
      </c>
      <c r="AE1019">
        <f t="shared" ca="1" si="491"/>
        <v>1019.7665564573041</v>
      </c>
      <c r="AF1019">
        <f t="shared" ca="1" si="492"/>
        <v>482.25887083179032</v>
      </c>
      <c r="AG1019">
        <f t="shared" ca="1" si="493"/>
        <v>0</v>
      </c>
      <c r="AH1019">
        <f ca="1">IF(V32="Supercritical",L1019,IF(V32="Subcritical",W1019,IF(AND(V1019=1,AG1019=1),IF(T1019&gt;=AE1019,L1019,W1019),IF(V1019=1,L1019,IF(AG1019=1,W1019,MAX($D$16,POWER((ABS(K1019)^2)/($I$5*MAX(F1019,0.1)^2),1/3)))))))</f>
        <v>2.1403668656741068</v>
      </c>
      <c r="AI1019">
        <f t="shared" ca="1" si="494"/>
        <v>634.26786686567414</v>
      </c>
      <c r="AJ1019">
        <f t="shared" ca="1" si="495"/>
        <v>635.33805029851123</v>
      </c>
      <c r="AM1019">
        <v>0</v>
      </c>
      <c r="AN1019">
        <v>0</v>
      </c>
      <c r="AO1019">
        <f t="shared" si="496"/>
        <v>0</v>
      </c>
      <c r="AP1019">
        <f t="shared" si="505"/>
        <v>0</v>
      </c>
      <c r="AQ1019">
        <f t="shared" ca="1" si="497"/>
        <v>0.99999999999999978</v>
      </c>
      <c r="AR1019" t="str">
        <f t="shared" ca="1" si="498"/>
        <v>Supercritical</v>
      </c>
      <c r="AS1019">
        <f t="shared" ca="1" si="499"/>
        <v>3.8148159832266538E-3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191</v>
      </c>
      <c r="I1020">
        <v>5.7000000000000002E-2</v>
      </c>
      <c r="J1020">
        <f t="shared" si="500"/>
        <v>1</v>
      </c>
      <c r="K1020">
        <f t="shared" si="501"/>
        <v>51</v>
      </c>
      <c r="L1020">
        <f t="shared" ca="1" si="502"/>
        <v>0.05</v>
      </c>
      <c r="M1020">
        <f t="shared" ca="1" si="475"/>
        <v>0.26</v>
      </c>
      <c r="N1020">
        <f t="shared" ca="1" si="476"/>
        <v>4.9056603773584909E-2</v>
      </c>
      <c r="O1020">
        <f t="shared" ca="1" si="477"/>
        <v>196.15384615384616</v>
      </c>
      <c r="P1020">
        <f t="shared" ca="1" si="478"/>
        <v>632.17699999999991</v>
      </c>
      <c r="Q1020">
        <f t="shared" ca="1" si="479"/>
        <v>2593.254031648662</v>
      </c>
      <c r="R1020">
        <f t="shared" ca="1" si="480"/>
        <v>482.07306851378365</v>
      </c>
      <c r="S1020">
        <f t="shared" ca="1" si="481"/>
        <v>280.07692026646265</v>
      </c>
      <c r="T1020">
        <f t="shared" ca="1" si="482"/>
        <v>1019.7665564573041</v>
      </c>
      <c r="U1020">
        <f t="shared" ca="1" si="503"/>
        <v>-482.25887083179032</v>
      </c>
      <c r="V1020">
        <f t="shared" ca="1" si="504"/>
        <v>0</v>
      </c>
      <c r="W1020">
        <f t="shared" ca="1" si="483"/>
        <v>0.05</v>
      </c>
      <c r="X1020">
        <f t="shared" ca="1" si="484"/>
        <v>0.26</v>
      </c>
      <c r="Y1020">
        <f t="shared" ca="1" si="485"/>
        <v>4.9056603773584909E-2</v>
      </c>
      <c r="Z1020">
        <f t="shared" ca="1" si="486"/>
        <v>196.15384615384616</v>
      </c>
      <c r="AA1020">
        <f t="shared" ca="1" si="487"/>
        <v>632.17699999999991</v>
      </c>
      <c r="AB1020">
        <f t="shared" ca="1" si="488"/>
        <v>2593.254031648662</v>
      </c>
      <c r="AC1020">
        <f t="shared" ca="1" si="489"/>
        <v>482.07306851378365</v>
      </c>
      <c r="AD1020">
        <f t="shared" ca="1" si="490"/>
        <v>280.07692026646265</v>
      </c>
      <c r="AE1020">
        <f t="shared" ca="1" si="491"/>
        <v>1019.7665564573041</v>
      </c>
      <c r="AF1020">
        <f t="shared" ca="1" si="492"/>
        <v>482.26867621694828</v>
      </c>
      <c r="AG1020">
        <f t="shared" ca="1" si="493"/>
        <v>0</v>
      </c>
      <c r="AH1020">
        <f ca="1">IF(V32="Supercritical",L1020,IF(V32="Subcritical",W1020,IF(AND(V1020=1,AG1020=1),IF(T1020&gt;=AE1020,L1020,W1020),IF(V1020=1,L1020,IF(AG1020=1,W1020,MAX($D$16,POWER((ABS(K1020)^2)/($I$5*MAX(F1020,0.1)^2),1/3)))))))</f>
        <v>2.1403668656741068</v>
      </c>
      <c r="AI1020">
        <f t="shared" ca="1" si="494"/>
        <v>634.26736686567403</v>
      </c>
      <c r="AJ1020">
        <f t="shared" ca="1" si="495"/>
        <v>635.33755029851113</v>
      </c>
      <c r="AM1020">
        <v>0</v>
      </c>
      <c r="AN1020">
        <v>0</v>
      </c>
      <c r="AO1020">
        <f t="shared" si="496"/>
        <v>0</v>
      </c>
      <c r="AP1020">
        <f t="shared" si="505"/>
        <v>0</v>
      </c>
      <c r="AQ1020">
        <f t="shared" ca="1" si="497"/>
        <v>0.99999999999999978</v>
      </c>
      <c r="AR1020" t="str">
        <f t="shared" ca="1" si="498"/>
        <v>Supercritical</v>
      </c>
      <c r="AS1020">
        <f t="shared" ca="1" si="499"/>
        <v>3.8148159832266538E-3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191</v>
      </c>
      <c r="I1021">
        <v>0.06</v>
      </c>
      <c r="J1021">
        <f t="shared" si="500"/>
        <v>1</v>
      </c>
      <c r="K1021">
        <f t="shared" si="501"/>
        <v>51</v>
      </c>
      <c r="L1021">
        <f t="shared" ca="1" si="502"/>
        <v>0.05</v>
      </c>
      <c r="M1021">
        <f t="shared" ca="1" si="475"/>
        <v>0.26</v>
      </c>
      <c r="N1021">
        <f t="shared" ca="1" si="476"/>
        <v>4.9056603773584909E-2</v>
      </c>
      <c r="O1021">
        <f t="shared" ca="1" si="477"/>
        <v>196.15384615384616</v>
      </c>
      <c r="P1021">
        <f t="shared" ca="1" si="478"/>
        <v>632.17649999999992</v>
      </c>
      <c r="Q1021">
        <f t="shared" ca="1" si="479"/>
        <v>2593.2535316486619</v>
      </c>
      <c r="R1021">
        <f t="shared" ca="1" si="480"/>
        <v>482.07306851378365</v>
      </c>
      <c r="S1021">
        <f t="shared" ca="1" si="481"/>
        <v>280.07692026646265</v>
      </c>
      <c r="T1021">
        <f t="shared" ca="1" si="482"/>
        <v>1019.7665564573041</v>
      </c>
      <c r="U1021">
        <f t="shared" ca="1" si="503"/>
        <v>-482.26867621694828</v>
      </c>
      <c r="V1021">
        <f t="shared" ca="1" si="504"/>
        <v>0</v>
      </c>
      <c r="W1021">
        <f t="shared" ca="1" si="483"/>
        <v>0.05</v>
      </c>
      <c r="X1021">
        <f t="shared" ca="1" si="484"/>
        <v>0.26</v>
      </c>
      <c r="Y1021">
        <f t="shared" ca="1" si="485"/>
        <v>4.9056603773584909E-2</v>
      </c>
      <c r="Z1021">
        <f t="shared" ca="1" si="486"/>
        <v>196.15384615384616</v>
      </c>
      <c r="AA1021">
        <f t="shared" ca="1" si="487"/>
        <v>632.17649999999992</v>
      </c>
      <c r="AB1021">
        <f t="shared" ca="1" si="488"/>
        <v>2593.2535316486619</v>
      </c>
      <c r="AC1021">
        <f t="shared" ca="1" si="489"/>
        <v>482.07306851378365</v>
      </c>
      <c r="AD1021">
        <f t="shared" ca="1" si="490"/>
        <v>280.07692026646265</v>
      </c>
      <c r="AE1021">
        <f t="shared" ca="1" si="491"/>
        <v>1019.7665564573041</v>
      </c>
      <c r="AF1021">
        <f t="shared" ca="1" si="492"/>
        <v>482.56117850572491</v>
      </c>
      <c r="AG1021">
        <f t="shared" ca="1" si="493"/>
        <v>0</v>
      </c>
      <c r="AH1021">
        <f ca="1">IF(V32="Supercritical",L1021,IF(V32="Subcritical",W1021,IF(AND(V1021=1,AG1021=1),IF(T1021&gt;=AE1021,L1021,W1021),IF(V1021=1,L1021,IF(AG1021=1,W1021,MAX($D$16,POWER((ABS(K1021)^2)/($I$5*MAX(F1021,0.1)^2),1/3)))))))</f>
        <v>2.1403668656741068</v>
      </c>
      <c r="AI1021">
        <f t="shared" ca="1" si="494"/>
        <v>634.26686686567405</v>
      </c>
      <c r="AJ1021">
        <f t="shared" ca="1" si="495"/>
        <v>635.33705029851114</v>
      </c>
      <c r="AM1021">
        <v>0</v>
      </c>
      <c r="AN1021">
        <v>0</v>
      </c>
      <c r="AO1021">
        <f t="shared" si="496"/>
        <v>0</v>
      </c>
      <c r="AP1021">
        <f t="shared" si="505"/>
        <v>0</v>
      </c>
      <c r="AQ1021">
        <f t="shared" ca="1" si="497"/>
        <v>0.99999999999999978</v>
      </c>
      <c r="AR1021" t="str">
        <f t="shared" ca="1" si="498"/>
        <v>Supercritical</v>
      </c>
      <c r="AS1021">
        <f t="shared" ca="1" si="499"/>
        <v>3.8148159832266538E-3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191</v>
      </c>
      <c r="I1022">
        <v>2E-3</v>
      </c>
      <c r="J1022">
        <f t="shared" si="500"/>
        <v>1.0009999999999764</v>
      </c>
      <c r="K1022">
        <f t="shared" si="501"/>
        <v>51</v>
      </c>
      <c r="L1022">
        <f t="shared" ca="1" si="502"/>
        <v>0.05</v>
      </c>
      <c r="M1022">
        <f t="shared" ca="1" si="475"/>
        <v>0.26</v>
      </c>
      <c r="N1022">
        <f t="shared" ca="1" si="476"/>
        <v>4.9056603773584909E-2</v>
      </c>
      <c r="O1022">
        <f t="shared" ca="1" si="477"/>
        <v>196.15384615384616</v>
      </c>
      <c r="P1022">
        <f t="shared" ca="1" si="478"/>
        <v>632.17599999999993</v>
      </c>
      <c r="Q1022">
        <f t="shared" ca="1" si="479"/>
        <v>2593.2530316486618</v>
      </c>
      <c r="R1022">
        <f t="shared" ca="1" si="480"/>
        <v>482.07306851378365</v>
      </c>
      <c r="S1022">
        <f t="shared" ca="1" si="481"/>
        <v>280.07692026646265</v>
      </c>
      <c r="T1022">
        <f t="shared" ca="1" si="482"/>
        <v>1019.7665564573041</v>
      </c>
      <c r="U1022">
        <f t="shared" ca="1" si="503"/>
        <v>-482.56117850572491</v>
      </c>
      <c r="V1022">
        <f t="shared" ca="1" si="504"/>
        <v>0</v>
      </c>
      <c r="W1022">
        <f t="shared" ca="1" si="483"/>
        <v>0.05</v>
      </c>
      <c r="X1022">
        <f t="shared" ca="1" si="484"/>
        <v>0.26</v>
      </c>
      <c r="Y1022">
        <f t="shared" ca="1" si="485"/>
        <v>4.9056603773584909E-2</v>
      </c>
      <c r="Z1022">
        <f t="shared" ca="1" si="486"/>
        <v>196.15384615384616</v>
      </c>
      <c r="AA1022">
        <f t="shared" ca="1" si="487"/>
        <v>632.17599999999993</v>
      </c>
      <c r="AB1022">
        <f t="shared" ca="1" si="488"/>
        <v>2593.2530316486618</v>
      </c>
      <c r="AC1022">
        <f t="shared" ca="1" si="489"/>
        <v>482.07306851378365</v>
      </c>
      <c r="AD1022">
        <f t="shared" ca="1" si="490"/>
        <v>280.07692026646265</v>
      </c>
      <c r="AE1022">
        <f t="shared" ca="1" si="491"/>
        <v>1019.7665564573041</v>
      </c>
      <c r="AF1022">
        <f t="shared" ca="1" si="492"/>
        <v>482.07256851378406</v>
      </c>
      <c r="AG1022">
        <f t="shared" ca="1" si="493"/>
        <v>0</v>
      </c>
      <c r="AH1022">
        <f ca="1">IF(V32="Supercritical",L1022,IF(V32="Subcritical",W1022,IF(AND(V1022=1,AG1022=1),IF(T1022&gt;=AE1022,L1022,W1022),IF(V1022=1,L1022,IF(AG1022=1,W1022,MAX($D$16,POWER((ABS(K1022)^2)/($I$5*MAX(F1022,0.1)^2),1/3)))))))</f>
        <v>2.1403668656741068</v>
      </c>
      <c r="AI1022">
        <f t="shared" ca="1" si="494"/>
        <v>634.26636686567406</v>
      </c>
      <c r="AJ1022">
        <f t="shared" ca="1" si="495"/>
        <v>635.33655029851116</v>
      </c>
      <c r="AM1022">
        <v>0</v>
      </c>
      <c r="AN1022">
        <v>0</v>
      </c>
      <c r="AO1022">
        <f t="shared" si="496"/>
        <v>0</v>
      </c>
      <c r="AP1022">
        <f t="shared" si="505"/>
        <v>0</v>
      </c>
      <c r="AQ1022">
        <f t="shared" ca="1" si="497"/>
        <v>0.99999999999999978</v>
      </c>
      <c r="AR1022" t="str">
        <f t="shared" ca="1" si="498"/>
        <v>Supercritical</v>
      </c>
      <c r="AS1022">
        <f t="shared" ca="1" si="499"/>
        <v>3.8148159832266538E-3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191</v>
      </c>
      <c r="I1023">
        <v>0</v>
      </c>
      <c r="J1023">
        <f t="shared" si="500"/>
        <v>1</v>
      </c>
      <c r="K1023">
        <f t="shared" si="501"/>
        <v>51</v>
      </c>
      <c r="L1023">
        <f t="shared" ca="1" si="502"/>
        <v>0.05</v>
      </c>
      <c r="M1023">
        <f t="shared" ca="1" si="475"/>
        <v>0.26</v>
      </c>
      <c r="N1023">
        <f t="shared" ca="1" si="476"/>
        <v>4.9056603773584909E-2</v>
      </c>
      <c r="O1023">
        <f t="shared" ca="1" si="477"/>
        <v>196.15384615384616</v>
      </c>
      <c r="P1023">
        <f t="shared" ca="1" si="478"/>
        <v>632.17549999999994</v>
      </c>
      <c r="Q1023">
        <f t="shared" ca="1" si="479"/>
        <v>2593.2525316486622</v>
      </c>
      <c r="R1023">
        <f t="shared" ca="1" si="480"/>
        <v>482.07306851378365</v>
      </c>
      <c r="S1023">
        <f t="shared" ca="1" si="481"/>
        <v>280.07692026646265</v>
      </c>
      <c r="T1023">
        <f t="shared" ca="1" si="482"/>
        <v>1019.7665564573041</v>
      </c>
      <c r="U1023">
        <f t="shared" ca="1" si="503"/>
        <v>-482.07256851378406</v>
      </c>
      <c r="V1023">
        <f t="shared" ca="1" si="504"/>
        <v>0</v>
      </c>
      <c r="W1023">
        <f t="shared" ca="1" si="483"/>
        <v>0.05</v>
      </c>
      <c r="X1023">
        <f t="shared" ca="1" si="484"/>
        <v>0.26</v>
      </c>
      <c r="Y1023">
        <f t="shared" ca="1" si="485"/>
        <v>4.9056603773584909E-2</v>
      </c>
      <c r="Z1023">
        <f t="shared" ca="1" si="486"/>
        <v>196.15384615384616</v>
      </c>
      <c r="AA1023">
        <f t="shared" ca="1" si="487"/>
        <v>632.17549999999994</v>
      </c>
      <c r="AB1023">
        <f t="shared" ca="1" si="488"/>
        <v>2593.2525316486622</v>
      </c>
      <c r="AC1023">
        <f t="shared" ca="1" si="489"/>
        <v>482.07306851378365</v>
      </c>
      <c r="AD1023">
        <f t="shared" ca="1" si="490"/>
        <v>280.07692026646265</v>
      </c>
      <c r="AE1023">
        <f t="shared" ca="1" si="491"/>
        <v>1019.7665564573041</v>
      </c>
      <c r="AF1023">
        <f t="shared" ca="1" si="492"/>
        <v>481.77679776328796</v>
      </c>
      <c r="AG1023">
        <f t="shared" ca="1" si="493"/>
        <v>0</v>
      </c>
      <c r="AH1023">
        <f ca="1">IF(V32="Supercritical",L1023,IF(V32="Subcritical",W1023,IF(AND(V1023=1,AG1023=1),IF(T1023&gt;=AE1023,L1023,W1023),IF(V1023=1,L1023,IF(AG1023=1,W1023,MAX($D$16,POWER((ABS(K1023)^2)/($I$5*MAX(F1023,0.1)^2),1/3)))))))</f>
        <v>2.1403668656741068</v>
      </c>
      <c r="AI1023">
        <f t="shared" ca="1" si="494"/>
        <v>634.26586686567407</v>
      </c>
      <c r="AJ1023">
        <f t="shared" ca="1" si="495"/>
        <v>635.33605029851117</v>
      </c>
      <c r="AM1023">
        <v>0</v>
      </c>
      <c r="AN1023">
        <v>0</v>
      </c>
      <c r="AO1023">
        <f t="shared" si="496"/>
        <v>0</v>
      </c>
      <c r="AP1023">
        <f t="shared" si="505"/>
        <v>0</v>
      </c>
      <c r="AQ1023">
        <f t="shared" ca="1" si="497"/>
        <v>0.99999999999999978</v>
      </c>
      <c r="AR1023" t="str">
        <f t="shared" ca="1" si="498"/>
        <v>Supercritical</v>
      </c>
      <c r="AS1023">
        <f t="shared" ca="1" si="499"/>
        <v>3.8148159832266538E-3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191</v>
      </c>
      <c r="I1024">
        <v>5.7000000000000002E-2</v>
      </c>
      <c r="J1024">
        <f t="shared" si="500"/>
        <v>0.99900000000002365</v>
      </c>
      <c r="K1024">
        <f t="shared" si="501"/>
        <v>51</v>
      </c>
      <c r="L1024">
        <f t="shared" ca="1" si="502"/>
        <v>0.05</v>
      </c>
      <c r="M1024">
        <f t="shared" ca="1" si="475"/>
        <v>0.26</v>
      </c>
      <c r="N1024">
        <f t="shared" ca="1" si="476"/>
        <v>4.9056603773584909E-2</v>
      </c>
      <c r="O1024">
        <f t="shared" ca="1" si="477"/>
        <v>196.15384615384616</v>
      </c>
      <c r="P1024">
        <f t="shared" ca="1" si="478"/>
        <v>632.17499999999995</v>
      </c>
      <c r="Q1024">
        <f t="shared" ca="1" si="479"/>
        <v>2593.2520316486621</v>
      </c>
      <c r="R1024">
        <f t="shared" ca="1" si="480"/>
        <v>482.07306851378365</v>
      </c>
      <c r="S1024">
        <f t="shared" ca="1" si="481"/>
        <v>280.07692026646265</v>
      </c>
      <c r="T1024">
        <f t="shared" ca="1" si="482"/>
        <v>1019.7665564573041</v>
      </c>
      <c r="U1024">
        <f t="shared" ca="1" si="503"/>
        <v>-481.77679776328796</v>
      </c>
      <c r="V1024">
        <f t="shared" ca="1" si="504"/>
        <v>0</v>
      </c>
      <c r="W1024">
        <f t="shared" ca="1" si="483"/>
        <v>0.05</v>
      </c>
      <c r="X1024">
        <f t="shared" ca="1" si="484"/>
        <v>0.26</v>
      </c>
      <c r="Y1024">
        <f t="shared" ca="1" si="485"/>
        <v>4.9056603773584909E-2</v>
      </c>
      <c r="Z1024">
        <f t="shared" ca="1" si="486"/>
        <v>196.15384615384616</v>
      </c>
      <c r="AA1024">
        <f t="shared" ca="1" si="487"/>
        <v>632.17499999999995</v>
      </c>
      <c r="AB1024">
        <f t="shared" ca="1" si="488"/>
        <v>2593.2520316486621</v>
      </c>
      <c r="AC1024">
        <f t="shared" ca="1" si="489"/>
        <v>482.07306851378365</v>
      </c>
      <c r="AD1024">
        <f t="shared" ca="1" si="490"/>
        <v>280.07692026646265</v>
      </c>
      <c r="AE1024">
        <f t="shared" ca="1" si="491"/>
        <v>1019.7665564573041</v>
      </c>
      <c r="AF1024">
        <f t="shared" ca="1" si="492"/>
        <v>482.25887083179032</v>
      </c>
      <c r="AG1024">
        <f t="shared" ca="1" si="493"/>
        <v>0</v>
      </c>
      <c r="AH1024">
        <f ca="1">IF(V32="Supercritical",L1024,IF(V32="Subcritical",W1024,IF(AND(V1024=1,AG1024=1),IF(T1024&gt;=AE1024,L1024,W1024),IF(V1024=1,L1024,IF(AG1024=1,W1024,MAX($D$16,POWER((ABS(K1024)^2)/($I$5*MAX(F1024,0.1)^2),1/3)))))))</f>
        <v>2.1403668656741068</v>
      </c>
      <c r="AI1024">
        <f t="shared" ca="1" si="494"/>
        <v>634.26536686567408</v>
      </c>
      <c r="AJ1024">
        <f t="shared" ca="1" si="495"/>
        <v>635.33555029851118</v>
      </c>
      <c r="AM1024">
        <v>0</v>
      </c>
      <c r="AN1024">
        <v>0</v>
      </c>
      <c r="AO1024">
        <f t="shared" si="496"/>
        <v>0</v>
      </c>
      <c r="AP1024">
        <f t="shared" si="505"/>
        <v>0</v>
      </c>
      <c r="AQ1024">
        <f t="shared" ca="1" si="497"/>
        <v>0.99999999999999978</v>
      </c>
      <c r="AR1024" t="str">
        <f t="shared" ca="1" si="498"/>
        <v>Supercritical</v>
      </c>
      <c r="AS1024">
        <f t="shared" ca="1" si="499"/>
        <v>3.8148159832266538E-3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191</v>
      </c>
      <c r="I1025">
        <v>5.7000000000000002E-2</v>
      </c>
      <c r="J1025">
        <f t="shared" si="500"/>
        <v>1</v>
      </c>
      <c r="K1025">
        <f t="shared" si="501"/>
        <v>51</v>
      </c>
      <c r="L1025">
        <f t="shared" ca="1" si="502"/>
        <v>0.05</v>
      </c>
      <c r="M1025">
        <f t="shared" ca="1" si="475"/>
        <v>0.26</v>
      </c>
      <c r="N1025">
        <f t="shared" ca="1" si="476"/>
        <v>4.9056603773584909E-2</v>
      </c>
      <c r="O1025">
        <f t="shared" ca="1" si="477"/>
        <v>196.15384615384616</v>
      </c>
      <c r="P1025">
        <f t="shared" ca="1" si="478"/>
        <v>632.17449999999997</v>
      </c>
      <c r="Q1025">
        <f t="shared" ca="1" si="479"/>
        <v>2593.251531648662</v>
      </c>
      <c r="R1025">
        <f t="shared" ca="1" si="480"/>
        <v>482.07306851378365</v>
      </c>
      <c r="S1025">
        <f t="shared" ca="1" si="481"/>
        <v>280.07692026646265</v>
      </c>
      <c r="T1025">
        <f t="shared" ca="1" si="482"/>
        <v>1019.7665564573041</v>
      </c>
      <c r="U1025">
        <f t="shared" ca="1" si="503"/>
        <v>-482.25887083179032</v>
      </c>
      <c r="V1025">
        <f t="shared" ca="1" si="504"/>
        <v>0</v>
      </c>
      <c r="W1025">
        <f t="shared" ca="1" si="483"/>
        <v>0.05</v>
      </c>
      <c r="X1025">
        <f t="shared" ca="1" si="484"/>
        <v>0.26</v>
      </c>
      <c r="Y1025">
        <f t="shared" ca="1" si="485"/>
        <v>4.9056603773584909E-2</v>
      </c>
      <c r="Z1025">
        <f t="shared" ca="1" si="486"/>
        <v>196.15384615384616</v>
      </c>
      <c r="AA1025">
        <f t="shared" ca="1" si="487"/>
        <v>632.17449999999997</v>
      </c>
      <c r="AB1025">
        <f t="shared" ca="1" si="488"/>
        <v>2593.251531648662</v>
      </c>
      <c r="AC1025">
        <f t="shared" ca="1" si="489"/>
        <v>482.07306851378365</v>
      </c>
      <c r="AD1025">
        <f t="shared" ca="1" si="490"/>
        <v>280.07692026646265</v>
      </c>
      <c r="AE1025">
        <f t="shared" ca="1" si="491"/>
        <v>1019.7665564573041</v>
      </c>
      <c r="AF1025">
        <f t="shared" ca="1" si="492"/>
        <v>482.07256851378406</v>
      </c>
      <c r="AG1025">
        <f t="shared" ca="1" si="493"/>
        <v>0</v>
      </c>
      <c r="AH1025">
        <f ca="1">IF(V32="Supercritical",L1025,IF(V32="Subcritical",W1025,IF(AND(V1025=1,AG1025=1),IF(T1025&gt;=AE1025,L1025,W1025),IF(V1025=1,L1025,IF(AG1025=1,W1025,MAX($D$16,POWER((ABS(K1025)^2)/($I$5*MAX(F1025,0.1)^2),1/3)))))))</f>
        <v>2.1403668656741068</v>
      </c>
      <c r="AI1025">
        <f t="shared" ca="1" si="494"/>
        <v>634.26486686567409</v>
      </c>
      <c r="AJ1025">
        <f t="shared" ca="1" si="495"/>
        <v>635.33505029851119</v>
      </c>
      <c r="AM1025">
        <v>0</v>
      </c>
      <c r="AN1025">
        <v>0</v>
      </c>
      <c r="AO1025">
        <f t="shared" si="496"/>
        <v>0</v>
      </c>
      <c r="AP1025">
        <f t="shared" si="505"/>
        <v>0</v>
      </c>
      <c r="AQ1025">
        <f t="shared" ca="1" si="497"/>
        <v>0.99999999999999978</v>
      </c>
      <c r="AR1025" t="str">
        <f t="shared" ca="1" si="498"/>
        <v>Supercritical</v>
      </c>
      <c r="AS1025">
        <f t="shared" ca="1" si="499"/>
        <v>3.8148159832266538E-3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191</v>
      </c>
      <c r="I1026">
        <v>0</v>
      </c>
      <c r="J1026">
        <f t="shared" si="500"/>
        <v>1</v>
      </c>
      <c r="K1026">
        <f t="shared" si="501"/>
        <v>51</v>
      </c>
      <c r="L1026">
        <f t="shared" ca="1" si="502"/>
        <v>0.05</v>
      </c>
      <c r="M1026">
        <f t="shared" ca="1" si="475"/>
        <v>0.26</v>
      </c>
      <c r="N1026">
        <f t="shared" ca="1" si="476"/>
        <v>4.9056603773584909E-2</v>
      </c>
      <c r="O1026">
        <f t="shared" ca="1" si="477"/>
        <v>196.15384615384616</v>
      </c>
      <c r="P1026">
        <f t="shared" ca="1" si="478"/>
        <v>632.17399999999998</v>
      </c>
      <c r="Q1026">
        <f t="shared" ca="1" si="479"/>
        <v>2593.2510316486623</v>
      </c>
      <c r="R1026">
        <f t="shared" ca="1" si="480"/>
        <v>482.07306851378365</v>
      </c>
      <c r="S1026">
        <f t="shared" ca="1" si="481"/>
        <v>280.07692026646265</v>
      </c>
      <c r="T1026">
        <f t="shared" ca="1" si="482"/>
        <v>1019.7665564573041</v>
      </c>
      <c r="U1026">
        <f t="shared" ca="1" si="503"/>
        <v>-482.07256851378406</v>
      </c>
      <c r="V1026">
        <f t="shared" ca="1" si="504"/>
        <v>0</v>
      </c>
      <c r="W1026">
        <f t="shared" ca="1" si="483"/>
        <v>0.05</v>
      </c>
      <c r="X1026">
        <f t="shared" ca="1" si="484"/>
        <v>0.26</v>
      </c>
      <c r="Y1026">
        <f t="shared" ca="1" si="485"/>
        <v>4.9056603773584909E-2</v>
      </c>
      <c r="Z1026">
        <f t="shared" ca="1" si="486"/>
        <v>196.15384615384616</v>
      </c>
      <c r="AA1026">
        <f t="shared" ca="1" si="487"/>
        <v>632.17399999999998</v>
      </c>
      <c r="AB1026">
        <f t="shared" ca="1" si="488"/>
        <v>2593.2510316486623</v>
      </c>
      <c r="AC1026">
        <f t="shared" ca="1" si="489"/>
        <v>482.07306851378365</v>
      </c>
      <c r="AD1026">
        <f t="shared" ca="1" si="490"/>
        <v>280.07692026646265</v>
      </c>
      <c r="AE1026">
        <f t="shared" ca="1" si="491"/>
        <v>1019.7665564573041</v>
      </c>
      <c r="AF1026">
        <f t="shared" ca="1" si="492"/>
        <v>482.07256851378361</v>
      </c>
      <c r="AG1026">
        <f t="shared" ca="1" si="493"/>
        <v>0</v>
      </c>
      <c r="AH1026">
        <f ca="1">IF(V32="Supercritical",L1026,IF(V32="Subcritical",W1026,IF(AND(V1026=1,AG1026=1),IF(T1026&gt;=AE1026,L1026,W1026),IF(V1026=1,L1026,IF(AG1026=1,W1026,MAX($D$16,POWER((ABS(K1026)^2)/($I$5*MAX(F1026,0.1)^2),1/3)))))))</f>
        <v>2.1403668656741068</v>
      </c>
      <c r="AI1026">
        <f t="shared" ca="1" si="494"/>
        <v>634.26436686567411</v>
      </c>
      <c r="AJ1026">
        <f t="shared" ca="1" si="495"/>
        <v>635.3345502985112</v>
      </c>
      <c r="AM1026">
        <v>0</v>
      </c>
      <c r="AN1026">
        <v>0</v>
      </c>
      <c r="AO1026">
        <f t="shared" si="496"/>
        <v>0</v>
      </c>
      <c r="AP1026">
        <f t="shared" si="505"/>
        <v>0</v>
      </c>
      <c r="AQ1026">
        <f t="shared" ca="1" si="497"/>
        <v>0.99999999999999978</v>
      </c>
      <c r="AR1026" t="str">
        <f t="shared" ca="1" si="498"/>
        <v>Supercritical</v>
      </c>
      <c r="AS1026">
        <f t="shared" ca="1" si="499"/>
        <v>3.8148159832266538E-3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191</v>
      </c>
      <c r="I1027">
        <v>0</v>
      </c>
      <c r="J1027">
        <f t="shared" si="500"/>
        <v>1</v>
      </c>
      <c r="K1027">
        <f t="shared" si="501"/>
        <v>51</v>
      </c>
      <c r="L1027">
        <f t="shared" ca="1" si="502"/>
        <v>0.05</v>
      </c>
      <c r="M1027">
        <f t="shared" ca="1" si="475"/>
        <v>0.26</v>
      </c>
      <c r="N1027">
        <f t="shared" ca="1" si="476"/>
        <v>4.9056603773584909E-2</v>
      </c>
      <c r="O1027">
        <f t="shared" ca="1" si="477"/>
        <v>196.15384615384616</v>
      </c>
      <c r="P1027">
        <f t="shared" ca="1" si="478"/>
        <v>632.17349999999999</v>
      </c>
      <c r="Q1027">
        <f t="shared" ca="1" si="479"/>
        <v>2593.2505316486622</v>
      </c>
      <c r="R1027">
        <f t="shared" ca="1" si="480"/>
        <v>482.07306851378365</v>
      </c>
      <c r="S1027">
        <f t="shared" ca="1" si="481"/>
        <v>280.07692026646265</v>
      </c>
      <c r="T1027">
        <f t="shared" ca="1" si="482"/>
        <v>1019.7665564573041</v>
      </c>
      <c r="U1027">
        <f t="shared" ca="1" si="503"/>
        <v>-482.07256851378361</v>
      </c>
      <c r="V1027">
        <f t="shared" ca="1" si="504"/>
        <v>0</v>
      </c>
      <c r="W1027">
        <f t="shared" ca="1" si="483"/>
        <v>0.05</v>
      </c>
      <c r="X1027">
        <f t="shared" ca="1" si="484"/>
        <v>0.26</v>
      </c>
      <c r="Y1027">
        <f t="shared" ca="1" si="485"/>
        <v>4.9056603773584909E-2</v>
      </c>
      <c r="Z1027">
        <f t="shared" ca="1" si="486"/>
        <v>196.15384615384616</v>
      </c>
      <c r="AA1027">
        <f t="shared" ca="1" si="487"/>
        <v>632.17349999999999</v>
      </c>
      <c r="AB1027">
        <f t="shared" ca="1" si="488"/>
        <v>2593.2505316486622</v>
      </c>
      <c r="AC1027">
        <f t="shared" ca="1" si="489"/>
        <v>482.07306851378365</v>
      </c>
      <c r="AD1027">
        <f t="shared" ca="1" si="490"/>
        <v>280.07692026646265</v>
      </c>
      <c r="AE1027">
        <f t="shared" ca="1" si="491"/>
        <v>1019.7665564573041</v>
      </c>
      <c r="AF1027">
        <f t="shared" ca="1" si="492"/>
        <v>482.25887083179032</v>
      </c>
      <c r="AG1027">
        <f t="shared" ca="1" si="493"/>
        <v>0</v>
      </c>
      <c r="AH1027">
        <f ca="1">IF(V32="Supercritical",L1027,IF(V32="Subcritical",W1027,IF(AND(V1027=1,AG1027=1),IF(T1027&gt;=AE1027,L1027,W1027),IF(V1027=1,L1027,IF(AG1027=1,W1027,MAX($D$16,POWER((ABS(K1027)^2)/($I$5*MAX(F1027,0.1)^2),1/3)))))))</f>
        <v>2.1403668656741068</v>
      </c>
      <c r="AI1027">
        <f t="shared" ca="1" si="494"/>
        <v>634.26386686567412</v>
      </c>
      <c r="AJ1027">
        <f t="shared" ca="1" si="495"/>
        <v>635.33405029851122</v>
      </c>
      <c r="AM1027">
        <v>0</v>
      </c>
      <c r="AN1027">
        <v>0</v>
      </c>
      <c r="AO1027">
        <f t="shared" si="496"/>
        <v>0</v>
      </c>
      <c r="AP1027">
        <f t="shared" si="505"/>
        <v>0</v>
      </c>
      <c r="AQ1027">
        <f t="shared" ca="1" si="497"/>
        <v>0.99999999999999978</v>
      </c>
      <c r="AR1027" t="str">
        <f t="shared" ca="1" si="498"/>
        <v>Supercritical</v>
      </c>
      <c r="AS1027">
        <f t="shared" ca="1" si="499"/>
        <v>3.8148159832266538E-3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191</v>
      </c>
      <c r="I1028">
        <v>5.7000000000000002E-2</v>
      </c>
      <c r="J1028">
        <f t="shared" si="500"/>
        <v>1</v>
      </c>
      <c r="K1028">
        <f t="shared" si="501"/>
        <v>51</v>
      </c>
      <c r="L1028">
        <f t="shared" ca="1" si="502"/>
        <v>0.05</v>
      </c>
      <c r="M1028">
        <f t="shared" ca="1" si="475"/>
        <v>0.26</v>
      </c>
      <c r="N1028">
        <f t="shared" ca="1" si="476"/>
        <v>4.9056603773584909E-2</v>
      </c>
      <c r="O1028">
        <f t="shared" ca="1" si="477"/>
        <v>196.15384615384616</v>
      </c>
      <c r="P1028">
        <f t="shared" ca="1" si="478"/>
        <v>632.173</v>
      </c>
      <c r="Q1028">
        <f t="shared" ca="1" si="479"/>
        <v>2593.2500316486621</v>
      </c>
      <c r="R1028">
        <f t="shared" ca="1" si="480"/>
        <v>482.07306851378365</v>
      </c>
      <c r="S1028">
        <f t="shared" ca="1" si="481"/>
        <v>280.07692026646265</v>
      </c>
      <c r="T1028">
        <f t="shared" ca="1" si="482"/>
        <v>1019.7665564573041</v>
      </c>
      <c r="U1028">
        <f t="shared" ca="1" si="503"/>
        <v>-482.25887083179032</v>
      </c>
      <c r="V1028">
        <f t="shared" ca="1" si="504"/>
        <v>0</v>
      </c>
      <c r="W1028">
        <f t="shared" ca="1" si="483"/>
        <v>0.05</v>
      </c>
      <c r="X1028">
        <f t="shared" ca="1" si="484"/>
        <v>0.26</v>
      </c>
      <c r="Y1028">
        <f t="shared" ca="1" si="485"/>
        <v>4.9056603773584909E-2</v>
      </c>
      <c r="Z1028">
        <f t="shared" ca="1" si="486"/>
        <v>196.15384615384616</v>
      </c>
      <c r="AA1028">
        <f t="shared" ca="1" si="487"/>
        <v>632.173</v>
      </c>
      <c r="AB1028">
        <f t="shared" ca="1" si="488"/>
        <v>2593.2500316486621</v>
      </c>
      <c r="AC1028">
        <f t="shared" ca="1" si="489"/>
        <v>482.07306851378365</v>
      </c>
      <c r="AD1028">
        <f t="shared" ca="1" si="490"/>
        <v>280.07692026646265</v>
      </c>
      <c r="AE1028">
        <f t="shared" ca="1" si="491"/>
        <v>1019.7665564573041</v>
      </c>
      <c r="AF1028">
        <f t="shared" ca="1" si="492"/>
        <v>482.25887083179032</v>
      </c>
      <c r="AG1028">
        <f t="shared" ca="1" si="493"/>
        <v>0</v>
      </c>
      <c r="AH1028">
        <f ca="1">IF(V32="Supercritical",L1028,IF(V32="Subcritical",W1028,IF(AND(V1028=1,AG1028=1),IF(T1028&gt;=AE1028,L1028,W1028),IF(V1028=1,L1028,IF(AG1028=1,W1028,MAX($D$16,POWER((ABS(K1028)^2)/($I$5*MAX(F1028,0.1)^2),1/3)))))))</f>
        <v>2.1403668656741068</v>
      </c>
      <c r="AI1028">
        <f t="shared" ca="1" si="494"/>
        <v>634.26336686567413</v>
      </c>
      <c r="AJ1028">
        <f t="shared" ca="1" si="495"/>
        <v>635.33355029851123</v>
      </c>
      <c r="AM1028">
        <v>0</v>
      </c>
      <c r="AN1028">
        <v>0</v>
      </c>
      <c r="AO1028">
        <f t="shared" si="496"/>
        <v>0</v>
      </c>
      <c r="AP1028">
        <f t="shared" si="505"/>
        <v>0</v>
      </c>
      <c r="AQ1028">
        <f t="shared" ca="1" si="497"/>
        <v>0.99999999999999978</v>
      </c>
      <c r="AR1028" t="str">
        <f t="shared" ca="1" si="498"/>
        <v>Supercritical</v>
      </c>
      <c r="AS1028">
        <f t="shared" ca="1" si="499"/>
        <v>3.8148159832266538E-3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191</v>
      </c>
      <c r="I1029">
        <v>5.7000000000000002E-2</v>
      </c>
      <c r="J1029">
        <f t="shared" si="500"/>
        <v>1</v>
      </c>
      <c r="K1029">
        <f t="shared" si="501"/>
        <v>51</v>
      </c>
      <c r="L1029">
        <f t="shared" ca="1" si="502"/>
        <v>0.05</v>
      </c>
      <c r="M1029">
        <f t="shared" ca="1" si="475"/>
        <v>0.26</v>
      </c>
      <c r="N1029">
        <f t="shared" ca="1" si="476"/>
        <v>4.9056603773584909E-2</v>
      </c>
      <c r="O1029">
        <f t="shared" ca="1" si="477"/>
        <v>196.15384615384616</v>
      </c>
      <c r="P1029">
        <f t="shared" ca="1" si="478"/>
        <v>632.1724999999999</v>
      </c>
      <c r="Q1029">
        <f t="shared" ca="1" si="479"/>
        <v>2593.249531648662</v>
      </c>
      <c r="R1029">
        <f t="shared" ca="1" si="480"/>
        <v>482.07306851378365</v>
      </c>
      <c r="S1029">
        <f t="shared" ca="1" si="481"/>
        <v>280.07692026646265</v>
      </c>
      <c r="T1029">
        <f t="shared" ca="1" si="482"/>
        <v>1019.7665564573041</v>
      </c>
      <c r="U1029">
        <f t="shared" ca="1" si="503"/>
        <v>-482.25887083179032</v>
      </c>
      <c r="V1029">
        <f t="shared" ca="1" si="504"/>
        <v>0</v>
      </c>
      <c r="W1029">
        <f t="shared" ca="1" si="483"/>
        <v>0.05</v>
      </c>
      <c r="X1029">
        <f t="shared" ca="1" si="484"/>
        <v>0.26</v>
      </c>
      <c r="Y1029">
        <f t="shared" ca="1" si="485"/>
        <v>4.9056603773584909E-2</v>
      </c>
      <c r="Z1029">
        <f t="shared" ca="1" si="486"/>
        <v>196.15384615384616</v>
      </c>
      <c r="AA1029">
        <f t="shared" ca="1" si="487"/>
        <v>632.1724999999999</v>
      </c>
      <c r="AB1029">
        <f t="shared" ca="1" si="488"/>
        <v>2593.249531648662</v>
      </c>
      <c r="AC1029">
        <f t="shared" ca="1" si="489"/>
        <v>482.07306851378365</v>
      </c>
      <c r="AD1029">
        <f t="shared" ca="1" si="490"/>
        <v>280.07692026646265</v>
      </c>
      <c r="AE1029">
        <f t="shared" ca="1" si="491"/>
        <v>1019.7665564573041</v>
      </c>
      <c r="AF1029">
        <f t="shared" ca="1" si="492"/>
        <v>482.07910543722255</v>
      </c>
      <c r="AG1029">
        <f t="shared" ca="1" si="493"/>
        <v>0</v>
      </c>
      <c r="AH1029">
        <f ca="1">IF(V32="Supercritical",L1029,IF(V32="Subcritical",W1029,IF(AND(V1029=1,AG1029=1),IF(T1029&gt;=AE1029,L1029,W1029),IF(V1029=1,L1029,IF(AG1029=1,W1029,MAX($D$16,POWER((ABS(K1029)^2)/($I$5*MAX(F1029,0.1)^2),1/3)))))))</f>
        <v>2.1403668656741068</v>
      </c>
      <c r="AI1029">
        <f t="shared" ca="1" si="494"/>
        <v>634.26286686567403</v>
      </c>
      <c r="AJ1029">
        <f t="shared" ca="1" si="495"/>
        <v>635.33305029851113</v>
      </c>
      <c r="AM1029">
        <v>0</v>
      </c>
      <c r="AN1029">
        <v>0</v>
      </c>
      <c r="AO1029">
        <f t="shared" si="496"/>
        <v>0</v>
      </c>
      <c r="AP1029">
        <f t="shared" si="505"/>
        <v>0</v>
      </c>
      <c r="AQ1029">
        <f t="shared" ca="1" si="497"/>
        <v>0.99999999999999978</v>
      </c>
      <c r="AR1029" t="str">
        <f t="shared" ca="1" si="498"/>
        <v>Supercritical</v>
      </c>
      <c r="AS1029">
        <f t="shared" ca="1" si="499"/>
        <v>3.8148159832266538E-3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191</v>
      </c>
      <c r="I1030">
        <v>2E-3</v>
      </c>
      <c r="J1030">
        <f t="shared" si="500"/>
        <v>1</v>
      </c>
      <c r="K1030">
        <f t="shared" si="501"/>
        <v>51</v>
      </c>
      <c r="L1030">
        <f t="shared" ca="1" si="502"/>
        <v>0.05</v>
      </c>
      <c r="M1030">
        <f t="shared" ca="1" si="475"/>
        <v>0.26</v>
      </c>
      <c r="N1030">
        <f t="shared" ca="1" si="476"/>
        <v>4.9056603773584909E-2</v>
      </c>
      <c r="O1030">
        <f t="shared" ca="1" si="477"/>
        <v>196.15384615384616</v>
      </c>
      <c r="P1030">
        <f t="shared" ca="1" si="478"/>
        <v>632.17199999999991</v>
      </c>
      <c r="Q1030">
        <f t="shared" ca="1" si="479"/>
        <v>2593.2490316486619</v>
      </c>
      <c r="R1030">
        <f t="shared" ca="1" si="480"/>
        <v>482.07306851378365</v>
      </c>
      <c r="S1030">
        <f t="shared" ca="1" si="481"/>
        <v>280.07692026646265</v>
      </c>
      <c r="T1030">
        <f t="shared" ca="1" si="482"/>
        <v>1019.7665564573041</v>
      </c>
      <c r="U1030">
        <f t="shared" ca="1" si="503"/>
        <v>-482.07910543722255</v>
      </c>
      <c r="V1030">
        <f t="shared" ca="1" si="504"/>
        <v>0</v>
      </c>
      <c r="W1030">
        <f t="shared" ca="1" si="483"/>
        <v>0.05</v>
      </c>
      <c r="X1030">
        <f t="shared" ca="1" si="484"/>
        <v>0.26</v>
      </c>
      <c r="Y1030">
        <f t="shared" ca="1" si="485"/>
        <v>4.9056603773584909E-2</v>
      </c>
      <c r="Z1030">
        <f t="shared" ca="1" si="486"/>
        <v>196.15384615384616</v>
      </c>
      <c r="AA1030">
        <f t="shared" ca="1" si="487"/>
        <v>632.17199999999991</v>
      </c>
      <c r="AB1030">
        <f t="shared" ca="1" si="488"/>
        <v>2593.2490316486619</v>
      </c>
      <c r="AC1030">
        <f t="shared" ca="1" si="489"/>
        <v>482.07306851378365</v>
      </c>
      <c r="AD1030">
        <f t="shared" ca="1" si="490"/>
        <v>280.07692026646265</v>
      </c>
      <c r="AE1030">
        <f t="shared" ca="1" si="491"/>
        <v>1019.7665564573041</v>
      </c>
      <c r="AF1030">
        <f t="shared" ca="1" si="492"/>
        <v>482.56117850572491</v>
      </c>
      <c r="AG1030">
        <f t="shared" ca="1" si="493"/>
        <v>0</v>
      </c>
      <c r="AH1030">
        <f ca="1">IF(V32="Supercritical",L1030,IF(V32="Subcritical",W1030,IF(AND(V1030=1,AG1030=1),IF(T1030&gt;=AE1030,L1030,W1030),IF(V1030=1,L1030,IF(AG1030=1,W1030,MAX($D$16,POWER((ABS(K1030)^2)/($I$5*MAX(F1030,0.1)^2),1/3)))))))</f>
        <v>2.1403668656741068</v>
      </c>
      <c r="AI1030">
        <f t="shared" ca="1" si="494"/>
        <v>634.26236686567404</v>
      </c>
      <c r="AJ1030">
        <f t="shared" ca="1" si="495"/>
        <v>635.33255029851114</v>
      </c>
      <c r="AM1030">
        <v>0</v>
      </c>
      <c r="AN1030">
        <v>0</v>
      </c>
      <c r="AO1030">
        <f t="shared" si="496"/>
        <v>0</v>
      </c>
      <c r="AP1030">
        <f t="shared" si="505"/>
        <v>0</v>
      </c>
      <c r="AQ1030">
        <f t="shared" ca="1" si="497"/>
        <v>0.99999999999999978</v>
      </c>
      <c r="AR1030" t="str">
        <f t="shared" ca="1" si="498"/>
        <v>Supercritical</v>
      </c>
      <c r="AS1030">
        <f t="shared" ca="1" si="499"/>
        <v>3.8148159832266538E-3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191</v>
      </c>
      <c r="I1031">
        <v>2E-3</v>
      </c>
      <c r="J1031">
        <f t="shared" si="500"/>
        <v>1.0009999999999764</v>
      </c>
      <c r="K1031">
        <f t="shared" si="501"/>
        <v>51</v>
      </c>
      <c r="L1031">
        <f t="shared" ca="1" si="502"/>
        <v>0.05</v>
      </c>
      <c r="M1031">
        <f t="shared" ca="1" si="475"/>
        <v>0.26</v>
      </c>
      <c r="N1031">
        <f t="shared" ca="1" si="476"/>
        <v>4.9056603773584909E-2</v>
      </c>
      <c r="O1031">
        <f t="shared" ca="1" si="477"/>
        <v>196.15384615384616</v>
      </c>
      <c r="P1031">
        <f t="shared" ca="1" si="478"/>
        <v>632.17149999999992</v>
      </c>
      <c r="Q1031">
        <f t="shared" ca="1" si="479"/>
        <v>2593.2485316486618</v>
      </c>
      <c r="R1031">
        <f t="shared" ca="1" si="480"/>
        <v>482.07306851378365</v>
      </c>
      <c r="S1031">
        <f t="shared" ca="1" si="481"/>
        <v>280.07692026646265</v>
      </c>
      <c r="T1031">
        <f t="shared" ca="1" si="482"/>
        <v>1019.7665564573041</v>
      </c>
      <c r="U1031">
        <f t="shared" ca="1" si="503"/>
        <v>-482.56117850572491</v>
      </c>
      <c r="V1031">
        <f t="shared" ca="1" si="504"/>
        <v>0</v>
      </c>
      <c r="W1031">
        <f t="shared" ca="1" si="483"/>
        <v>0.05</v>
      </c>
      <c r="X1031">
        <f t="shared" ca="1" si="484"/>
        <v>0.26</v>
      </c>
      <c r="Y1031">
        <f t="shared" ca="1" si="485"/>
        <v>4.9056603773584909E-2</v>
      </c>
      <c r="Z1031">
        <f t="shared" ca="1" si="486"/>
        <v>196.15384615384616</v>
      </c>
      <c r="AA1031">
        <f t="shared" ca="1" si="487"/>
        <v>632.17149999999992</v>
      </c>
      <c r="AB1031">
        <f t="shared" ca="1" si="488"/>
        <v>2593.2485316486618</v>
      </c>
      <c r="AC1031">
        <f t="shared" ca="1" si="489"/>
        <v>482.07306851378365</v>
      </c>
      <c r="AD1031">
        <f t="shared" ca="1" si="490"/>
        <v>280.07692026646265</v>
      </c>
      <c r="AE1031">
        <f t="shared" ca="1" si="491"/>
        <v>1019.7665564573041</v>
      </c>
      <c r="AF1031">
        <f t="shared" ca="1" si="492"/>
        <v>482.25887083179077</v>
      </c>
      <c r="AG1031">
        <f t="shared" ca="1" si="493"/>
        <v>0</v>
      </c>
      <c r="AH1031">
        <f ca="1">IF(V32="Supercritical",L1031,IF(V32="Subcritical",W1031,IF(AND(V1031=1,AG1031=1),IF(T1031&gt;=AE1031,L1031,W1031),IF(V1031=1,L1031,IF(AG1031=1,W1031,MAX($D$16,POWER((ABS(K1031)^2)/($I$5*MAX(F1031,0.1)^2),1/3)))))))</f>
        <v>2.1403668656741068</v>
      </c>
      <c r="AI1031">
        <f t="shared" ca="1" si="494"/>
        <v>634.26186686567405</v>
      </c>
      <c r="AJ1031">
        <f t="shared" ca="1" si="495"/>
        <v>635.33205029851115</v>
      </c>
      <c r="AM1031">
        <v>0</v>
      </c>
      <c r="AN1031">
        <v>0</v>
      </c>
      <c r="AO1031">
        <f t="shared" si="496"/>
        <v>0</v>
      </c>
      <c r="AP1031">
        <f t="shared" si="505"/>
        <v>0</v>
      </c>
      <c r="AQ1031">
        <f t="shared" ca="1" si="497"/>
        <v>0.99999999999999978</v>
      </c>
      <c r="AR1031" t="str">
        <f t="shared" ca="1" si="498"/>
        <v>Supercritical</v>
      </c>
      <c r="AS1031">
        <f t="shared" ca="1" si="499"/>
        <v>3.8148159832266538E-3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191</v>
      </c>
      <c r="I1032">
        <v>5.7000000000000002E-2</v>
      </c>
      <c r="J1032">
        <f t="shared" si="500"/>
        <v>1</v>
      </c>
      <c r="K1032">
        <f t="shared" si="501"/>
        <v>51</v>
      </c>
      <c r="L1032">
        <f t="shared" ca="1" si="502"/>
        <v>0.05</v>
      </c>
      <c r="M1032">
        <f t="shared" ca="1" si="475"/>
        <v>0.26</v>
      </c>
      <c r="N1032">
        <f t="shared" ca="1" si="476"/>
        <v>4.9056603773584909E-2</v>
      </c>
      <c r="O1032">
        <f t="shared" ca="1" si="477"/>
        <v>196.15384615384616</v>
      </c>
      <c r="P1032">
        <f t="shared" ca="1" si="478"/>
        <v>632.17099999999994</v>
      </c>
      <c r="Q1032">
        <f t="shared" ca="1" si="479"/>
        <v>2593.2480316486622</v>
      </c>
      <c r="R1032">
        <f t="shared" ca="1" si="480"/>
        <v>482.07306851378365</v>
      </c>
      <c r="S1032">
        <f t="shared" ca="1" si="481"/>
        <v>280.07692026646265</v>
      </c>
      <c r="T1032">
        <f t="shared" ca="1" si="482"/>
        <v>1019.7665564573041</v>
      </c>
      <c r="U1032">
        <f t="shared" ca="1" si="503"/>
        <v>-482.25887083179077</v>
      </c>
      <c r="V1032">
        <f t="shared" ca="1" si="504"/>
        <v>0</v>
      </c>
      <c r="W1032">
        <f t="shared" ca="1" si="483"/>
        <v>0.05</v>
      </c>
      <c r="X1032">
        <f t="shared" ca="1" si="484"/>
        <v>0.26</v>
      </c>
      <c r="Y1032">
        <f t="shared" ca="1" si="485"/>
        <v>4.9056603773584909E-2</v>
      </c>
      <c r="Z1032">
        <f t="shared" ca="1" si="486"/>
        <v>196.15384615384616</v>
      </c>
      <c r="AA1032">
        <f t="shared" ca="1" si="487"/>
        <v>632.17099999999994</v>
      </c>
      <c r="AB1032">
        <f t="shared" ca="1" si="488"/>
        <v>2593.2480316486622</v>
      </c>
      <c r="AC1032">
        <f t="shared" ca="1" si="489"/>
        <v>482.07306851378365</v>
      </c>
      <c r="AD1032">
        <f t="shared" ca="1" si="490"/>
        <v>280.07692026646265</v>
      </c>
      <c r="AE1032">
        <f t="shared" ca="1" si="491"/>
        <v>1019.7665564573041</v>
      </c>
      <c r="AF1032">
        <f t="shared" ca="1" si="492"/>
        <v>481.77679776328796</v>
      </c>
      <c r="AG1032">
        <f t="shared" ca="1" si="493"/>
        <v>0</v>
      </c>
      <c r="AH1032">
        <f ca="1">IF(V32="Supercritical",L1032,IF(V32="Subcritical",W1032,IF(AND(V1032=1,AG1032=1),IF(T1032&gt;=AE1032,L1032,W1032),IF(V1032=1,L1032,IF(AG1032=1,W1032,MAX($D$16,POWER((ABS(K1032)^2)/($I$5*MAX(F1032,0.1)^2),1/3)))))))</f>
        <v>2.1403668656741068</v>
      </c>
      <c r="AI1032">
        <f t="shared" ca="1" si="494"/>
        <v>634.26136686567406</v>
      </c>
      <c r="AJ1032">
        <f t="shared" ca="1" si="495"/>
        <v>635.33155029851116</v>
      </c>
      <c r="AM1032">
        <v>0</v>
      </c>
      <c r="AN1032">
        <v>0</v>
      </c>
      <c r="AO1032">
        <f t="shared" si="496"/>
        <v>0</v>
      </c>
      <c r="AP1032">
        <f t="shared" si="505"/>
        <v>0</v>
      </c>
      <c r="AQ1032">
        <f t="shared" ca="1" si="497"/>
        <v>0.99999999999999978</v>
      </c>
      <c r="AR1032" t="str">
        <f t="shared" ca="1" si="498"/>
        <v>Supercritical</v>
      </c>
      <c r="AS1032">
        <f t="shared" ca="1" si="499"/>
        <v>3.8148159832266538E-3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191</v>
      </c>
      <c r="I1033">
        <v>5.7000000000000002E-2</v>
      </c>
      <c r="J1033">
        <f t="shared" si="500"/>
        <v>0.99900000000002365</v>
      </c>
      <c r="K1033">
        <f t="shared" si="501"/>
        <v>51</v>
      </c>
      <c r="L1033">
        <f t="shared" ca="1" si="502"/>
        <v>0.05</v>
      </c>
      <c r="M1033">
        <f t="shared" ca="1" si="475"/>
        <v>0.26</v>
      </c>
      <c r="N1033">
        <f t="shared" ca="1" si="476"/>
        <v>4.9056603773584909E-2</v>
      </c>
      <c r="O1033">
        <f t="shared" ca="1" si="477"/>
        <v>196.15384615384616</v>
      </c>
      <c r="P1033">
        <f t="shared" ca="1" si="478"/>
        <v>632.17049999999995</v>
      </c>
      <c r="Q1033">
        <f t="shared" ca="1" si="479"/>
        <v>2593.2475316486621</v>
      </c>
      <c r="R1033">
        <f t="shared" ca="1" si="480"/>
        <v>482.07306851378365</v>
      </c>
      <c r="S1033">
        <f t="shared" ca="1" si="481"/>
        <v>280.07692026646265</v>
      </c>
      <c r="T1033">
        <f t="shared" ca="1" si="482"/>
        <v>1019.7665564573041</v>
      </c>
      <c r="U1033">
        <f t="shared" ca="1" si="503"/>
        <v>-481.77679776328796</v>
      </c>
      <c r="V1033">
        <f t="shared" ca="1" si="504"/>
        <v>0</v>
      </c>
      <c r="W1033">
        <f t="shared" ca="1" si="483"/>
        <v>0.05</v>
      </c>
      <c r="X1033">
        <f t="shared" ca="1" si="484"/>
        <v>0.26</v>
      </c>
      <c r="Y1033">
        <f t="shared" ca="1" si="485"/>
        <v>4.9056603773584909E-2</v>
      </c>
      <c r="Z1033">
        <f t="shared" ca="1" si="486"/>
        <v>196.15384615384616</v>
      </c>
      <c r="AA1033">
        <f t="shared" ca="1" si="487"/>
        <v>632.17049999999995</v>
      </c>
      <c r="AB1033">
        <f t="shared" ca="1" si="488"/>
        <v>2593.2475316486621</v>
      </c>
      <c r="AC1033">
        <f t="shared" ca="1" si="489"/>
        <v>482.07306851378365</v>
      </c>
      <c r="AD1033">
        <f t="shared" ca="1" si="490"/>
        <v>280.07692026646265</v>
      </c>
      <c r="AE1033">
        <f t="shared" ca="1" si="491"/>
        <v>1019.7665564573041</v>
      </c>
      <c r="AF1033">
        <f t="shared" ca="1" si="492"/>
        <v>482.07256851378361</v>
      </c>
      <c r="AG1033">
        <f t="shared" ca="1" si="493"/>
        <v>0</v>
      </c>
      <c r="AH1033">
        <f ca="1">IF(V32="Supercritical",L1033,IF(V32="Subcritical",W1033,IF(AND(V1033=1,AG1033=1),IF(T1033&gt;=AE1033,L1033,W1033),IF(V1033=1,L1033,IF(AG1033=1,W1033,MAX($D$16,POWER((ABS(K1033)^2)/($I$5*MAX(F1033,0.1)^2),1/3)))))))</f>
        <v>2.1403668656741068</v>
      </c>
      <c r="AI1033">
        <f t="shared" ca="1" si="494"/>
        <v>634.26086686567407</v>
      </c>
      <c r="AJ1033">
        <f t="shared" ca="1" si="495"/>
        <v>635.33105029851117</v>
      </c>
      <c r="AM1033">
        <v>0</v>
      </c>
      <c r="AN1033">
        <v>0</v>
      </c>
      <c r="AO1033">
        <f t="shared" si="496"/>
        <v>0</v>
      </c>
      <c r="AP1033">
        <f t="shared" si="505"/>
        <v>0</v>
      </c>
      <c r="AQ1033">
        <f t="shared" ca="1" si="497"/>
        <v>0.99999999999999978</v>
      </c>
      <c r="AR1033" t="str">
        <f t="shared" ca="1" si="498"/>
        <v>Supercritical</v>
      </c>
      <c r="AS1033">
        <f t="shared" ca="1" si="499"/>
        <v>3.8148159832266538E-3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191</v>
      </c>
      <c r="I1034">
        <v>0</v>
      </c>
      <c r="J1034">
        <f t="shared" si="500"/>
        <v>1</v>
      </c>
      <c r="K1034">
        <f t="shared" si="501"/>
        <v>51</v>
      </c>
      <c r="L1034">
        <f t="shared" ca="1" si="502"/>
        <v>0.05</v>
      </c>
      <c r="M1034">
        <f t="shared" ca="1" si="475"/>
        <v>0.26</v>
      </c>
      <c r="N1034">
        <f t="shared" ca="1" si="476"/>
        <v>4.9056603773584909E-2</v>
      </c>
      <c r="O1034">
        <f t="shared" ca="1" si="477"/>
        <v>196.15384615384616</v>
      </c>
      <c r="P1034">
        <f t="shared" ca="1" si="478"/>
        <v>632.16999999999996</v>
      </c>
      <c r="Q1034">
        <f t="shared" ca="1" si="479"/>
        <v>2593.247031648662</v>
      </c>
      <c r="R1034">
        <f t="shared" ca="1" si="480"/>
        <v>482.07306851378365</v>
      </c>
      <c r="S1034">
        <f t="shared" ca="1" si="481"/>
        <v>280.07692026646265</v>
      </c>
      <c r="T1034">
        <f t="shared" ca="1" si="482"/>
        <v>1019.7665564573041</v>
      </c>
      <c r="U1034">
        <f t="shared" ca="1" si="503"/>
        <v>-482.07256851378361</v>
      </c>
      <c r="V1034">
        <f t="shared" ca="1" si="504"/>
        <v>0</v>
      </c>
      <c r="W1034">
        <f t="shared" ca="1" si="483"/>
        <v>0.05</v>
      </c>
      <c r="X1034">
        <f t="shared" ca="1" si="484"/>
        <v>0.26</v>
      </c>
      <c r="Y1034">
        <f t="shared" ca="1" si="485"/>
        <v>4.9056603773584909E-2</v>
      </c>
      <c r="Z1034">
        <f t="shared" ca="1" si="486"/>
        <v>196.15384615384616</v>
      </c>
      <c r="AA1034">
        <f t="shared" ca="1" si="487"/>
        <v>632.16999999999996</v>
      </c>
      <c r="AB1034">
        <f t="shared" ca="1" si="488"/>
        <v>2593.247031648662</v>
      </c>
      <c r="AC1034">
        <f t="shared" ca="1" si="489"/>
        <v>482.07306851378365</v>
      </c>
      <c r="AD1034">
        <f t="shared" ca="1" si="490"/>
        <v>280.07692026646265</v>
      </c>
      <c r="AE1034">
        <f t="shared" ca="1" si="491"/>
        <v>1019.7665564573041</v>
      </c>
      <c r="AF1034">
        <f t="shared" ca="1" si="492"/>
        <v>482.07256851378406</v>
      </c>
      <c r="AG1034">
        <f t="shared" ca="1" si="493"/>
        <v>0</v>
      </c>
      <c r="AH1034">
        <f ca="1">IF(V32="Supercritical",L1034,IF(V32="Subcritical",W1034,IF(AND(V1034=1,AG1034=1),IF(T1034&gt;=AE1034,L1034,W1034),IF(V1034=1,L1034,IF(AG1034=1,W1034,MAX($D$16,POWER((ABS(K1034)^2)/($I$5*MAX(F1034,0.1)^2),1/3)))))))</f>
        <v>2.1403668656741068</v>
      </c>
      <c r="AI1034">
        <f t="shared" ca="1" si="494"/>
        <v>634.26036686567409</v>
      </c>
      <c r="AJ1034">
        <f t="shared" ca="1" si="495"/>
        <v>635.33055029851118</v>
      </c>
      <c r="AM1034">
        <v>0</v>
      </c>
      <c r="AN1034">
        <v>0</v>
      </c>
      <c r="AO1034">
        <f t="shared" si="496"/>
        <v>0</v>
      </c>
      <c r="AP1034">
        <f t="shared" si="505"/>
        <v>0</v>
      </c>
      <c r="AQ1034">
        <f t="shared" ca="1" si="497"/>
        <v>0.99999999999999978</v>
      </c>
      <c r="AR1034" t="str">
        <f t="shared" ca="1" si="498"/>
        <v>Supercritical</v>
      </c>
      <c r="AS1034">
        <f t="shared" ca="1" si="499"/>
        <v>3.8148159832266538E-3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191</v>
      </c>
      <c r="I1035">
        <v>0</v>
      </c>
      <c r="J1035">
        <f t="shared" si="500"/>
        <v>1</v>
      </c>
      <c r="K1035">
        <f t="shared" si="501"/>
        <v>51</v>
      </c>
      <c r="L1035">
        <f t="shared" ca="1" si="502"/>
        <v>0.05</v>
      </c>
      <c r="M1035">
        <f t="shared" ca="1" si="475"/>
        <v>0.26</v>
      </c>
      <c r="N1035">
        <f t="shared" ca="1" si="476"/>
        <v>4.9056603773584909E-2</v>
      </c>
      <c r="O1035">
        <f t="shared" ca="1" si="477"/>
        <v>196.15384615384616</v>
      </c>
      <c r="P1035">
        <f t="shared" ca="1" si="478"/>
        <v>632.16949999999997</v>
      </c>
      <c r="Q1035">
        <f t="shared" ca="1" si="479"/>
        <v>2593.2465316486623</v>
      </c>
      <c r="R1035">
        <f t="shared" ca="1" si="480"/>
        <v>482.07306851378365</v>
      </c>
      <c r="S1035">
        <f t="shared" ca="1" si="481"/>
        <v>280.07692026646265</v>
      </c>
      <c r="T1035">
        <f t="shared" ca="1" si="482"/>
        <v>1019.7665564573041</v>
      </c>
      <c r="U1035">
        <f t="shared" ca="1" si="503"/>
        <v>-482.07256851378406</v>
      </c>
      <c r="V1035">
        <f t="shared" ca="1" si="504"/>
        <v>0</v>
      </c>
      <c r="W1035">
        <f t="shared" ca="1" si="483"/>
        <v>0.05</v>
      </c>
      <c r="X1035">
        <f t="shared" ca="1" si="484"/>
        <v>0.26</v>
      </c>
      <c r="Y1035">
        <f t="shared" ca="1" si="485"/>
        <v>4.9056603773584909E-2</v>
      </c>
      <c r="Z1035">
        <f t="shared" ca="1" si="486"/>
        <v>196.15384615384616</v>
      </c>
      <c r="AA1035">
        <f t="shared" ca="1" si="487"/>
        <v>632.16949999999997</v>
      </c>
      <c r="AB1035">
        <f t="shared" ca="1" si="488"/>
        <v>2593.2465316486623</v>
      </c>
      <c r="AC1035">
        <f t="shared" ca="1" si="489"/>
        <v>482.07306851378365</v>
      </c>
      <c r="AD1035">
        <f t="shared" ca="1" si="490"/>
        <v>280.07692026646265</v>
      </c>
      <c r="AE1035">
        <f t="shared" ca="1" si="491"/>
        <v>1019.7665564573041</v>
      </c>
      <c r="AF1035">
        <f t="shared" ca="1" si="492"/>
        <v>482.25887083179032</v>
      </c>
      <c r="AG1035">
        <f t="shared" ca="1" si="493"/>
        <v>0</v>
      </c>
      <c r="AH1035">
        <f ca="1">IF(V32="Supercritical",L1035,IF(V32="Subcritical",W1035,IF(AND(V1035=1,AG1035=1),IF(T1035&gt;=AE1035,L1035,W1035),IF(V1035=1,L1035,IF(AG1035=1,W1035,MAX($D$16,POWER((ABS(K1035)^2)/($I$5*MAX(F1035,0.1)^2),1/3)))))))</f>
        <v>2.1403668656741068</v>
      </c>
      <c r="AI1035">
        <f t="shared" ca="1" si="494"/>
        <v>634.2598668656741</v>
      </c>
      <c r="AJ1035">
        <f t="shared" ca="1" si="495"/>
        <v>635.3300502985112</v>
      </c>
      <c r="AM1035">
        <v>0</v>
      </c>
      <c r="AN1035">
        <v>0</v>
      </c>
      <c r="AO1035">
        <f t="shared" si="496"/>
        <v>0</v>
      </c>
      <c r="AP1035">
        <f t="shared" si="505"/>
        <v>0</v>
      </c>
      <c r="AQ1035">
        <f t="shared" ca="1" si="497"/>
        <v>0.99999999999999978</v>
      </c>
      <c r="AR1035" t="str">
        <f t="shared" ca="1" si="498"/>
        <v>Supercritical</v>
      </c>
      <c r="AS1035">
        <f t="shared" ca="1" si="499"/>
        <v>3.8148159832266538E-3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191</v>
      </c>
      <c r="I1036">
        <v>5.7000000000000002E-2</v>
      </c>
      <c r="J1036">
        <f t="shared" si="500"/>
        <v>1</v>
      </c>
      <c r="K1036">
        <f t="shared" si="501"/>
        <v>51</v>
      </c>
      <c r="L1036">
        <f t="shared" ca="1" si="502"/>
        <v>0.05</v>
      </c>
      <c r="M1036">
        <f t="shared" ca="1" si="475"/>
        <v>0.26</v>
      </c>
      <c r="N1036">
        <f t="shared" ca="1" si="476"/>
        <v>4.9056603773584909E-2</v>
      </c>
      <c r="O1036">
        <f t="shared" ca="1" si="477"/>
        <v>196.15384615384616</v>
      </c>
      <c r="P1036">
        <f t="shared" ca="1" si="478"/>
        <v>632.16899999999998</v>
      </c>
      <c r="Q1036">
        <f t="shared" ca="1" si="479"/>
        <v>2593.2460316486622</v>
      </c>
      <c r="R1036">
        <f t="shared" ca="1" si="480"/>
        <v>482.07306851378365</v>
      </c>
      <c r="S1036">
        <f t="shared" ca="1" si="481"/>
        <v>280.07692026646265</v>
      </c>
      <c r="T1036">
        <f t="shared" ca="1" si="482"/>
        <v>1019.7665564573041</v>
      </c>
      <c r="U1036">
        <f t="shared" ca="1" si="503"/>
        <v>-482.25887083179032</v>
      </c>
      <c r="V1036">
        <f t="shared" ca="1" si="504"/>
        <v>0</v>
      </c>
      <c r="W1036">
        <f t="shared" ca="1" si="483"/>
        <v>0.05</v>
      </c>
      <c r="X1036">
        <f t="shared" ca="1" si="484"/>
        <v>0.26</v>
      </c>
      <c r="Y1036">
        <f t="shared" ca="1" si="485"/>
        <v>4.9056603773584909E-2</v>
      </c>
      <c r="Z1036">
        <f t="shared" ca="1" si="486"/>
        <v>196.15384615384616</v>
      </c>
      <c r="AA1036">
        <f t="shared" ca="1" si="487"/>
        <v>632.16899999999998</v>
      </c>
      <c r="AB1036">
        <f t="shared" ca="1" si="488"/>
        <v>2593.2460316486622</v>
      </c>
      <c r="AC1036">
        <f t="shared" ca="1" si="489"/>
        <v>482.07306851378365</v>
      </c>
      <c r="AD1036">
        <f t="shared" ca="1" si="490"/>
        <v>280.07692026646265</v>
      </c>
      <c r="AE1036">
        <f t="shared" ca="1" si="491"/>
        <v>1019.7665564573041</v>
      </c>
      <c r="AF1036">
        <f t="shared" ca="1" si="492"/>
        <v>482.25887083179032</v>
      </c>
      <c r="AG1036">
        <f t="shared" ca="1" si="493"/>
        <v>0</v>
      </c>
      <c r="AH1036">
        <f ca="1">IF(V32="Supercritical",L1036,IF(V32="Subcritical",W1036,IF(AND(V1036=1,AG1036=1),IF(T1036&gt;=AE1036,L1036,W1036),IF(V1036=1,L1036,IF(AG1036=1,W1036,MAX($D$16,POWER((ABS(K1036)^2)/($I$5*MAX(F1036,0.1)^2),1/3)))))))</f>
        <v>2.1403668656741068</v>
      </c>
      <c r="AI1036">
        <f t="shared" ca="1" si="494"/>
        <v>634.25936686567411</v>
      </c>
      <c r="AJ1036">
        <f t="shared" ca="1" si="495"/>
        <v>635.32955029851121</v>
      </c>
      <c r="AM1036">
        <v>0</v>
      </c>
      <c r="AN1036">
        <v>0</v>
      </c>
      <c r="AO1036">
        <f t="shared" si="496"/>
        <v>0</v>
      </c>
      <c r="AP1036">
        <f t="shared" si="505"/>
        <v>0</v>
      </c>
      <c r="AQ1036">
        <f t="shared" ca="1" si="497"/>
        <v>0.99999999999999978</v>
      </c>
      <c r="AR1036" t="str">
        <f t="shared" ca="1" si="498"/>
        <v>Supercritical</v>
      </c>
      <c r="AS1036">
        <f t="shared" ca="1" si="499"/>
        <v>3.8148159832266538E-3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191</v>
      </c>
      <c r="I1037">
        <v>5.7000000000000002E-2</v>
      </c>
      <c r="J1037">
        <f t="shared" si="500"/>
        <v>1</v>
      </c>
      <c r="K1037">
        <f t="shared" si="501"/>
        <v>51</v>
      </c>
      <c r="L1037">
        <f t="shared" ca="1" si="502"/>
        <v>0.05</v>
      </c>
      <c r="M1037">
        <f t="shared" ca="1" si="475"/>
        <v>0.26</v>
      </c>
      <c r="N1037">
        <f t="shared" ca="1" si="476"/>
        <v>4.9056603773584909E-2</v>
      </c>
      <c r="O1037">
        <f t="shared" ca="1" si="477"/>
        <v>196.15384615384616</v>
      </c>
      <c r="P1037">
        <f t="shared" ca="1" si="478"/>
        <v>632.16849999999999</v>
      </c>
      <c r="Q1037">
        <f t="shared" ca="1" si="479"/>
        <v>2593.2455316486621</v>
      </c>
      <c r="R1037">
        <f t="shared" ca="1" si="480"/>
        <v>482.07306851378365</v>
      </c>
      <c r="S1037">
        <f t="shared" ca="1" si="481"/>
        <v>280.07692026646265</v>
      </c>
      <c r="T1037">
        <f t="shared" ca="1" si="482"/>
        <v>1019.7665564573041</v>
      </c>
      <c r="U1037">
        <f t="shared" ca="1" si="503"/>
        <v>-482.25887083179032</v>
      </c>
      <c r="V1037">
        <f t="shared" ca="1" si="504"/>
        <v>0</v>
      </c>
      <c r="W1037">
        <f t="shared" ca="1" si="483"/>
        <v>0.05</v>
      </c>
      <c r="X1037">
        <f t="shared" ca="1" si="484"/>
        <v>0.26</v>
      </c>
      <c r="Y1037">
        <f t="shared" ca="1" si="485"/>
        <v>4.9056603773584909E-2</v>
      </c>
      <c r="Z1037">
        <f t="shared" ca="1" si="486"/>
        <v>196.15384615384616</v>
      </c>
      <c r="AA1037">
        <f t="shared" ca="1" si="487"/>
        <v>632.16849999999999</v>
      </c>
      <c r="AB1037">
        <f t="shared" ca="1" si="488"/>
        <v>2593.2455316486621</v>
      </c>
      <c r="AC1037">
        <f t="shared" ca="1" si="489"/>
        <v>482.07306851378365</v>
      </c>
      <c r="AD1037">
        <f t="shared" ca="1" si="490"/>
        <v>280.07692026646265</v>
      </c>
      <c r="AE1037">
        <f t="shared" ca="1" si="491"/>
        <v>1019.7665564573041</v>
      </c>
      <c r="AF1037">
        <f t="shared" ca="1" si="492"/>
        <v>482.07256851378361</v>
      </c>
      <c r="AG1037">
        <f t="shared" ca="1" si="493"/>
        <v>0</v>
      </c>
      <c r="AH1037">
        <f ca="1">IF(V32="Supercritical",L1037,IF(V32="Subcritical",W1037,IF(AND(V1037=1,AG1037=1),IF(T1037&gt;=AE1037,L1037,W1037),IF(V1037=1,L1037,IF(AG1037=1,W1037,MAX($D$16,POWER((ABS(K1037)^2)/($I$5*MAX(F1037,0.1)^2),1/3)))))))</f>
        <v>2.1403668656741068</v>
      </c>
      <c r="AI1037">
        <f t="shared" ca="1" si="494"/>
        <v>634.25886686567412</v>
      </c>
      <c r="AJ1037">
        <f t="shared" ca="1" si="495"/>
        <v>635.32905029851122</v>
      </c>
      <c r="AM1037">
        <v>0</v>
      </c>
      <c r="AN1037">
        <v>0</v>
      </c>
      <c r="AO1037">
        <f t="shared" si="496"/>
        <v>0</v>
      </c>
      <c r="AP1037">
        <f t="shared" si="505"/>
        <v>0</v>
      </c>
      <c r="AQ1037">
        <f t="shared" ca="1" si="497"/>
        <v>0.99999999999999978</v>
      </c>
      <c r="AR1037" t="str">
        <f t="shared" ca="1" si="498"/>
        <v>Supercritical</v>
      </c>
      <c r="AS1037">
        <f t="shared" ca="1" si="499"/>
        <v>3.8148159832266538E-3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191</v>
      </c>
      <c r="I1038">
        <v>0</v>
      </c>
      <c r="J1038">
        <f t="shared" si="500"/>
        <v>1</v>
      </c>
      <c r="K1038">
        <f t="shared" si="501"/>
        <v>51</v>
      </c>
      <c r="L1038">
        <f t="shared" ca="1" si="502"/>
        <v>0.05</v>
      </c>
      <c r="M1038">
        <f t="shared" ca="1" si="475"/>
        <v>0.26</v>
      </c>
      <c r="N1038">
        <f t="shared" ca="1" si="476"/>
        <v>4.9056603773584909E-2</v>
      </c>
      <c r="O1038">
        <f t="shared" ca="1" si="477"/>
        <v>196.15384615384616</v>
      </c>
      <c r="P1038">
        <f t="shared" ca="1" si="478"/>
        <v>632.16800000000001</v>
      </c>
      <c r="Q1038">
        <f t="shared" ca="1" si="479"/>
        <v>2593.245031648662</v>
      </c>
      <c r="R1038">
        <f t="shared" ca="1" si="480"/>
        <v>482.07306851378365</v>
      </c>
      <c r="S1038">
        <f t="shared" ca="1" si="481"/>
        <v>280.07692026646265</v>
      </c>
      <c r="T1038">
        <f t="shared" ca="1" si="482"/>
        <v>1019.7665564573041</v>
      </c>
      <c r="U1038">
        <f t="shared" ca="1" si="503"/>
        <v>-482.07256851378361</v>
      </c>
      <c r="V1038">
        <f t="shared" ca="1" si="504"/>
        <v>0</v>
      </c>
      <c r="W1038">
        <f t="shared" ca="1" si="483"/>
        <v>0.05</v>
      </c>
      <c r="X1038">
        <f t="shared" ca="1" si="484"/>
        <v>0.26</v>
      </c>
      <c r="Y1038">
        <f t="shared" ca="1" si="485"/>
        <v>4.9056603773584909E-2</v>
      </c>
      <c r="Z1038">
        <f t="shared" ca="1" si="486"/>
        <v>196.15384615384616</v>
      </c>
      <c r="AA1038">
        <f t="shared" ca="1" si="487"/>
        <v>632.16800000000001</v>
      </c>
      <c r="AB1038">
        <f t="shared" ca="1" si="488"/>
        <v>2593.245031648662</v>
      </c>
      <c r="AC1038">
        <f t="shared" ca="1" si="489"/>
        <v>482.07306851378365</v>
      </c>
      <c r="AD1038">
        <f t="shared" ca="1" si="490"/>
        <v>280.07692026646265</v>
      </c>
      <c r="AE1038">
        <f t="shared" ca="1" si="491"/>
        <v>1019.7665564573041</v>
      </c>
      <c r="AF1038">
        <f t="shared" ca="1" si="492"/>
        <v>482.07910543722255</v>
      </c>
      <c r="AG1038">
        <f t="shared" ca="1" si="493"/>
        <v>0</v>
      </c>
      <c r="AH1038">
        <f ca="1">IF(V32="Supercritical",L1038,IF(V32="Subcritical",W1038,IF(AND(V1038=1,AG1038=1),IF(T1038&gt;=AE1038,L1038,W1038),IF(V1038=1,L1038,IF(AG1038=1,W1038,MAX($D$16,POWER((ABS(K1038)^2)/($I$5*MAX(F1038,0.1)^2),1/3)))))))</f>
        <v>2.1403668656741068</v>
      </c>
      <c r="AI1038">
        <f t="shared" ca="1" si="494"/>
        <v>634.25836686567413</v>
      </c>
      <c r="AJ1038">
        <f t="shared" ca="1" si="495"/>
        <v>635.32855029851123</v>
      </c>
      <c r="AM1038">
        <v>0</v>
      </c>
      <c r="AN1038">
        <v>0</v>
      </c>
      <c r="AO1038">
        <f t="shared" si="496"/>
        <v>0</v>
      </c>
      <c r="AP1038">
        <f t="shared" si="505"/>
        <v>0</v>
      </c>
      <c r="AQ1038">
        <f t="shared" ca="1" si="497"/>
        <v>0.99999999999999978</v>
      </c>
      <c r="AR1038" t="str">
        <f t="shared" ca="1" si="498"/>
        <v>Supercritical</v>
      </c>
      <c r="AS1038">
        <f t="shared" ca="1" si="499"/>
        <v>3.8148159832266538E-3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191</v>
      </c>
      <c r="I1039">
        <v>2E-3</v>
      </c>
      <c r="J1039">
        <f t="shared" si="500"/>
        <v>1</v>
      </c>
      <c r="K1039">
        <f t="shared" si="501"/>
        <v>51</v>
      </c>
      <c r="L1039">
        <f t="shared" ca="1" si="502"/>
        <v>0.05</v>
      </c>
      <c r="M1039">
        <f t="shared" ca="1" si="475"/>
        <v>0.26</v>
      </c>
      <c r="N1039">
        <f t="shared" ca="1" si="476"/>
        <v>4.9056603773584909E-2</v>
      </c>
      <c r="O1039">
        <f t="shared" ca="1" si="477"/>
        <v>196.15384615384616</v>
      </c>
      <c r="P1039">
        <f t="shared" ca="1" si="478"/>
        <v>632.1674999999999</v>
      </c>
      <c r="Q1039">
        <f t="shared" ca="1" si="479"/>
        <v>2593.2445316486619</v>
      </c>
      <c r="R1039">
        <f t="shared" ca="1" si="480"/>
        <v>482.07306851378365</v>
      </c>
      <c r="S1039">
        <f t="shared" ca="1" si="481"/>
        <v>280.07692026646265</v>
      </c>
      <c r="T1039">
        <f t="shared" ca="1" si="482"/>
        <v>1019.7665564573041</v>
      </c>
      <c r="U1039">
        <f t="shared" ca="1" si="503"/>
        <v>-482.07910543722255</v>
      </c>
      <c r="V1039">
        <f t="shared" ca="1" si="504"/>
        <v>0</v>
      </c>
      <c r="W1039">
        <f t="shared" ca="1" si="483"/>
        <v>0.05</v>
      </c>
      <c r="X1039">
        <f t="shared" ca="1" si="484"/>
        <v>0.26</v>
      </c>
      <c r="Y1039">
        <f t="shared" ca="1" si="485"/>
        <v>4.9056603773584909E-2</v>
      </c>
      <c r="Z1039">
        <f t="shared" ca="1" si="486"/>
        <v>196.15384615384616</v>
      </c>
      <c r="AA1039">
        <f t="shared" ca="1" si="487"/>
        <v>632.1674999999999</v>
      </c>
      <c r="AB1039">
        <f t="shared" ca="1" si="488"/>
        <v>2593.2445316486619</v>
      </c>
      <c r="AC1039">
        <f t="shared" ca="1" si="489"/>
        <v>482.07306851378365</v>
      </c>
      <c r="AD1039">
        <f t="shared" ca="1" si="490"/>
        <v>280.07692026646265</v>
      </c>
      <c r="AE1039">
        <f t="shared" ca="1" si="491"/>
        <v>1019.7665564573041</v>
      </c>
      <c r="AF1039">
        <f t="shared" ca="1" si="492"/>
        <v>482.75074928545064</v>
      </c>
      <c r="AG1039">
        <f t="shared" ca="1" si="493"/>
        <v>0</v>
      </c>
      <c r="AH1039">
        <f ca="1">IF(V32="Supercritical",L1039,IF(V32="Subcritical",W1039,IF(AND(V1039=1,AG1039=1),IF(T1039&gt;=AE1039,L1039,W1039),IF(V1039=1,L1039,IF(AG1039=1,W1039,MAX($D$16,POWER((ABS(K1039)^2)/($I$5*MAX(F1039,0.1)^2),1/3)))))))</f>
        <v>2.1403668656741068</v>
      </c>
      <c r="AI1039">
        <f t="shared" ca="1" si="494"/>
        <v>634.25786686567403</v>
      </c>
      <c r="AJ1039">
        <f t="shared" ca="1" si="495"/>
        <v>635.32805029851113</v>
      </c>
      <c r="AM1039">
        <v>0</v>
      </c>
      <c r="AN1039">
        <v>0</v>
      </c>
      <c r="AO1039">
        <f t="shared" si="496"/>
        <v>0</v>
      </c>
      <c r="AP1039">
        <f t="shared" si="505"/>
        <v>0</v>
      </c>
      <c r="AQ1039">
        <f t="shared" ca="1" si="497"/>
        <v>0.99999999999999978</v>
      </c>
      <c r="AR1039" t="str">
        <f t="shared" ca="1" si="498"/>
        <v>Supercritical</v>
      </c>
      <c r="AS1039">
        <f t="shared" ca="1" si="499"/>
        <v>3.8148159832266538E-3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191</v>
      </c>
      <c r="I1040">
        <v>0.06</v>
      </c>
      <c r="J1040">
        <f t="shared" si="500"/>
        <v>1.0009999999999764</v>
      </c>
      <c r="K1040">
        <f t="shared" si="501"/>
        <v>51</v>
      </c>
      <c r="L1040">
        <f t="shared" ca="1" si="502"/>
        <v>0.05</v>
      </c>
      <c r="M1040">
        <f t="shared" ca="1" si="475"/>
        <v>0.26</v>
      </c>
      <c r="N1040">
        <f t="shared" ca="1" si="476"/>
        <v>4.9056603773584909E-2</v>
      </c>
      <c r="O1040">
        <f t="shared" ca="1" si="477"/>
        <v>196.15384615384616</v>
      </c>
      <c r="P1040">
        <f t="shared" ca="1" si="478"/>
        <v>632.16699999999992</v>
      </c>
      <c r="Q1040">
        <f t="shared" ca="1" si="479"/>
        <v>2593.2440316486618</v>
      </c>
      <c r="R1040">
        <f t="shared" ca="1" si="480"/>
        <v>482.07306851378365</v>
      </c>
      <c r="S1040">
        <f t="shared" ca="1" si="481"/>
        <v>280.07692026646265</v>
      </c>
      <c r="T1040">
        <f t="shared" ca="1" si="482"/>
        <v>1019.7665564573041</v>
      </c>
      <c r="U1040">
        <f t="shared" ca="1" si="503"/>
        <v>-482.75074928545064</v>
      </c>
      <c r="V1040">
        <f t="shared" ca="1" si="504"/>
        <v>0</v>
      </c>
      <c r="W1040">
        <f t="shared" ca="1" si="483"/>
        <v>0.05</v>
      </c>
      <c r="X1040">
        <f t="shared" ca="1" si="484"/>
        <v>0.26</v>
      </c>
      <c r="Y1040">
        <f t="shared" ca="1" si="485"/>
        <v>4.9056603773584909E-2</v>
      </c>
      <c r="Z1040">
        <f t="shared" ca="1" si="486"/>
        <v>196.15384615384616</v>
      </c>
      <c r="AA1040">
        <f t="shared" ca="1" si="487"/>
        <v>632.16699999999992</v>
      </c>
      <c r="AB1040">
        <f t="shared" ca="1" si="488"/>
        <v>2593.2440316486618</v>
      </c>
      <c r="AC1040">
        <f t="shared" ca="1" si="489"/>
        <v>482.07306851378365</v>
      </c>
      <c r="AD1040">
        <f t="shared" ca="1" si="490"/>
        <v>280.07692026646265</v>
      </c>
      <c r="AE1040">
        <f t="shared" ca="1" si="491"/>
        <v>1019.7665564573041</v>
      </c>
      <c r="AF1040">
        <f t="shared" ca="1" si="492"/>
        <v>482.25887083179077</v>
      </c>
      <c r="AG1040">
        <f t="shared" ca="1" si="493"/>
        <v>0</v>
      </c>
      <c r="AH1040">
        <f ca="1">IF(V32="Supercritical",L1040,IF(V32="Subcritical",W1040,IF(AND(V1040=1,AG1040=1),IF(T1040&gt;=AE1040,L1040,W1040),IF(V1040=1,L1040,IF(AG1040=1,W1040,MAX($D$16,POWER((ABS(K1040)^2)/($I$5*MAX(F1040,0.1)^2),1/3)))))))</f>
        <v>2.1403668656741068</v>
      </c>
      <c r="AI1040">
        <f t="shared" ca="1" si="494"/>
        <v>634.25736686567404</v>
      </c>
      <c r="AJ1040">
        <f t="shared" ca="1" si="495"/>
        <v>635.32755029851114</v>
      </c>
      <c r="AM1040">
        <v>0</v>
      </c>
      <c r="AN1040">
        <v>0</v>
      </c>
      <c r="AO1040">
        <f t="shared" si="496"/>
        <v>0</v>
      </c>
      <c r="AP1040">
        <f t="shared" si="505"/>
        <v>0</v>
      </c>
      <c r="AQ1040">
        <f t="shared" ca="1" si="497"/>
        <v>0.99999999999999978</v>
      </c>
      <c r="AR1040" t="str">
        <f t="shared" ca="1" si="498"/>
        <v>Supercritical</v>
      </c>
      <c r="AS1040">
        <f t="shared" ca="1" si="499"/>
        <v>3.8148159832266538E-3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191</v>
      </c>
      <c r="I1041">
        <v>5.7000000000000002E-2</v>
      </c>
      <c r="J1041">
        <f t="shared" si="500"/>
        <v>1</v>
      </c>
      <c r="K1041">
        <f t="shared" si="501"/>
        <v>51</v>
      </c>
      <c r="L1041">
        <f t="shared" ca="1" si="502"/>
        <v>0.05</v>
      </c>
      <c r="M1041">
        <f t="shared" ca="1" si="475"/>
        <v>0.26</v>
      </c>
      <c r="N1041">
        <f t="shared" ca="1" si="476"/>
        <v>4.9056603773584909E-2</v>
      </c>
      <c r="O1041">
        <f t="shared" ca="1" si="477"/>
        <v>196.15384615384616</v>
      </c>
      <c r="P1041">
        <f t="shared" ca="1" si="478"/>
        <v>632.16649999999993</v>
      </c>
      <c r="Q1041">
        <f t="shared" ca="1" si="479"/>
        <v>2593.2435316486622</v>
      </c>
      <c r="R1041">
        <f t="shared" ca="1" si="480"/>
        <v>482.07306851378365</v>
      </c>
      <c r="S1041">
        <f t="shared" ca="1" si="481"/>
        <v>280.07692026646265</v>
      </c>
      <c r="T1041">
        <f t="shared" ca="1" si="482"/>
        <v>1019.7665564573041</v>
      </c>
      <c r="U1041">
        <f t="shared" ca="1" si="503"/>
        <v>-482.25887083179077</v>
      </c>
      <c r="V1041">
        <f t="shared" ca="1" si="504"/>
        <v>0</v>
      </c>
      <c r="W1041">
        <f t="shared" ca="1" si="483"/>
        <v>0.05</v>
      </c>
      <c r="X1041">
        <f t="shared" ca="1" si="484"/>
        <v>0.26</v>
      </c>
      <c r="Y1041">
        <f t="shared" ca="1" si="485"/>
        <v>4.9056603773584909E-2</v>
      </c>
      <c r="Z1041">
        <f t="shared" ca="1" si="486"/>
        <v>196.15384615384616</v>
      </c>
      <c r="AA1041">
        <f t="shared" ca="1" si="487"/>
        <v>632.16649999999993</v>
      </c>
      <c r="AB1041">
        <f t="shared" ca="1" si="488"/>
        <v>2593.2435316486622</v>
      </c>
      <c r="AC1041">
        <f t="shared" ca="1" si="489"/>
        <v>482.07306851378365</v>
      </c>
      <c r="AD1041">
        <f t="shared" ca="1" si="490"/>
        <v>280.07692026646265</v>
      </c>
      <c r="AE1041">
        <f t="shared" ca="1" si="491"/>
        <v>1019.7665564573041</v>
      </c>
      <c r="AF1041">
        <f t="shared" ca="1" si="492"/>
        <v>482.07256851378361</v>
      </c>
      <c r="AG1041">
        <f t="shared" ca="1" si="493"/>
        <v>0</v>
      </c>
      <c r="AH1041">
        <f ca="1">IF(V32="Supercritical",L1041,IF(V32="Subcritical",W1041,IF(AND(V1041=1,AG1041=1),IF(T1041&gt;=AE1041,L1041,W1041),IF(V1041=1,L1041,IF(AG1041=1,W1041,MAX($D$16,POWER((ABS(K1041)^2)/($I$5*MAX(F1041,0.1)^2),1/3)))))))</f>
        <v>2.1403668656741068</v>
      </c>
      <c r="AI1041">
        <f t="shared" ca="1" si="494"/>
        <v>634.25686686567406</v>
      </c>
      <c r="AJ1041">
        <f t="shared" ca="1" si="495"/>
        <v>635.32705029851115</v>
      </c>
      <c r="AM1041">
        <v>0</v>
      </c>
      <c r="AN1041">
        <v>0</v>
      </c>
      <c r="AO1041">
        <f t="shared" si="496"/>
        <v>0</v>
      </c>
      <c r="AP1041">
        <f t="shared" si="505"/>
        <v>0</v>
      </c>
      <c r="AQ1041">
        <f t="shared" ca="1" si="497"/>
        <v>0.99999999999999978</v>
      </c>
      <c r="AR1041" t="str">
        <f t="shared" ca="1" si="498"/>
        <v>Supercritical</v>
      </c>
      <c r="AS1041">
        <f t="shared" ca="1" si="499"/>
        <v>3.8148159832266538E-3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191</v>
      </c>
      <c r="I1042">
        <v>0</v>
      </c>
      <c r="J1042">
        <f t="shared" si="500"/>
        <v>1</v>
      </c>
      <c r="K1042">
        <f t="shared" si="501"/>
        <v>51</v>
      </c>
      <c r="L1042">
        <f t="shared" ca="1" si="502"/>
        <v>0.05</v>
      </c>
      <c r="M1042">
        <f t="shared" ca="1" si="475"/>
        <v>0.26</v>
      </c>
      <c r="N1042">
        <f t="shared" ca="1" si="476"/>
        <v>4.9056603773584909E-2</v>
      </c>
      <c r="O1042">
        <f t="shared" ca="1" si="477"/>
        <v>196.15384615384616</v>
      </c>
      <c r="P1042">
        <f t="shared" ca="1" si="478"/>
        <v>632.16599999999994</v>
      </c>
      <c r="Q1042">
        <f t="shared" ca="1" si="479"/>
        <v>2593.2430316486621</v>
      </c>
      <c r="R1042">
        <f t="shared" ca="1" si="480"/>
        <v>482.07306851378365</v>
      </c>
      <c r="S1042">
        <f t="shared" ca="1" si="481"/>
        <v>280.07692026646265</v>
      </c>
      <c r="T1042">
        <f t="shared" ca="1" si="482"/>
        <v>1019.7665564573041</v>
      </c>
      <c r="U1042">
        <f t="shared" ca="1" si="503"/>
        <v>-482.07256851378361</v>
      </c>
      <c r="V1042">
        <f t="shared" ca="1" si="504"/>
        <v>0</v>
      </c>
      <c r="W1042">
        <f t="shared" ca="1" si="483"/>
        <v>0.05</v>
      </c>
      <c r="X1042">
        <f t="shared" ca="1" si="484"/>
        <v>0.26</v>
      </c>
      <c r="Y1042">
        <f t="shared" ca="1" si="485"/>
        <v>4.9056603773584909E-2</v>
      </c>
      <c r="Z1042">
        <f t="shared" ca="1" si="486"/>
        <v>196.15384615384616</v>
      </c>
      <c r="AA1042">
        <f t="shared" ca="1" si="487"/>
        <v>632.16599999999994</v>
      </c>
      <c r="AB1042">
        <f t="shared" ca="1" si="488"/>
        <v>2593.2430316486621</v>
      </c>
      <c r="AC1042">
        <f t="shared" ca="1" si="489"/>
        <v>482.07306851378365</v>
      </c>
      <c r="AD1042">
        <f t="shared" ca="1" si="490"/>
        <v>280.07692026646265</v>
      </c>
      <c r="AE1042">
        <f t="shared" ca="1" si="491"/>
        <v>1019.7665564573041</v>
      </c>
      <c r="AF1042">
        <f t="shared" ca="1" si="492"/>
        <v>481.77679776328796</v>
      </c>
      <c r="AG1042">
        <f t="shared" ca="1" si="493"/>
        <v>0</v>
      </c>
      <c r="AH1042">
        <f ca="1">IF(V32="Supercritical",L1042,IF(V32="Subcritical",W1042,IF(AND(V1042=1,AG1042=1),IF(T1042&gt;=AE1042,L1042,W1042),IF(V1042=1,L1042,IF(AG1042=1,W1042,MAX($D$16,POWER((ABS(K1042)^2)/($I$5*MAX(F1042,0.1)^2),1/3)))))))</f>
        <v>2.1403668656741068</v>
      </c>
      <c r="AI1042">
        <f t="shared" ca="1" si="494"/>
        <v>634.25636686567407</v>
      </c>
      <c r="AJ1042">
        <f t="shared" ca="1" si="495"/>
        <v>635.32655029851117</v>
      </c>
      <c r="AM1042">
        <v>0</v>
      </c>
      <c r="AN1042">
        <v>0</v>
      </c>
      <c r="AO1042">
        <f t="shared" si="496"/>
        <v>0</v>
      </c>
      <c r="AP1042">
        <f t="shared" si="505"/>
        <v>0</v>
      </c>
      <c r="AQ1042">
        <f t="shared" ca="1" si="497"/>
        <v>0.99999999999999978</v>
      </c>
      <c r="AR1042" t="str">
        <f t="shared" ca="1" si="498"/>
        <v>Supercritical</v>
      </c>
      <c r="AS1042">
        <f t="shared" ca="1" si="499"/>
        <v>3.8148159832266538E-3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191</v>
      </c>
      <c r="I1043">
        <v>5.7000000000000002E-2</v>
      </c>
      <c r="J1043">
        <f t="shared" si="500"/>
        <v>0.99900000000002365</v>
      </c>
      <c r="K1043">
        <f t="shared" si="501"/>
        <v>51</v>
      </c>
      <c r="L1043">
        <f t="shared" ca="1" si="502"/>
        <v>0.05</v>
      </c>
      <c r="M1043">
        <f t="shared" ca="1" si="475"/>
        <v>0.26</v>
      </c>
      <c r="N1043">
        <f t="shared" ca="1" si="476"/>
        <v>4.9056603773584909E-2</v>
      </c>
      <c r="O1043">
        <f t="shared" ca="1" si="477"/>
        <v>196.15384615384616</v>
      </c>
      <c r="P1043">
        <f t="shared" ca="1" si="478"/>
        <v>632.16549999999995</v>
      </c>
      <c r="Q1043">
        <f t="shared" ca="1" si="479"/>
        <v>2593.242531648662</v>
      </c>
      <c r="R1043">
        <f t="shared" ca="1" si="480"/>
        <v>482.07306851378365</v>
      </c>
      <c r="S1043">
        <f t="shared" ca="1" si="481"/>
        <v>280.07692026646265</v>
      </c>
      <c r="T1043">
        <f t="shared" ca="1" si="482"/>
        <v>1019.7665564573041</v>
      </c>
      <c r="U1043">
        <f t="shared" ca="1" si="503"/>
        <v>-481.77679776328796</v>
      </c>
      <c r="V1043">
        <f t="shared" ca="1" si="504"/>
        <v>0</v>
      </c>
      <c r="W1043">
        <f t="shared" ca="1" si="483"/>
        <v>0.05</v>
      </c>
      <c r="X1043">
        <f t="shared" ca="1" si="484"/>
        <v>0.26</v>
      </c>
      <c r="Y1043">
        <f t="shared" ca="1" si="485"/>
        <v>4.9056603773584909E-2</v>
      </c>
      <c r="Z1043">
        <f t="shared" ca="1" si="486"/>
        <v>196.15384615384616</v>
      </c>
      <c r="AA1043">
        <f t="shared" ca="1" si="487"/>
        <v>632.16549999999995</v>
      </c>
      <c r="AB1043">
        <f t="shared" ca="1" si="488"/>
        <v>2593.242531648662</v>
      </c>
      <c r="AC1043">
        <f t="shared" ca="1" si="489"/>
        <v>482.07306851378365</v>
      </c>
      <c r="AD1043">
        <f t="shared" ca="1" si="490"/>
        <v>280.07692026646265</v>
      </c>
      <c r="AE1043">
        <f t="shared" ca="1" si="491"/>
        <v>1019.7665564573041</v>
      </c>
      <c r="AF1043">
        <f t="shared" ca="1" si="492"/>
        <v>482.25887083179077</v>
      </c>
      <c r="AG1043">
        <f t="shared" ca="1" si="493"/>
        <v>0</v>
      </c>
      <c r="AH1043">
        <f ca="1">IF(V32="Supercritical",L1043,IF(V32="Subcritical",W1043,IF(AND(V1043=1,AG1043=1),IF(T1043&gt;=AE1043,L1043,W1043),IF(V1043=1,L1043,IF(AG1043=1,W1043,MAX($D$16,POWER((ABS(K1043)^2)/($I$5*MAX(F1043,0.1)^2),1/3)))))))</f>
        <v>2.1403668656741068</v>
      </c>
      <c r="AI1043">
        <f t="shared" ca="1" si="494"/>
        <v>634.25586686567408</v>
      </c>
      <c r="AJ1043">
        <f t="shared" ca="1" si="495"/>
        <v>635.32605029851118</v>
      </c>
      <c r="AM1043">
        <v>0</v>
      </c>
      <c r="AN1043">
        <v>0</v>
      </c>
      <c r="AO1043">
        <f t="shared" si="496"/>
        <v>0</v>
      </c>
      <c r="AP1043">
        <f t="shared" si="505"/>
        <v>0</v>
      </c>
      <c r="AQ1043">
        <f t="shared" ca="1" si="497"/>
        <v>0.99999999999999978</v>
      </c>
      <c r="AR1043" t="str">
        <f t="shared" ca="1" si="498"/>
        <v>Supercritical</v>
      </c>
      <c r="AS1043">
        <f t="shared" ca="1" si="499"/>
        <v>3.8148159832266538E-3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191</v>
      </c>
      <c r="I1044">
        <v>5.7000000000000002E-2</v>
      </c>
      <c r="J1044">
        <f t="shared" si="500"/>
        <v>1</v>
      </c>
      <c r="K1044">
        <f t="shared" si="501"/>
        <v>51</v>
      </c>
      <c r="L1044">
        <f t="shared" ca="1" si="502"/>
        <v>0.05</v>
      </c>
      <c r="M1044">
        <f t="shared" ca="1" si="475"/>
        <v>0.26</v>
      </c>
      <c r="N1044">
        <f t="shared" ca="1" si="476"/>
        <v>4.9056603773584909E-2</v>
      </c>
      <c r="O1044">
        <f t="shared" ca="1" si="477"/>
        <v>196.15384615384616</v>
      </c>
      <c r="P1044">
        <f t="shared" ca="1" si="478"/>
        <v>632.16499999999996</v>
      </c>
      <c r="Q1044">
        <f t="shared" ca="1" si="479"/>
        <v>2593.2420316486623</v>
      </c>
      <c r="R1044">
        <f t="shared" ca="1" si="480"/>
        <v>482.07306851378365</v>
      </c>
      <c r="S1044">
        <f t="shared" ca="1" si="481"/>
        <v>280.07692026646265</v>
      </c>
      <c r="T1044">
        <f t="shared" ca="1" si="482"/>
        <v>1019.7665564573041</v>
      </c>
      <c r="U1044">
        <f t="shared" ca="1" si="503"/>
        <v>-482.25887083179077</v>
      </c>
      <c r="V1044">
        <f t="shared" ca="1" si="504"/>
        <v>0</v>
      </c>
      <c r="W1044">
        <f t="shared" ca="1" si="483"/>
        <v>0.05</v>
      </c>
      <c r="X1044">
        <f t="shared" ca="1" si="484"/>
        <v>0.26</v>
      </c>
      <c r="Y1044">
        <f t="shared" ca="1" si="485"/>
        <v>4.9056603773584909E-2</v>
      </c>
      <c r="Z1044">
        <f t="shared" ca="1" si="486"/>
        <v>196.15384615384616</v>
      </c>
      <c r="AA1044">
        <f t="shared" ca="1" si="487"/>
        <v>632.16499999999996</v>
      </c>
      <c r="AB1044">
        <f t="shared" ca="1" si="488"/>
        <v>2593.2420316486623</v>
      </c>
      <c r="AC1044">
        <f t="shared" ca="1" si="489"/>
        <v>482.07306851378365</v>
      </c>
      <c r="AD1044">
        <f t="shared" ca="1" si="490"/>
        <v>280.07692026646265</v>
      </c>
      <c r="AE1044">
        <f t="shared" ca="1" si="491"/>
        <v>1019.7665564573041</v>
      </c>
      <c r="AF1044">
        <f t="shared" ca="1" si="492"/>
        <v>482.07256851378361</v>
      </c>
      <c r="AG1044">
        <f t="shared" ca="1" si="493"/>
        <v>0</v>
      </c>
      <c r="AH1044">
        <f ca="1">IF(V32="Supercritical",L1044,IF(V32="Subcritical",W1044,IF(AND(V1044=1,AG1044=1),IF(T1044&gt;=AE1044,L1044,W1044),IF(V1044=1,L1044,IF(AG1044=1,W1044,MAX($D$16,POWER((ABS(K1044)^2)/($I$5*MAX(F1044,0.1)^2),1/3)))))))</f>
        <v>2.1403668656741068</v>
      </c>
      <c r="AI1044">
        <f t="shared" ca="1" si="494"/>
        <v>634.25536686567409</v>
      </c>
      <c r="AJ1044">
        <f t="shared" ca="1" si="495"/>
        <v>635.32555029851119</v>
      </c>
      <c r="AM1044">
        <v>0</v>
      </c>
      <c r="AN1044">
        <v>0</v>
      </c>
      <c r="AO1044">
        <f t="shared" si="496"/>
        <v>0</v>
      </c>
      <c r="AP1044">
        <f t="shared" si="505"/>
        <v>0</v>
      </c>
      <c r="AQ1044">
        <f t="shared" ca="1" si="497"/>
        <v>0.99999999999999978</v>
      </c>
      <c r="AR1044" t="str">
        <f t="shared" ca="1" si="498"/>
        <v>Supercritical</v>
      </c>
      <c r="AS1044">
        <f t="shared" ca="1" si="499"/>
        <v>3.8148159832266538E-3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191</v>
      </c>
      <c r="I1045">
        <v>0</v>
      </c>
      <c r="J1045">
        <f t="shared" si="500"/>
        <v>1</v>
      </c>
      <c r="K1045">
        <f t="shared" si="501"/>
        <v>51</v>
      </c>
      <c r="L1045">
        <f t="shared" ca="1" si="502"/>
        <v>0.05</v>
      </c>
      <c r="M1045">
        <f t="shared" ca="1" si="475"/>
        <v>0.26</v>
      </c>
      <c r="N1045">
        <f t="shared" ca="1" si="476"/>
        <v>4.9056603773584909E-2</v>
      </c>
      <c r="O1045">
        <f t="shared" ca="1" si="477"/>
        <v>196.15384615384616</v>
      </c>
      <c r="P1045">
        <f t="shared" ca="1" si="478"/>
        <v>632.16449999999998</v>
      </c>
      <c r="Q1045">
        <f t="shared" ca="1" si="479"/>
        <v>2593.2415316486622</v>
      </c>
      <c r="R1045">
        <f t="shared" ca="1" si="480"/>
        <v>482.07306851378365</v>
      </c>
      <c r="S1045">
        <f t="shared" ca="1" si="481"/>
        <v>280.07692026646265</v>
      </c>
      <c r="T1045">
        <f t="shared" ca="1" si="482"/>
        <v>1019.7665564573041</v>
      </c>
      <c r="U1045">
        <f t="shared" ca="1" si="503"/>
        <v>-482.07256851378361</v>
      </c>
      <c r="V1045">
        <f t="shared" ca="1" si="504"/>
        <v>0</v>
      </c>
      <c r="W1045">
        <f t="shared" ca="1" si="483"/>
        <v>0.05</v>
      </c>
      <c r="X1045">
        <f t="shared" ca="1" si="484"/>
        <v>0.26</v>
      </c>
      <c r="Y1045">
        <f t="shared" ca="1" si="485"/>
        <v>4.9056603773584909E-2</v>
      </c>
      <c r="Z1045">
        <f t="shared" ca="1" si="486"/>
        <v>196.15384615384616</v>
      </c>
      <c r="AA1045">
        <f t="shared" ca="1" si="487"/>
        <v>632.16449999999998</v>
      </c>
      <c r="AB1045">
        <f t="shared" ca="1" si="488"/>
        <v>2593.2415316486622</v>
      </c>
      <c r="AC1045">
        <f t="shared" ca="1" si="489"/>
        <v>482.07306851378365</v>
      </c>
      <c r="AD1045">
        <f t="shared" ca="1" si="490"/>
        <v>280.07692026646265</v>
      </c>
      <c r="AE1045">
        <f t="shared" ca="1" si="491"/>
        <v>1019.7665564573041</v>
      </c>
      <c r="AF1045">
        <f t="shared" ca="1" si="492"/>
        <v>482.07256851378361</v>
      </c>
      <c r="AG1045">
        <f t="shared" ca="1" si="493"/>
        <v>0</v>
      </c>
      <c r="AH1045">
        <f ca="1">IF(V32="Supercritical",L1045,IF(V32="Subcritical",W1045,IF(AND(V1045=1,AG1045=1),IF(T1045&gt;=AE1045,L1045,W1045),IF(V1045=1,L1045,IF(AG1045=1,W1045,MAX($D$16,POWER((ABS(K1045)^2)/($I$5*MAX(F1045,0.1)^2),1/3)))))))</f>
        <v>2.1403668656741068</v>
      </c>
      <c r="AI1045">
        <f t="shared" ca="1" si="494"/>
        <v>634.2548668656741</v>
      </c>
      <c r="AJ1045">
        <f t="shared" ca="1" si="495"/>
        <v>635.3250502985112</v>
      </c>
      <c r="AM1045">
        <v>0</v>
      </c>
      <c r="AN1045">
        <v>0</v>
      </c>
      <c r="AO1045">
        <f t="shared" si="496"/>
        <v>0</v>
      </c>
      <c r="AP1045">
        <f t="shared" si="505"/>
        <v>0</v>
      </c>
      <c r="AQ1045">
        <f t="shared" ca="1" si="497"/>
        <v>0.99999999999999978</v>
      </c>
      <c r="AR1045" t="str">
        <f t="shared" ca="1" si="498"/>
        <v>Supercritical</v>
      </c>
      <c r="AS1045">
        <f t="shared" ca="1" si="499"/>
        <v>3.8148159832266538E-3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191</v>
      </c>
      <c r="I1046">
        <v>0</v>
      </c>
      <c r="J1046">
        <f t="shared" si="500"/>
        <v>1</v>
      </c>
      <c r="K1046">
        <f t="shared" si="501"/>
        <v>51</v>
      </c>
      <c r="L1046">
        <f t="shared" ca="1" si="502"/>
        <v>0.05</v>
      </c>
      <c r="M1046">
        <f t="shared" ref="M1046:M1109" ca="1" si="506">((F1046)+(G1046)*(L1046))*(L1046)</f>
        <v>0.26</v>
      </c>
      <c r="N1046">
        <f t="shared" ref="N1046:N1109" ca="1" si="507">(((F1046)+(G1046)*(L1046))*(L1046))/MAX((F1046)+2*(L1046)*SQRT(1+(G1046)^2),0.000001)</f>
        <v>4.9056603773584909E-2</v>
      </c>
      <c r="O1046">
        <f t="shared" ref="O1046:O1109" ca="1" si="508">ABS(K1046)/MAX(((F1046)+(G1046)*(L1046))*(L1046),0.000001)</f>
        <v>196.15384615384616</v>
      </c>
      <c r="P1046">
        <f t="shared" ref="P1046:P1109" ca="1" si="509">E1046+L1046</f>
        <v>632.16399999999999</v>
      </c>
      <c r="Q1046">
        <f t="shared" ref="Q1046:Q1109" ca="1" si="510">P1046+((ABS(K1046)/MAX(((F1046)+(G1046)*(L1046))*(L1046),0.000001))^2)/(2*$I$5)</f>
        <v>2593.2410316486621</v>
      </c>
      <c r="R1046">
        <f t="shared" ref="R1046:R1109" ca="1" si="511">((ABS(K1046)*$D$6)/(MAX(((F1046)+(G1046)*(L1046))*(L1046),0.000001)*MAX(((((F1046)+(G1046)*(L1046))*(L1046))/MAX((F1046)+2*(L1046)*SQRT(1+(G1046)^2),0.000001))^(2/3),0.000001)))^2</f>
        <v>482.07306851378365</v>
      </c>
      <c r="S1046">
        <f t="shared" ref="S1046:S1109" ca="1" si="512">ABS(ABS(K1046)/MAX(((F1046)+(G1046)*(L1046))*(L1046),0.000001))/SQRT($I$5*MAX((((F1046)+(G1046)*(L1046))*(L1046))/MAX((F1046)+2*(G1046)*(L1046),0.000001),0.000001))</f>
        <v>280.07692026646265</v>
      </c>
      <c r="T1046">
        <f t="shared" ref="T1046:T1109" ca="1" si="513">((F1046)*(L1046)^2)/2+(G1046)*(L1046)^3/3+(ABS(K1046)^2)/($I$5*MAX(((F1046)+(G1046)*(L1046))*(L1046),0.000001))</f>
        <v>1019.7665564573041</v>
      </c>
      <c r="U1046">
        <f t="shared" ca="1" si="503"/>
        <v>-482.07256851378361</v>
      </c>
      <c r="V1046">
        <f t="shared" ca="1" si="504"/>
        <v>0</v>
      </c>
      <c r="W1046">
        <f t="shared" ref="W1046:W1109" ca="1" si="514">IF(OR($D$20=0,AG1047=0),W1047,IF(OR(W1046=0,AD1047&gt;1),MAX($D$16,POWER((ABS(K1046)^2)/($I$5*MAX(F1046,0.1)^2),1/3)),IF(AF1046&gt;0,MAX($D$16,W1046+((AF1046)*$D$18*IF((AD1046)&lt;1,1,-1))),IF(AF1046&lt;0,IF(ABS((MAX($D$16,POWER((ABS(K1046)^2)/($I$5*MAX(F1046,0.1)^2),1/3)))-W1046)&gt;$D$19,MAX($D$16,W1046+($D$18*((MAX($D$16,POWER((ABS(K1046)^2)/($I$5*MAX(F1046,0.1)^2),1/3)))-W1046))),MAX($D$16,POWER((ABS(K1046)^2)/($I$5*MAX(F1046,0.1)^2),1/3))),W1046))))</f>
        <v>0.05</v>
      </c>
      <c r="X1046">
        <f t="shared" ref="X1046:X1109" ca="1" si="515">((F1046)+(G1046)*(W1046))*(W1046)</f>
        <v>0.26</v>
      </c>
      <c r="Y1046">
        <f t="shared" ref="Y1046:Y1109" ca="1" si="516">(((F1046)+(G1046)*(W1046))*(W1046))/MAX((F1046)+2*(W1046)*SQRT(1+(G1046)^2),0.000001)</f>
        <v>4.9056603773584909E-2</v>
      </c>
      <c r="Z1046">
        <f t="shared" ref="Z1046:Z1109" ca="1" si="517">ABS(K1046)/MAX(((F1046)+(G1046)*(W1046))*(W1046),0.000001)</f>
        <v>196.15384615384616</v>
      </c>
      <c r="AA1046">
        <f t="shared" ref="AA1046:AA1109" ca="1" si="518">E1046+W1046</f>
        <v>632.16399999999999</v>
      </c>
      <c r="AB1046">
        <f t="shared" ref="AB1046:AB1109" ca="1" si="519">AA1046+((ABS(K1046)/MAX(((F1046)+(G1046)*(W1046))*(W1046),0.000001))^2)/(2*$I$5)</f>
        <v>2593.2410316486621</v>
      </c>
      <c r="AC1046">
        <f t="shared" ref="AC1046:AC1109" ca="1" si="520">((ABS(K1046)*$D$6)/(MAX(((F1046)+(G1046)*(W1046))*(W1046),0.000001)*MAX(((((F1046)+(G1046)*(W1046))*(W1046))/MAX((F1046)+2*(W1046)*SQRT(1+(G1046)^2),0.000001))^(2/3),0.000001)))^2</f>
        <v>482.07306851378365</v>
      </c>
      <c r="AD1046">
        <f t="shared" ref="AD1046:AD1109" ca="1" si="521">ABS(ABS(K1046)/MAX(((F1046)+(G1046)*(W1046))*(W1046),0.000001))/SQRT($I$5*MAX((((F1046)+(G1046)*(W1046))*(W1046))/MAX((F1046)+2*(G1046)*(W1046),0.000001),0.000001))</f>
        <v>280.07692026646265</v>
      </c>
      <c r="AE1046">
        <f t="shared" ref="AE1046:AE1109" ca="1" si="522">((F1046)*(W1046)^2)/2+(G1046)*(W1046)^3/3+(ABS(K1046)^2)/($I$5*MAX(((F1046)+(G1046)*(W1046))*(W1046),0.000001))</f>
        <v>1019.7665564573041</v>
      </c>
      <c r="AF1046">
        <f t="shared" ref="AF1046:AF1109" ca="1" si="523">AB1047+(((AC1046+AC1047)/2)*J1047)+(IF(Z1046&gt;Z1047,$D$8*((Z1046^2-Z1047^2)/(2*$I$5)),$D$9*((Z1047^2-Z1046^2)/(2*$I$5)))+($D$10*(ABS(I1047)/90)*(MAX(Z1046^2,Z1047^2)/(2*$I$5))))-AB1046</f>
        <v>482.25887083179032</v>
      </c>
      <c r="AG1046">
        <f t="shared" ref="AG1046:AG1109" ca="1" si="524">IF(ROUND(AD1046,3)=1,1,IF(AND(ABS(AF1046)&lt;$D$19,AD1046&lt;1),1,0))</f>
        <v>0</v>
      </c>
      <c r="AH1046">
        <f ca="1">IF(V32="Supercritical",L1046,IF(V32="Subcritical",W1046,IF(AND(V1046=1,AG1046=1),IF(T1046&gt;=AE1046,L1046,W1046),IF(V1046=1,L1046,IF(AG1046=1,W1046,MAX($D$16,POWER((ABS(K1046)^2)/($I$5*MAX(F1046,0.1)^2),1/3)))))))</f>
        <v>2.1403668656741068</v>
      </c>
      <c r="AI1046">
        <f t="shared" ref="AI1046:AI1109" ca="1" si="525">E1046+AH1046</f>
        <v>634.25436686567411</v>
      </c>
      <c r="AJ1046">
        <f t="shared" ref="AJ1046:AJ1109" ca="1" si="526">AI1046+((ABS(K1046)/MAX(((F1046)+(G1046)*(AH1046))*(AH1046),0.000001))^2)/(2*$I$5)</f>
        <v>635.32455029851121</v>
      </c>
      <c r="AM1046">
        <v>0</v>
      </c>
      <c r="AN1046">
        <v>0</v>
      </c>
      <c r="AO1046">
        <f t="shared" ref="AO1046:AO1109" si="527">AM1046+AN1046</f>
        <v>0</v>
      </c>
      <c r="AP1046">
        <f t="shared" si="505"/>
        <v>0</v>
      </c>
      <c r="AQ1046">
        <f t="shared" ref="AQ1046:AQ1109" ca="1" si="528">ABS(ABS(K1046)/MAX(((F1046)+(G1046)*(AH1046))*(AH1046),0.000001))/SQRT($I$5*MAX((((F1046)+(G1046)*(AH1046))*(AH1046))/MAX((F1046)+2*(G1046)*(AH1046),0.000001),0.000001))</f>
        <v>0.99999999999999978</v>
      </c>
      <c r="AR1046" t="str">
        <f t="shared" ref="AR1046:AR1109" ca="1" si="529">IF(AQ1046&lt;1,"Subcritical","Supercritical")</f>
        <v>Supercritical</v>
      </c>
      <c r="AS1046">
        <f t="shared" ref="AS1046:AS1109" ca="1" si="530">((ABS(K1046)*$D$6)/(MAX(((F1046)+(G1046)*(AH1046))*(AH1046),0.000001)*MAX(((((F1046)+(G1046)*(AH1046))*(AH1046))/MAX((F1046)+2*(AH1046)*SQRT(1+(G1046)^2),0.000001))^(2/3),0.000001)))^2</f>
        <v>3.8148159832266538E-3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191</v>
      </c>
      <c r="I1047">
        <v>5.7000000000000002E-2</v>
      </c>
      <c r="J1047">
        <f t="shared" ref="J1047:J1110" si="531">B1047-B1046</f>
        <v>1</v>
      </c>
      <c r="K1047">
        <f t="shared" ref="K1047:K1110" si="532">MAX(0,K1046-AO1046)</f>
        <v>51</v>
      </c>
      <c r="L1047">
        <f t="shared" ref="L1047:L1110" ca="1" si="533">IF(OR($D$20=0,V1046=0),L1046,IF(OR(L1047=0,S1046&lt;1,S1047&lt;1),MAX($D$16,POWER((ABS(K1047)^2)/($I$5*MAX(F1047,0.1)^2),1/3)),IF(U1047&gt;0,MAX($D$16,L1047+((U1047)*$D$18*IF((S1047)&lt;1,1,-1))),IF(U1047&lt;0,IF(ABS((MAX($D$16,POWER((ABS(K1047)^2)/($I$5*MAX(F1047,0.1)^2),1/3)))-L1047)&gt;$D$19,MAX($D$16,L1047+($D$18*((MAX($D$16,POWER((ABS(K1047)^2)/($I$5*MAX(F1047,0.1)^2),1/3)))-L1047))),MAX($D$16,POWER((ABS(K1047)^2)/($I$5*MAX(F1047,0.1)^2),1/3))),L1047))))</f>
        <v>0.05</v>
      </c>
      <c r="M1047">
        <f t="shared" ca="1" si="506"/>
        <v>0.26</v>
      </c>
      <c r="N1047">
        <f t="shared" ca="1" si="507"/>
        <v>4.9056603773584909E-2</v>
      </c>
      <c r="O1047">
        <f t="shared" ca="1" si="508"/>
        <v>196.15384615384616</v>
      </c>
      <c r="P1047">
        <f t="shared" ca="1" si="509"/>
        <v>632.1635</v>
      </c>
      <c r="Q1047">
        <f t="shared" ca="1" si="510"/>
        <v>2593.240531648662</v>
      </c>
      <c r="R1047">
        <f t="shared" ca="1" si="511"/>
        <v>482.07306851378365</v>
      </c>
      <c r="S1047">
        <f t="shared" ca="1" si="512"/>
        <v>280.07692026646265</v>
      </c>
      <c r="T1047">
        <f t="shared" ca="1" si="513"/>
        <v>1019.7665564573041</v>
      </c>
      <c r="U1047">
        <f t="shared" ref="U1047:U1110" ca="1" si="534">Q1046-(((R1046+R1047)/2)*J1047)-(IF(O1046&gt;O1047,$D$8*((O1046^2-O1047^2)/(2*$I$5)),$D$9*((O1047^2-O1046^2)/(2*$I$5)))+($D$10*(ABS(I1047)/90)*(MAX(O1046^2,O1047^2)/(2*$I$5))))-Q1047</f>
        <v>-482.25887083179032</v>
      </c>
      <c r="V1047">
        <f t="shared" ref="V1047:V1110" ca="1" si="535">IF(ROUND(S1047,3)=1,1,IF(AND(ABS(U1047)&lt;$D$19,S1047&gt;1),1,0))</f>
        <v>0</v>
      </c>
      <c r="W1047">
        <f t="shared" ca="1" si="514"/>
        <v>0.05</v>
      </c>
      <c r="X1047">
        <f t="shared" ca="1" si="515"/>
        <v>0.26</v>
      </c>
      <c r="Y1047">
        <f t="shared" ca="1" si="516"/>
        <v>4.9056603773584909E-2</v>
      </c>
      <c r="Z1047">
        <f t="shared" ca="1" si="517"/>
        <v>196.15384615384616</v>
      </c>
      <c r="AA1047">
        <f t="shared" ca="1" si="518"/>
        <v>632.1635</v>
      </c>
      <c r="AB1047">
        <f t="shared" ca="1" si="519"/>
        <v>2593.240531648662</v>
      </c>
      <c r="AC1047">
        <f t="shared" ca="1" si="520"/>
        <v>482.07306851378365</v>
      </c>
      <c r="AD1047">
        <f t="shared" ca="1" si="521"/>
        <v>280.07692026646265</v>
      </c>
      <c r="AE1047">
        <f t="shared" ca="1" si="522"/>
        <v>1019.7665564573041</v>
      </c>
      <c r="AF1047">
        <f t="shared" ca="1" si="523"/>
        <v>482.25887083179032</v>
      </c>
      <c r="AG1047">
        <f t="shared" ca="1" si="524"/>
        <v>0</v>
      </c>
      <c r="AH1047">
        <f ca="1">IF(V32="Supercritical",L1047,IF(V32="Subcritical",W1047,IF(AND(V1047=1,AG1047=1),IF(T1047&gt;=AE1047,L1047,W1047),IF(V1047=1,L1047,IF(AG1047=1,W1047,MAX($D$16,POWER((ABS(K1047)^2)/($I$5*MAX(F1047,0.1)^2),1/3)))))))</f>
        <v>2.1403668656741068</v>
      </c>
      <c r="AI1047">
        <f t="shared" ca="1" si="525"/>
        <v>634.25386686567413</v>
      </c>
      <c r="AJ1047">
        <f t="shared" ca="1" si="526"/>
        <v>635.32405029851122</v>
      </c>
      <c r="AM1047">
        <v>0</v>
      </c>
      <c r="AN1047">
        <v>0</v>
      </c>
      <c r="AO1047">
        <f t="shared" si="527"/>
        <v>0</v>
      </c>
      <c r="AP1047">
        <f t="shared" ref="AP1047:AP1110" si="536">AP1046+AO1047</f>
        <v>0</v>
      </c>
      <c r="AQ1047">
        <f t="shared" ca="1" si="528"/>
        <v>0.99999999999999978</v>
      </c>
      <c r="AR1047" t="str">
        <f t="shared" ca="1" si="529"/>
        <v>Supercritical</v>
      </c>
      <c r="AS1047">
        <f t="shared" ca="1" si="530"/>
        <v>3.8148159832266538E-3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191</v>
      </c>
      <c r="I1048">
        <v>5.7000000000000002E-2</v>
      </c>
      <c r="J1048">
        <f t="shared" si="531"/>
        <v>1</v>
      </c>
      <c r="K1048">
        <f t="shared" si="532"/>
        <v>51</v>
      </c>
      <c r="L1048">
        <f t="shared" ca="1" si="533"/>
        <v>0.05</v>
      </c>
      <c r="M1048">
        <f t="shared" ca="1" si="506"/>
        <v>0.26</v>
      </c>
      <c r="N1048">
        <f t="shared" ca="1" si="507"/>
        <v>4.9056603773584909E-2</v>
      </c>
      <c r="O1048">
        <f t="shared" ca="1" si="508"/>
        <v>196.15384615384616</v>
      </c>
      <c r="P1048">
        <f t="shared" ca="1" si="509"/>
        <v>632.16300000000001</v>
      </c>
      <c r="Q1048">
        <f t="shared" ca="1" si="510"/>
        <v>2593.2400316486619</v>
      </c>
      <c r="R1048">
        <f t="shared" ca="1" si="511"/>
        <v>482.07306851378365</v>
      </c>
      <c r="S1048">
        <f t="shared" ca="1" si="512"/>
        <v>280.07692026646265</v>
      </c>
      <c r="T1048">
        <f t="shared" ca="1" si="513"/>
        <v>1019.7665564573041</v>
      </c>
      <c r="U1048">
        <f t="shared" ca="1" si="534"/>
        <v>-482.25887083179032</v>
      </c>
      <c r="V1048">
        <f t="shared" ca="1" si="535"/>
        <v>0</v>
      </c>
      <c r="W1048">
        <f t="shared" ca="1" si="514"/>
        <v>0.05</v>
      </c>
      <c r="X1048">
        <f t="shared" ca="1" si="515"/>
        <v>0.26</v>
      </c>
      <c r="Y1048">
        <f t="shared" ca="1" si="516"/>
        <v>4.9056603773584909E-2</v>
      </c>
      <c r="Z1048">
        <f t="shared" ca="1" si="517"/>
        <v>196.15384615384616</v>
      </c>
      <c r="AA1048">
        <f t="shared" ca="1" si="518"/>
        <v>632.16300000000001</v>
      </c>
      <c r="AB1048">
        <f t="shared" ca="1" si="519"/>
        <v>2593.2400316486619</v>
      </c>
      <c r="AC1048">
        <f t="shared" ca="1" si="520"/>
        <v>482.07306851378365</v>
      </c>
      <c r="AD1048">
        <f t="shared" ca="1" si="521"/>
        <v>280.07692026646265</v>
      </c>
      <c r="AE1048">
        <f t="shared" ca="1" si="522"/>
        <v>1019.7665564573041</v>
      </c>
      <c r="AF1048">
        <f t="shared" ca="1" si="523"/>
        <v>482.07910543722255</v>
      </c>
      <c r="AG1048">
        <f t="shared" ca="1" si="524"/>
        <v>0</v>
      </c>
      <c r="AH1048">
        <f ca="1">IF(V32="Supercritical",L1048,IF(V32="Subcritical",W1048,IF(AND(V1048=1,AG1048=1),IF(T1048&gt;=AE1048,L1048,W1048),IF(V1048=1,L1048,IF(AG1048=1,W1048,MAX($D$16,POWER((ABS(K1048)^2)/($I$5*MAX(F1048,0.1)^2),1/3)))))))</f>
        <v>2.1403668656741068</v>
      </c>
      <c r="AI1048">
        <f t="shared" ca="1" si="525"/>
        <v>634.25336686567414</v>
      </c>
      <c r="AJ1048">
        <f t="shared" ca="1" si="526"/>
        <v>635.32355029851124</v>
      </c>
      <c r="AM1048">
        <v>0</v>
      </c>
      <c r="AN1048">
        <v>0</v>
      </c>
      <c r="AO1048">
        <f t="shared" si="527"/>
        <v>0</v>
      </c>
      <c r="AP1048">
        <f t="shared" si="536"/>
        <v>0</v>
      </c>
      <c r="AQ1048">
        <f t="shared" ca="1" si="528"/>
        <v>0.99999999999999978</v>
      </c>
      <c r="AR1048" t="str">
        <f t="shared" ca="1" si="529"/>
        <v>Supercritical</v>
      </c>
      <c r="AS1048">
        <f t="shared" ca="1" si="530"/>
        <v>3.8148159832266538E-3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191</v>
      </c>
      <c r="I1049">
        <v>2E-3</v>
      </c>
      <c r="J1049">
        <f t="shared" si="531"/>
        <v>1</v>
      </c>
      <c r="K1049">
        <f t="shared" si="532"/>
        <v>51</v>
      </c>
      <c r="L1049">
        <f t="shared" ca="1" si="533"/>
        <v>0.05</v>
      </c>
      <c r="M1049">
        <f t="shared" ca="1" si="506"/>
        <v>0.26</v>
      </c>
      <c r="N1049">
        <f t="shared" ca="1" si="507"/>
        <v>4.9056603773584909E-2</v>
      </c>
      <c r="O1049">
        <f t="shared" ca="1" si="508"/>
        <v>196.15384615384616</v>
      </c>
      <c r="P1049">
        <f t="shared" ca="1" si="509"/>
        <v>632.16249999999991</v>
      </c>
      <c r="Q1049">
        <f t="shared" ca="1" si="510"/>
        <v>2593.2395316486618</v>
      </c>
      <c r="R1049">
        <f t="shared" ca="1" si="511"/>
        <v>482.07306851378365</v>
      </c>
      <c r="S1049">
        <f t="shared" ca="1" si="512"/>
        <v>280.07692026646265</v>
      </c>
      <c r="T1049">
        <f t="shared" ca="1" si="513"/>
        <v>1019.7665564573041</v>
      </c>
      <c r="U1049">
        <f t="shared" ca="1" si="534"/>
        <v>-482.07910543722255</v>
      </c>
      <c r="V1049">
        <f t="shared" ca="1" si="535"/>
        <v>0</v>
      </c>
      <c r="W1049">
        <f t="shared" ca="1" si="514"/>
        <v>0.05</v>
      </c>
      <c r="X1049">
        <f t="shared" ca="1" si="515"/>
        <v>0.26</v>
      </c>
      <c r="Y1049">
        <f t="shared" ca="1" si="516"/>
        <v>4.9056603773584909E-2</v>
      </c>
      <c r="Z1049">
        <f t="shared" ca="1" si="517"/>
        <v>196.15384615384616</v>
      </c>
      <c r="AA1049">
        <f t="shared" ca="1" si="518"/>
        <v>632.16249999999991</v>
      </c>
      <c r="AB1049">
        <f t="shared" ca="1" si="519"/>
        <v>2593.2395316486618</v>
      </c>
      <c r="AC1049">
        <f t="shared" ca="1" si="520"/>
        <v>482.07306851378365</v>
      </c>
      <c r="AD1049">
        <f t="shared" ca="1" si="521"/>
        <v>280.07692026646265</v>
      </c>
      <c r="AE1049">
        <f t="shared" ca="1" si="522"/>
        <v>1019.7665564573041</v>
      </c>
      <c r="AF1049">
        <f t="shared" ca="1" si="523"/>
        <v>482.56117850572537</v>
      </c>
      <c r="AG1049">
        <f t="shared" ca="1" si="524"/>
        <v>0</v>
      </c>
      <c r="AH1049">
        <f ca="1">IF(V32="Supercritical",L1049,IF(V32="Subcritical",W1049,IF(AND(V1049=1,AG1049=1),IF(T1049&gt;=AE1049,L1049,W1049),IF(V1049=1,L1049,IF(AG1049=1,W1049,MAX($D$16,POWER((ABS(K1049)^2)/($I$5*MAX(F1049,0.1)^2),1/3)))))))</f>
        <v>2.1403668656741068</v>
      </c>
      <c r="AI1049">
        <f t="shared" ca="1" si="525"/>
        <v>634.25286686567404</v>
      </c>
      <c r="AJ1049">
        <f t="shared" ca="1" si="526"/>
        <v>635.32305029851113</v>
      </c>
      <c r="AM1049">
        <v>0</v>
      </c>
      <c r="AN1049">
        <v>0</v>
      </c>
      <c r="AO1049">
        <f t="shared" si="527"/>
        <v>0</v>
      </c>
      <c r="AP1049">
        <f t="shared" si="536"/>
        <v>0</v>
      </c>
      <c r="AQ1049">
        <f t="shared" ca="1" si="528"/>
        <v>0.99999999999999978</v>
      </c>
      <c r="AR1049" t="str">
        <f t="shared" ca="1" si="529"/>
        <v>Supercritical</v>
      </c>
      <c r="AS1049">
        <f t="shared" ca="1" si="530"/>
        <v>3.8148159832266538E-3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191</v>
      </c>
      <c r="I1050">
        <v>2E-3</v>
      </c>
      <c r="J1050">
        <f t="shared" si="531"/>
        <v>1.0009999999999764</v>
      </c>
      <c r="K1050">
        <f t="shared" si="532"/>
        <v>51</v>
      </c>
      <c r="L1050">
        <f t="shared" ca="1" si="533"/>
        <v>0.05</v>
      </c>
      <c r="M1050">
        <f t="shared" ca="1" si="506"/>
        <v>0.26</v>
      </c>
      <c r="N1050">
        <f t="shared" ca="1" si="507"/>
        <v>4.9056603773584909E-2</v>
      </c>
      <c r="O1050">
        <f t="shared" ca="1" si="508"/>
        <v>196.15384615384616</v>
      </c>
      <c r="P1050">
        <f t="shared" ca="1" si="509"/>
        <v>632.16199999999992</v>
      </c>
      <c r="Q1050">
        <f t="shared" ca="1" si="510"/>
        <v>2593.2390316486621</v>
      </c>
      <c r="R1050">
        <f t="shared" ca="1" si="511"/>
        <v>482.07306851378365</v>
      </c>
      <c r="S1050">
        <f t="shared" ca="1" si="512"/>
        <v>280.07692026646265</v>
      </c>
      <c r="T1050">
        <f t="shared" ca="1" si="513"/>
        <v>1019.7665564573041</v>
      </c>
      <c r="U1050">
        <f t="shared" ca="1" si="534"/>
        <v>-482.56117850572537</v>
      </c>
      <c r="V1050">
        <f t="shared" ca="1" si="535"/>
        <v>0</v>
      </c>
      <c r="W1050">
        <f t="shared" ca="1" si="514"/>
        <v>0.05</v>
      </c>
      <c r="X1050">
        <f t="shared" ca="1" si="515"/>
        <v>0.26</v>
      </c>
      <c r="Y1050">
        <f t="shared" ca="1" si="516"/>
        <v>4.9056603773584909E-2</v>
      </c>
      <c r="Z1050">
        <f t="shared" ca="1" si="517"/>
        <v>196.15384615384616</v>
      </c>
      <c r="AA1050">
        <f t="shared" ca="1" si="518"/>
        <v>632.16199999999992</v>
      </c>
      <c r="AB1050">
        <f t="shared" ca="1" si="519"/>
        <v>2593.2390316486621</v>
      </c>
      <c r="AC1050">
        <f t="shared" ca="1" si="520"/>
        <v>482.07306851378365</v>
      </c>
      <c r="AD1050">
        <f t="shared" ca="1" si="521"/>
        <v>280.07692026646265</v>
      </c>
      <c r="AE1050">
        <f t="shared" ca="1" si="522"/>
        <v>1019.7665564573041</v>
      </c>
      <c r="AF1050">
        <f t="shared" ca="1" si="523"/>
        <v>482.25887083179032</v>
      </c>
      <c r="AG1050">
        <f t="shared" ca="1" si="524"/>
        <v>0</v>
      </c>
      <c r="AH1050">
        <f ca="1">IF(V32="Supercritical",L1050,IF(V32="Subcritical",W1050,IF(AND(V1050=1,AG1050=1),IF(T1050&gt;=AE1050,L1050,W1050),IF(V1050=1,L1050,IF(AG1050=1,W1050,MAX($D$16,POWER((ABS(K1050)^2)/($I$5*MAX(F1050,0.1)^2),1/3)))))))</f>
        <v>2.1403668656741068</v>
      </c>
      <c r="AI1050">
        <f t="shared" ca="1" si="525"/>
        <v>634.25236686567405</v>
      </c>
      <c r="AJ1050">
        <f t="shared" ca="1" si="526"/>
        <v>635.32255029851115</v>
      </c>
      <c r="AM1050">
        <v>0</v>
      </c>
      <c r="AN1050">
        <v>0</v>
      </c>
      <c r="AO1050">
        <f t="shared" si="527"/>
        <v>0</v>
      </c>
      <c r="AP1050">
        <f t="shared" si="536"/>
        <v>0</v>
      </c>
      <c r="AQ1050">
        <f t="shared" ca="1" si="528"/>
        <v>0.99999999999999978</v>
      </c>
      <c r="AR1050" t="str">
        <f t="shared" ca="1" si="529"/>
        <v>Supercritical</v>
      </c>
      <c r="AS1050">
        <f t="shared" ca="1" si="530"/>
        <v>3.8148159832266538E-3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191</v>
      </c>
      <c r="I1051">
        <v>5.7000000000000002E-2</v>
      </c>
      <c r="J1051">
        <f t="shared" si="531"/>
        <v>1</v>
      </c>
      <c r="K1051">
        <f t="shared" si="532"/>
        <v>51</v>
      </c>
      <c r="L1051">
        <f t="shared" ca="1" si="533"/>
        <v>0.05</v>
      </c>
      <c r="M1051">
        <f t="shared" ca="1" si="506"/>
        <v>0.26</v>
      </c>
      <c r="N1051">
        <f t="shared" ca="1" si="507"/>
        <v>4.9056603773584909E-2</v>
      </c>
      <c r="O1051">
        <f t="shared" ca="1" si="508"/>
        <v>196.15384615384616</v>
      </c>
      <c r="P1051">
        <f t="shared" ca="1" si="509"/>
        <v>632.16149999999993</v>
      </c>
      <c r="Q1051">
        <f t="shared" ca="1" si="510"/>
        <v>2593.238531648662</v>
      </c>
      <c r="R1051">
        <f t="shared" ca="1" si="511"/>
        <v>482.07306851378365</v>
      </c>
      <c r="S1051">
        <f t="shared" ca="1" si="512"/>
        <v>280.07692026646265</v>
      </c>
      <c r="T1051">
        <f t="shared" ca="1" si="513"/>
        <v>1019.7665564573041</v>
      </c>
      <c r="U1051">
        <f t="shared" ca="1" si="534"/>
        <v>-482.25887083179032</v>
      </c>
      <c r="V1051">
        <f t="shared" ca="1" si="535"/>
        <v>0</v>
      </c>
      <c r="W1051">
        <f t="shared" ca="1" si="514"/>
        <v>0.05</v>
      </c>
      <c r="X1051">
        <f t="shared" ca="1" si="515"/>
        <v>0.26</v>
      </c>
      <c r="Y1051">
        <f t="shared" ca="1" si="516"/>
        <v>4.9056603773584909E-2</v>
      </c>
      <c r="Z1051">
        <f t="shared" ca="1" si="517"/>
        <v>196.15384615384616</v>
      </c>
      <c r="AA1051">
        <f t="shared" ca="1" si="518"/>
        <v>632.16149999999993</v>
      </c>
      <c r="AB1051">
        <f t="shared" ca="1" si="519"/>
        <v>2593.238531648662</v>
      </c>
      <c r="AC1051">
        <f t="shared" ca="1" si="520"/>
        <v>482.07306851378365</v>
      </c>
      <c r="AD1051">
        <f t="shared" ca="1" si="521"/>
        <v>280.07692026646265</v>
      </c>
      <c r="AE1051">
        <f t="shared" ca="1" si="522"/>
        <v>1019.7665564573041</v>
      </c>
      <c r="AF1051">
        <f t="shared" ca="1" si="523"/>
        <v>481.77679776328796</v>
      </c>
      <c r="AG1051">
        <f t="shared" ca="1" si="524"/>
        <v>0</v>
      </c>
      <c r="AH1051">
        <f ca="1">IF(V32="Supercritical",L1051,IF(V32="Subcritical",W1051,IF(AND(V1051=1,AG1051=1),IF(T1051&gt;=AE1051,L1051,W1051),IF(V1051=1,L1051,IF(AG1051=1,W1051,MAX($D$16,POWER((ABS(K1051)^2)/($I$5*MAX(F1051,0.1)^2),1/3)))))))</f>
        <v>2.1403668656741068</v>
      </c>
      <c r="AI1051">
        <f t="shared" ca="1" si="525"/>
        <v>634.25186686567406</v>
      </c>
      <c r="AJ1051">
        <f t="shared" ca="1" si="526"/>
        <v>635.32205029851116</v>
      </c>
      <c r="AM1051">
        <v>0</v>
      </c>
      <c r="AN1051">
        <v>0</v>
      </c>
      <c r="AO1051">
        <f t="shared" si="527"/>
        <v>0</v>
      </c>
      <c r="AP1051">
        <f t="shared" si="536"/>
        <v>0</v>
      </c>
      <c r="AQ1051">
        <f t="shared" ca="1" si="528"/>
        <v>0.99999999999999978</v>
      </c>
      <c r="AR1051" t="str">
        <f t="shared" ca="1" si="529"/>
        <v>Supercritical</v>
      </c>
      <c r="AS1051">
        <f t="shared" ca="1" si="530"/>
        <v>3.8148159832266538E-3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191</v>
      </c>
      <c r="I1052">
        <v>5.7000000000000002E-2</v>
      </c>
      <c r="J1052">
        <f t="shared" si="531"/>
        <v>0.99900000000002365</v>
      </c>
      <c r="K1052">
        <f t="shared" si="532"/>
        <v>51</v>
      </c>
      <c r="L1052">
        <f t="shared" ca="1" si="533"/>
        <v>0.05</v>
      </c>
      <c r="M1052">
        <f t="shared" ca="1" si="506"/>
        <v>0.26</v>
      </c>
      <c r="N1052">
        <f t="shared" ca="1" si="507"/>
        <v>4.9056603773584909E-2</v>
      </c>
      <c r="O1052">
        <f t="shared" ca="1" si="508"/>
        <v>196.15384615384616</v>
      </c>
      <c r="P1052">
        <f t="shared" ca="1" si="509"/>
        <v>632.16099999999994</v>
      </c>
      <c r="Q1052">
        <f t="shared" ca="1" si="510"/>
        <v>2593.2380316486619</v>
      </c>
      <c r="R1052">
        <f t="shared" ca="1" si="511"/>
        <v>482.07306851378365</v>
      </c>
      <c r="S1052">
        <f t="shared" ca="1" si="512"/>
        <v>280.07692026646265</v>
      </c>
      <c r="T1052">
        <f t="shared" ca="1" si="513"/>
        <v>1019.7665564573041</v>
      </c>
      <c r="U1052">
        <f t="shared" ca="1" si="534"/>
        <v>-481.77679776328796</v>
      </c>
      <c r="V1052">
        <f t="shared" ca="1" si="535"/>
        <v>0</v>
      </c>
      <c r="W1052">
        <f t="shared" ca="1" si="514"/>
        <v>0.05</v>
      </c>
      <c r="X1052">
        <f t="shared" ca="1" si="515"/>
        <v>0.26</v>
      </c>
      <c r="Y1052">
        <f t="shared" ca="1" si="516"/>
        <v>4.9056603773584909E-2</v>
      </c>
      <c r="Z1052">
        <f t="shared" ca="1" si="517"/>
        <v>196.15384615384616</v>
      </c>
      <c r="AA1052">
        <f t="shared" ca="1" si="518"/>
        <v>632.16099999999994</v>
      </c>
      <c r="AB1052">
        <f t="shared" ca="1" si="519"/>
        <v>2593.2380316486619</v>
      </c>
      <c r="AC1052">
        <f t="shared" ca="1" si="520"/>
        <v>482.07306851378365</v>
      </c>
      <c r="AD1052">
        <f t="shared" ca="1" si="521"/>
        <v>280.07692026646265</v>
      </c>
      <c r="AE1052">
        <f t="shared" ca="1" si="522"/>
        <v>1019.7665564573041</v>
      </c>
      <c r="AF1052">
        <f t="shared" ca="1" si="523"/>
        <v>482.07256851378406</v>
      </c>
      <c r="AG1052">
        <f t="shared" ca="1" si="524"/>
        <v>0</v>
      </c>
      <c r="AH1052">
        <f ca="1">IF(V32="Supercritical",L1052,IF(V32="Subcritical",W1052,IF(AND(V1052=1,AG1052=1),IF(T1052&gt;=AE1052,L1052,W1052),IF(V1052=1,L1052,IF(AG1052=1,W1052,MAX($D$16,POWER((ABS(K1052)^2)/($I$5*MAX(F1052,0.1)^2),1/3)))))))</f>
        <v>2.1403668656741068</v>
      </c>
      <c r="AI1052">
        <f t="shared" ca="1" si="525"/>
        <v>634.25136686567407</v>
      </c>
      <c r="AJ1052">
        <f t="shared" ca="1" si="526"/>
        <v>635.32155029851117</v>
      </c>
      <c r="AM1052">
        <v>0</v>
      </c>
      <c r="AN1052">
        <v>0</v>
      </c>
      <c r="AO1052">
        <f t="shared" si="527"/>
        <v>0</v>
      </c>
      <c r="AP1052">
        <f t="shared" si="536"/>
        <v>0</v>
      </c>
      <c r="AQ1052">
        <f t="shared" ca="1" si="528"/>
        <v>0.99999999999999978</v>
      </c>
      <c r="AR1052" t="str">
        <f t="shared" ca="1" si="529"/>
        <v>Supercritical</v>
      </c>
      <c r="AS1052">
        <f t="shared" ca="1" si="530"/>
        <v>3.8148159832266538E-3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191</v>
      </c>
      <c r="I1053">
        <v>0</v>
      </c>
      <c r="J1053">
        <f t="shared" si="531"/>
        <v>1</v>
      </c>
      <c r="K1053">
        <f t="shared" si="532"/>
        <v>51</v>
      </c>
      <c r="L1053">
        <f t="shared" ca="1" si="533"/>
        <v>0.05</v>
      </c>
      <c r="M1053">
        <f t="shared" ca="1" si="506"/>
        <v>0.26</v>
      </c>
      <c r="N1053">
        <f t="shared" ca="1" si="507"/>
        <v>4.9056603773584909E-2</v>
      </c>
      <c r="O1053">
        <f t="shared" ca="1" si="508"/>
        <v>196.15384615384616</v>
      </c>
      <c r="P1053">
        <f t="shared" ca="1" si="509"/>
        <v>632.16049999999996</v>
      </c>
      <c r="Q1053">
        <f t="shared" ca="1" si="510"/>
        <v>2593.2375316486623</v>
      </c>
      <c r="R1053">
        <f t="shared" ca="1" si="511"/>
        <v>482.07306851378365</v>
      </c>
      <c r="S1053">
        <f t="shared" ca="1" si="512"/>
        <v>280.07692026646265</v>
      </c>
      <c r="T1053">
        <f t="shared" ca="1" si="513"/>
        <v>1019.7665564573041</v>
      </c>
      <c r="U1053">
        <f t="shared" ca="1" si="534"/>
        <v>-482.07256851378406</v>
      </c>
      <c r="V1053">
        <f t="shared" ca="1" si="535"/>
        <v>0</v>
      </c>
      <c r="W1053">
        <f t="shared" ca="1" si="514"/>
        <v>0.05</v>
      </c>
      <c r="X1053">
        <f t="shared" ca="1" si="515"/>
        <v>0.26</v>
      </c>
      <c r="Y1053">
        <f t="shared" ca="1" si="516"/>
        <v>4.9056603773584909E-2</v>
      </c>
      <c r="Z1053">
        <f t="shared" ca="1" si="517"/>
        <v>196.15384615384616</v>
      </c>
      <c r="AA1053">
        <f t="shared" ca="1" si="518"/>
        <v>632.16049999999996</v>
      </c>
      <c r="AB1053">
        <f t="shared" ca="1" si="519"/>
        <v>2593.2375316486623</v>
      </c>
      <c r="AC1053">
        <f t="shared" ca="1" si="520"/>
        <v>482.07306851378365</v>
      </c>
      <c r="AD1053">
        <f t="shared" ca="1" si="521"/>
        <v>280.07692026646265</v>
      </c>
      <c r="AE1053">
        <f t="shared" ca="1" si="522"/>
        <v>1019.7665564573041</v>
      </c>
      <c r="AF1053">
        <f t="shared" ca="1" si="523"/>
        <v>482.07256851378361</v>
      </c>
      <c r="AG1053">
        <f t="shared" ca="1" si="524"/>
        <v>0</v>
      </c>
      <c r="AH1053">
        <f ca="1">IF(V32="Supercritical",L1053,IF(V32="Subcritical",W1053,IF(AND(V1053=1,AG1053=1),IF(T1053&gt;=AE1053,L1053,W1053),IF(V1053=1,L1053,IF(AG1053=1,W1053,MAX($D$16,POWER((ABS(K1053)^2)/($I$5*MAX(F1053,0.1)^2),1/3)))))))</f>
        <v>2.1403668656741068</v>
      </c>
      <c r="AI1053">
        <f t="shared" ca="1" si="525"/>
        <v>634.25086686567408</v>
      </c>
      <c r="AJ1053">
        <f t="shared" ca="1" si="526"/>
        <v>635.32105029851118</v>
      </c>
      <c r="AM1053">
        <v>0</v>
      </c>
      <c r="AN1053">
        <v>0</v>
      </c>
      <c r="AO1053">
        <f t="shared" si="527"/>
        <v>0</v>
      </c>
      <c r="AP1053">
        <f t="shared" si="536"/>
        <v>0</v>
      </c>
      <c r="AQ1053">
        <f t="shared" ca="1" si="528"/>
        <v>0.99999999999999978</v>
      </c>
      <c r="AR1053" t="str">
        <f t="shared" ca="1" si="529"/>
        <v>Supercritical</v>
      </c>
      <c r="AS1053">
        <f t="shared" ca="1" si="530"/>
        <v>3.8148159832266538E-3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191</v>
      </c>
      <c r="I1054">
        <v>0</v>
      </c>
      <c r="J1054">
        <f t="shared" si="531"/>
        <v>1</v>
      </c>
      <c r="K1054">
        <f t="shared" si="532"/>
        <v>51</v>
      </c>
      <c r="L1054">
        <f t="shared" ca="1" si="533"/>
        <v>0.05</v>
      </c>
      <c r="M1054">
        <f t="shared" ca="1" si="506"/>
        <v>0.26</v>
      </c>
      <c r="N1054">
        <f t="shared" ca="1" si="507"/>
        <v>4.9056603773584909E-2</v>
      </c>
      <c r="O1054">
        <f t="shared" ca="1" si="508"/>
        <v>196.15384615384616</v>
      </c>
      <c r="P1054">
        <f t="shared" ca="1" si="509"/>
        <v>632.16</v>
      </c>
      <c r="Q1054">
        <f t="shared" ca="1" si="510"/>
        <v>2593.2370316486622</v>
      </c>
      <c r="R1054">
        <f t="shared" ca="1" si="511"/>
        <v>482.07306851378365</v>
      </c>
      <c r="S1054">
        <f t="shared" ca="1" si="512"/>
        <v>280.07692026646265</v>
      </c>
      <c r="T1054">
        <f t="shared" ca="1" si="513"/>
        <v>1019.7665564573041</v>
      </c>
      <c r="U1054">
        <f t="shared" ca="1" si="534"/>
        <v>-482.07256851378361</v>
      </c>
      <c r="V1054">
        <f t="shared" ca="1" si="535"/>
        <v>0</v>
      </c>
      <c r="W1054">
        <f t="shared" ca="1" si="514"/>
        <v>0.05</v>
      </c>
      <c r="X1054">
        <f t="shared" ca="1" si="515"/>
        <v>0.26</v>
      </c>
      <c r="Y1054">
        <f t="shared" ca="1" si="516"/>
        <v>4.9056603773584909E-2</v>
      </c>
      <c r="Z1054">
        <f t="shared" ca="1" si="517"/>
        <v>196.15384615384616</v>
      </c>
      <c r="AA1054">
        <f t="shared" ca="1" si="518"/>
        <v>632.16</v>
      </c>
      <c r="AB1054">
        <f t="shared" ca="1" si="519"/>
        <v>2593.2370316486622</v>
      </c>
      <c r="AC1054">
        <f t="shared" ca="1" si="520"/>
        <v>482.07306851378365</v>
      </c>
      <c r="AD1054">
        <f t="shared" ca="1" si="521"/>
        <v>280.07692026646265</v>
      </c>
      <c r="AE1054">
        <f t="shared" ca="1" si="522"/>
        <v>1019.7665564573041</v>
      </c>
      <c r="AF1054">
        <f t="shared" ca="1" si="523"/>
        <v>482.25887083179032</v>
      </c>
      <c r="AG1054">
        <f t="shared" ca="1" si="524"/>
        <v>0</v>
      </c>
      <c r="AH1054">
        <f ca="1">IF(V32="Supercritical",L1054,IF(V32="Subcritical",W1054,IF(AND(V1054=1,AG1054=1),IF(T1054&gt;=AE1054,L1054,W1054),IF(V1054=1,L1054,IF(AG1054=1,W1054,MAX($D$16,POWER((ABS(K1054)^2)/($I$5*MAX(F1054,0.1)^2),1/3)))))))</f>
        <v>2.1403668656741068</v>
      </c>
      <c r="AI1054">
        <f t="shared" ca="1" si="525"/>
        <v>634.2503668656741</v>
      </c>
      <c r="AJ1054">
        <f t="shared" ca="1" si="526"/>
        <v>635.32055029851119</v>
      </c>
      <c r="AM1054">
        <v>0</v>
      </c>
      <c r="AN1054">
        <v>0</v>
      </c>
      <c r="AO1054">
        <f t="shared" si="527"/>
        <v>0</v>
      </c>
      <c r="AP1054">
        <f t="shared" si="536"/>
        <v>0</v>
      </c>
      <c r="AQ1054">
        <f t="shared" ca="1" si="528"/>
        <v>0.99999999999999978</v>
      </c>
      <c r="AR1054" t="str">
        <f t="shared" ca="1" si="529"/>
        <v>Supercritical</v>
      </c>
      <c r="AS1054">
        <f t="shared" ca="1" si="530"/>
        <v>3.8148159832266538E-3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191</v>
      </c>
      <c r="I1055">
        <v>5.7000000000000002E-2</v>
      </c>
      <c r="J1055">
        <f t="shared" si="531"/>
        <v>1</v>
      </c>
      <c r="K1055">
        <f t="shared" si="532"/>
        <v>51</v>
      </c>
      <c r="L1055">
        <f t="shared" ca="1" si="533"/>
        <v>0.05</v>
      </c>
      <c r="M1055">
        <f t="shared" ca="1" si="506"/>
        <v>0.26</v>
      </c>
      <c r="N1055">
        <f t="shared" ca="1" si="507"/>
        <v>4.9056603773584909E-2</v>
      </c>
      <c r="O1055">
        <f t="shared" ca="1" si="508"/>
        <v>196.15384615384616</v>
      </c>
      <c r="P1055">
        <f t="shared" ca="1" si="509"/>
        <v>632.15949999999998</v>
      </c>
      <c r="Q1055">
        <f t="shared" ca="1" si="510"/>
        <v>2593.2365316486621</v>
      </c>
      <c r="R1055">
        <f t="shared" ca="1" si="511"/>
        <v>482.07306851378365</v>
      </c>
      <c r="S1055">
        <f t="shared" ca="1" si="512"/>
        <v>280.07692026646265</v>
      </c>
      <c r="T1055">
        <f t="shared" ca="1" si="513"/>
        <v>1019.7665564573041</v>
      </c>
      <c r="U1055">
        <f t="shared" ca="1" si="534"/>
        <v>-482.25887083179032</v>
      </c>
      <c r="V1055">
        <f t="shared" ca="1" si="535"/>
        <v>0</v>
      </c>
      <c r="W1055">
        <f t="shared" ca="1" si="514"/>
        <v>0.05</v>
      </c>
      <c r="X1055">
        <f t="shared" ca="1" si="515"/>
        <v>0.26</v>
      </c>
      <c r="Y1055">
        <f t="shared" ca="1" si="516"/>
        <v>4.9056603773584909E-2</v>
      </c>
      <c r="Z1055">
        <f t="shared" ca="1" si="517"/>
        <v>196.15384615384616</v>
      </c>
      <c r="AA1055">
        <f t="shared" ca="1" si="518"/>
        <v>632.15949999999998</v>
      </c>
      <c r="AB1055">
        <f t="shared" ca="1" si="519"/>
        <v>2593.2365316486621</v>
      </c>
      <c r="AC1055">
        <f t="shared" ca="1" si="520"/>
        <v>482.07306851378365</v>
      </c>
      <c r="AD1055">
        <f t="shared" ca="1" si="521"/>
        <v>280.07692026646265</v>
      </c>
      <c r="AE1055">
        <f t="shared" ca="1" si="522"/>
        <v>1019.7665564573041</v>
      </c>
      <c r="AF1055">
        <f t="shared" ca="1" si="523"/>
        <v>482.25887083179032</v>
      </c>
      <c r="AG1055">
        <f t="shared" ca="1" si="524"/>
        <v>0</v>
      </c>
      <c r="AH1055">
        <f ca="1">IF(V32="Supercritical",L1055,IF(V32="Subcritical",W1055,IF(AND(V1055=1,AG1055=1),IF(T1055&gt;=AE1055,L1055,W1055),IF(V1055=1,L1055,IF(AG1055=1,W1055,MAX($D$16,POWER((ABS(K1055)^2)/($I$5*MAX(F1055,0.1)^2),1/3)))))))</f>
        <v>2.1403668656741068</v>
      </c>
      <c r="AI1055">
        <f t="shared" ca="1" si="525"/>
        <v>634.24986686567411</v>
      </c>
      <c r="AJ1055">
        <f t="shared" ca="1" si="526"/>
        <v>635.32005029851121</v>
      </c>
      <c r="AM1055">
        <v>0</v>
      </c>
      <c r="AN1055">
        <v>0</v>
      </c>
      <c r="AO1055">
        <f t="shared" si="527"/>
        <v>0</v>
      </c>
      <c r="AP1055">
        <f t="shared" si="536"/>
        <v>0</v>
      </c>
      <c r="AQ1055">
        <f t="shared" ca="1" si="528"/>
        <v>0.99999999999999978</v>
      </c>
      <c r="AR1055" t="str">
        <f t="shared" ca="1" si="529"/>
        <v>Supercritical</v>
      </c>
      <c r="AS1055">
        <f t="shared" ca="1" si="530"/>
        <v>3.8148159832266538E-3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191</v>
      </c>
      <c r="I1056">
        <v>5.7000000000000002E-2</v>
      </c>
      <c r="J1056">
        <f t="shared" si="531"/>
        <v>1</v>
      </c>
      <c r="K1056">
        <f t="shared" si="532"/>
        <v>51</v>
      </c>
      <c r="L1056">
        <f t="shared" ca="1" si="533"/>
        <v>0.05</v>
      </c>
      <c r="M1056">
        <f t="shared" ca="1" si="506"/>
        <v>0.26</v>
      </c>
      <c r="N1056">
        <f t="shared" ca="1" si="507"/>
        <v>4.9056603773584909E-2</v>
      </c>
      <c r="O1056">
        <f t="shared" ca="1" si="508"/>
        <v>196.15384615384616</v>
      </c>
      <c r="P1056">
        <f t="shared" ca="1" si="509"/>
        <v>632.15899999999999</v>
      </c>
      <c r="Q1056">
        <f t="shared" ca="1" si="510"/>
        <v>2593.236031648662</v>
      </c>
      <c r="R1056">
        <f t="shared" ca="1" si="511"/>
        <v>482.07306851378365</v>
      </c>
      <c r="S1056">
        <f t="shared" ca="1" si="512"/>
        <v>280.07692026646265</v>
      </c>
      <c r="T1056">
        <f t="shared" ca="1" si="513"/>
        <v>1019.7665564573041</v>
      </c>
      <c r="U1056">
        <f t="shared" ca="1" si="534"/>
        <v>-482.25887083179032</v>
      </c>
      <c r="V1056">
        <f t="shared" ca="1" si="535"/>
        <v>0</v>
      </c>
      <c r="W1056">
        <f t="shared" ca="1" si="514"/>
        <v>0.05</v>
      </c>
      <c r="X1056">
        <f t="shared" ca="1" si="515"/>
        <v>0.26</v>
      </c>
      <c r="Y1056">
        <f t="shared" ca="1" si="516"/>
        <v>4.9056603773584909E-2</v>
      </c>
      <c r="Z1056">
        <f t="shared" ca="1" si="517"/>
        <v>196.15384615384616</v>
      </c>
      <c r="AA1056">
        <f t="shared" ca="1" si="518"/>
        <v>632.15899999999999</v>
      </c>
      <c r="AB1056">
        <f t="shared" ca="1" si="519"/>
        <v>2593.236031648662</v>
      </c>
      <c r="AC1056">
        <f t="shared" ca="1" si="520"/>
        <v>482.07306851378365</v>
      </c>
      <c r="AD1056">
        <f t="shared" ca="1" si="521"/>
        <v>280.07692026646265</v>
      </c>
      <c r="AE1056">
        <f t="shared" ca="1" si="522"/>
        <v>1019.7665564573041</v>
      </c>
      <c r="AF1056">
        <f t="shared" ca="1" si="523"/>
        <v>482.07256851378361</v>
      </c>
      <c r="AG1056">
        <f t="shared" ca="1" si="524"/>
        <v>0</v>
      </c>
      <c r="AH1056">
        <f ca="1">IF(V32="Supercritical",L1056,IF(V32="Subcritical",W1056,IF(AND(V1056=1,AG1056=1),IF(T1056&gt;=AE1056,L1056,W1056),IF(V1056=1,L1056,IF(AG1056=1,W1056,MAX($D$16,POWER((ABS(K1056)^2)/($I$5*MAX(F1056,0.1)^2),1/3)))))))</f>
        <v>2.1403668656741068</v>
      </c>
      <c r="AI1056">
        <f t="shared" ca="1" si="525"/>
        <v>634.24936686567412</v>
      </c>
      <c r="AJ1056">
        <f t="shared" ca="1" si="526"/>
        <v>635.31955029851122</v>
      </c>
      <c r="AM1056">
        <v>0</v>
      </c>
      <c r="AN1056">
        <v>0</v>
      </c>
      <c r="AO1056">
        <f t="shared" si="527"/>
        <v>0</v>
      </c>
      <c r="AP1056">
        <f t="shared" si="536"/>
        <v>0</v>
      </c>
      <c r="AQ1056">
        <f t="shared" ca="1" si="528"/>
        <v>0.99999999999999978</v>
      </c>
      <c r="AR1056" t="str">
        <f t="shared" ca="1" si="529"/>
        <v>Supercritical</v>
      </c>
      <c r="AS1056">
        <f t="shared" ca="1" si="530"/>
        <v>3.8148159832266538E-3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191</v>
      </c>
      <c r="I1057">
        <v>0</v>
      </c>
      <c r="J1057">
        <f t="shared" si="531"/>
        <v>1</v>
      </c>
      <c r="K1057">
        <f t="shared" si="532"/>
        <v>51</v>
      </c>
      <c r="L1057">
        <f t="shared" ca="1" si="533"/>
        <v>0.05</v>
      </c>
      <c r="M1057">
        <f t="shared" ca="1" si="506"/>
        <v>0.26</v>
      </c>
      <c r="N1057">
        <f t="shared" ca="1" si="507"/>
        <v>4.9056603773584909E-2</v>
      </c>
      <c r="O1057">
        <f t="shared" ca="1" si="508"/>
        <v>196.15384615384616</v>
      </c>
      <c r="P1057">
        <f t="shared" ca="1" si="509"/>
        <v>632.1585</v>
      </c>
      <c r="Q1057">
        <f t="shared" ca="1" si="510"/>
        <v>2593.2355316486619</v>
      </c>
      <c r="R1057">
        <f t="shared" ca="1" si="511"/>
        <v>482.07306851378365</v>
      </c>
      <c r="S1057">
        <f t="shared" ca="1" si="512"/>
        <v>280.07692026646265</v>
      </c>
      <c r="T1057">
        <f t="shared" ca="1" si="513"/>
        <v>1019.7665564573041</v>
      </c>
      <c r="U1057">
        <f t="shared" ca="1" si="534"/>
        <v>-482.07256851378361</v>
      </c>
      <c r="V1057">
        <f t="shared" ca="1" si="535"/>
        <v>0</v>
      </c>
      <c r="W1057">
        <f t="shared" ca="1" si="514"/>
        <v>0.05</v>
      </c>
      <c r="X1057">
        <f t="shared" ca="1" si="515"/>
        <v>0.26</v>
      </c>
      <c r="Y1057">
        <f t="shared" ca="1" si="516"/>
        <v>4.9056603773584909E-2</v>
      </c>
      <c r="Z1057">
        <f t="shared" ca="1" si="517"/>
        <v>196.15384615384616</v>
      </c>
      <c r="AA1057">
        <f t="shared" ca="1" si="518"/>
        <v>632.1585</v>
      </c>
      <c r="AB1057">
        <f t="shared" ca="1" si="519"/>
        <v>2593.2355316486619</v>
      </c>
      <c r="AC1057">
        <f t="shared" ca="1" si="520"/>
        <v>482.07306851378365</v>
      </c>
      <c r="AD1057">
        <f t="shared" ca="1" si="521"/>
        <v>280.07692026646265</v>
      </c>
      <c r="AE1057">
        <f t="shared" ca="1" si="522"/>
        <v>1019.7665564573041</v>
      </c>
      <c r="AF1057">
        <f t="shared" ca="1" si="523"/>
        <v>482.07910543722255</v>
      </c>
      <c r="AG1057">
        <f t="shared" ca="1" si="524"/>
        <v>0</v>
      </c>
      <c r="AH1057">
        <f ca="1">IF(V32="Supercritical",L1057,IF(V32="Subcritical",W1057,IF(AND(V1057=1,AG1057=1),IF(T1057&gt;=AE1057,L1057,W1057),IF(V1057=1,L1057,IF(AG1057=1,W1057,MAX($D$16,POWER((ABS(K1057)^2)/($I$5*MAX(F1057,0.1)^2),1/3)))))))</f>
        <v>2.1403668656741068</v>
      </c>
      <c r="AI1057">
        <f t="shared" ca="1" si="525"/>
        <v>634.24886686567413</v>
      </c>
      <c r="AJ1057">
        <f t="shared" ca="1" si="526"/>
        <v>635.31905029851123</v>
      </c>
      <c r="AM1057">
        <v>0</v>
      </c>
      <c r="AN1057">
        <v>0</v>
      </c>
      <c r="AO1057">
        <f t="shared" si="527"/>
        <v>0</v>
      </c>
      <c r="AP1057">
        <f t="shared" si="536"/>
        <v>0</v>
      </c>
      <c r="AQ1057">
        <f t="shared" ca="1" si="528"/>
        <v>0.99999999999999978</v>
      </c>
      <c r="AR1057" t="str">
        <f t="shared" ca="1" si="529"/>
        <v>Supercritical</v>
      </c>
      <c r="AS1057">
        <f t="shared" ca="1" si="530"/>
        <v>3.8148159832266538E-3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191</v>
      </c>
      <c r="I1058">
        <v>2E-3</v>
      </c>
      <c r="J1058">
        <f t="shared" si="531"/>
        <v>1</v>
      </c>
      <c r="K1058">
        <f t="shared" si="532"/>
        <v>51</v>
      </c>
      <c r="L1058">
        <f t="shared" ca="1" si="533"/>
        <v>0.05</v>
      </c>
      <c r="M1058">
        <f t="shared" ca="1" si="506"/>
        <v>0.26</v>
      </c>
      <c r="N1058">
        <f t="shared" ca="1" si="507"/>
        <v>4.9056603773584909E-2</v>
      </c>
      <c r="O1058">
        <f t="shared" ca="1" si="508"/>
        <v>196.15384615384616</v>
      </c>
      <c r="P1058">
        <f t="shared" ca="1" si="509"/>
        <v>632.1579999999999</v>
      </c>
      <c r="Q1058">
        <f t="shared" ca="1" si="510"/>
        <v>2593.2350316486618</v>
      </c>
      <c r="R1058">
        <f t="shared" ca="1" si="511"/>
        <v>482.07306851378365</v>
      </c>
      <c r="S1058">
        <f t="shared" ca="1" si="512"/>
        <v>280.07692026646265</v>
      </c>
      <c r="T1058">
        <f t="shared" ca="1" si="513"/>
        <v>1019.7665564573041</v>
      </c>
      <c r="U1058">
        <f t="shared" ca="1" si="534"/>
        <v>-482.07910543722255</v>
      </c>
      <c r="V1058">
        <f t="shared" ca="1" si="535"/>
        <v>0</v>
      </c>
      <c r="W1058">
        <f t="shared" ca="1" si="514"/>
        <v>0.05</v>
      </c>
      <c r="X1058">
        <f t="shared" ca="1" si="515"/>
        <v>0.26</v>
      </c>
      <c r="Y1058">
        <f t="shared" ca="1" si="516"/>
        <v>4.9056603773584909E-2</v>
      </c>
      <c r="Z1058">
        <f t="shared" ca="1" si="517"/>
        <v>196.15384615384616</v>
      </c>
      <c r="AA1058">
        <f t="shared" ca="1" si="518"/>
        <v>632.1579999999999</v>
      </c>
      <c r="AB1058">
        <f t="shared" ca="1" si="519"/>
        <v>2593.2350316486618</v>
      </c>
      <c r="AC1058">
        <f t="shared" ca="1" si="520"/>
        <v>482.07306851378365</v>
      </c>
      <c r="AD1058">
        <f t="shared" ca="1" si="521"/>
        <v>280.07692026646265</v>
      </c>
      <c r="AE1058">
        <f t="shared" ca="1" si="522"/>
        <v>1019.7665564573041</v>
      </c>
      <c r="AF1058">
        <f t="shared" ca="1" si="523"/>
        <v>482.75074928545109</v>
      </c>
      <c r="AG1058">
        <f t="shared" ca="1" si="524"/>
        <v>0</v>
      </c>
      <c r="AH1058">
        <f ca="1">IF(V32="Supercritical",L1058,IF(V32="Subcritical",W1058,IF(AND(V1058=1,AG1058=1),IF(T1058&gt;=AE1058,L1058,W1058),IF(V1058=1,L1058,IF(AG1058=1,W1058,MAX($D$16,POWER((ABS(K1058)^2)/($I$5*MAX(F1058,0.1)^2),1/3)))))))</f>
        <v>2.1403668656741068</v>
      </c>
      <c r="AI1058">
        <f t="shared" ca="1" si="525"/>
        <v>634.24836686567403</v>
      </c>
      <c r="AJ1058">
        <f t="shared" ca="1" si="526"/>
        <v>635.31855029851113</v>
      </c>
      <c r="AM1058">
        <v>0</v>
      </c>
      <c r="AN1058">
        <v>0</v>
      </c>
      <c r="AO1058">
        <f t="shared" si="527"/>
        <v>0</v>
      </c>
      <c r="AP1058">
        <f t="shared" si="536"/>
        <v>0</v>
      </c>
      <c r="AQ1058">
        <f t="shared" ca="1" si="528"/>
        <v>0.99999999999999978</v>
      </c>
      <c r="AR1058" t="str">
        <f t="shared" ca="1" si="529"/>
        <v>Supercritical</v>
      </c>
      <c r="AS1058">
        <f t="shared" ca="1" si="530"/>
        <v>3.8148159832266538E-3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191</v>
      </c>
      <c r="I1059">
        <v>0.06</v>
      </c>
      <c r="J1059">
        <f t="shared" si="531"/>
        <v>1.0009999999999764</v>
      </c>
      <c r="K1059">
        <f t="shared" si="532"/>
        <v>51</v>
      </c>
      <c r="L1059">
        <f t="shared" ca="1" si="533"/>
        <v>0.05</v>
      </c>
      <c r="M1059">
        <f t="shared" ca="1" si="506"/>
        <v>0.26</v>
      </c>
      <c r="N1059">
        <f t="shared" ca="1" si="507"/>
        <v>4.9056603773584909E-2</v>
      </c>
      <c r="O1059">
        <f t="shared" ca="1" si="508"/>
        <v>196.15384615384616</v>
      </c>
      <c r="P1059">
        <f t="shared" ca="1" si="509"/>
        <v>632.15749999999991</v>
      </c>
      <c r="Q1059">
        <f t="shared" ca="1" si="510"/>
        <v>2593.2345316486621</v>
      </c>
      <c r="R1059">
        <f t="shared" ca="1" si="511"/>
        <v>482.07306851378365</v>
      </c>
      <c r="S1059">
        <f t="shared" ca="1" si="512"/>
        <v>280.07692026646265</v>
      </c>
      <c r="T1059">
        <f t="shared" ca="1" si="513"/>
        <v>1019.7665564573041</v>
      </c>
      <c r="U1059">
        <f t="shared" ca="1" si="534"/>
        <v>-482.75074928545109</v>
      </c>
      <c r="V1059">
        <f t="shared" ca="1" si="535"/>
        <v>0</v>
      </c>
      <c r="W1059">
        <f t="shared" ca="1" si="514"/>
        <v>0.05</v>
      </c>
      <c r="X1059">
        <f t="shared" ca="1" si="515"/>
        <v>0.26</v>
      </c>
      <c r="Y1059">
        <f t="shared" ca="1" si="516"/>
        <v>4.9056603773584909E-2</v>
      </c>
      <c r="Z1059">
        <f t="shared" ca="1" si="517"/>
        <v>196.15384615384616</v>
      </c>
      <c r="AA1059">
        <f t="shared" ca="1" si="518"/>
        <v>632.15749999999991</v>
      </c>
      <c r="AB1059">
        <f t="shared" ca="1" si="519"/>
        <v>2593.2345316486621</v>
      </c>
      <c r="AC1059">
        <f t="shared" ca="1" si="520"/>
        <v>482.07306851378365</v>
      </c>
      <c r="AD1059">
        <f t="shared" ca="1" si="521"/>
        <v>280.07692026646265</v>
      </c>
      <c r="AE1059">
        <f t="shared" ca="1" si="522"/>
        <v>1019.7665564573041</v>
      </c>
      <c r="AF1059">
        <f t="shared" ca="1" si="523"/>
        <v>482.25887083179032</v>
      </c>
      <c r="AG1059">
        <f t="shared" ca="1" si="524"/>
        <v>0</v>
      </c>
      <c r="AH1059">
        <f ca="1">IF(V32="Supercritical",L1059,IF(V32="Subcritical",W1059,IF(AND(V1059=1,AG1059=1),IF(T1059&gt;=AE1059,L1059,W1059),IF(V1059=1,L1059,IF(AG1059=1,W1059,MAX($D$16,POWER((ABS(K1059)^2)/($I$5*MAX(F1059,0.1)^2),1/3)))))))</f>
        <v>2.1403668656741068</v>
      </c>
      <c r="AI1059">
        <f t="shared" ca="1" si="525"/>
        <v>634.24786686567404</v>
      </c>
      <c r="AJ1059">
        <f t="shared" ca="1" si="526"/>
        <v>635.31805029851114</v>
      </c>
      <c r="AM1059">
        <v>0</v>
      </c>
      <c r="AN1059">
        <v>0</v>
      </c>
      <c r="AO1059">
        <f t="shared" si="527"/>
        <v>0</v>
      </c>
      <c r="AP1059">
        <f t="shared" si="536"/>
        <v>0</v>
      </c>
      <c r="AQ1059">
        <f t="shared" ca="1" si="528"/>
        <v>0.99999999999999978</v>
      </c>
      <c r="AR1059" t="str">
        <f t="shared" ca="1" si="529"/>
        <v>Supercritical</v>
      </c>
      <c r="AS1059">
        <f t="shared" ca="1" si="530"/>
        <v>3.8148159832266538E-3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191</v>
      </c>
      <c r="I1060">
        <v>5.7000000000000002E-2</v>
      </c>
      <c r="J1060">
        <f t="shared" si="531"/>
        <v>1</v>
      </c>
      <c r="K1060">
        <f t="shared" si="532"/>
        <v>51</v>
      </c>
      <c r="L1060">
        <f t="shared" ca="1" si="533"/>
        <v>0.05</v>
      </c>
      <c r="M1060">
        <f t="shared" ca="1" si="506"/>
        <v>0.26</v>
      </c>
      <c r="N1060">
        <f t="shared" ca="1" si="507"/>
        <v>4.9056603773584909E-2</v>
      </c>
      <c r="O1060">
        <f t="shared" ca="1" si="508"/>
        <v>196.15384615384616</v>
      </c>
      <c r="P1060">
        <f t="shared" ca="1" si="509"/>
        <v>632.15699999999993</v>
      </c>
      <c r="Q1060">
        <f t="shared" ca="1" si="510"/>
        <v>2593.234031648662</v>
      </c>
      <c r="R1060">
        <f t="shared" ca="1" si="511"/>
        <v>482.07306851378365</v>
      </c>
      <c r="S1060">
        <f t="shared" ca="1" si="512"/>
        <v>280.07692026646265</v>
      </c>
      <c r="T1060">
        <f t="shared" ca="1" si="513"/>
        <v>1019.7665564573041</v>
      </c>
      <c r="U1060">
        <f t="shared" ca="1" si="534"/>
        <v>-482.25887083179032</v>
      </c>
      <c r="V1060">
        <f t="shared" ca="1" si="535"/>
        <v>0</v>
      </c>
      <c r="W1060">
        <f t="shared" ca="1" si="514"/>
        <v>0.05</v>
      </c>
      <c r="X1060">
        <f t="shared" ca="1" si="515"/>
        <v>0.26</v>
      </c>
      <c r="Y1060">
        <f t="shared" ca="1" si="516"/>
        <v>4.9056603773584909E-2</v>
      </c>
      <c r="Z1060">
        <f t="shared" ca="1" si="517"/>
        <v>196.15384615384616</v>
      </c>
      <c r="AA1060">
        <f t="shared" ca="1" si="518"/>
        <v>632.15699999999993</v>
      </c>
      <c r="AB1060">
        <f t="shared" ca="1" si="519"/>
        <v>2593.234031648662</v>
      </c>
      <c r="AC1060">
        <f t="shared" ca="1" si="520"/>
        <v>482.07306851378365</v>
      </c>
      <c r="AD1060">
        <f t="shared" ca="1" si="521"/>
        <v>280.07692026646265</v>
      </c>
      <c r="AE1060">
        <f t="shared" ca="1" si="522"/>
        <v>1019.7665564573041</v>
      </c>
      <c r="AF1060">
        <f t="shared" ca="1" si="523"/>
        <v>482.07256851378361</v>
      </c>
      <c r="AG1060">
        <f t="shared" ca="1" si="524"/>
        <v>0</v>
      </c>
      <c r="AH1060">
        <f ca="1">IF(V32="Supercritical",L1060,IF(V32="Subcritical",W1060,IF(AND(V1060=1,AG1060=1),IF(T1060&gt;=AE1060,L1060,W1060),IF(V1060=1,L1060,IF(AG1060=1,W1060,MAX($D$16,POWER((ABS(K1060)^2)/($I$5*MAX(F1060,0.1)^2),1/3)))))))</f>
        <v>2.1403668656741068</v>
      </c>
      <c r="AI1060">
        <f t="shared" ca="1" si="525"/>
        <v>634.24736686567405</v>
      </c>
      <c r="AJ1060">
        <f t="shared" ca="1" si="526"/>
        <v>635.31755029851115</v>
      </c>
      <c r="AM1060">
        <v>0</v>
      </c>
      <c r="AN1060">
        <v>0</v>
      </c>
      <c r="AO1060">
        <f t="shared" si="527"/>
        <v>0</v>
      </c>
      <c r="AP1060">
        <f t="shared" si="536"/>
        <v>0</v>
      </c>
      <c r="AQ1060">
        <f t="shared" ca="1" si="528"/>
        <v>0.99999999999999978</v>
      </c>
      <c r="AR1060" t="str">
        <f t="shared" ca="1" si="529"/>
        <v>Supercritical</v>
      </c>
      <c r="AS1060">
        <f t="shared" ca="1" si="530"/>
        <v>3.8148159832266538E-3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191</v>
      </c>
      <c r="I1061">
        <v>0</v>
      </c>
      <c r="J1061">
        <f t="shared" si="531"/>
        <v>1</v>
      </c>
      <c r="K1061">
        <f t="shared" si="532"/>
        <v>51</v>
      </c>
      <c r="L1061">
        <f t="shared" ca="1" si="533"/>
        <v>0.05</v>
      </c>
      <c r="M1061">
        <f t="shared" ca="1" si="506"/>
        <v>0.26</v>
      </c>
      <c r="N1061">
        <f t="shared" ca="1" si="507"/>
        <v>4.9056603773584909E-2</v>
      </c>
      <c r="O1061">
        <f t="shared" ca="1" si="508"/>
        <v>196.15384615384616</v>
      </c>
      <c r="P1061">
        <f t="shared" ca="1" si="509"/>
        <v>632.15649999999994</v>
      </c>
      <c r="Q1061">
        <f t="shared" ca="1" si="510"/>
        <v>2593.2335316486619</v>
      </c>
      <c r="R1061">
        <f t="shared" ca="1" si="511"/>
        <v>482.07306851378365</v>
      </c>
      <c r="S1061">
        <f t="shared" ca="1" si="512"/>
        <v>280.07692026646265</v>
      </c>
      <c r="T1061">
        <f t="shared" ca="1" si="513"/>
        <v>1019.7665564573041</v>
      </c>
      <c r="U1061">
        <f t="shared" ca="1" si="534"/>
        <v>-482.07256851378361</v>
      </c>
      <c r="V1061">
        <f t="shared" ca="1" si="535"/>
        <v>0</v>
      </c>
      <c r="W1061">
        <f t="shared" ca="1" si="514"/>
        <v>0.05</v>
      </c>
      <c r="X1061">
        <f t="shared" ca="1" si="515"/>
        <v>0.26</v>
      </c>
      <c r="Y1061">
        <f t="shared" ca="1" si="516"/>
        <v>4.9056603773584909E-2</v>
      </c>
      <c r="Z1061">
        <f t="shared" ca="1" si="517"/>
        <v>196.15384615384616</v>
      </c>
      <c r="AA1061">
        <f t="shared" ca="1" si="518"/>
        <v>632.15649999999994</v>
      </c>
      <c r="AB1061">
        <f t="shared" ca="1" si="519"/>
        <v>2593.2335316486619</v>
      </c>
      <c r="AC1061">
        <f t="shared" ca="1" si="520"/>
        <v>482.07306851378365</v>
      </c>
      <c r="AD1061">
        <f t="shared" ca="1" si="521"/>
        <v>280.07692026646265</v>
      </c>
      <c r="AE1061">
        <f t="shared" ca="1" si="522"/>
        <v>1019.7665564573041</v>
      </c>
      <c r="AF1061">
        <f t="shared" ca="1" si="523"/>
        <v>481.5904954452817</v>
      </c>
      <c r="AG1061">
        <f t="shared" ca="1" si="524"/>
        <v>0</v>
      </c>
      <c r="AH1061">
        <f ca="1">IF(V32="Supercritical",L1061,IF(V32="Subcritical",W1061,IF(AND(V1061=1,AG1061=1),IF(T1061&gt;=AE1061,L1061,W1061),IF(V1061=1,L1061,IF(AG1061=1,W1061,MAX($D$16,POWER((ABS(K1061)^2)/($I$5*MAX(F1061,0.1)^2),1/3)))))))</f>
        <v>2.1403668656741068</v>
      </c>
      <c r="AI1061">
        <f t="shared" ca="1" si="525"/>
        <v>634.24686686567406</v>
      </c>
      <c r="AJ1061">
        <f t="shared" ca="1" si="526"/>
        <v>635.31705029851116</v>
      </c>
      <c r="AM1061">
        <v>0</v>
      </c>
      <c r="AN1061">
        <v>0</v>
      </c>
      <c r="AO1061">
        <f t="shared" si="527"/>
        <v>0</v>
      </c>
      <c r="AP1061">
        <f t="shared" si="536"/>
        <v>0</v>
      </c>
      <c r="AQ1061">
        <f t="shared" ca="1" si="528"/>
        <v>0.99999999999999978</v>
      </c>
      <c r="AR1061" t="str">
        <f t="shared" ca="1" si="529"/>
        <v>Supercritical</v>
      </c>
      <c r="AS1061">
        <f t="shared" ca="1" si="530"/>
        <v>3.8148159832266538E-3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191</v>
      </c>
      <c r="I1062">
        <v>0</v>
      </c>
      <c r="J1062">
        <f t="shared" si="531"/>
        <v>0.99900000000002365</v>
      </c>
      <c r="K1062">
        <f t="shared" si="532"/>
        <v>51</v>
      </c>
      <c r="L1062">
        <f t="shared" ca="1" si="533"/>
        <v>0.05</v>
      </c>
      <c r="M1062">
        <f t="shared" ca="1" si="506"/>
        <v>0.26</v>
      </c>
      <c r="N1062">
        <f t="shared" ca="1" si="507"/>
        <v>4.9056603773584909E-2</v>
      </c>
      <c r="O1062">
        <f t="shared" ca="1" si="508"/>
        <v>196.15384615384616</v>
      </c>
      <c r="P1062">
        <f t="shared" ca="1" si="509"/>
        <v>632.15599999999995</v>
      </c>
      <c r="Q1062">
        <f t="shared" ca="1" si="510"/>
        <v>2593.2330316486623</v>
      </c>
      <c r="R1062">
        <f t="shared" ca="1" si="511"/>
        <v>482.07306851378365</v>
      </c>
      <c r="S1062">
        <f t="shared" ca="1" si="512"/>
        <v>280.07692026646265</v>
      </c>
      <c r="T1062">
        <f t="shared" ca="1" si="513"/>
        <v>1019.7665564573041</v>
      </c>
      <c r="U1062">
        <f t="shared" ca="1" si="534"/>
        <v>-481.5904954452817</v>
      </c>
      <c r="V1062">
        <f t="shared" ca="1" si="535"/>
        <v>0</v>
      </c>
      <c r="W1062">
        <f t="shared" ca="1" si="514"/>
        <v>0.05</v>
      </c>
      <c r="X1062">
        <f t="shared" ca="1" si="515"/>
        <v>0.26</v>
      </c>
      <c r="Y1062">
        <f t="shared" ca="1" si="516"/>
        <v>4.9056603773584909E-2</v>
      </c>
      <c r="Z1062">
        <f t="shared" ca="1" si="517"/>
        <v>196.15384615384616</v>
      </c>
      <c r="AA1062">
        <f t="shared" ca="1" si="518"/>
        <v>632.15599999999995</v>
      </c>
      <c r="AB1062">
        <f t="shared" ca="1" si="519"/>
        <v>2593.2330316486623</v>
      </c>
      <c r="AC1062">
        <f t="shared" ca="1" si="520"/>
        <v>482.07306851378365</v>
      </c>
      <c r="AD1062">
        <f t="shared" ca="1" si="521"/>
        <v>280.07692026646265</v>
      </c>
      <c r="AE1062">
        <f t="shared" ca="1" si="522"/>
        <v>1019.7665564573041</v>
      </c>
      <c r="AF1062">
        <f t="shared" ca="1" si="523"/>
        <v>482.25887083179032</v>
      </c>
      <c r="AG1062">
        <f t="shared" ca="1" si="524"/>
        <v>0</v>
      </c>
      <c r="AH1062">
        <f ca="1">IF(V32="Supercritical",L1062,IF(V32="Subcritical",W1062,IF(AND(V1062=1,AG1062=1),IF(T1062&gt;=AE1062,L1062,W1062),IF(V1062=1,L1062,IF(AG1062=1,W1062,MAX($D$16,POWER((ABS(K1062)^2)/($I$5*MAX(F1062,0.1)^2),1/3)))))))</f>
        <v>2.1403668656741068</v>
      </c>
      <c r="AI1062">
        <f t="shared" ca="1" si="525"/>
        <v>634.24636686567408</v>
      </c>
      <c r="AJ1062">
        <f t="shared" ca="1" si="526"/>
        <v>635.31655029851117</v>
      </c>
      <c r="AM1062">
        <v>0</v>
      </c>
      <c r="AN1062">
        <v>0</v>
      </c>
      <c r="AO1062">
        <f t="shared" si="527"/>
        <v>0</v>
      </c>
      <c r="AP1062">
        <f t="shared" si="536"/>
        <v>0</v>
      </c>
      <c r="AQ1062">
        <f t="shared" ca="1" si="528"/>
        <v>0.99999999999999978</v>
      </c>
      <c r="AR1062" t="str">
        <f t="shared" ca="1" si="529"/>
        <v>Supercritical</v>
      </c>
      <c r="AS1062">
        <f t="shared" ca="1" si="530"/>
        <v>3.8148159832266538E-3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191</v>
      </c>
      <c r="I1063">
        <v>5.7000000000000002E-2</v>
      </c>
      <c r="J1063">
        <f t="shared" si="531"/>
        <v>1</v>
      </c>
      <c r="K1063">
        <f t="shared" si="532"/>
        <v>51</v>
      </c>
      <c r="L1063">
        <f t="shared" ca="1" si="533"/>
        <v>0.05</v>
      </c>
      <c r="M1063">
        <f t="shared" ca="1" si="506"/>
        <v>0.26</v>
      </c>
      <c r="N1063">
        <f t="shared" ca="1" si="507"/>
        <v>4.9056603773584909E-2</v>
      </c>
      <c r="O1063">
        <f t="shared" ca="1" si="508"/>
        <v>196.15384615384616</v>
      </c>
      <c r="P1063">
        <f t="shared" ca="1" si="509"/>
        <v>632.15549999999996</v>
      </c>
      <c r="Q1063">
        <f t="shared" ca="1" si="510"/>
        <v>2593.2325316486622</v>
      </c>
      <c r="R1063">
        <f t="shared" ca="1" si="511"/>
        <v>482.07306851378365</v>
      </c>
      <c r="S1063">
        <f t="shared" ca="1" si="512"/>
        <v>280.07692026646265</v>
      </c>
      <c r="T1063">
        <f t="shared" ca="1" si="513"/>
        <v>1019.7665564573041</v>
      </c>
      <c r="U1063">
        <f t="shared" ca="1" si="534"/>
        <v>-482.25887083179032</v>
      </c>
      <c r="V1063">
        <f t="shared" ca="1" si="535"/>
        <v>0</v>
      </c>
      <c r="W1063">
        <f t="shared" ca="1" si="514"/>
        <v>0.05</v>
      </c>
      <c r="X1063">
        <f t="shared" ca="1" si="515"/>
        <v>0.26</v>
      </c>
      <c r="Y1063">
        <f t="shared" ca="1" si="516"/>
        <v>4.9056603773584909E-2</v>
      </c>
      <c r="Z1063">
        <f t="shared" ca="1" si="517"/>
        <v>196.15384615384616</v>
      </c>
      <c r="AA1063">
        <f t="shared" ca="1" si="518"/>
        <v>632.15549999999996</v>
      </c>
      <c r="AB1063">
        <f t="shared" ca="1" si="519"/>
        <v>2593.2325316486622</v>
      </c>
      <c r="AC1063">
        <f t="shared" ca="1" si="520"/>
        <v>482.07306851378365</v>
      </c>
      <c r="AD1063">
        <f t="shared" ca="1" si="521"/>
        <v>280.07692026646265</v>
      </c>
      <c r="AE1063">
        <f t="shared" ca="1" si="522"/>
        <v>1019.7665564573041</v>
      </c>
      <c r="AF1063">
        <f t="shared" ca="1" si="523"/>
        <v>482.25887083179032</v>
      </c>
      <c r="AG1063">
        <f t="shared" ca="1" si="524"/>
        <v>0</v>
      </c>
      <c r="AH1063">
        <f ca="1">IF(V32="Supercritical",L1063,IF(V32="Subcritical",W1063,IF(AND(V1063=1,AG1063=1),IF(T1063&gt;=AE1063,L1063,W1063),IF(V1063=1,L1063,IF(AG1063=1,W1063,MAX($D$16,POWER((ABS(K1063)^2)/($I$5*MAX(F1063,0.1)^2),1/3)))))))</f>
        <v>2.1403668656741068</v>
      </c>
      <c r="AI1063">
        <f t="shared" ca="1" si="525"/>
        <v>634.24586686567409</v>
      </c>
      <c r="AJ1063">
        <f t="shared" ca="1" si="526"/>
        <v>635.31605029851119</v>
      </c>
      <c r="AM1063">
        <v>0</v>
      </c>
      <c r="AN1063">
        <v>0</v>
      </c>
      <c r="AO1063">
        <f t="shared" si="527"/>
        <v>0</v>
      </c>
      <c r="AP1063">
        <f t="shared" si="536"/>
        <v>0</v>
      </c>
      <c r="AQ1063">
        <f t="shared" ca="1" si="528"/>
        <v>0.99999999999999978</v>
      </c>
      <c r="AR1063" t="str">
        <f t="shared" ca="1" si="529"/>
        <v>Supercritical</v>
      </c>
      <c r="AS1063">
        <f t="shared" ca="1" si="530"/>
        <v>3.8148159832266538E-3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191</v>
      </c>
      <c r="I1064">
        <v>5.7000000000000002E-2</v>
      </c>
      <c r="J1064">
        <f t="shared" si="531"/>
        <v>1</v>
      </c>
      <c r="K1064">
        <f t="shared" si="532"/>
        <v>51</v>
      </c>
      <c r="L1064">
        <f t="shared" ca="1" si="533"/>
        <v>0.05</v>
      </c>
      <c r="M1064">
        <f t="shared" ca="1" si="506"/>
        <v>0.26</v>
      </c>
      <c r="N1064">
        <f t="shared" ca="1" si="507"/>
        <v>4.9056603773584909E-2</v>
      </c>
      <c r="O1064">
        <f t="shared" ca="1" si="508"/>
        <v>196.15384615384616</v>
      </c>
      <c r="P1064">
        <f t="shared" ca="1" si="509"/>
        <v>632.15499999999997</v>
      </c>
      <c r="Q1064">
        <f t="shared" ca="1" si="510"/>
        <v>2593.2320316486621</v>
      </c>
      <c r="R1064">
        <f t="shared" ca="1" si="511"/>
        <v>482.07306851378365</v>
      </c>
      <c r="S1064">
        <f t="shared" ca="1" si="512"/>
        <v>280.07692026646265</v>
      </c>
      <c r="T1064">
        <f t="shared" ca="1" si="513"/>
        <v>1019.7665564573041</v>
      </c>
      <c r="U1064">
        <f t="shared" ca="1" si="534"/>
        <v>-482.25887083179032</v>
      </c>
      <c r="V1064">
        <f t="shared" ca="1" si="535"/>
        <v>0</v>
      </c>
      <c r="W1064">
        <f t="shared" ca="1" si="514"/>
        <v>0.05</v>
      </c>
      <c r="X1064">
        <f t="shared" ca="1" si="515"/>
        <v>0.26</v>
      </c>
      <c r="Y1064">
        <f t="shared" ca="1" si="516"/>
        <v>4.9056603773584909E-2</v>
      </c>
      <c r="Z1064">
        <f t="shared" ca="1" si="517"/>
        <v>196.15384615384616</v>
      </c>
      <c r="AA1064">
        <f t="shared" ca="1" si="518"/>
        <v>632.15499999999997</v>
      </c>
      <c r="AB1064">
        <f t="shared" ca="1" si="519"/>
        <v>2593.2320316486621</v>
      </c>
      <c r="AC1064">
        <f t="shared" ca="1" si="520"/>
        <v>482.07306851378365</v>
      </c>
      <c r="AD1064">
        <f t="shared" ca="1" si="521"/>
        <v>280.07692026646265</v>
      </c>
      <c r="AE1064">
        <f t="shared" ca="1" si="522"/>
        <v>1019.7665564573041</v>
      </c>
      <c r="AF1064">
        <f t="shared" ca="1" si="523"/>
        <v>482.07256851378361</v>
      </c>
      <c r="AG1064">
        <f t="shared" ca="1" si="524"/>
        <v>0</v>
      </c>
      <c r="AH1064">
        <f ca="1">IF(V32="Supercritical",L1064,IF(V32="Subcritical",W1064,IF(AND(V1064=1,AG1064=1),IF(T1064&gt;=AE1064,L1064,W1064),IF(V1064=1,L1064,IF(AG1064=1,W1064,MAX($D$16,POWER((ABS(K1064)^2)/($I$5*MAX(F1064,0.1)^2),1/3)))))))</f>
        <v>2.1403668656741068</v>
      </c>
      <c r="AI1064">
        <f t="shared" ca="1" si="525"/>
        <v>634.2453668656741</v>
      </c>
      <c r="AJ1064">
        <f t="shared" ca="1" si="526"/>
        <v>635.3155502985112</v>
      </c>
      <c r="AM1064">
        <v>0</v>
      </c>
      <c r="AN1064">
        <v>0</v>
      </c>
      <c r="AO1064">
        <f t="shared" si="527"/>
        <v>0</v>
      </c>
      <c r="AP1064">
        <f t="shared" si="536"/>
        <v>0</v>
      </c>
      <c r="AQ1064">
        <f t="shared" ca="1" si="528"/>
        <v>0.99999999999999978</v>
      </c>
      <c r="AR1064" t="str">
        <f t="shared" ca="1" si="529"/>
        <v>Supercritical</v>
      </c>
      <c r="AS1064">
        <f t="shared" ca="1" si="530"/>
        <v>3.8148159832266538E-3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191</v>
      </c>
      <c r="I1065">
        <v>0</v>
      </c>
      <c r="J1065">
        <f t="shared" si="531"/>
        <v>1</v>
      </c>
      <c r="K1065">
        <f t="shared" si="532"/>
        <v>51</v>
      </c>
      <c r="L1065">
        <f t="shared" ca="1" si="533"/>
        <v>0.05</v>
      </c>
      <c r="M1065">
        <f t="shared" ca="1" si="506"/>
        <v>0.26</v>
      </c>
      <c r="N1065">
        <f t="shared" ca="1" si="507"/>
        <v>4.9056603773584909E-2</v>
      </c>
      <c r="O1065">
        <f t="shared" ca="1" si="508"/>
        <v>196.15384615384616</v>
      </c>
      <c r="P1065">
        <f t="shared" ca="1" si="509"/>
        <v>632.15449999999998</v>
      </c>
      <c r="Q1065">
        <f t="shared" ca="1" si="510"/>
        <v>2593.231531648662</v>
      </c>
      <c r="R1065">
        <f t="shared" ca="1" si="511"/>
        <v>482.07306851378365</v>
      </c>
      <c r="S1065">
        <f t="shared" ca="1" si="512"/>
        <v>280.07692026646265</v>
      </c>
      <c r="T1065">
        <f t="shared" ca="1" si="513"/>
        <v>1019.7665564573041</v>
      </c>
      <c r="U1065">
        <f t="shared" ca="1" si="534"/>
        <v>-482.07256851378361</v>
      </c>
      <c r="V1065">
        <f t="shared" ca="1" si="535"/>
        <v>0</v>
      </c>
      <c r="W1065">
        <f t="shared" ca="1" si="514"/>
        <v>0.05</v>
      </c>
      <c r="X1065">
        <f t="shared" ca="1" si="515"/>
        <v>0.26</v>
      </c>
      <c r="Y1065">
        <f t="shared" ca="1" si="516"/>
        <v>4.9056603773584909E-2</v>
      </c>
      <c r="Z1065">
        <f t="shared" ca="1" si="517"/>
        <v>196.15384615384616</v>
      </c>
      <c r="AA1065">
        <f t="shared" ca="1" si="518"/>
        <v>632.15449999999998</v>
      </c>
      <c r="AB1065">
        <f t="shared" ca="1" si="519"/>
        <v>2593.231531648662</v>
      </c>
      <c r="AC1065">
        <f t="shared" ca="1" si="520"/>
        <v>482.07306851378365</v>
      </c>
      <c r="AD1065">
        <f t="shared" ca="1" si="521"/>
        <v>280.07692026646265</v>
      </c>
      <c r="AE1065">
        <f t="shared" ca="1" si="522"/>
        <v>1019.7665564573041</v>
      </c>
      <c r="AF1065">
        <f t="shared" ca="1" si="523"/>
        <v>482.07256851378361</v>
      </c>
      <c r="AG1065">
        <f t="shared" ca="1" si="524"/>
        <v>0</v>
      </c>
      <c r="AH1065">
        <f ca="1">IF(V32="Supercritical",L1065,IF(V32="Subcritical",W1065,IF(AND(V1065=1,AG1065=1),IF(T1065&gt;=AE1065,L1065,W1065),IF(V1065=1,L1065,IF(AG1065=1,W1065,MAX($D$16,POWER((ABS(K1065)^2)/($I$5*MAX(F1065,0.1)^2),1/3)))))))</f>
        <v>2.1403668656741068</v>
      </c>
      <c r="AI1065">
        <f t="shared" ca="1" si="525"/>
        <v>634.24486686567411</v>
      </c>
      <c r="AJ1065">
        <f t="shared" ca="1" si="526"/>
        <v>635.31505029851121</v>
      </c>
      <c r="AM1065">
        <v>0</v>
      </c>
      <c r="AN1065">
        <v>0</v>
      </c>
      <c r="AO1065">
        <f t="shared" si="527"/>
        <v>0</v>
      </c>
      <c r="AP1065">
        <f t="shared" si="536"/>
        <v>0</v>
      </c>
      <c r="AQ1065">
        <f t="shared" ca="1" si="528"/>
        <v>0.99999999999999978</v>
      </c>
      <c r="AR1065" t="str">
        <f t="shared" ca="1" si="529"/>
        <v>Supercritical</v>
      </c>
      <c r="AS1065">
        <f t="shared" ca="1" si="530"/>
        <v>3.8148159832266538E-3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191</v>
      </c>
      <c r="I1066">
        <v>0</v>
      </c>
      <c r="J1066">
        <f t="shared" si="531"/>
        <v>1</v>
      </c>
      <c r="K1066">
        <f t="shared" si="532"/>
        <v>51</v>
      </c>
      <c r="L1066">
        <f t="shared" ca="1" si="533"/>
        <v>0.05</v>
      </c>
      <c r="M1066">
        <f t="shared" ca="1" si="506"/>
        <v>0.26</v>
      </c>
      <c r="N1066">
        <f t="shared" ca="1" si="507"/>
        <v>4.9056603773584909E-2</v>
      </c>
      <c r="O1066">
        <f t="shared" ca="1" si="508"/>
        <v>196.15384615384616</v>
      </c>
      <c r="P1066">
        <f t="shared" ca="1" si="509"/>
        <v>632.154</v>
      </c>
      <c r="Q1066">
        <f t="shared" ca="1" si="510"/>
        <v>2593.2310316486619</v>
      </c>
      <c r="R1066">
        <f t="shared" ca="1" si="511"/>
        <v>482.07306851378365</v>
      </c>
      <c r="S1066">
        <f t="shared" ca="1" si="512"/>
        <v>280.07692026646265</v>
      </c>
      <c r="T1066">
        <f t="shared" ca="1" si="513"/>
        <v>1019.7665564573041</v>
      </c>
      <c r="U1066">
        <f t="shared" ca="1" si="534"/>
        <v>-482.07256851378361</v>
      </c>
      <c r="V1066">
        <f t="shared" ca="1" si="535"/>
        <v>0</v>
      </c>
      <c r="W1066">
        <f t="shared" ca="1" si="514"/>
        <v>0.05</v>
      </c>
      <c r="X1066">
        <f t="shared" ca="1" si="515"/>
        <v>0.26</v>
      </c>
      <c r="Y1066">
        <f t="shared" ca="1" si="516"/>
        <v>4.9056603773584909E-2</v>
      </c>
      <c r="Z1066">
        <f t="shared" ca="1" si="517"/>
        <v>196.15384615384616</v>
      </c>
      <c r="AA1066">
        <f t="shared" ca="1" si="518"/>
        <v>632.154</v>
      </c>
      <c r="AB1066">
        <f t="shared" ca="1" si="519"/>
        <v>2593.2310316486619</v>
      </c>
      <c r="AC1066">
        <f t="shared" ca="1" si="520"/>
        <v>482.07306851378365</v>
      </c>
      <c r="AD1066">
        <f t="shared" ca="1" si="521"/>
        <v>280.07692026646265</v>
      </c>
      <c r="AE1066">
        <f t="shared" ca="1" si="522"/>
        <v>1019.7665564573041</v>
      </c>
      <c r="AF1066">
        <f t="shared" ca="1" si="523"/>
        <v>482.25233390835183</v>
      </c>
      <c r="AG1066">
        <f t="shared" ca="1" si="524"/>
        <v>0</v>
      </c>
      <c r="AH1066">
        <f ca="1">IF(V32="Supercritical",L1066,IF(V32="Subcritical",W1066,IF(AND(V1066=1,AG1066=1),IF(T1066&gt;=AE1066,L1066,W1066),IF(V1066=1,L1066,IF(AG1066=1,W1066,MAX($D$16,POWER((ABS(K1066)^2)/($I$5*MAX(F1066,0.1)^2),1/3)))))))</f>
        <v>2.1403668656741068</v>
      </c>
      <c r="AI1066">
        <f t="shared" ca="1" si="525"/>
        <v>634.24436686567412</v>
      </c>
      <c r="AJ1066">
        <f t="shared" ca="1" si="526"/>
        <v>635.31455029851122</v>
      </c>
      <c r="AM1066">
        <v>0</v>
      </c>
      <c r="AN1066">
        <v>0</v>
      </c>
      <c r="AO1066">
        <f t="shared" si="527"/>
        <v>0</v>
      </c>
      <c r="AP1066">
        <f t="shared" si="536"/>
        <v>0</v>
      </c>
      <c r="AQ1066">
        <f t="shared" ca="1" si="528"/>
        <v>0.99999999999999978</v>
      </c>
      <c r="AR1066" t="str">
        <f t="shared" ca="1" si="529"/>
        <v>Supercritical</v>
      </c>
      <c r="AS1066">
        <f t="shared" ca="1" si="530"/>
        <v>3.8148159832266538E-3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191</v>
      </c>
      <c r="I1067">
        <v>5.5E-2</v>
      </c>
      <c r="J1067">
        <f t="shared" si="531"/>
        <v>1</v>
      </c>
      <c r="K1067">
        <f t="shared" si="532"/>
        <v>51</v>
      </c>
      <c r="L1067">
        <f t="shared" ca="1" si="533"/>
        <v>0.05</v>
      </c>
      <c r="M1067">
        <f t="shared" ca="1" si="506"/>
        <v>0.26</v>
      </c>
      <c r="N1067">
        <f t="shared" ca="1" si="507"/>
        <v>4.9056603773584909E-2</v>
      </c>
      <c r="O1067">
        <f t="shared" ca="1" si="508"/>
        <v>196.15384615384616</v>
      </c>
      <c r="P1067">
        <f t="shared" ca="1" si="509"/>
        <v>632.15350000000001</v>
      </c>
      <c r="Q1067">
        <f t="shared" ca="1" si="510"/>
        <v>2593.2305316486622</v>
      </c>
      <c r="R1067">
        <f t="shared" ca="1" si="511"/>
        <v>482.07306851378365</v>
      </c>
      <c r="S1067">
        <f t="shared" ca="1" si="512"/>
        <v>280.07692026646265</v>
      </c>
      <c r="T1067">
        <f t="shared" ca="1" si="513"/>
        <v>1019.7665564573041</v>
      </c>
      <c r="U1067">
        <f t="shared" ca="1" si="534"/>
        <v>-482.25233390835183</v>
      </c>
      <c r="V1067">
        <f t="shared" ca="1" si="535"/>
        <v>0</v>
      </c>
      <c r="W1067">
        <f t="shared" ca="1" si="514"/>
        <v>0.05</v>
      </c>
      <c r="X1067">
        <f t="shared" ca="1" si="515"/>
        <v>0.26</v>
      </c>
      <c r="Y1067">
        <f t="shared" ca="1" si="516"/>
        <v>4.9056603773584909E-2</v>
      </c>
      <c r="Z1067">
        <f t="shared" ca="1" si="517"/>
        <v>196.15384615384616</v>
      </c>
      <c r="AA1067">
        <f t="shared" ca="1" si="518"/>
        <v>632.15350000000001</v>
      </c>
      <c r="AB1067">
        <f t="shared" ca="1" si="519"/>
        <v>2593.2305316486622</v>
      </c>
      <c r="AC1067">
        <f t="shared" ca="1" si="520"/>
        <v>482.07306851378365</v>
      </c>
      <c r="AD1067">
        <f t="shared" ca="1" si="521"/>
        <v>280.07692026646265</v>
      </c>
      <c r="AE1067">
        <f t="shared" ca="1" si="522"/>
        <v>1019.7665564573041</v>
      </c>
      <c r="AF1067">
        <f t="shared" ca="1" si="523"/>
        <v>482.73440697685373</v>
      </c>
      <c r="AG1067">
        <f t="shared" ca="1" si="524"/>
        <v>0</v>
      </c>
      <c r="AH1067">
        <f ca="1">IF(V32="Supercritical",L1067,IF(V32="Subcritical",W1067,IF(AND(V1067=1,AG1067=1),IF(T1067&gt;=AE1067,L1067,W1067),IF(V1067=1,L1067,IF(AG1067=1,W1067,MAX($D$16,POWER((ABS(K1067)^2)/($I$5*MAX(F1067,0.1)^2),1/3)))))))</f>
        <v>2.1403668656741068</v>
      </c>
      <c r="AI1067">
        <f t="shared" ca="1" si="525"/>
        <v>634.24386686567414</v>
      </c>
      <c r="AJ1067">
        <f t="shared" ca="1" si="526"/>
        <v>635.31405029851123</v>
      </c>
      <c r="AM1067">
        <v>0</v>
      </c>
      <c r="AN1067">
        <v>0</v>
      </c>
      <c r="AO1067">
        <f t="shared" si="527"/>
        <v>0</v>
      </c>
      <c r="AP1067">
        <f t="shared" si="536"/>
        <v>0</v>
      </c>
      <c r="AQ1067">
        <f t="shared" ca="1" si="528"/>
        <v>0.99999999999999978</v>
      </c>
      <c r="AR1067" t="str">
        <f t="shared" ca="1" si="529"/>
        <v>Supercritical</v>
      </c>
      <c r="AS1067">
        <f t="shared" ca="1" si="530"/>
        <v>3.8148159832266538E-3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191</v>
      </c>
      <c r="I1068">
        <v>5.5E-2</v>
      </c>
      <c r="J1068">
        <f t="shared" si="531"/>
        <v>1.0009999999999764</v>
      </c>
      <c r="K1068">
        <f t="shared" si="532"/>
        <v>51</v>
      </c>
      <c r="L1068">
        <f t="shared" ca="1" si="533"/>
        <v>0.05</v>
      </c>
      <c r="M1068">
        <f t="shared" ca="1" si="506"/>
        <v>0.26</v>
      </c>
      <c r="N1068">
        <f t="shared" ca="1" si="507"/>
        <v>4.9056603773584909E-2</v>
      </c>
      <c r="O1068">
        <f t="shared" ca="1" si="508"/>
        <v>196.15384615384616</v>
      </c>
      <c r="P1068">
        <f t="shared" ca="1" si="509"/>
        <v>632.15299999999991</v>
      </c>
      <c r="Q1068">
        <f t="shared" ca="1" si="510"/>
        <v>2593.2300316486621</v>
      </c>
      <c r="R1068">
        <f t="shared" ca="1" si="511"/>
        <v>482.07306851378365</v>
      </c>
      <c r="S1068">
        <f t="shared" ca="1" si="512"/>
        <v>280.07692026646265</v>
      </c>
      <c r="T1068">
        <f t="shared" ca="1" si="513"/>
        <v>1019.7665564573041</v>
      </c>
      <c r="U1068">
        <f t="shared" ca="1" si="534"/>
        <v>-482.73440697685373</v>
      </c>
      <c r="V1068">
        <f t="shared" ca="1" si="535"/>
        <v>0</v>
      </c>
      <c r="W1068">
        <f t="shared" ca="1" si="514"/>
        <v>0.05</v>
      </c>
      <c r="X1068">
        <f t="shared" ca="1" si="515"/>
        <v>0.26</v>
      </c>
      <c r="Y1068">
        <f t="shared" ca="1" si="516"/>
        <v>4.9056603773584909E-2</v>
      </c>
      <c r="Z1068">
        <f t="shared" ca="1" si="517"/>
        <v>196.15384615384616</v>
      </c>
      <c r="AA1068">
        <f t="shared" ca="1" si="518"/>
        <v>632.15299999999991</v>
      </c>
      <c r="AB1068">
        <f t="shared" ca="1" si="519"/>
        <v>2593.2300316486621</v>
      </c>
      <c r="AC1068">
        <f t="shared" ca="1" si="520"/>
        <v>482.07306851378365</v>
      </c>
      <c r="AD1068">
        <f t="shared" ca="1" si="521"/>
        <v>280.07692026646265</v>
      </c>
      <c r="AE1068">
        <f t="shared" ca="1" si="522"/>
        <v>1019.7665564573041</v>
      </c>
      <c r="AF1068">
        <f t="shared" ca="1" si="523"/>
        <v>482.07256851378361</v>
      </c>
      <c r="AG1068">
        <f t="shared" ca="1" si="524"/>
        <v>0</v>
      </c>
      <c r="AH1068">
        <f ca="1">IF(V32="Supercritical",L1068,IF(V32="Subcritical",W1068,IF(AND(V1068=1,AG1068=1),IF(T1068&gt;=AE1068,L1068,W1068),IF(V1068=1,L1068,IF(AG1068=1,W1068,MAX($D$16,POWER((ABS(K1068)^2)/($I$5*MAX(F1068,0.1)^2),1/3)))))))</f>
        <v>2.1403668656741068</v>
      </c>
      <c r="AI1068">
        <f t="shared" ca="1" si="525"/>
        <v>634.24336686567403</v>
      </c>
      <c r="AJ1068">
        <f t="shared" ca="1" si="526"/>
        <v>635.31355029851113</v>
      </c>
      <c r="AM1068">
        <v>0</v>
      </c>
      <c r="AN1068">
        <v>0</v>
      </c>
      <c r="AO1068">
        <f t="shared" si="527"/>
        <v>0</v>
      </c>
      <c r="AP1068">
        <f t="shared" si="536"/>
        <v>0</v>
      </c>
      <c r="AQ1068">
        <f t="shared" ca="1" si="528"/>
        <v>0.99999999999999978</v>
      </c>
      <c r="AR1068" t="str">
        <f t="shared" ca="1" si="529"/>
        <v>Supercritical</v>
      </c>
      <c r="AS1068">
        <f t="shared" ca="1" si="530"/>
        <v>3.8148159832266538E-3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191</v>
      </c>
      <c r="I1069">
        <v>0</v>
      </c>
      <c r="J1069">
        <f t="shared" si="531"/>
        <v>1</v>
      </c>
      <c r="K1069">
        <f t="shared" si="532"/>
        <v>51</v>
      </c>
      <c r="L1069">
        <f t="shared" ca="1" si="533"/>
        <v>0.05</v>
      </c>
      <c r="M1069">
        <f t="shared" ca="1" si="506"/>
        <v>0.26</v>
      </c>
      <c r="N1069">
        <f t="shared" ca="1" si="507"/>
        <v>4.9056603773584909E-2</v>
      </c>
      <c r="O1069">
        <f t="shared" ca="1" si="508"/>
        <v>196.15384615384616</v>
      </c>
      <c r="P1069">
        <f t="shared" ca="1" si="509"/>
        <v>632.15249999999992</v>
      </c>
      <c r="Q1069">
        <f t="shared" ca="1" si="510"/>
        <v>2593.229531648662</v>
      </c>
      <c r="R1069">
        <f t="shared" ca="1" si="511"/>
        <v>482.07306851378365</v>
      </c>
      <c r="S1069">
        <f t="shared" ca="1" si="512"/>
        <v>280.07692026646265</v>
      </c>
      <c r="T1069">
        <f t="shared" ca="1" si="513"/>
        <v>1019.7665564573041</v>
      </c>
      <c r="U1069">
        <f t="shared" ca="1" si="534"/>
        <v>-482.07256851378361</v>
      </c>
      <c r="V1069">
        <f t="shared" ca="1" si="535"/>
        <v>0</v>
      </c>
      <c r="W1069">
        <f t="shared" ca="1" si="514"/>
        <v>0.05</v>
      </c>
      <c r="X1069">
        <f t="shared" ca="1" si="515"/>
        <v>0.26</v>
      </c>
      <c r="Y1069">
        <f t="shared" ca="1" si="516"/>
        <v>4.9056603773584909E-2</v>
      </c>
      <c r="Z1069">
        <f t="shared" ca="1" si="517"/>
        <v>196.15384615384616</v>
      </c>
      <c r="AA1069">
        <f t="shared" ca="1" si="518"/>
        <v>632.15249999999992</v>
      </c>
      <c r="AB1069">
        <f t="shared" ca="1" si="519"/>
        <v>2593.229531648662</v>
      </c>
      <c r="AC1069">
        <f t="shared" ca="1" si="520"/>
        <v>482.07306851378365</v>
      </c>
      <c r="AD1069">
        <f t="shared" ca="1" si="521"/>
        <v>280.07692026646265</v>
      </c>
      <c r="AE1069">
        <f t="shared" ca="1" si="522"/>
        <v>1019.7665564573041</v>
      </c>
      <c r="AF1069">
        <f t="shared" ca="1" si="523"/>
        <v>482.25887083179032</v>
      </c>
      <c r="AG1069">
        <f t="shared" ca="1" si="524"/>
        <v>0</v>
      </c>
      <c r="AH1069">
        <f ca="1">IF(V32="Supercritical",L1069,IF(V32="Subcritical",W1069,IF(AND(V1069=1,AG1069=1),IF(T1069&gt;=AE1069,L1069,W1069),IF(V1069=1,L1069,IF(AG1069=1,W1069,MAX($D$16,POWER((ABS(K1069)^2)/($I$5*MAX(F1069,0.1)^2),1/3)))))))</f>
        <v>2.1403668656741068</v>
      </c>
      <c r="AI1069">
        <f t="shared" ca="1" si="525"/>
        <v>634.24286686567405</v>
      </c>
      <c r="AJ1069">
        <f t="shared" ca="1" si="526"/>
        <v>635.31305029851114</v>
      </c>
      <c r="AM1069">
        <v>0</v>
      </c>
      <c r="AN1069">
        <v>0</v>
      </c>
      <c r="AO1069">
        <f t="shared" si="527"/>
        <v>0</v>
      </c>
      <c r="AP1069">
        <f t="shared" si="536"/>
        <v>0</v>
      </c>
      <c r="AQ1069">
        <f t="shared" ca="1" si="528"/>
        <v>0.99999999999999978</v>
      </c>
      <c r="AR1069" t="str">
        <f t="shared" ca="1" si="529"/>
        <v>Supercritical</v>
      </c>
      <c r="AS1069">
        <f t="shared" ca="1" si="530"/>
        <v>3.8148159832266538E-3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191</v>
      </c>
      <c r="I1070">
        <v>5.7000000000000002E-2</v>
      </c>
      <c r="J1070">
        <f t="shared" si="531"/>
        <v>1</v>
      </c>
      <c r="K1070">
        <f t="shared" si="532"/>
        <v>51</v>
      </c>
      <c r="L1070">
        <f t="shared" ca="1" si="533"/>
        <v>0.05</v>
      </c>
      <c r="M1070">
        <f t="shared" ca="1" si="506"/>
        <v>0.26</v>
      </c>
      <c r="N1070">
        <f t="shared" ca="1" si="507"/>
        <v>4.9056603773584909E-2</v>
      </c>
      <c r="O1070">
        <f t="shared" ca="1" si="508"/>
        <v>196.15384615384616</v>
      </c>
      <c r="P1070">
        <f t="shared" ca="1" si="509"/>
        <v>632.15199999999993</v>
      </c>
      <c r="Q1070">
        <f t="shared" ca="1" si="510"/>
        <v>2593.2290316486619</v>
      </c>
      <c r="R1070">
        <f t="shared" ca="1" si="511"/>
        <v>482.07306851378365</v>
      </c>
      <c r="S1070">
        <f t="shared" ca="1" si="512"/>
        <v>280.07692026646265</v>
      </c>
      <c r="T1070">
        <f t="shared" ca="1" si="513"/>
        <v>1019.7665564573041</v>
      </c>
      <c r="U1070">
        <f t="shared" ca="1" si="534"/>
        <v>-482.25887083179032</v>
      </c>
      <c r="V1070">
        <f t="shared" ca="1" si="535"/>
        <v>0</v>
      </c>
      <c r="W1070">
        <f t="shared" ca="1" si="514"/>
        <v>0.05</v>
      </c>
      <c r="X1070">
        <f t="shared" ca="1" si="515"/>
        <v>0.26</v>
      </c>
      <c r="Y1070">
        <f t="shared" ca="1" si="516"/>
        <v>4.9056603773584909E-2</v>
      </c>
      <c r="Z1070">
        <f t="shared" ca="1" si="517"/>
        <v>196.15384615384616</v>
      </c>
      <c r="AA1070">
        <f t="shared" ca="1" si="518"/>
        <v>632.15199999999993</v>
      </c>
      <c r="AB1070">
        <f t="shared" ca="1" si="519"/>
        <v>2593.2290316486619</v>
      </c>
      <c r="AC1070">
        <f t="shared" ca="1" si="520"/>
        <v>482.07306851378365</v>
      </c>
      <c r="AD1070">
        <f t="shared" ca="1" si="521"/>
        <v>280.07692026646265</v>
      </c>
      <c r="AE1070">
        <f t="shared" ca="1" si="522"/>
        <v>1019.7665564573041</v>
      </c>
      <c r="AF1070">
        <f t="shared" ca="1" si="523"/>
        <v>481.77679776328841</v>
      </c>
      <c r="AG1070">
        <f t="shared" ca="1" si="524"/>
        <v>0</v>
      </c>
      <c r="AH1070">
        <f ca="1">IF(V32="Supercritical",L1070,IF(V32="Subcritical",W1070,IF(AND(V1070=1,AG1070=1),IF(T1070&gt;=AE1070,L1070,W1070),IF(V1070=1,L1070,IF(AG1070=1,W1070,MAX($D$16,POWER((ABS(K1070)^2)/($I$5*MAX(F1070,0.1)^2),1/3)))))))</f>
        <v>2.1403668656741068</v>
      </c>
      <c r="AI1070">
        <f t="shared" ca="1" si="525"/>
        <v>634.24236686567406</v>
      </c>
      <c r="AJ1070">
        <f t="shared" ca="1" si="526"/>
        <v>635.31255029851116</v>
      </c>
      <c r="AM1070">
        <v>0</v>
      </c>
      <c r="AN1070">
        <v>0</v>
      </c>
      <c r="AO1070">
        <f t="shared" si="527"/>
        <v>0</v>
      </c>
      <c r="AP1070">
        <f t="shared" si="536"/>
        <v>0</v>
      </c>
      <c r="AQ1070">
        <f t="shared" ca="1" si="528"/>
        <v>0.99999999999999978</v>
      </c>
      <c r="AR1070" t="str">
        <f t="shared" ca="1" si="529"/>
        <v>Supercritical</v>
      </c>
      <c r="AS1070">
        <f t="shared" ca="1" si="530"/>
        <v>3.8148159832266538E-3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191</v>
      </c>
      <c r="I1071">
        <v>5.7000000000000002E-2</v>
      </c>
      <c r="J1071">
        <f t="shared" si="531"/>
        <v>0.99900000000002365</v>
      </c>
      <c r="K1071">
        <f t="shared" si="532"/>
        <v>51</v>
      </c>
      <c r="L1071">
        <f t="shared" ca="1" si="533"/>
        <v>0.05</v>
      </c>
      <c r="M1071">
        <f t="shared" ca="1" si="506"/>
        <v>0.26</v>
      </c>
      <c r="N1071">
        <f t="shared" ca="1" si="507"/>
        <v>4.9056603773584909E-2</v>
      </c>
      <c r="O1071">
        <f t="shared" ca="1" si="508"/>
        <v>196.15384615384616</v>
      </c>
      <c r="P1071">
        <f t="shared" ca="1" si="509"/>
        <v>632.15149999999994</v>
      </c>
      <c r="Q1071">
        <f t="shared" ca="1" si="510"/>
        <v>2593.2285316486623</v>
      </c>
      <c r="R1071">
        <f t="shared" ca="1" si="511"/>
        <v>482.07306851378365</v>
      </c>
      <c r="S1071">
        <f t="shared" ca="1" si="512"/>
        <v>280.07692026646265</v>
      </c>
      <c r="T1071">
        <f t="shared" ca="1" si="513"/>
        <v>1019.7665564573041</v>
      </c>
      <c r="U1071">
        <f t="shared" ca="1" si="534"/>
        <v>-481.77679776328841</v>
      </c>
      <c r="V1071">
        <f t="shared" ca="1" si="535"/>
        <v>0</v>
      </c>
      <c r="W1071">
        <f t="shared" ca="1" si="514"/>
        <v>0.05</v>
      </c>
      <c r="X1071">
        <f t="shared" ca="1" si="515"/>
        <v>0.26</v>
      </c>
      <c r="Y1071">
        <f t="shared" ca="1" si="516"/>
        <v>4.9056603773584909E-2</v>
      </c>
      <c r="Z1071">
        <f t="shared" ca="1" si="517"/>
        <v>196.15384615384616</v>
      </c>
      <c r="AA1071">
        <f t="shared" ca="1" si="518"/>
        <v>632.15149999999994</v>
      </c>
      <c r="AB1071">
        <f t="shared" ca="1" si="519"/>
        <v>2593.2285316486623</v>
      </c>
      <c r="AC1071">
        <f t="shared" ca="1" si="520"/>
        <v>482.07306851378365</v>
      </c>
      <c r="AD1071">
        <f t="shared" ca="1" si="521"/>
        <v>280.07692026646265</v>
      </c>
      <c r="AE1071">
        <f t="shared" ca="1" si="522"/>
        <v>1019.7665564573041</v>
      </c>
      <c r="AF1071">
        <f t="shared" ca="1" si="523"/>
        <v>482.07256851378361</v>
      </c>
      <c r="AG1071">
        <f t="shared" ca="1" si="524"/>
        <v>0</v>
      </c>
      <c r="AH1071">
        <f ca="1">IF(V32="Supercritical",L1071,IF(V32="Subcritical",W1071,IF(AND(V1071=1,AG1071=1),IF(T1071&gt;=AE1071,L1071,W1071),IF(V1071=1,L1071,IF(AG1071=1,W1071,MAX($D$16,POWER((ABS(K1071)^2)/($I$5*MAX(F1071,0.1)^2),1/3)))))))</f>
        <v>2.1403668656741068</v>
      </c>
      <c r="AI1071">
        <f t="shared" ca="1" si="525"/>
        <v>634.24186686567407</v>
      </c>
      <c r="AJ1071">
        <f t="shared" ca="1" si="526"/>
        <v>635.31205029851117</v>
      </c>
      <c r="AM1071">
        <v>0</v>
      </c>
      <c r="AN1071">
        <v>0</v>
      </c>
      <c r="AO1071">
        <f t="shared" si="527"/>
        <v>0</v>
      </c>
      <c r="AP1071">
        <f t="shared" si="536"/>
        <v>0</v>
      </c>
      <c r="AQ1071">
        <f t="shared" ca="1" si="528"/>
        <v>0.99999999999999978</v>
      </c>
      <c r="AR1071" t="str">
        <f t="shared" ca="1" si="529"/>
        <v>Supercritical</v>
      </c>
      <c r="AS1071">
        <f t="shared" ca="1" si="530"/>
        <v>3.8148159832266538E-3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191</v>
      </c>
      <c r="I1072">
        <v>0</v>
      </c>
      <c r="J1072">
        <f t="shared" si="531"/>
        <v>1</v>
      </c>
      <c r="K1072">
        <f t="shared" si="532"/>
        <v>51</v>
      </c>
      <c r="L1072">
        <f t="shared" ca="1" si="533"/>
        <v>0.05</v>
      </c>
      <c r="M1072">
        <f t="shared" ca="1" si="506"/>
        <v>0.26</v>
      </c>
      <c r="N1072">
        <f t="shared" ca="1" si="507"/>
        <v>4.9056603773584909E-2</v>
      </c>
      <c r="O1072">
        <f t="shared" ca="1" si="508"/>
        <v>196.15384615384616</v>
      </c>
      <c r="P1072">
        <f t="shared" ca="1" si="509"/>
        <v>632.15099999999995</v>
      </c>
      <c r="Q1072">
        <f t="shared" ca="1" si="510"/>
        <v>2593.2280316486622</v>
      </c>
      <c r="R1072">
        <f t="shared" ca="1" si="511"/>
        <v>482.07306851378365</v>
      </c>
      <c r="S1072">
        <f t="shared" ca="1" si="512"/>
        <v>280.07692026646265</v>
      </c>
      <c r="T1072">
        <f t="shared" ca="1" si="513"/>
        <v>1019.7665564573041</v>
      </c>
      <c r="U1072">
        <f t="shared" ca="1" si="534"/>
        <v>-482.07256851378361</v>
      </c>
      <c r="V1072">
        <f t="shared" ca="1" si="535"/>
        <v>0</v>
      </c>
      <c r="W1072">
        <f t="shared" ca="1" si="514"/>
        <v>0.05</v>
      </c>
      <c r="X1072">
        <f t="shared" ca="1" si="515"/>
        <v>0.26</v>
      </c>
      <c r="Y1072">
        <f t="shared" ca="1" si="516"/>
        <v>4.9056603773584909E-2</v>
      </c>
      <c r="Z1072">
        <f t="shared" ca="1" si="517"/>
        <v>196.15384615384616</v>
      </c>
      <c r="AA1072">
        <f t="shared" ca="1" si="518"/>
        <v>632.15099999999995</v>
      </c>
      <c r="AB1072">
        <f t="shared" ca="1" si="519"/>
        <v>2593.2280316486622</v>
      </c>
      <c r="AC1072">
        <f t="shared" ca="1" si="520"/>
        <v>482.07306851378365</v>
      </c>
      <c r="AD1072">
        <f t="shared" ca="1" si="521"/>
        <v>280.07692026646265</v>
      </c>
      <c r="AE1072">
        <f t="shared" ca="1" si="522"/>
        <v>1019.7665564573041</v>
      </c>
      <c r="AF1072">
        <f t="shared" ca="1" si="523"/>
        <v>482.07256851378361</v>
      </c>
      <c r="AG1072">
        <f t="shared" ca="1" si="524"/>
        <v>0</v>
      </c>
      <c r="AH1072">
        <f ca="1">IF(V32="Supercritical",L1072,IF(V32="Subcritical",W1072,IF(AND(V1072=1,AG1072=1),IF(T1072&gt;=AE1072,L1072,W1072),IF(V1072=1,L1072,IF(AG1072=1,W1072,MAX($D$16,POWER((ABS(K1072)^2)/($I$5*MAX(F1072,0.1)^2),1/3)))))))</f>
        <v>2.1403668656741068</v>
      </c>
      <c r="AI1072">
        <f t="shared" ca="1" si="525"/>
        <v>634.24136686567408</v>
      </c>
      <c r="AJ1072">
        <f t="shared" ca="1" si="526"/>
        <v>635.31155029851118</v>
      </c>
      <c r="AM1072">
        <v>0</v>
      </c>
      <c r="AN1072">
        <v>0</v>
      </c>
      <c r="AO1072">
        <f t="shared" si="527"/>
        <v>0</v>
      </c>
      <c r="AP1072">
        <f t="shared" si="536"/>
        <v>0</v>
      </c>
      <c r="AQ1072">
        <f t="shared" ca="1" si="528"/>
        <v>0.99999999999999978</v>
      </c>
      <c r="AR1072" t="str">
        <f t="shared" ca="1" si="529"/>
        <v>Supercritical</v>
      </c>
      <c r="AS1072">
        <f t="shared" ca="1" si="530"/>
        <v>3.8148159832266538E-3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191</v>
      </c>
      <c r="I1073">
        <v>0</v>
      </c>
      <c r="J1073">
        <f t="shared" si="531"/>
        <v>1</v>
      </c>
      <c r="K1073">
        <f t="shared" si="532"/>
        <v>51</v>
      </c>
      <c r="L1073">
        <f t="shared" ca="1" si="533"/>
        <v>0.05</v>
      </c>
      <c r="M1073">
        <f t="shared" ca="1" si="506"/>
        <v>0.26</v>
      </c>
      <c r="N1073">
        <f t="shared" ca="1" si="507"/>
        <v>4.9056603773584909E-2</v>
      </c>
      <c r="O1073">
        <f t="shared" ca="1" si="508"/>
        <v>196.15384615384616</v>
      </c>
      <c r="P1073">
        <f t="shared" ca="1" si="509"/>
        <v>632.15049999999997</v>
      </c>
      <c r="Q1073">
        <f t="shared" ca="1" si="510"/>
        <v>2593.2275316486621</v>
      </c>
      <c r="R1073">
        <f t="shared" ca="1" si="511"/>
        <v>482.07306851378365</v>
      </c>
      <c r="S1073">
        <f t="shared" ca="1" si="512"/>
        <v>280.07692026646265</v>
      </c>
      <c r="T1073">
        <f t="shared" ca="1" si="513"/>
        <v>1019.7665564573041</v>
      </c>
      <c r="U1073">
        <f t="shared" ca="1" si="534"/>
        <v>-482.07256851378361</v>
      </c>
      <c r="V1073">
        <f t="shared" ca="1" si="535"/>
        <v>0</v>
      </c>
      <c r="W1073">
        <f t="shared" ca="1" si="514"/>
        <v>0.05</v>
      </c>
      <c r="X1073">
        <f t="shared" ca="1" si="515"/>
        <v>0.26</v>
      </c>
      <c r="Y1073">
        <f t="shared" ca="1" si="516"/>
        <v>4.9056603773584909E-2</v>
      </c>
      <c r="Z1073">
        <f t="shared" ca="1" si="517"/>
        <v>196.15384615384616</v>
      </c>
      <c r="AA1073">
        <f t="shared" ca="1" si="518"/>
        <v>632.15049999999997</v>
      </c>
      <c r="AB1073">
        <f t="shared" ca="1" si="519"/>
        <v>2593.2275316486621</v>
      </c>
      <c r="AC1073">
        <f t="shared" ca="1" si="520"/>
        <v>482.07306851378365</v>
      </c>
      <c r="AD1073">
        <f t="shared" ca="1" si="521"/>
        <v>280.07692026646265</v>
      </c>
      <c r="AE1073">
        <f t="shared" ca="1" si="522"/>
        <v>1019.7665564573041</v>
      </c>
      <c r="AF1073">
        <f t="shared" ca="1" si="523"/>
        <v>482.25887083179032</v>
      </c>
      <c r="AG1073">
        <f t="shared" ca="1" si="524"/>
        <v>0</v>
      </c>
      <c r="AH1073">
        <f ca="1">IF(V32="Supercritical",L1073,IF(V32="Subcritical",W1073,IF(AND(V1073=1,AG1073=1),IF(T1073&gt;=AE1073,L1073,W1073),IF(V1073=1,L1073,IF(AG1073=1,W1073,MAX($D$16,POWER((ABS(K1073)^2)/($I$5*MAX(F1073,0.1)^2),1/3)))))))</f>
        <v>2.1403668656741068</v>
      </c>
      <c r="AI1073">
        <f t="shared" ca="1" si="525"/>
        <v>634.24086686567409</v>
      </c>
      <c r="AJ1073">
        <f t="shared" ca="1" si="526"/>
        <v>635.31105029851119</v>
      </c>
      <c r="AM1073">
        <v>0</v>
      </c>
      <c r="AN1073">
        <v>0</v>
      </c>
      <c r="AO1073">
        <f t="shared" si="527"/>
        <v>0</v>
      </c>
      <c r="AP1073">
        <f t="shared" si="536"/>
        <v>0</v>
      </c>
      <c r="AQ1073">
        <f t="shared" ca="1" si="528"/>
        <v>0.99999999999999978</v>
      </c>
      <c r="AR1073" t="str">
        <f t="shared" ca="1" si="529"/>
        <v>Supercritical</v>
      </c>
      <c r="AS1073">
        <f t="shared" ca="1" si="530"/>
        <v>3.8148159832266538E-3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191</v>
      </c>
      <c r="I1074">
        <v>5.7000000000000002E-2</v>
      </c>
      <c r="J1074">
        <f t="shared" si="531"/>
        <v>1</v>
      </c>
      <c r="K1074">
        <f t="shared" si="532"/>
        <v>51</v>
      </c>
      <c r="L1074">
        <f t="shared" ca="1" si="533"/>
        <v>0.05</v>
      </c>
      <c r="M1074">
        <f t="shared" ca="1" si="506"/>
        <v>0.26</v>
      </c>
      <c r="N1074">
        <f t="shared" ca="1" si="507"/>
        <v>4.9056603773584909E-2</v>
      </c>
      <c r="O1074">
        <f t="shared" ca="1" si="508"/>
        <v>196.15384615384616</v>
      </c>
      <c r="P1074">
        <f t="shared" ca="1" si="509"/>
        <v>632.15</v>
      </c>
      <c r="Q1074">
        <f t="shared" ca="1" si="510"/>
        <v>2593.227031648662</v>
      </c>
      <c r="R1074">
        <f t="shared" ca="1" si="511"/>
        <v>482.07306851378365</v>
      </c>
      <c r="S1074">
        <f t="shared" ca="1" si="512"/>
        <v>280.07692026646265</v>
      </c>
      <c r="T1074">
        <f t="shared" ca="1" si="513"/>
        <v>1019.7665564573041</v>
      </c>
      <c r="U1074">
        <f t="shared" ca="1" si="534"/>
        <v>-482.25887083179032</v>
      </c>
      <c r="V1074">
        <f t="shared" ca="1" si="535"/>
        <v>0</v>
      </c>
      <c r="W1074">
        <f t="shared" ca="1" si="514"/>
        <v>0.05</v>
      </c>
      <c r="X1074">
        <f t="shared" ca="1" si="515"/>
        <v>0.26</v>
      </c>
      <c r="Y1074">
        <f t="shared" ca="1" si="516"/>
        <v>4.9056603773584909E-2</v>
      </c>
      <c r="Z1074">
        <f t="shared" ca="1" si="517"/>
        <v>196.15384615384616</v>
      </c>
      <c r="AA1074">
        <f t="shared" ca="1" si="518"/>
        <v>632.15</v>
      </c>
      <c r="AB1074">
        <f t="shared" ca="1" si="519"/>
        <v>2593.227031648662</v>
      </c>
      <c r="AC1074">
        <f t="shared" ca="1" si="520"/>
        <v>482.07306851378365</v>
      </c>
      <c r="AD1074">
        <f t="shared" ca="1" si="521"/>
        <v>280.07692026646265</v>
      </c>
      <c r="AE1074">
        <f t="shared" ca="1" si="522"/>
        <v>1019.7665564573041</v>
      </c>
      <c r="AF1074">
        <f t="shared" ca="1" si="523"/>
        <v>482.25887083179032</v>
      </c>
      <c r="AG1074">
        <f t="shared" ca="1" si="524"/>
        <v>0</v>
      </c>
      <c r="AH1074">
        <f ca="1">IF(V32="Supercritical",L1074,IF(V32="Subcritical",W1074,IF(AND(V1074=1,AG1074=1),IF(T1074&gt;=AE1074,L1074,W1074),IF(V1074=1,L1074,IF(AG1074=1,W1074,MAX($D$16,POWER((ABS(K1074)^2)/($I$5*MAX(F1074,0.1)^2),1/3)))))))</f>
        <v>2.1403668656741068</v>
      </c>
      <c r="AI1074">
        <f t="shared" ca="1" si="525"/>
        <v>634.2403668656741</v>
      </c>
      <c r="AJ1074">
        <f t="shared" ca="1" si="526"/>
        <v>635.3105502985112</v>
      </c>
      <c r="AM1074">
        <v>0</v>
      </c>
      <c r="AN1074">
        <v>0</v>
      </c>
      <c r="AO1074">
        <f t="shared" si="527"/>
        <v>0</v>
      </c>
      <c r="AP1074">
        <f t="shared" si="536"/>
        <v>0</v>
      </c>
      <c r="AQ1074">
        <f t="shared" ca="1" si="528"/>
        <v>0.99999999999999978</v>
      </c>
      <c r="AR1074" t="str">
        <f t="shared" ca="1" si="529"/>
        <v>Supercritical</v>
      </c>
      <c r="AS1074">
        <f t="shared" ca="1" si="530"/>
        <v>3.8148159832266538E-3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191</v>
      </c>
      <c r="I1075">
        <v>5.7000000000000002E-2</v>
      </c>
      <c r="J1075">
        <f t="shared" si="531"/>
        <v>1</v>
      </c>
      <c r="K1075">
        <f t="shared" si="532"/>
        <v>51</v>
      </c>
      <c r="L1075">
        <f t="shared" ca="1" si="533"/>
        <v>0.05</v>
      </c>
      <c r="M1075">
        <f t="shared" ca="1" si="506"/>
        <v>0.26</v>
      </c>
      <c r="N1075">
        <f t="shared" ca="1" si="507"/>
        <v>4.9056603773584909E-2</v>
      </c>
      <c r="O1075">
        <f t="shared" ca="1" si="508"/>
        <v>196.15384615384616</v>
      </c>
      <c r="P1075">
        <f t="shared" ca="1" si="509"/>
        <v>632.14949999999999</v>
      </c>
      <c r="Q1075">
        <f t="shared" ca="1" si="510"/>
        <v>2593.2265316486619</v>
      </c>
      <c r="R1075">
        <f t="shared" ca="1" si="511"/>
        <v>482.07306851378365</v>
      </c>
      <c r="S1075">
        <f t="shared" ca="1" si="512"/>
        <v>280.07692026646265</v>
      </c>
      <c r="T1075">
        <f t="shared" ca="1" si="513"/>
        <v>1019.7665564573041</v>
      </c>
      <c r="U1075">
        <f t="shared" ca="1" si="534"/>
        <v>-482.25887083179032</v>
      </c>
      <c r="V1075">
        <f t="shared" ca="1" si="535"/>
        <v>0</v>
      </c>
      <c r="W1075">
        <f t="shared" ca="1" si="514"/>
        <v>0.05</v>
      </c>
      <c r="X1075">
        <f t="shared" ca="1" si="515"/>
        <v>0.26</v>
      </c>
      <c r="Y1075">
        <f t="shared" ca="1" si="516"/>
        <v>4.9056603773584909E-2</v>
      </c>
      <c r="Z1075">
        <f t="shared" ca="1" si="517"/>
        <v>196.15384615384616</v>
      </c>
      <c r="AA1075">
        <f t="shared" ca="1" si="518"/>
        <v>632.14949999999999</v>
      </c>
      <c r="AB1075">
        <f t="shared" ca="1" si="519"/>
        <v>2593.2265316486619</v>
      </c>
      <c r="AC1075">
        <f t="shared" ca="1" si="520"/>
        <v>482.07306851378365</v>
      </c>
      <c r="AD1075">
        <f t="shared" ca="1" si="521"/>
        <v>280.07692026646265</v>
      </c>
      <c r="AE1075">
        <f t="shared" ca="1" si="522"/>
        <v>1019.7665564573041</v>
      </c>
      <c r="AF1075">
        <f t="shared" ca="1" si="523"/>
        <v>482.07256851378406</v>
      </c>
      <c r="AG1075">
        <f t="shared" ca="1" si="524"/>
        <v>0</v>
      </c>
      <c r="AH1075">
        <f ca="1">IF(V32="Supercritical",L1075,IF(V32="Subcritical",W1075,IF(AND(V1075=1,AG1075=1),IF(T1075&gt;=AE1075,L1075,W1075),IF(V1075=1,L1075,IF(AG1075=1,W1075,MAX($D$16,POWER((ABS(K1075)^2)/($I$5*MAX(F1075,0.1)^2),1/3)))))))</f>
        <v>2.1403668656741068</v>
      </c>
      <c r="AI1075">
        <f t="shared" ca="1" si="525"/>
        <v>634.23986686567412</v>
      </c>
      <c r="AJ1075">
        <f t="shared" ca="1" si="526"/>
        <v>635.31005029851121</v>
      </c>
      <c r="AM1075">
        <v>0</v>
      </c>
      <c r="AN1075">
        <v>0</v>
      </c>
      <c r="AO1075">
        <f t="shared" si="527"/>
        <v>0</v>
      </c>
      <c r="AP1075">
        <f t="shared" si="536"/>
        <v>0</v>
      </c>
      <c r="AQ1075">
        <f t="shared" ca="1" si="528"/>
        <v>0.99999999999999978</v>
      </c>
      <c r="AR1075" t="str">
        <f t="shared" ca="1" si="529"/>
        <v>Supercritical</v>
      </c>
      <c r="AS1075">
        <f t="shared" ca="1" si="530"/>
        <v>3.8148159832266538E-3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191</v>
      </c>
      <c r="I1076">
        <v>0</v>
      </c>
      <c r="J1076">
        <f t="shared" si="531"/>
        <v>1</v>
      </c>
      <c r="K1076">
        <f t="shared" si="532"/>
        <v>51</v>
      </c>
      <c r="L1076">
        <f t="shared" ca="1" si="533"/>
        <v>0.05</v>
      </c>
      <c r="M1076">
        <f t="shared" ca="1" si="506"/>
        <v>0.26</v>
      </c>
      <c r="N1076">
        <f t="shared" ca="1" si="507"/>
        <v>4.9056603773584909E-2</v>
      </c>
      <c r="O1076">
        <f t="shared" ca="1" si="508"/>
        <v>196.15384615384616</v>
      </c>
      <c r="P1076">
        <f t="shared" ca="1" si="509"/>
        <v>632.149</v>
      </c>
      <c r="Q1076">
        <f t="shared" ca="1" si="510"/>
        <v>2593.2260316486622</v>
      </c>
      <c r="R1076">
        <f t="shared" ca="1" si="511"/>
        <v>482.07306851378365</v>
      </c>
      <c r="S1076">
        <f t="shared" ca="1" si="512"/>
        <v>280.07692026646265</v>
      </c>
      <c r="T1076">
        <f t="shared" ca="1" si="513"/>
        <v>1019.7665564573041</v>
      </c>
      <c r="U1076">
        <f t="shared" ca="1" si="534"/>
        <v>-482.07256851378406</v>
      </c>
      <c r="V1076">
        <f t="shared" ca="1" si="535"/>
        <v>0</v>
      </c>
      <c r="W1076">
        <f t="shared" ca="1" si="514"/>
        <v>0.05</v>
      </c>
      <c r="X1076">
        <f t="shared" ca="1" si="515"/>
        <v>0.26</v>
      </c>
      <c r="Y1076">
        <f t="shared" ca="1" si="516"/>
        <v>4.9056603773584909E-2</v>
      </c>
      <c r="Z1076">
        <f t="shared" ca="1" si="517"/>
        <v>196.15384615384616</v>
      </c>
      <c r="AA1076">
        <f t="shared" ca="1" si="518"/>
        <v>632.149</v>
      </c>
      <c r="AB1076">
        <f t="shared" ca="1" si="519"/>
        <v>2593.2260316486622</v>
      </c>
      <c r="AC1076">
        <f t="shared" ca="1" si="520"/>
        <v>482.07306851378365</v>
      </c>
      <c r="AD1076">
        <f t="shared" ca="1" si="521"/>
        <v>280.07692026646265</v>
      </c>
      <c r="AE1076">
        <f t="shared" ca="1" si="522"/>
        <v>1019.7665564573041</v>
      </c>
      <c r="AF1076">
        <f t="shared" ca="1" si="523"/>
        <v>482.07910543722255</v>
      </c>
      <c r="AG1076">
        <f t="shared" ca="1" si="524"/>
        <v>0</v>
      </c>
      <c r="AH1076">
        <f ca="1">IF(V32="Supercritical",L1076,IF(V32="Subcritical",W1076,IF(AND(V1076=1,AG1076=1),IF(T1076&gt;=AE1076,L1076,W1076),IF(V1076=1,L1076,IF(AG1076=1,W1076,MAX($D$16,POWER((ABS(K1076)^2)/($I$5*MAX(F1076,0.1)^2),1/3)))))))</f>
        <v>2.1403668656741068</v>
      </c>
      <c r="AI1076">
        <f t="shared" ca="1" si="525"/>
        <v>634.23936686567413</v>
      </c>
      <c r="AJ1076">
        <f t="shared" ca="1" si="526"/>
        <v>635.30955029851123</v>
      </c>
      <c r="AM1076">
        <v>0</v>
      </c>
      <c r="AN1076">
        <v>0</v>
      </c>
      <c r="AO1076">
        <f t="shared" si="527"/>
        <v>0</v>
      </c>
      <c r="AP1076">
        <f t="shared" si="536"/>
        <v>0</v>
      </c>
      <c r="AQ1076">
        <f t="shared" ca="1" si="528"/>
        <v>0.99999999999999978</v>
      </c>
      <c r="AR1076" t="str">
        <f t="shared" ca="1" si="529"/>
        <v>Supercritical</v>
      </c>
      <c r="AS1076">
        <f t="shared" ca="1" si="530"/>
        <v>3.8148159832266538E-3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191</v>
      </c>
      <c r="I1077">
        <v>2E-3</v>
      </c>
      <c r="J1077">
        <f t="shared" si="531"/>
        <v>1</v>
      </c>
      <c r="K1077">
        <f t="shared" si="532"/>
        <v>51</v>
      </c>
      <c r="L1077">
        <f t="shared" ca="1" si="533"/>
        <v>0.05</v>
      </c>
      <c r="M1077">
        <f t="shared" ca="1" si="506"/>
        <v>0.26</v>
      </c>
      <c r="N1077">
        <f t="shared" ca="1" si="507"/>
        <v>4.9056603773584909E-2</v>
      </c>
      <c r="O1077">
        <f t="shared" ca="1" si="508"/>
        <v>196.15384615384616</v>
      </c>
      <c r="P1077">
        <f t="shared" ca="1" si="509"/>
        <v>632.1484999999999</v>
      </c>
      <c r="Q1077">
        <f t="shared" ca="1" si="510"/>
        <v>2593.2255316486621</v>
      </c>
      <c r="R1077">
        <f t="shared" ca="1" si="511"/>
        <v>482.07306851378365</v>
      </c>
      <c r="S1077">
        <f t="shared" ca="1" si="512"/>
        <v>280.07692026646265</v>
      </c>
      <c r="T1077">
        <f t="shared" ca="1" si="513"/>
        <v>1019.7665564573041</v>
      </c>
      <c r="U1077">
        <f t="shared" ca="1" si="534"/>
        <v>-482.07910543722255</v>
      </c>
      <c r="V1077">
        <f t="shared" ca="1" si="535"/>
        <v>0</v>
      </c>
      <c r="W1077">
        <f t="shared" ca="1" si="514"/>
        <v>0.05</v>
      </c>
      <c r="X1077">
        <f t="shared" ca="1" si="515"/>
        <v>0.26</v>
      </c>
      <c r="Y1077">
        <f t="shared" ca="1" si="516"/>
        <v>4.9056603773584909E-2</v>
      </c>
      <c r="Z1077">
        <f t="shared" ca="1" si="517"/>
        <v>196.15384615384616</v>
      </c>
      <c r="AA1077">
        <f t="shared" ca="1" si="518"/>
        <v>632.1484999999999</v>
      </c>
      <c r="AB1077">
        <f t="shared" ca="1" si="519"/>
        <v>2593.2255316486621</v>
      </c>
      <c r="AC1077">
        <f t="shared" ca="1" si="520"/>
        <v>482.07306851378365</v>
      </c>
      <c r="AD1077">
        <f t="shared" ca="1" si="521"/>
        <v>280.07692026646265</v>
      </c>
      <c r="AE1077">
        <f t="shared" ca="1" si="522"/>
        <v>1019.7665564573041</v>
      </c>
      <c r="AF1077">
        <f t="shared" ca="1" si="523"/>
        <v>482.75074928545064</v>
      </c>
      <c r="AG1077">
        <f t="shared" ca="1" si="524"/>
        <v>0</v>
      </c>
      <c r="AH1077">
        <f ca="1">IF(V32="Supercritical",L1077,IF(V32="Subcritical",W1077,IF(AND(V1077=1,AG1077=1),IF(T1077&gt;=AE1077,L1077,W1077),IF(V1077=1,L1077,IF(AG1077=1,W1077,MAX($D$16,POWER((ABS(K1077)^2)/($I$5*MAX(F1077,0.1)^2),1/3)))))))</f>
        <v>2.1403668656741068</v>
      </c>
      <c r="AI1077">
        <f t="shared" ca="1" si="525"/>
        <v>634.23886686567403</v>
      </c>
      <c r="AJ1077">
        <f t="shared" ca="1" si="526"/>
        <v>635.30905029851112</v>
      </c>
      <c r="AM1077">
        <v>0</v>
      </c>
      <c r="AN1077">
        <v>0</v>
      </c>
      <c r="AO1077">
        <f t="shared" si="527"/>
        <v>0</v>
      </c>
      <c r="AP1077">
        <f t="shared" si="536"/>
        <v>0</v>
      </c>
      <c r="AQ1077">
        <f t="shared" ca="1" si="528"/>
        <v>0.99999999999999978</v>
      </c>
      <c r="AR1077" t="str">
        <f t="shared" ca="1" si="529"/>
        <v>Supercritical</v>
      </c>
      <c r="AS1077">
        <f t="shared" ca="1" si="530"/>
        <v>3.8148159832266538E-3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191</v>
      </c>
      <c r="I1078">
        <v>0.06</v>
      </c>
      <c r="J1078">
        <f t="shared" si="531"/>
        <v>1.0009999999999764</v>
      </c>
      <c r="K1078">
        <f t="shared" si="532"/>
        <v>51</v>
      </c>
      <c r="L1078">
        <f t="shared" ca="1" si="533"/>
        <v>0.05</v>
      </c>
      <c r="M1078">
        <f t="shared" ca="1" si="506"/>
        <v>0.26</v>
      </c>
      <c r="N1078">
        <f t="shared" ca="1" si="507"/>
        <v>4.9056603773584909E-2</v>
      </c>
      <c r="O1078">
        <f t="shared" ca="1" si="508"/>
        <v>196.15384615384616</v>
      </c>
      <c r="P1078">
        <f t="shared" ca="1" si="509"/>
        <v>632.14799999999991</v>
      </c>
      <c r="Q1078">
        <f t="shared" ca="1" si="510"/>
        <v>2593.225031648662</v>
      </c>
      <c r="R1078">
        <f t="shared" ca="1" si="511"/>
        <v>482.07306851378365</v>
      </c>
      <c r="S1078">
        <f t="shared" ca="1" si="512"/>
        <v>280.07692026646265</v>
      </c>
      <c r="T1078">
        <f t="shared" ca="1" si="513"/>
        <v>1019.7665564573041</v>
      </c>
      <c r="U1078">
        <f t="shared" ca="1" si="534"/>
        <v>-482.75074928545064</v>
      </c>
      <c r="V1078">
        <f t="shared" ca="1" si="535"/>
        <v>0</v>
      </c>
      <c r="W1078">
        <f t="shared" ca="1" si="514"/>
        <v>0.05</v>
      </c>
      <c r="X1078">
        <f t="shared" ca="1" si="515"/>
        <v>0.26</v>
      </c>
      <c r="Y1078">
        <f t="shared" ca="1" si="516"/>
        <v>4.9056603773584909E-2</v>
      </c>
      <c r="Z1078">
        <f t="shared" ca="1" si="517"/>
        <v>196.15384615384616</v>
      </c>
      <c r="AA1078">
        <f t="shared" ca="1" si="518"/>
        <v>632.14799999999991</v>
      </c>
      <c r="AB1078">
        <f t="shared" ca="1" si="519"/>
        <v>2593.225031648662</v>
      </c>
      <c r="AC1078">
        <f t="shared" ca="1" si="520"/>
        <v>482.07306851378365</v>
      </c>
      <c r="AD1078">
        <f t="shared" ca="1" si="521"/>
        <v>280.07692026646265</v>
      </c>
      <c r="AE1078">
        <f t="shared" ca="1" si="522"/>
        <v>1019.7665564573041</v>
      </c>
      <c r="AF1078">
        <f t="shared" ca="1" si="523"/>
        <v>482.25887083179032</v>
      </c>
      <c r="AG1078">
        <f t="shared" ca="1" si="524"/>
        <v>0</v>
      </c>
      <c r="AH1078">
        <f ca="1">IF(V32="Supercritical",L1078,IF(V32="Subcritical",W1078,IF(AND(V1078=1,AG1078=1),IF(T1078&gt;=AE1078,L1078,W1078),IF(V1078=1,L1078,IF(AG1078=1,W1078,MAX($D$16,POWER((ABS(K1078)^2)/($I$5*MAX(F1078,0.1)^2),1/3)))))))</f>
        <v>2.1403668656741068</v>
      </c>
      <c r="AI1078">
        <f t="shared" ca="1" si="525"/>
        <v>634.23836686567404</v>
      </c>
      <c r="AJ1078">
        <f t="shared" ca="1" si="526"/>
        <v>635.30855029851114</v>
      </c>
      <c r="AM1078">
        <v>0</v>
      </c>
      <c r="AN1078">
        <v>0</v>
      </c>
      <c r="AO1078">
        <f t="shared" si="527"/>
        <v>0</v>
      </c>
      <c r="AP1078">
        <f t="shared" si="536"/>
        <v>0</v>
      </c>
      <c r="AQ1078">
        <f t="shared" ca="1" si="528"/>
        <v>0.99999999999999978</v>
      </c>
      <c r="AR1078" t="str">
        <f t="shared" ca="1" si="529"/>
        <v>Supercritical</v>
      </c>
      <c r="AS1078">
        <f t="shared" ca="1" si="530"/>
        <v>3.8148159832266538E-3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191</v>
      </c>
      <c r="I1079">
        <v>5.7000000000000002E-2</v>
      </c>
      <c r="J1079">
        <f t="shared" si="531"/>
        <v>1</v>
      </c>
      <c r="K1079">
        <f t="shared" si="532"/>
        <v>51</v>
      </c>
      <c r="L1079">
        <f t="shared" ca="1" si="533"/>
        <v>0.05</v>
      </c>
      <c r="M1079">
        <f t="shared" ca="1" si="506"/>
        <v>0.26</v>
      </c>
      <c r="N1079">
        <f t="shared" ca="1" si="507"/>
        <v>4.9056603773584909E-2</v>
      </c>
      <c r="O1079">
        <f t="shared" ca="1" si="508"/>
        <v>196.15384615384616</v>
      </c>
      <c r="P1079">
        <f t="shared" ca="1" si="509"/>
        <v>632.14749999999992</v>
      </c>
      <c r="Q1079">
        <f t="shared" ca="1" si="510"/>
        <v>2593.2245316486619</v>
      </c>
      <c r="R1079">
        <f t="shared" ca="1" si="511"/>
        <v>482.07306851378365</v>
      </c>
      <c r="S1079">
        <f t="shared" ca="1" si="512"/>
        <v>280.07692026646265</v>
      </c>
      <c r="T1079">
        <f t="shared" ca="1" si="513"/>
        <v>1019.7665564573041</v>
      </c>
      <c r="U1079">
        <f t="shared" ca="1" si="534"/>
        <v>-482.25887083179032</v>
      </c>
      <c r="V1079">
        <f t="shared" ca="1" si="535"/>
        <v>0</v>
      </c>
      <c r="W1079">
        <f t="shared" ca="1" si="514"/>
        <v>0.05</v>
      </c>
      <c r="X1079">
        <f t="shared" ca="1" si="515"/>
        <v>0.26</v>
      </c>
      <c r="Y1079">
        <f t="shared" ca="1" si="516"/>
        <v>4.9056603773584909E-2</v>
      </c>
      <c r="Z1079">
        <f t="shared" ca="1" si="517"/>
        <v>196.15384615384616</v>
      </c>
      <c r="AA1079">
        <f t="shared" ca="1" si="518"/>
        <v>632.14749999999992</v>
      </c>
      <c r="AB1079">
        <f t="shared" ca="1" si="519"/>
        <v>2593.2245316486619</v>
      </c>
      <c r="AC1079">
        <f t="shared" ca="1" si="520"/>
        <v>482.07306851378365</v>
      </c>
      <c r="AD1079">
        <f t="shared" ca="1" si="521"/>
        <v>280.07692026646265</v>
      </c>
      <c r="AE1079">
        <f t="shared" ca="1" si="522"/>
        <v>1019.7665564573041</v>
      </c>
      <c r="AF1079">
        <f t="shared" ca="1" si="523"/>
        <v>481.5904954452817</v>
      </c>
      <c r="AG1079">
        <f t="shared" ca="1" si="524"/>
        <v>0</v>
      </c>
      <c r="AH1079">
        <f ca="1">IF(V32="Supercritical",L1079,IF(V32="Subcritical",W1079,IF(AND(V1079=1,AG1079=1),IF(T1079&gt;=AE1079,L1079,W1079),IF(V1079=1,L1079,IF(AG1079=1,W1079,MAX($D$16,POWER((ABS(K1079)^2)/($I$5*MAX(F1079,0.1)^2),1/3)))))))</f>
        <v>2.1403668656741068</v>
      </c>
      <c r="AI1079">
        <f t="shared" ca="1" si="525"/>
        <v>634.23786686567405</v>
      </c>
      <c r="AJ1079">
        <f t="shared" ca="1" si="526"/>
        <v>635.30805029851115</v>
      </c>
      <c r="AM1079">
        <v>0</v>
      </c>
      <c r="AN1079">
        <v>0</v>
      </c>
      <c r="AO1079">
        <f t="shared" si="527"/>
        <v>0</v>
      </c>
      <c r="AP1079">
        <f t="shared" si="536"/>
        <v>0</v>
      </c>
      <c r="AQ1079">
        <f t="shared" ca="1" si="528"/>
        <v>0.99999999999999978</v>
      </c>
      <c r="AR1079" t="str">
        <f t="shared" ca="1" si="529"/>
        <v>Supercritical</v>
      </c>
      <c r="AS1079">
        <f t="shared" ca="1" si="530"/>
        <v>3.8148159832266538E-3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191</v>
      </c>
      <c r="I1080">
        <v>0</v>
      </c>
      <c r="J1080">
        <f t="shared" si="531"/>
        <v>0.99900000000002365</v>
      </c>
      <c r="K1080">
        <f t="shared" si="532"/>
        <v>51</v>
      </c>
      <c r="L1080">
        <f t="shared" ca="1" si="533"/>
        <v>0.05</v>
      </c>
      <c r="M1080">
        <f t="shared" ca="1" si="506"/>
        <v>0.26</v>
      </c>
      <c r="N1080">
        <f t="shared" ca="1" si="507"/>
        <v>4.9056603773584909E-2</v>
      </c>
      <c r="O1080">
        <f t="shared" ca="1" si="508"/>
        <v>196.15384615384616</v>
      </c>
      <c r="P1080">
        <f t="shared" ca="1" si="509"/>
        <v>632.14699999999993</v>
      </c>
      <c r="Q1080">
        <f t="shared" ca="1" si="510"/>
        <v>2593.2240316486623</v>
      </c>
      <c r="R1080">
        <f t="shared" ca="1" si="511"/>
        <v>482.07306851378365</v>
      </c>
      <c r="S1080">
        <f t="shared" ca="1" si="512"/>
        <v>280.07692026646265</v>
      </c>
      <c r="T1080">
        <f t="shared" ca="1" si="513"/>
        <v>1019.7665564573041</v>
      </c>
      <c r="U1080">
        <f t="shared" ca="1" si="534"/>
        <v>-481.5904954452817</v>
      </c>
      <c r="V1080">
        <f t="shared" ca="1" si="535"/>
        <v>0</v>
      </c>
      <c r="W1080">
        <f t="shared" ca="1" si="514"/>
        <v>0.05</v>
      </c>
      <c r="X1080">
        <f t="shared" ca="1" si="515"/>
        <v>0.26</v>
      </c>
      <c r="Y1080">
        <f t="shared" ca="1" si="516"/>
        <v>4.9056603773584909E-2</v>
      </c>
      <c r="Z1080">
        <f t="shared" ca="1" si="517"/>
        <v>196.15384615384616</v>
      </c>
      <c r="AA1080">
        <f t="shared" ca="1" si="518"/>
        <v>632.14699999999993</v>
      </c>
      <c r="AB1080">
        <f t="shared" ca="1" si="519"/>
        <v>2593.2240316486623</v>
      </c>
      <c r="AC1080">
        <f t="shared" ca="1" si="520"/>
        <v>482.07306851378365</v>
      </c>
      <c r="AD1080">
        <f t="shared" ca="1" si="521"/>
        <v>280.07692026646265</v>
      </c>
      <c r="AE1080">
        <f t="shared" ca="1" si="522"/>
        <v>1019.7665564573041</v>
      </c>
      <c r="AF1080">
        <f t="shared" ca="1" si="523"/>
        <v>482.07256851378361</v>
      </c>
      <c r="AG1080">
        <f t="shared" ca="1" si="524"/>
        <v>0</v>
      </c>
      <c r="AH1080">
        <f ca="1">IF(V32="Supercritical",L1080,IF(V32="Subcritical",W1080,IF(AND(V1080=1,AG1080=1),IF(T1080&gt;=AE1080,L1080,W1080),IF(V1080=1,L1080,IF(AG1080=1,W1080,MAX($D$16,POWER((ABS(K1080)^2)/($I$5*MAX(F1080,0.1)^2),1/3)))))))</f>
        <v>2.1403668656741068</v>
      </c>
      <c r="AI1080">
        <f t="shared" ca="1" si="525"/>
        <v>634.23736686567406</v>
      </c>
      <c r="AJ1080">
        <f t="shared" ca="1" si="526"/>
        <v>635.30755029851116</v>
      </c>
      <c r="AM1080">
        <v>0</v>
      </c>
      <c r="AN1080">
        <v>0</v>
      </c>
      <c r="AO1080">
        <f t="shared" si="527"/>
        <v>0</v>
      </c>
      <c r="AP1080">
        <f t="shared" si="536"/>
        <v>0</v>
      </c>
      <c r="AQ1080">
        <f t="shared" ca="1" si="528"/>
        <v>0.99999999999999978</v>
      </c>
      <c r="AR1080" t="str">
        <f t="shared" ca="1" si="529"/>
        <v>Supercritical</v>
      </c>
      <c r="AS1080">
        <f t="shared" ca="1" si="530"/>
        <v>3.8148159832266538E-3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191</v>
      </c>
      <c r="I1081">
        <v>0</v>
      </c>
      <c r="J1081">
        <f t="shared" si="531"/>
        <v>1</v>
      </c>
      <c r="K1081">
        <f t="shared" si="532"/>
        <v>51</v>
      </c>
      <c r="L1081">
        <f t="shared" ca="1" si="533"/>
        <v>0.05</v>
      </c>
      <c r="M1081">
        <f t="shared" ca="1" si="506"/>
        <v>0.26</v>
      </c>
      <c r="N1081">
        <f t="shared" ca="1" si="507"/>
        <v>4.9056603773584909E-2</v>
      </c>
      <c r="O1081">
        <f t="shared" ca="1" si="508"/>
        <v>196.15384615384616</v>
      </c>
      <c r="P1081">
        <f t="shared" ca="1" si="509"/>
        <v>632.14649999999995</v>
      </c>
      <c r="Q1081">
        <f t="shared" ca="1" si="510"/>
        <v>2593.2235316486622</v>
      </c>
      <c r="R1081">
        <f t="shared" ca="1" si="511"/>
        <v>482.07306851378365</v>
      </c>
      <c r="S1081">
        <f t="shared" ca="1" si="512"/>
        <v>280.07692026646265</v>
      </c>
      <c r="T1081">
        <f t="shared" ca="1" si="513"/>
        <v>1019.7665564573041</v>
      </c>
      <c r="U1081">
        <f t="shared" ca="1" si="534"/>
        <v>-482.07256851378361</v>
      </c>
      <c r="V1081">
        <f t="shared" ca="1" si="535"/>
        <v>0</v>
      </c>
      <c r="W1081">
        <f t="shared" ca="1" si="514"/>
        <v>0.05</v>
      </c>
      <c r="X1081">
        <f t="shared" ca="1" si="515"/>
        <v>0.26</v>
      </c>
      <c r="Y1081">
        <f t="shared" ca="1" si="516"/>
        <v>4.9056603773584909E-2</v>
      </c>
      <c r="Z1081">
        <f t="shared" ca="1" si="517"/>
        <v>196.15384615384616</v>
      </c>
      <c r="AA1081">
        <f t="shared" ca="1" si="518"/>
        <v>632.14649999999995</v>
      </c>
      <c r="AB1081">
        <f t="shared" ca="1" si="519"/>
        <v>2593.2235316486622</v>
      </c>
      <c r="AC1081">
        <f t="shared" ca="1" si="520"/>
        <v>482.07306851378365</v>
      </c>
      <c r="AD1081">
        <f t="shared" ca="1" si="521"/>
        <v>280.07692026646265</v>
      </c>
      <c r="AE1081">
        <f t="shared" ca="1" si="522"/>
        <v>1019.7665564573041</v>
      </c>
      <c r="AF1081">
        <f t="shared" ca="1" si="523"/>
        <v>482.25887083179032</v>
      </c>
      <c r="AG1081">
        <f t="shared" ca="1" si="524"/>
        <v>0</v>
      </c>
      <c r="AH1081">
        <f ca="1">IF(V32="Supercritical",L1081,IF(V32="Subcritical",W1081,IF(AND(V1081=1,AG1081=1),IF(T1081&gt;=AE1081,L1081,W1081),IF(V1081=1,L1081,IF(AG1081=1,W1081,MAX($D$16,POWER((ABS(K1081)^2)/($I$5*MAX(F1081,0.1)^2),1/3)))))))</f>
        <v>2.1403668656741068</v>
      </c>
      <c r="AI1081">
        <f t="shared" ca="1" si="525"/>
        <v>634.23686686567407</v>
      </c>
      <c r="AJ1081">
        <f t="shared" ca="1" si="526"/>
        <v>635.30705029851117</v>
      </c>
      <c r="AM1081">
        <v>0</v>
      </c>
      <c r="AN1081">
        <v>0</v>
      </c>
      <c r="AO1081">
        <f t="shared" si="527"/>
        <v>0</v>
      </c>
      <c r="AP1081">
        <f t="shared" si="536"/>
        <v>0</v>
      </c>
      <c r="AQ1081">
        <f t="shared" ca="1" si="528"/>
        <v>0.99999999999999978</v>
      </c>
      <c r="AR1081" t="str">
        <f t="shared" ca="1" si="529"/>
        <v>Supercritical</v>
      </c>
      <c r="AS1081">
        <f t="shared" ca="1" si="530"/>
        <v>3.8148159832266538E-3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191</v>
      </c>
      <c r="I1082">
        <v>5.7000000000000002E-2</v>
      </c>
      <c r="J1082">
        <f t="shared" si="531"/>
        <v>1</v>
      </c>
      <c r="K1082">
        <f t="shared" si="532"/>
        <v>51</v>
      </c>
      <c r="L1082">
        <f t="shared" ca="1" si="533"/>
        <v>0.05</v>
      </c>
      <c r="M1082">
        <f t="shared" ca="1" si="506"/>
        <v>0.26</v>
      </c>
      <c r="N1082">
        <f t="shared" ca="1" si="507"/>
        <v>4.9056603773584909E-2</v>
      </c>
      <c r="O1082">
        <f t="shared" ca="1" si="508"/>
        <v>196.15384615384616</v>
      </c>
      <c r="P1082">
        <f t="shared" ca="1" si="509"/>
        <v>632.14599999999996</v>
      </c>
      <c r="Q1082">
        <f t="shared" ca="1" si="510"/>
        <v>2593.2230316486621</v>
      </c>
      <c r="R1082">
        <f t="shared" ca="1" si="511"/>
        <v>482.07306851378365</v>
      </c>
      <c r="S1082">
        <f t="shared" ca="1" si="512"/>
        <v>280.07692026646265</v>
      </c>
      <c r="T1082">
        <f t="shared" ca="1" si="513"/>
        <v>1019.7665564573041</v>
      </c>
      <c r="U1082">
        <f t="shared" ca="1" si="534"/>
        <v>-482.25887083179032</v>
      </c>
      <c r="V1082">
        <f t="shared" ca="1" si="535"/>
        <v>0</v>
      </c>
      <c r="W1082">
        <f t="shared" ca="1" si="514"/>
        <v>0.05</v>
      </c>
      <c r="X1082">
        <f t="shared" ca="1" si="515"/>
        <v>0.26</v>
      </c>
      <c r="Y1082">
        <f t="shared" ca="1" si="516"/>
        <v>4.9056603773584909E-2</v>
      </c>
      <c r="Z1082">
        <f t="shared" ca="1" si="517"/>
        <v>196.15384615384616</v>
      </c>
      <c r="AA1082">
        <f t="shared" ca="1" si="518"/>
        <v>632.14599999999996</v>
      </c>
      <c r="AB1082">
        <f t="shared" ca="1" si="519"/>
        <v>2593.2230316486621</v>
      </c>
      <c r="AC1082">
        <f t="shared" ca="1" si="520"/>
        <v>482.07306851378365</v>
      </c>
      <c r="AD1082">
        <f t="shared" ca="1" si="521"/>
        <v>280.07692026646265</v>
      </c>
      <c r="AE1082">
        <f t="shared" ca="1" si="522"/>
        <v>1019.7665564573041</v>
      </c>
      <c r="AF1082">
        <f t="shared" ca="1" si="523"/>
        <v>482.25887083179032</v>
      </c>
      <c r="AG1082">
        <f t="shared" ca="1" si="524"/>
        <v>0</v>
      </c>
      <c r="AH1082">
        <f ca="1">IF(V32="Supercritical",L1082,IF(V32="Subcritical",W1082,IF(AND(V1082=1,AG1082=1),IF(T1082&gt;=AE1082,L1082,W1082),IF(V1082=1,L1082,IF(AG1082=1,W1082,MAX($D$16,POWER((ABS(K1082)^2)/($I$5*MAX(F1082,0.1)^2),1/3)))))))</f>
        <v>2.1403668656741068</v>
      </c>
      <c r="AI1082">
        <f t="shared" ca="1" si="525"/>
        <v>634.23636686567409</v>
      </c>
      <c r="AJ1082">
        <f t="shared" ca="1" si="526"/>
        <v>635.30655029851118</v>
      </c>
      <c r="AM1082">
        <v>0</v>
      </c>
      <c r="AN1082">
        <v>0</v>
      </c>
      <c r="AO1082">
        <f t="shared" si="527"/>
        <v>0</v>
      </c>
      <c r="AP1082">
        <f t="shared" si="536"/>
        <v>0</v>
      </c>
      <c r="AQ1082">
        <f t="shared" ca="1" si="528"/>
        <v>0.99999999999999978</v>
      </c>
      <c r="AR1082" t="str">
        <f t="shared" ca="1" si="529"/>
        <v>Supercritical</v>
      </c>
      <c r="AS1082">
        <f t="shared" ca="1" si="530"/>
        <v>3.8148159832266538E-3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191</v>
      </c>
      <c r="I1083">
        <v>5.7000000000000002E-2</v>
      </c>
      <c r="J1083">
        <f t="shared" si="531"/>
        <v>1</v>
      </c>
      <c r="K1083">
        <f t="shared" si="532"/>
        <v>51</v>
      </c>
      <c r="L1083">
        <f t="shared" ca="1" si="533"/>
        <v>0.05</v>
      </c>
      <c r="M1083">
        <f t="shared" ca="1" si="506"/>
        <v>0.26</v>
      </c>
      <c r="N1083">
        <f t="shared" ca="1" si="507"/>
        <v>4.9056603773584909E-2</v>
      </c>
      <c r="O1083">
        <f t="shared" ca="1" si="508"/>
        <v>196.15384615384616</v>
      </c>
      <c r="P1083">
        <f t="shared" ca="1" si="509"/>
        <v>632.14549999999997</v>
      </c>
      <c r="Q1083">
        <f t="shared" ca="1" si="510"/>
        <v>2593.222531648662</v>
      </c>
      <c r="R1083">
        <f t="shared" ca="1" si="511"/>
        <v>482.07306851378365</v>
      </c>
      <c r="S1083">
        <f t="shared" ca="1" si="512"/>
        <v>280.07692026646265</v>
      </c>
      <c r="T1083">
        <f t="shared" ca="1" si="513"/>
        <v>1019.7665564573041</v>
      </c>
      <c r="U1083">
        <f t="shared" ca="1" si="534"/>
        <v>-482.25887083179032</v>
      </c>
      <c r="V1083">
        <f t="shared" ca="1" si="535"/>
        <v>0</v>
      </c>
      <c r="W1083">
        <f t="shared" ca="1" si="514"/>
        <v>0.05</v>
      </c>
      <c r="X1083">
        <f t="shared" ca="1" si="515"/>
        <v>0.26</v>
      </c>
      <c r="Y1083">
        <f t="shared" ca="1" si="516"/>
        <v>4.9056603773584909E-2</v>
      </c>
      <c r="Z1083">
        <f t="shared" ca="1" si="517"/>
        <v>196.15384615384616</v>
      </c>
      <c r="AA1083">
        <f t="shared" ca="1" si="518"/>
        <v>632.14549999999997</v>
      </c>
      <c r="AB1083">
        <f t="shared" ca="1" si="519"/>
        <v>2593.222531648662</v>
      </c>
      <c r="AC1083">
        <f t="shared" ca="1" si="520"/>
        <v>482.07306851378365</v>
      </c>
      <c r="AD1083">
        <f t="shared" ca="1" si="521"/>
        <v>280.07692026646265</v>
      </c>
      <c r="AE1083">
        <f t="shared" ca="1" si="522"/>
        <v>1019.7665564573041</v>
      </c>
      <c r="AF1083">
        <f t="shared" ca="1" si="523"/>
        <v>482.07256851378361</v>
      </c>
      <c r="AG1083">
        <f t="shared" ca="1" si="524"/>
        <v>0</v>
      </c>
      <c r="AH1083">
        <f ca="1">IF(V32="Supercritical",L1083,IF(V32="Subcritical",W1083,IF(AND(V1083=1,AG1083=1),IF(T1083&gt;=AE1083,L1083,W1083),IF(V1083=1,L1083,IF(AG1083=1,W1083,MAX($D$16,POWER((ABS(K1083)^2)/($I$5*MAX(F1083,0.1)^2),1/3)))))))</f>
        <v>2.1403668656741068</v>
      </c>
      <c r="AI1083">
        <f t="shared" ca="1" si="525"/>
        <v>634.2358668656741</v>
      </c>
      <c r="AJ1083">
        <f t="shared" ca="1" si="526"/>
        <v>635.3060502985112</v>
      </c>
      <c r="AM1083">
        <v>0</v>
      </c>
      <c r="AN1083">
        <v>0</v>
      </c>
      <c r="AO1083">
        <f t="shared" si="527"/>
        <v>0</v>
      </c>
      <c r="AP1083">
        <f t="shared" si="536"/>
        <v>0</v>
      </c>
      <c r="AQ1083">
        <f t="shared" ca="1" si="528"/>
        <v>0.99999999999999978</v>
      </c>
      <c r="AR1083" t="str">
        <f t="shared" ca="1" si="529"/>
        <v>Supercritical</v>
      </c>
      <c r="AS1083">
        <f t="shared" ca="1" si="530"/>
        <v>3.8148159832266538E-3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191</v>
      </c>
      <c r="I1084">
        <v>0</v>
      </c>
      <c r="J1084">
        <f t="shared" si="531"/>
        <v>1</v>
      </c>
      <c r="K1084">
        <f t="shared" si="532"/>
        <v>51</v>
      </c>
      <c r="L1084">
        <f t="shared" ca="1" si="533"/>
        <v>0.05</v>
      </c>
      <c r="M1084">
        <f t="shared" ca="1" si="506"/>
        <v>0.26</v>
      </c>
      <c r="N1084">
        <f t="shared" ca="1" si="507"/>
        <v>4.9056603773584909E-2</v>
      </c>
      <c r="O1084">
        <f t="shared" ca="1" si="508"/>
        <v>196.15384615384616</v>
      </c>
      <c r="P1084">
        <f t="shared" ca="1" si="509"/>
        <v>632.14499999999998</v>
      </c>
      <c r="Q1084">
        <f t="shared" ca="1" si="510"/>
        <v>2593.2220316486619</v>
      </c>
      <c r="R1084">
        <f t="shared" ca="1" si="511"/>
        <v>482.07306851378365</v>
      </c>
      <c r="S1084">
        <f t="shared" ca="1" si="512"/>
        <v>280.07692026646265</v>
      </c>
      <c r="T1084">
        <f t="shared" ca="1" si="513"/>
        <v>1019.7665564573041</v>
      </c>
      <c r="U1084">
        <f t="shared" ca="1" si="534"/>
        <v>-482.07256851378361</v>
      </c>
      <c r="V1084">
        <f t="shared" ca="1" si="535"/>
        <v>0</v>
      </c>
      <c r="W1084">
        <f t="shared" ca="1" si="514"/>
        <v>0.05</v>
      </c>
      <c r="X1084">
        <f t="shared" ca="1" si="515"/>
        <v>0.26</v>
      </c>
      <c r="Y1084">
        <f t="shared" ca="1" si="516"/>
        <v>4.9056603773584909E-2</v>
      </c>
      <c r="Z1084">
        <f t="shared" ca="1" si="517"/>
        <v>196.15384615384616</v>
      </c>
      <c r="AA1084">
        <f t="shared" ca="1" si="518"/>
        <v>632.14499999999998</v>
      </c>
      <c r="AB1084">
        <f t="shared" ca="1" si="519"/>
        <v>2593.2220316486619</v>
      </c>
      <c r="AC1084">
        <f t="shared" ca="1" si="520"/>
        <v>482.07306851378365</v>
      </c>
      <c r="AD1084">
        <f t="shared" ca="1" si="521"/>
        <v>280.07692026646265</v>
      </c>
      <c r="AE1084">
        <f t="shared" ca="1" si="522"/>
        <v>1019.7665564573041</v>
      </c>
      <c r="AF1084">
        <f t="shared" ca="1" si="523"/>
        <v>482.07256851378406</v>
      </c>
      <c r="AG1084">
        <f t="shared" ca="1" si="524"/>
        <v>0</v>
      </c>
      <c r="AH1084">
        <f ca="1">IF(V32="Supercritical",L1084,IF(V32="Subcritical",W1084,IF(AND(V1084=1,AG1084=1),IF(T1084&gt;=AE1084,L1084,W1084),IF(V1084=1,L1084,IF(AG1084=1,W1084,MAX($D$16,POWER((ABS(K1084)^2)/($I$5*MAX(F1084,0.1)^2),1/3)))))))</f>
        <v>2.1403668656741068</v>
      </c>
      <c r="AI1084">
        <f t="shared" ca="1" si="525"/>
        <v>634.23536686567411</v>
      </c>
      <c r="AJ1084">
        <f t="shared" ca="1" si="526"/>
        <v>635.30555029851121</v>
      </c>
      <c r="AM1084">
        <v>0</v>
      </c>
      <c r="AN1084">
        <v>0</v>
      </c>
      <c r="AO1084">
        <f t="shared" si="527"/>
        <v>0</v>
      </c>
      <c r="AP1084">
        <f t="shared" si="536"/>
        <v>0</v>
      </c>
      <c r="AQ1084">
        <f t="shared" ca="1" si="528"/>
        <v>0.99999999999999978</v>
      </c>
      <c r="AR1084" t="str">
        <f t="shared" ca="1" si="529"/>
        <v>Supercritical</v>
      </c>
      <c r="AS1084">
        <f t="shared" ca="1" si="530"/>
        <v>3.8148159832266538E-3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191</v>
      </c>
      <c r="I1085">
        <v>0</v>
      </c>
      <c r="J1085">
        <f t="shared" si="531"/>
        <v>1</v>
      </c>
      <c r="K1085">
        <f t="shared" si="532"/>
        <v>51</v>
      </c>
      <c r="L1085">
        <f t="shared" ca="1" si="533"/>
        <v>0.05</v>
      </c>
      <c r="M1085">
        <f t="shared" ca="1" si="506"/>
        <v>0.26</v>
      </c>
      <c r="N1085">
        <f t="shared" ca="1" si="507"/>
        <v>4.9056603773584909E-2</v>
      </c>
      <c r="O1085">
        <f t="shared" ca="1" si="508"/>
        <v>196.15384615384616</v>
      </c>
      <c r="P1085">
        <f t="shared" ca="1" si="509"/>
        <v>632.14449999999999</v>
      </c>
      <c r="Q1085">
        <f t="shared" ca="1" si="510"/>
        <v>2593.2215316486622</v>
      </c>
      <c r="R1085">
        <f t="shared" ca="1" si="511"/>
        <v>482.07306851378365</v>
      </c>
      <c r="S1085">
        <f t="shared" ca="1" si="512"/>
        <v>280.07692026646265</v>
      </c>
      <c r="T1085">
        <f t="shared" ca="1" si="513"/>
        <v>1019.7665564573041</v>
      </c>
      <c r="U1085">
        <f t="shared" ca="1" si="534"/>
        <v>-482.07256851378406</v>
      </c>
      <c r="V1085">
        <f t="shared" ca="1" si="535"/>
        <v>0</v>
      </c>
      <c r="W1085">
        <f t="shared" ca="1" si="514"/>
        <v>0.05</v>
      </c>
      <c r="X1085">
        <f t="shared" ca="1" si="515"/>
        <v>0.26</v>
      </c>
      <c r="Y1085">
        <f t="shared" ca="1" si="516"/>
        <v>4.9056603773584909E-2</v>
      </c>
      <c r="Z1085">
        <f t="shared" ca="1" si="517"/>
        <v>196.15384615384616</v>
      </c>
      <c r="AA1085">
        <f t="shared" ca="1" si="518"/>
        <v>632.14449999999999</v>
      </c>
      <c r="AB1085">
        <f t="shared" ca="1" si="519"/>
        <v>2593.2215316486622</v>
      </c>
      <c r="AC1085">
        <f t="shared" ca="1" si="520"/>
        <v>482.07306851378365</v>
      </c>
      <c r="AD1085">
        <f t="shared" ca="1" si="521"/>
        <v>280.07692026646265</v>
      </c>
      <c r="AE1085">
        <f t="shared" ca="1" si="522"/>
        <v>1019.7665564573041</v>
      </c>
      <c r="AF1085">
        <f t="shared" ca="1" si="523"/>
        <v>482.25233390835137</v>
      </c>
      <c r="AG1085">
        <f t="shared" ca="1" si="524"/>
        <v>0</v>
      </c>
      <c r="AH1085">
        <f ca="1">IF(V32="Supercritical",L1085,IF(V32="Subcritical",W1085,IF(AND(V1085=1,AG1085=1),IF(T1085&gt;=AE1085,L1085,W1085),IF(V1085=1,L1085,IF(AG1085=1,W1085,MAX($D$16,POWER((ABS(K1085)^2)/($I$5*MAX(F1085,0.1)^2),1/3)))))))</f>
        <v>2.1403668656741068</v>
      </c>
      <c r="AI1085">
        <f t="shared" ca="1" si="525"/>
        <v>634.23486686567412</v>
      </c>
      <c r="AJ1085">
        <f t="shared" ca="1" si="526"/>
        <v>635.30505029851122</v>
      </c>
      <c r="AM1085">
        <v>0</v>
      </c>
      <c r="AN1085">
        <v>0</v>
      </c>
      <c r="AO1085">
        <f t="shared" si="527"/>
        <v>0</v>
      </c>
      <c r="AP1085">
        <f t="shared" si="536"/>
        <v>0</v>
      </c>
      <c r="AQ1085">
        <f t="shared" ca="1" si="528"/>
        <v>0.99999999999999978</v>
      </c>
      <c r="AR1085" t="str">
        <f t="shared" ca="1" si="529"/>
        <v>Supercritical</v>
      </c>
      <c r="AS1085">
        <f t="shared" ca="1" si="530"/>
        <v>3.8148159832266538E-3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191</v>
      </c>
      <c r="I1086">
        <v>5.5E-2</v>
      </c>
      <c r="J1086">
        <f t="shared" si="531"/>
        <v>1</v>
      </c>
      <c r="K1086">
        <f t="shared" si="532"/>
        <v>51</v>
      </c>
      <c r="L1086">
        <f t="shared" ca="1" si="533"/>
        <v>0.05</v>
      </c>
      <c r="M1086">
        <f t="shared" ca="1" si="506"/>
        <v>0.26</v>
      </c>
      <c r="N1086">
        <f t="shared" ca="1" si="507"/>
        <v>4.9056603773584909E-2</v>
      </c>
      <c r="O1086">
        <f t="shared" ca="1" si="508"/>
        <v>196.15384615384616</v>
      </c>
      <c r="P1086">
        <f t="shared" ca="1" si="509"/>
        <v>632.14400000000001</v>
      </c>
      <c r="Q1086">
        <f t="shared" ca="1" si="510"/>
        <v>2593.2210316486621</v>
      </c>
      <c r="R1086">
        <f t="shared" ca="1" si="511"/>
        <v>482.07306851378365</v>
      </c>
      <c r="S1086">
        <f t="shared" ca="1" si="512"/>
        <v>280.07692026646265</v>
      </c>
      <c r="T1086">
        <f t="shared" ca="1" si="513"/>
        <v>1019.7665564573041</v>
      </c>
      <c r="U1086">
        <f t="shared" ca="1" si="534"/>
        <v>-482.25233390835137</v>
      </c>
      <c r="V1086">
        <f t="shared" ca="1" si="535"/>
        <v>0</v>
      </c>
      <c r="W1086">
        <f t="shared" ca="1" si="514"/>
        <v>0.05</v>
      </c>
      <c r="X1086">
        <f t="shared" ca="1" si="515"/>
        <v>0.26</v>
      </c>
      <c r="Y1086">
        <f t="shared" ca="1" si="516"/>
        <v>4.9056603773584909E-2</v>
      </c>
      <c r="Z1086">
        <f t="shared" ca="1" si="517"/>
        <v>196.15384615384616</v>
      </c>
      <c r="AA1086">
        <f t="shared" ca="1" si="518"/>
        <v>632.14400000000001</v>
      </c>
      <c r="AB1086">
        <f t="shared" ca="1" si="519"/>
        <v>2593.2210316486621</v>
      </c>
      <c r="AC1086">
        <f t="shared" ca="1" si="520"/>
        <v>482.07306851378365</v>
      </c>
      <c r="AD1086">
        <f t="shared" ca="1" si="521"/>
        <v>280.07692026646265</v>
      </c>
      <c r="AE1086">
        <f t="shared" ca="1" si="522"/>
        <v>1019.7665564573041</v>
      </c>
      <c r="AF1086">
        <f t="shared" ca="1" si="523"/>
        <v>482.73440697685373</v>
      </c>
      <c r="AG1086">
        <f t="shared" ca="1" si="524"/>
        <v>0</v>
      </c>
      <c r="AH1086">
        <f ca="1">IF(V32="Supercritical",L1086,IF(V32="Subcritical",W1086,IF(AND(V1086=1,AG1086=1),IF(T1086&gt;=AE1086,L1086,W1086),IF(V1086=1,L1086,IF(AG1086=1,W1086,MAX($D$16,POWER((ABS(K1086)^2)/($I$5*MAX(F1086,0.1)^2),1/3)))))))</f>
        <v>2.1403668656741068</v>
      </c>
      <c r="AI1086">
        <f t="shared" ca="1" si="525"/>
        <v>634.23436686567413</v>
      </c>
      <c r="AJ1086">
        <f t="shared" ca="1" si="526"/>
        <v>635.30455029851123</v>
      </c>
      <c r="AM1086">
        <v>0</v>
      </c>
      <c r="AN1086">
        <v>0</v>
      </c>
      <c r="AO1086">
        <f t="shared" si="527"/>
        <v>0</v>
      </c>
      <c r="AP1086">
        <f t="shared" si="536"/>
        <v>0</v>
      </c>
      <c r="AQ1086">
        <f t="shared" ca="1" si="528"/>
        <v>0.99999999999999978</v>
      </c>
      <c r="AR1086" t="str">
        <f t="shared" ca="1" si="529"/>
        <v>Supercritical</v>
      </c>
      <c r="AS1086">
        <f t="shared" ca="1" si="530"/>
        <v>3.8148159832266538E-3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191</v>
      </c>
      <c r="I1087">
        <v>5.5E-2</v>
      </c>
      <c r="J1087">
        <f t="shared" si="531"/>
        <v>1.0009999999999764</v>
      </c>
      <c r="K1087">
        <f t="shared" si="532"/>
        <v>51</v>
      </c>
      <c r="L1087">
        <f t="shared" ca="1" si="533"/>
        <v>0.05</v>
      </c>
      <c r="M1087">
        <f t="shared" ca="1" si="506"/>
        <v>0.26</v>
      </c>
      <c r="N1087">
        <f t="shared" ca="1" si="507"/>
        <v>4.9056603773584909E-2</v>
      </c>
      <c r="O1087">
        <f t="shared" ca="1" si="508"/>
        <v>196.15384615384616</v>
      </c>
      <c r="P1087">
        <f t="shared" ca="1" si="509"/>
        <v>632.1434999999999</v>
      </c>
      <c r="Q1087">
        <f t="shared" ca="1" si="510"/>
        <v>2593.220531648662</v>
      </c>
      <c r="R1087">
        <f t="shared" ca="1" si="511"/>
        <v>482.07306851378365</v>
      </c>
      <c r="S1087">
        <f t="shared" ca="1" si="512"/>
        <v>280.07692026646265</v>
      </c>
      <c r="T1087">
        <f t="shared" ca="1" si="513"/>
        <v>1019.7665564573041</v>
      </c>
      <c r="U1087">
        <f t="shared" ca="1" si="534"/>
        <v>-482.73440697685373</v>
      </c>
      <c r="V1087">
        <f t="shared" ca="1" si="535"/>
        <v>0</v>
      </c>
      <c r="W1087">
        <f t="shared" ca="1" si="514"/>
        <v>0.05</v>
      </c>
      <c r="X1087">
        <f t="shared" ca="1" si="515"/>
        <v>0.26</v>
      </c>
      <c r="Y1087">
        <f t="shared" ca="1" si="516"/>
        <v>4.9056603773584909E-2</v>
      </c>
      <c r="Z1087">
        <f t="shared" ca="1" si="517"/>
        <v>196.15384615384616</v>
      </c>
      <c r="AA1087">
        <f t="shared" ca="1" si="518"/>
        <v>632.1434999999999</v>
      </c>
      <c r="AB1087">
        <f t="shared" ca="1" si="519"/>
        <v>2593.220531648662</v>
      </c>
      <c r="AC1087">
        <f t="shared" ca="1" si="520"/>
        <v>482.07306851378365</v>
      </c>
      <c r="AD1087">
        <f t="shared" ca="1" si="521"/>
        <v>280.07692026646265</v>
      </c>
      <c r="AE1087">
        <f t="shared" ca="1" si="522"/>
        <v>1019.7665564573041</v>
      </c>
      <c r="AF1087">
        <f t="shared" ca="1" si="523"/>
        <v>482.07256851378361</v>
      </c>
      <c r="AG1087">
        <f t="shared" ca="1" si="524"/>
        <v>0</v>
      </c>
      <c r="AH1087">
        <f ca="1">IF(V32="Supercritical",L1087,IF(V32="Subcritical",W1087,IF(AND(V1087=1,AG1087=1),IF(T1087&gt;=AE1087,L1087,W1087),IF(V1087=1,L1087,IF(AG1087=1,W1087,MAX($D$16,POWER((ABS(K1087)^2)/($I$5*MAX(F1087,0.1)^2),1/3)))))))</f>
        <v>2.1403668656741068</v>
      </c>
      <c r="AI1087">
        <f t="shared" ca="1" si="525"/>
        <v>634.23386686567403</v>
      </c>
      <c r="AJ1087">
        <f t="shared" ca="1" si="526"/>
        <v>635.30405029851113</v>
      </c>
      <c r="AM1087">
        <v>0</v>
      </c>
      <c r="AN1087">
        <v>0</v>
      </c>
      <c r="AO1087">
        <f t="shared" si="527"/>
        <v>0</v>
      </c>
      <c r="AP1087">
        <f t="shared" si="536"/>
        <v>0</v>
      </c>
      <c r="AQ1087">
        <f t="shared" ca="1" si="528"/>
        <v>0.99999999999999978</v>
      </c>
      <c r="AR1087" t="str">
        <f t="shared" ca="1" si="529"/>
        <v>Supercritical</v>
      </c>
      <c r="AS1087">
        <f t="shared" ca="1" si="530"/>
        <v>3.8148159832266538E-3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191</v>
      </c>
      <c r="I1088">
        <v>0</v>
      </c>
      <c r="J1088">
        <f t="shared" si="531"/>
        <v>1</v>
      </c>
      <c r="K1088">
        <f t="shared" si="532"/>
        <v>51</v>
      </c>
      <c r="L1088">
        <f t="shared" ca="1" si="533"/>
        <v>0.05</v>
      </c>
      <c r="M1088">
        <f t="shared" ca="1" si="506"/>
        <v>0.26</v>
      </c>
      <c r="N1088">
        <f t="shared" ca="1" si="507"/>
        <v>4.9056603773584909E-2</v>
      </c>
      <c r="O1088">
        <f t="shared" ca="1" si="508"/>
        <v>196.15384615384616</v>
      </c>
      <c r="P1088">
        <f t="shared" ca="1" si="509"/>
        <v>632.14299999999992</v>
      </c>
      <c r="Q1088">
        <f t="shared" ca="1" si="510"/>
        <v>2593.2200316486619</v>
      </c>
      <c r="R1088">
        <f t="shared" ca="1" si="511"/>
        <v>482.07306851378365</v>
      </c>
      <c r="S1088">
        <f t="shared" ca="1" si="512"/>
        <v>280.07692026646265</v>
      </c>
      <c r="T1088">
        <f t="shared" ca="1" si="513"/>
        <v>1019.7665564573041</v>
      </c>
      <c r="U1088">
        <f t="shared" ca="1" si="534"/>
        <v>-482.07256851378361</v>
      </c>
      <c r="V1088">
        <f t="shared" ca="1" si="535"/>
        <v>0</v>
      </c>
      <c r="W1088">
        <f t="shared" ca="1" si="514"/>
        <v>0.05</v>
      </c>
      <c r="X1088">
        <f t="shared" ca="1" si="515"/>
        <v>0.26</v>
      </c>
      <c r="Y1088">
        <f t="shared" ca="1" si="516"/>
        <v>4.9056603773584909E-2</v>
      </c>
      <c r="Z1088">
        <f t="shared" ca="1" si="517"/>
        <v>196.15384615384616</v>
      </c>
      <c r="AA1088">
        <f t="shared" ca="1" si="518"/>
        <v>632.14299999999992</v>
      </c>
      <c r="AB1088">
        <f t="shared" ca="1" si="519"/>
        <v>2593.2200316486619</v>
      </c>
      <c r="AC1088">
        <f t="shared" ca="1" si="520"/>
        <v>482.07306851378365</v>
      </c>
      <c r="AD1088">
        <f t="shared" ca="1" si="521"/>
        <v>280.07692026646265</v>
      </c>
      <c r="AE1088">
        <f t="shared" ca="1" si="522"/>
        <v>1019.7665564573041</v>
      </c>
      <c r="AF1088">
        <f t="shared" ca="1" si="523"/>
        <v>482.07256851378406</v>
      </c>
      <c r="AG1088">
        <f t="shared" ca="1" si="524"/>
        <v>0</v>
      </c>
      <c r="AH1088">
        <f ca="1">IF(V32="Supercritical",L1088,IF(V32="Subcritical",W1088,IF(AND(V1088=1,AG1088=1),IF(T1088&gt;=AE1088,L1088,W1088),IF(V1088=1,L1088,IF(AG1088=1,W1088,MAX($D$16,POWER((ABS(K1088)^2)/($I$5*MAX(F1088,0.1)^2),1/3)))))))</f>
        <v>2.1403668656741068</v>
      </c>
      <c r="AI1088">
        <f t="shared" ca="1" si="525"/>
        <v>634.23336686567404</v>
      </c>
      <c r="AJ1088">
        <f t="shared" ca="1" si="526"/>
        <v>635.30355029851114</v>
      </c>
      <c r="AM1088">
        <v>0</v>
      </c>
      <c r="AN1088">
        <v>0</v>
      </c>
      <c r="AO1088">
        <f t="shared" si="527"/>
        <v>0</v>
      </c>
      <c r="AP1088">
        <f t="shared" si="536"/>
        <v>0</v>
      </c>
      <c r="AQ1088">
        <f t="shared" ca="1" si="528"/>
        <v>0.99999999999999978</v>
      </c>
      <c r="AR1088" t="str">
        <f t="shared" ca="1" si="529"/>
        <v>Supercritical</v>
      </c>
      <c r="AS1088">
        <f t="shared" ca="1" si="530"/>
        <v>3.8148159832266538E-3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191</v>
      </c>
      <c r="I1089">
        <v>0</v>
      </c>
      <c r="J1089">
        <f t="shared" si="531"/>
        <v>1</v>
      </c>
      <c r="K1089">
        <f t="shared" si="532"/>
        <v>51</v>
      </c>
      <c r="L1089">
        <f t="shared" ca="1" si="533"/>
        <v>0.05</v>
      </c>
      <c r="M1089">
        <f t="shared" ca="1" si="506"/>
        <v>0.26</v>
      </c>
      <c r="N1089">
        <f t="shared" ca="1" si="507"/>
        <v>4.9056603773584909E-2</v>
      </c>
      <c r="O1089">
        <f t="shared" ca="1" si="508"/>
        <v>196.15384615384616</v>
      </c>
      <c r="P1089">
        <f t="shared" ca="1" si="509"/>
        <v>632.14249999999993</v>
      </c>
      <c r="Q1089">
        <f t="shared" ca="1" si="510"/>
        <v>2593.2195316486623</v>
      </c>
      <c r="R1089">
        <f t="shared" ca="1" si="511"/>
        <v>482.07306851378365</v>
      </c>
      <c r="S1089">
        <f t="shared" ca="1" si="512"/>
        <v>280.07692026646265</v>
      </c>
      <c r="T1089">
        <f t="shared" ca="1" si="513"/>
        <v>1019.7665564573041</v>
      </c>
      <c r="U1089">
        <f t="shared" ca="1" si="534"/>
        <v>-482.07256851378406</v>
      </c>
      <c r="V1089">
        <f t="shared" ca="1" si="535"/>
        <v>0</v>
      </c>
      <c r="W1089">
        <f t="shared" ca="1" si="514"/>
        <v>0.05</v>
      </c>
      <c r="X1089">
        <f t="shared" ca="1" si="515"/>
        <v>0.26</v>
      </c>
      <c r="Y1089">
        <f t="shared" ca="1" si="516"/>
        <v>4.9056603773584909E-2</v>
      </c>
      <c r="Z1089">
        <f t="shared" ca="1" si="517"/>
        <v>196.15384615384616</v>
      </c>
      <c r="AA1089">
        <f t="shared" ca="1" si="518"/>
        <v>632.14249999999993</v>
      </c>
      <c r="AB1089">
        <f t="shared" ca="1" si="519"/>
        <v>2593.2195316486623</v>
      </c>
      <c r="AC1089">
        <f t="shared" ca="1" si="520"/>
        <v>482.07306851378365</v>
      </c>
      <c r="AD1089">
        <f t="shared" ca="1" si="521"/>
        <v>280.07692026646265</v>
      </c>
      <c r="AE1089">
        <f t="shared" ca="1" si="522"/>
        <v>1019.7665564573041</v>
      </c>
      <c r="AF1089">
        <f t="shared" ca="1" si="523"/>
        <v>481.77679776328796</v>
      </c>
      <c r="AG1089">
        <f t="shared" ca="1" si="524"/>
        <v>0</v>
      </c>
      <c r="AH1089">
        <f ca="1">IF(V32="Supercritical",L1089,IF(V32="Subcritical",W1089,IF(AND(V1089=1,AG1089=1),IF(T1089&gt;=AE1089,L1089,W1089),IF(V1089=1,L1089,IF(AG1089=1,W1089,MAX($D$16,POWER((ABS(K1089)^2)/($I$5*MAX(F1089,0.1)^2),1/3)))))))</f>
        <v>2.1403668656741068</v>
      </c>
      <c r="AI1089">
        <f t="shared" ca="1" si="525"/>
        <v>634.23286686567405</v>
      </c>
      <c r="AJ1089">
        <f t="shared" ca="1" si="526"/>
        <v>635.30305029851115</v>
      </c>
      <c r="AM1089">
        <v>0</v>
      </c>
      <c r="AN1089">
        <v>0</v>
      </c>
      <c r="AO1089">
        <f t="shared" si="527"/>
        <v>0</v>
      </c>
      <c r="AP1089">
        <f t="shared" si="536"/>
        <v>0</v>
      </c>
      <c r="AQ1089">
        <f t="shared" ca="1" si="528"/>
        <v>0.99999999999999978</v>
      </c>
      <c r="AR1089" t="str">
        <f t="shared" ca="1" si="529"/>
        <v>Supercritical</v>
      </c>
      <c r="AS1089">
        <f t="shared" ca="1" si="530"/>
        <v>3.8148159832266538E-3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191</v>
      </c>
      <c r="I1090">
        <v>5.7000000000000002E-2</v>
      </c>
      <c r="J1090">
        <f t="shared" si="531"/>
        <v>0.99900000000002365</v>
      </c>
      <c r="K1090">
        <f t="shared" si="532"/>
        <v>51</v>
      </c>
      <c r="L1090">
        <f t="shared" ca="1" si="533"/>
        <v>0.05</v>
      </c>
      <c r="M1090">
        <f t="shared" ca="1" si="506"/>
        <v>0.26</v>
      </c>
      <c r="N1090">
        <f t="shared" ca="1" si="507"/>
        <v>4.9056603773584909E-2</v>
      </c>
      <c r="O1090">
        <f t="shared" ca="1" si="508"/>
        <v>196.15384615384616</v>
      </c>
      <c r="P1090">
        <f t="shared" ca="1" si="509"/>
        <v>632.14199999999994</v>
      </c>
      <c r="Q1090">
        <f t="shared" ca="1" si="510"/>
        <v>2593.2190316486622</v>
      </c>
      <c r="R1090">
        <f t="shared" ca="1" si="511"/>
        <v>482.07306851378365</v>
      </c>
      <c r="S1090">
        <f t="shared" ca="1" si="512"/>
        <v>280.07692026646265</v>
      </c>
      <c r="T1090">
        <f t="shared" ca="1" si="513"/>
        <v>1019.7665564573041</v>
      </c>
      <c r="U1090">
        <f t="shared" ca="1" si="534"/>
        <v>-481.77679776328796</v>
      </c>
      <c r="V1090">
        <f t="shared" ca="1" si="535"/>
        <v>0</v>
      </c>
      <c r="W1090">
        <f t="shared" ca="1" si="514"/>
        <v>0.05</v>
      </c>
      <c r="X1090">
        <f t="shared" ca="1" si="515"/>
        <v>0.26</v>
      </c>
      <c r="Y1090">
        <f t="shared" ca="1" si="516"/>
        <v>4.9056603773584909E-2</v>
      </c>
      <c r="Z1090">
        <f t="shared" ca="1" si="517"/>
        <v>196.15384615384616</v>
      </c>
      <c r="AA1090">
        <f t="shared" ca="1" si="518"/>
        <v>632.14199999999994</v>
      </c>
      <c r="AB1090">
        <f t="shared" ca="1" si="519"/>
        <v>2593.2190316486622</v>
      </c>
      <c r="AC1090">
        <f t="shared" ca="1" si="520"/>
        <v>482.07306851378365</v>
      </c>
      <c r="AD1090">
        <f t="shared" ca="1" si="521"/>
        <v>280.07692026646265</v>
      </c>
      <c r="AE1090">
        <f t="shared" ca="1" si="522"/>
        <v>1019.7665564573041</v>
      </c>
      <c r="AF1090">
        <f t="shared" ca="1" si="523"/>
        <v>482.25887083179032</v>
      </c>
      <c r="AG1090">
        <f t="shared" ca="1" si="524"/>
        <v>0</v>
      </c>
      <c r="AH1090">
        <f ca="1">IF(V32="Supercritical",L1090,IF(V32="Subcritical",W1090,IF(AND(V1090=1,AG1090=1),IF(T1090&gt;=AE1090,L1090,W1090),IF(V1090=1,L1090,IF(AG1090=1,W1090,MAX($D$16,POWER((ABS(K1090)^2)/($I$5*MAX(F1090,0.1)^2),1/3)))))))</f>
        <v>2.1403668656741068</v>
      </c>
      <c r="AI1090">
        <f t="shared" ca="1" si="525"/>
        <v>634.23236686567407</v>
      </c>
      <c r="AJ1090">
        <f t="shared" ca="1" si="526"/>
        <v>635.30255029851116</v>
      </c>
      <c r="AM1090">
        <v>0</v>
      </c>
      <c r="AN1090">
        <v>0</v>
      </c>
      <c r="AO1090">
        <f t="shared" si="527"/>
        <v>0</v>
      </c>
      <c r="AP1090">
        <f t="shared" si="536"/>
        <v>0</v>
      </c>
      <c r="AQ1090">
        <f t="shared" ca="1" si="528"/>
        <v>0.99999999999999978</v>
      </c>
      <c r="AR1090" t="str">
        <f t="shared" ca="1" si="529"/>
        <v>Supercritical</v>
      </c>
      <c r="AS1090">
        <f t="shared" ca="1" si="530"/>
        <v>3.8148159832266538E-3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191</v>
      </c>
      <c r="I1091">
        <v>5.7000000000000002E-2</v>
      </c>
      <c r="J1091">
        <f t="shared" si="531"/>
        <v>1</v>
      </c>
      <c r="K1091">
        <f t="shared" si="532"/>
        <v>51</v>
      </c>
      <c r="L1091">
        <f t="shared" ca="1" si="533"/>
        <v>0.05</v>
      </c>
      <c r="M1091">
        <f t="shared" ca="1" si="506"/>
        <v>0.26</v>
      </c>
      <c r="N1091">
        <f t="shared" ca="1" si="507"/>
        <v>4.9056603773584909E-2</v>
      </c>
      <c r="O1091">
        <f t="shared" ca="1" si="508"/>
        <v>196.15384615384616</v>
      </c>
      <c r="P1091">
        <f t="shared" ca="1" si="509"/>
        <v>632.14149999999995</v>
      </c>
      <c r="Q1091">
        <f t="shared" ca="1" si="510"/>
        <v>2593.2185316486621</v>
      </c>
      <c r="R1091">
        <f t="shared" ca="1" si="511"/>
        <v>482.07306851378365</v>
      </c>
      <c r="S1091">
        <f t="shared" ca="1" si="512"/>
        <v>280.07692026646265</v>
      </c>
      <c r="T1091">
        <f t="shared" ca="1" si="513"/>
        <v>1019.7665564573041</v>
      </c>
      <c r="U1091">
        <f t="shared" ca="1" si="534"/>
        <v>-482.25887083179032</v>
      </c>
      <c r="V1091">
        <f t="shared" ca="1" si="535"/>
        <v>0</v>
      </c>
      <c r="W1091">
        <f t="shared" ca="1" si="514"/>
        <v>0.05</v>
      </c>
      <c r="X1091">
        <f t="shared" ca="1" si="515"/>
        <v>0.26</v>
      </c>
      <c r="Y1091">
        <f t="shared" ca="1" si="516"/>
        <v>4.9056603773584909E-2</v>
      </c>
      <c r="Z1091">
        <f t="shared" ca="1" si="517"/>
        <v>196.15384615384616</v>
      </c>
      <c r="AA1091">
        <f t="shared" ca="1" si="518"/>
        <v>632.14149999999995</v>
      </c>
      <c r="AB1091">
        <f t="shared" ca="1" si="519"/>
        <v>2593.2185316486621</v>
      </c>
      <c r="AC1091">
        <f t="shared" ca="1" si="520"/>
        <v>482.07306851378365</v>
      </c>
      <c r="AD1091">
        <f t="shared" ca="1" si="521"/>
        <v>280.07692026646265</v>
      </c>
      <c r="AE1091">
        <f t="shared" ca="1" si="522"/>
        <v>1019.7665564573041</v>
      </c>
      <c r="AF1091">
        <f t="shared" ca="1" si="523"/>
        <v>482.07256851378361</v>
      </c>
      <c r="AG1091">
        <f t="shared" ca="1" si="524"/>
        <v>0</v>
      </c>
      <c r="AH1091">
        <f ca="1">IF(V32="Supercritical",L1091,IF(V32="Subcritical",W1091,IF(AND(V1091=1,AG1091=1),IF(T1091&gt;=AE1091,L1091,W1091),IF(V1091=1,L1091,IF(AG1091=1,W1091,MAX($D$16,POWER((ABS(K1091)^2)/($I$5*MAX(F1091,0.1)^2),1/3)))))))</f>
        <v>2.1403668656741068</v>
      </c>
      <c r="AI1091">
        <f t="shared" ca="1" si="525"/>
        <v>634.23186686567408</v>
      </c>
      <c r="AJ1091">
        <f t="shared" ca="1" si="526"/>
        <v>635.30205029851118</v>
      </c>
      <c r="AM1091">
        <v>0</v>
      </c>
      <c r="AN1091">
        <v>0</v>
      </c>
      <c r="AO1091">
        <f t="shared" si="527"/>
        <v>0</v>
      </c>
      <c r="AP1091">
        <f t="shared" si="536"/>
        <v>0</v>
      </c>
      <c r="AQ1091">
        <f t="shared" ca="1" si="528"/>
        <v>0.99999999999999978</v>
      </c>
      <c r="AR1091" t="str">
        <f t="shared" ca="1" si="529"/>
        <v>Supercritical</v>
      </c>
      <c r="AS1091">
        <f t="shared" ca="1" si="530"/>
        <v>3.8148159832266538E-3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191</v>
      </c>
      <c r="I1092">
        <v>0</v>
      </c>
      <c r="J1092">
        <f t="shared" si="531"/>
        <v>1</v>
      </c>
      <c r="K1092">
        <f t="shared" si="532"/>
        <v>51</v>
      </c>
      <c r="L1092">
        <f t="shared" ca="1" si="533"/>
        <v>0.05</v>
      </c>
      <c r="M1092">
        <f t="shared" ca="1" si="506"/>
        <v>0.26</v>
      </c>
      <c r="N1092">
        <f t="shared" ca="1" si="507"/>
        <v>4.9056603773584909E-2</v>
      </c>
      <c r="O1092">
        <f t="shared" ca="1" si="508"/>
        <v>196.15384615384616</v>
      </c>
      <c r="P1092">
        <f t="shared" ca="1" si="509"/>
        <v>632.14099999999996</v>
      </c>
      <c r="Q1092">
        <f t="shared" ca="1" si="510"/>
        <v>2593.218031648662</v>
      </c>
      <c r="R1092">
        <f t="shared" ca="1" si="511"/>
        <v>482.07306851378365</v>
      </c>
      <c r="S1092">
        <f t="shared" ca="1" si="512"/>
        <v>280.07692026646265</v>
      </c>
      <c r="T1092">
        <f t="shared" ca="1" si="513"/>
        <v>1019.7665564573041</v>
      </c>
      <c r="U1092">
        <f t="shared" ca="1" si="534"/>
        <v>-482.07256851378361</v>
      </c>
      <c r="V1092">
        <f t="shared" ca="1" si="535"/>
        <v>0</v>
      </c>
      <c r="W1092">
        <f t="shared" ca="1" si="514"/>
        <v>0.05</v>
      </c>
      <c r="X1092">
        <f t="shared" ca="1" si="515"/>
        <v>0.26</v>
      </c>
      <c r="Y1092">
        <f t="shared" ca="1" si="516"/>
        <v>4.9056603773584909E-2</v>
      </c>
      <c r="Z1092">
        <f t="shared" ca="1" si="517"/>
        <v>196.15384615384616</v>
      </c>
      <c r="AA1092">
        <f t="shared" ca="1" si="518"/>
        <v>632.14099999999996</v>
      </c>
      <c r="AB1092">
        <f t="shared" ca="1" si="519"/>
        <v>2593.218031648662</v>
      </c>
      <c r="AC1092">
        <f t="shared" ca="1" si="520"/>
        <v>482.07306851378365</v>
      </c>
      <c r="AD1092">
        <f t="shared" ca="1" si="521"/>
        <v>280.07692026646265</v>
      </c>
      <c r="AE1092">
        <f t="shared" ca="1" si="522"/>
        <v>1019.7665564573041</v>
      </c>
      <c r="AF1092">
        <f t="shared" ca="1" si="523"/>
        <v>482.07256851378361</v>
      </c>
      <c r="AG1092">
        <f t="shared" ca="1" si="524"/>
        <v>0</v>
      </c>
      <c r="AH1092">
        <f ca="1">IF(V32="Supercritical",L1092,IF(V32="Subcritical",W1092,IF(AND(V1092=1,AG1092=1),IF(T1092&gt;=AE1092,L1092,W1092),IF(V1092=1,L1092,IF(AG1092=1,W1092,MAX($D$16,POWER((ABS(K1092)^2)/($I$5*MAX(F1092,0.1)^2),1/3)))))))</f>
        <v>2.1403668656741068</v>
      </c>
      <c r="AI1092">
        <f t="shared" ca="1" si="525"/>
        <v>634.23136686567409</v>
      </c>
      <c r="AJ1092">
        <f t="shared" ca="1" si="526"/>
        <v>635.30155029851119</v>
      </c>
      <c r="AM1092">
        <v>0</v>
      </c>
      <c r="AN1092">
        <v>0</v>
      </c>
      <c r="AO1092">
        <f t="shared" si="527"/>
        <v>0</v>
      </c>
      <c r="AP1092">
        <f t="shared" si="536"/>
        <v>0</v>
      </c>
      <c r="AQ1092">
        <f t="shared" ca="1" si="528"/>
        <v>0.99999999999999978</v>
      </c>
      <c r="AR1092" t="str">
        <f t="shared" ca="1" si="529"/>
        <v>Supercritical</v>
      </c>
      <c r="AS1092">
        <f t="shared" ca="1" si="530"/>
        <v>3.8148159832266538E-3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191</v>
      </c>
      <c r="I1093">
        <v>0</v>
      </c>
      <c r="J1093">
        <f t="shared" si="531"/>
        <v>1</v>
      </c>
      <c r="K1093">
        <f t="shared" si="532"/>
        <v>51</v>
      </c>
      <c r="L1093">
        <f t="shared" ca="1" si="533"/>
        <v>0.05</v>
      </c>
      <c r="M1093">
        <f t="shared" ca="1" si="506"/>
        <v>0.26</v>
      </c>
      <c r="N1093">
        <f t="shared" ca="1" si="507"/>
        <v>4.9056603773584909E-2</v>
      </c>
      <c r="O1093">
        <f t="shared" ca="1" si="508"/>
        <v>196.15384615384616</v>
      </c>
      <c r="P1093">
        <f t="shared" ca="1" si="509"/>
        <v>632.14049999999997</v>
      </c>
      <c r="Q1093">
        <f t="shared" ca="1" si="510"/>
        <v>2593.2175316486619</v>
      </c>
      <c r="R1093">
        <f t="shared" ca="1" si="511"/>
        <v>482.07306851378365</v>
      </c>
      <c r="S1093">
        <f t="shared" ca="1" si="512"/>
        <v>280.07692026646265</v>
      </c>
      <c r="T1093">
        <f t="shared" ca="1" si="513"/>
        <v>1019.7665564573041</v>
      </c>
      <c r="U1093">
        <f t="shared" ca="1" si="534"/>
        <v>-482.07256851378361</v>
      </c>
      <c r="V1093">
        <f t="shared" ca="1" si="535"/>
        <v>0</v>
      </c>
      <c r="W1093">
        <f t="shared" ca="1" si="514"/>
        <v>0.05</v>
      </c>
      <c r="X1093">
        <f t="shared" ca="1" si="515"/>
        <v>0.26</v>
      </c>
      <c r="Y1093">
        <f t="shared" ca="1" si="516"/>
        <v>4.9056603773584909E-2</v>
      </c>
      <c r="Z1093">
        <f t="shared" ca="1" si="517"/>
        <v>196.15384615384616</v>
      </c>
      <c r="AA1093">
        <f t="shared" ca="1" si="518"/>
        <v>632.14049999999997</v>
      </c>
      <c r="AB1093">
        <f t="shared" ca="1" si="519"/>
        <v>2593.2175316486619</v>
      </c>
      <c r="AC1093">
        <f t="shared" ca="1" si="520"/>
        <v>482.07306851378365</v>
      </c>
      <c r="AD1093">
        <f t="shared" ca="1" si="521"/>
        <v>280.07692026646265</v>
      </c>
      <c r="AE1093">
        <f t="shared" ca="1" si="522"/>
        <v>1019.7665564573041</v>
      </c>
      <c r="AF1093">
        <f t="shared" ca="1" si="523"/>
        <v>482.25887083179077</v>
      </c>
      <c r="AG1093">
        <f t="shared" ca="1" si="524"/>
        <v>0</v>
      </c>
      <c r="AH1093">
        <f ca="1">IF(V32="Supercritical",L1093,IF(V32="Subcritical",W1093,IF(AND(V1093=1,AG1093=1),IF(T1093&gt;=AE1093,L1093,W1093),IF(V1093=1,L1093,IF(AG1093=1,W1093,MAX($D$16,POWER((ABS(K1093)^2)/($I$5*MAX(F1093,0.1)^2),1/3)))))))</f>
        <v>2.1403668656741068</v>
      </c>
      <c r="AI1093">
        <f t="shared" ca="1" si="525"/>
        <v>634.2308668656741</v>
      </c>
      <c r="AJ1093">
        <f t="shared" ca="1" si="526"/>
        <v>635.3010502985112</v>
      </c>
      <c r="AM1093">
        <v>0</v>
      </c>
      <c r="AN1093">
        <v>0</v>
      </c>
      <c r="AO1093">
        <f t="shared" si="527"/>
        <v>0</v>
      </c>
      <c r="AP1093">
        <f t="shared" si="536"/>
        <v>0</v>
      </c>
      <c r="AQ1093">
        <f t="shared" ca="1" si="528"/>
        <v>0.99999999999999978</v>
      </c>
      <c r="AR1093" t="str">
        <f t="shared" ca="1" si="529"/>
        <v>Supercritical</v>
      </c>
      <c r="AS1093">
        <f t="shared" ca="1" si="530"/>
        <v>3.8148159832266538E-3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191</v>
      </c>
      <c r="I1094">
        <v>5.7000000000000002E-2</v>
      </c>
      <c r="J1094">
        <f t="shared" si="531"/>
        <v>1</v>
      </c>
      <c r="K1094">
        <f t="shared" si="532"/>
        <v>51</v>
      </c>
      <c r="L1094">
        <f t="shared" ca="1" si="533"/>
        <v>0.05</v>
      </c>
      <c r="M1094">
        <f t="shared" ca="1" si="506"/>
        <v>0.26</v>
      </c>
      <c r="N1094">
        <f t="shared" ca="1" si="507"/>
        <v>4.9056603773584909E-2</v>
      </c>
      <c r="O1094">
        <f t="shared" ca="1" si="508"/>
        <v>196.15384615384616</v>
      </c>
      <c r="P1094">
        <f t="shared" ca="1" si="509"/>
        <v>632.14</v>
      </c>
      <c r="Q1094">
        <f t="shared" ca="1" si="510"/>
        <v>2593.2170316486622</v>
      </c>
      <c r="R1094">
        <f t="shared" ca="1" si="511"/>
        <v>482.07306851378365</v>
      </c>
      <c r="S1094">
        <f t="shared" ca="1" si="512"/>
        <v>280.07692026646265</v>
      </c>
      <c r="T1094">
        <f t="shared" ca="1" si="513"/>
        <v>1019.7665564573041</v>
      </c>
      <c r="U1094">
        <f t="shared" ca="1" si="534"/>
        <v>-482.25887083179077</v>
      </c>
      <c r="V1094">
        <f t="shared" ca="1" si="535"/>
        <v>0</v>
      </c>
      <c r="W1094">
        <f t="shared" ca="1" si="514"/>
        <v>0.05</v>
      </c>
      <c r="X1094">
        <f t="shared" ca="1" si="515"/>
        <v>0.26</v>
      </c>
      <c r="Y1094">
        <f t="shared" ca="1" si="516"/>
        <v>4.9056603773584909E-2</v>
      </c>
      <c r="Z1094">
        <f t="shared" ca="1" si="517"/>
        <v>196.15384615384616</v>
      </c>
      <c r="AA1094">
        <f t="shared" ca="1" si="518"/>
        <v>632.14</v>
      </c>
      <c r="AB1094">
        <f t="shared" ca="1" si="519"/>
        <v>2593.2170316486622</v>
      </c>
      <c r="AC1094">
        <f t="shared" ca="1" si="520"/>
        <v>482.07306851378365</v>
      </c>
      <c r="AD1094">
        <f t="shared" ca="1" si="521"/>
        <v>280.07692026646265</v>
      </c>
      <c r="AE1094">
        <f t="shared" ca="1" si="522"/>
        <v>1019.7665564573041</v>
      </c>
      <c r="AF1094">
        <f t="shared" ca="1" si="523"/>
        <v>482.25887083179032</v>
      </c>
      <c r="AG1094">
        <f t="shared" ca="1" si="524"/>
        <v>0</v>
      </c>
      <c r="AH1094">
        <f ca="1">IF(V32="Supercritical",L1094,IF(V32="Subcritical",W1094,IF(AND(V1094=1,AG1094=1),IF(T1094&gt;=AE1094,L1094,W1094),IF(V1094=1,L1094,IF(AG1094=1,W1094,MAX($D$16,POWER((ABS(K1094)^2)/($I$5*MAX(F1094,0.1)^2),1/3)))))))</f>
        <v>2.1403668656741068</v>
      </c>
      <c r="AI1094">
        <f t="shared" ca="1" si="525"/>
        <v>634.23036686567411</v>
      </c>
      <c r="AJ1094">
        <f t="shared" ca="1" si="526"/>
        <v>635.30055029851121</v>
      </c>
      <c r="AM1094">
        <v>0</v>
      </c>
      <c r="AN1094">
        <v>0</v>
      </c>
      <c r="AO1094">
        <f t="shared" si="527"/>
        <v>0</v>
      </c>
      <c r="AP1094">
        <f t="shared" si="536"/>
        <v>0</v>
      </c>
      <c r="AQ1094">
        <f t="shared" ca="1" si="528"/>
        <v>0.99999999999999978</v>
      </c>
      <c r="AR1094" t="str">
        <f t="shared" ca="1" si="529"/>
        <v>Supercritical</v>
      </c>
      <c r="AS1094">
        <f t="shared" ca="1" si="530"/>
        <v>3.8148159832266538E-3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191</v>
      </c>
      <c r="I1095">
        <v>5.7000000000000002E-2</v>
      </c>
      <c r="J1095">
        <f t="shared" si="531"/>
        <v>1</v>
      </c>
      <c r="K1095">
        <f t="shared" si="532"/>
        <v>51</v>
      </c>
      <c r="L1095">
        <f t="shared" ca="1" si="533"/>
        <v>0.05</v>
      </c>
      <c r="M1095">
        <f t="shared" ca="1" si="506"/>
        <v>0.26</v>
      </c>
      <c r="N1095">
        <f t="shared" ca="1" si="507"/>
        <v>4.9056603773584909E-2</v>
      </c>
      <c r="O1095">
        <f t="shared" ca="1" si="508"/>
        <v>196.15384615384616</v>
      </c>
      <c r="P1095">
        <f t="shared" ca="1" si="509"/>
        <v>632.1395</v>
      </c>
      <c r="Q1095">
        <f t="shared" ca="1" si="510"/>
        <v>2593.2165316486621</v>
      </c>
      <c r="R1095">
        <f t="shared" ca="1" si="511"/>
        <v>482.07306851378365</v>
      </c>
      <c r="S1095">
        <f t="shared" ca="1" si="512"/>
        <v>280.07692026646265</v>
      </c>
      <c r="T1095">
        <f t="shared" ca="1" si="513"/>
        <v>1019.7665564573041</v>
      </c>
      <c r="U1095">
        <f t="shared" ca="1" si="534"/>
        <v>-482.25887083179032</v>
      </c>
      <c r="V1095">
        <f t="shared" ca="1" si="535"/>
        <v>0</v>
      </c>
      <c r="W1095">
        <f t="shared" ca="1" si="514"/>
        <v>0.05</v>
      </c>
      <c r="X1095">
        <f t="shared" ca="1" si="515"/>
        <v>0.26</v>
      </c>
      <c r="Y1095">
        <f t="shared" ca="1" si="516"/>
        <v>4.9056603773584909E-2</v>
      </c>
      <c r="Z1095">
        <f t="shared" ca="1" si="517"/>
        <v>196.15384615384616</v>
      </c>
      <c r="AA1095">
        <f t="shared" ca="1" si="518"/>
        <v>632.1395</v>
      </c>
      <c r="AB1095">
        <f t="shared" ca="1" si="519"/>
        <v>2593.2165316486621</v>
      </c>
      <c r="AC1095">
        <f t="shared" ca="1" si="520"/>
        <v>482.07306851378365</v>
      </c>
      <c r="AD1095">
        <f t="shared" ca="1" si="521"/>
        <v>280.07692026646265</v>
      </c>
      <c r="AE1095">
        <f t="shared" ca="1" si="522"/>
        <v>1019.7665564573041</v>
      </c>
      <c r="AF1095">
        <f t="shared" ca="1" si="523"/>
        <v>482.07910543722255</v>
      </c>
      <c r="AG1095">
        <f t="shared" ca="1" si="524"/>
        <v>0</v>
      </c>
      <c r="AH1095">
        <f ca="1">IF(V32="Supercritical",L1095,IF(V32="Subcritical",W1095,IF(AND(V1095=1,AG1095=1),IF(T1095&gt;=AE1095,L1095,W1095),IF(V1095=1,L1095,IF(AG1095=1,W1095,MAX($D$16,POWER((ABS(K1095)^2)/($I$5*MAX(F1095,0.1)^2),1/3)))))))</f>
        <v>2.1403668656741068</v>
      </c>
      <c r="AI1095">
        <f t="shared" ca="1" si="525"/>
        <v>634.22986686567413</v>
      </c>
      <c r="AJ1095">
        <f t="shared" ca="1" si="526"/>
        <v>635.30005029851122</v>
      </c>
      <c r="AM1095">
        <v>0</v>
      </c>
      <c r="AN1095">
        <v>0</v>
      </c>
      <c r="AO1095">
        <f t="shared" si="527"/>
        <v>0</v>
      </c>
      <c r="AP1095">
        <f t="shared" si="536"/>
        <v>0</v>
      </c>
      <c r="AQ1095">
        <f t="shared" ca="1" si="528"/>
        <v>0.99999999999999978</v>
      </c>
      <c r="AR1095" t="str">
        <f t="shared" ca="1" si="529"/>
        <v>Supercritical</v>
      </c>
      <c r="AS1095">
        <f t="shared" ca="1" si="530"/>
        <v>3.8148159832266538E-3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191</v>
      </c>
      <c r="I1096">
        <v>2E-3</v>
      </c>
      <c r="J1096">
        <f t="shared" si="531"/>
        <v>1</v>
      </c>
      <c r="K1096">
        <f t="shared" si="532"/>
        <v>51</v>
      </c>
      <c r="L1096">
        <f t="shared" ca="1" si="533"/>
        <v>0.05</v>
      </c>
      <c r="M1096">
        <f t="shared" ca="1" si="506"/>
        <v>0.26</v>
      </c>
      <c r="N1096">
        <f t="shared" ca="1" si="507"/>
        <v>4.9056603773584909E-2</v>
      </c>
      <c r="O1096">
        <f t="shared" ca="1" si="508"/>
        <v>196.15384615384616</v>
      </c>
      <c r="P1096">
        <f t="shared" ca="1" si="509"/>
        <v>632.13900000000001</v>
      </c>
      <c r="Q1096">
        <f t="shared" ca="1" si="510"/>
        <v>2593.216031648662</v>
      </c>
      <c r="R1096">
        <f t="shared" ca="1" si="511"/>
        <v>482.07306851378365</v>
      </c>
      <c r="S1096">
        <f t="shared" ca="1" si="512"/>
        <v>280.07692026646265</v>
      </c>
      <c r="T1096">
        <f t="shared" ca="1" si="513"/>
        <v>1019.7665564573041</v>
      </c>
      <c r="U1096">
        <f t="shared" ca="1" si="534"/>
        <v>-482.07910543722255</v>
      </c>
      <c r="V1096">
        <f t="shared" ca="1" si="535"/>
        <v>0</v>
      </c>
      <c r="W1096">
        <f t="shared" ca="1" si="514"/>
        <v>0.05</v>
      </c>
      <c r="X1096">
        <f t="shared" ca="1" si="515"/>
        <v>0.26</v>
      </c>
      <c r="Y1096">
        <f t="shared" ca="1" si="516"/>
        <v>4.9056603773584909E-2</v>
      </c>
      <c r="Z1096">
        <f t="shared" ca="1" si="517"/>
        <v>196.15384615384616</v>
      </c>
      <c r="AA1096">
        <f t="shared" ca="1" si="518"/>
        <v>632.13900000000001</v>
      </c>
      <c r="AB1096">
        <f t="shared" ca="1" si="519"/>
        <v>2593.216031648662</v>
      </c>
      <c r="AC1096">
        <f t="shared" ca="1" si="520"/>
        <v>482.07306851378365</v>
      </c>
      <c r="AD1096">
        <f t="shared" ca="1" si="521"/>
        <v>280.07692026646265</v>
      </c>
      <c r="AE1096">
        <f t="shared" ca="1" si="522"/>
        <v>1019.7665564573041</v>
      </c>
      <c r="AF1096">
        <f t="shared" ca="1" si="523"/>
        <v>482.75074928545064</v>
      </c>
      <c r="AG1096">
        <f t="shared" ca="1" si="524"/>
        <v>0</v>
      </c>
      <c r="AH1096">
        <f ca="1">IF(V32="Supercritical",L1096,IF(V32="Subcritical",W1096,IF(AND(V1096=1,AG1096=1),IF(T1096&gt;=AE1096,L1096,W1096),IF(V1096=1,L1096,IF(AG1096=1,W1096,MAX($D$16,POWER((ABS(K1096)^2)/($I$5*MAX(F1096,0.1)^2),1/3)))))))</f>
        <v>2.1403668656741068</v>
      </c>
      <c r="AI1096">
        <f t="shared" ca="1" si="525"/>
        <v>634.22936686567414</v>
      </c>
      <c r="AJ1096">
        <f t="shared" ca="1" si="526"/>
        <v>635.29955029851124</v>
      </c>
      <c r="AM1096">
        <v>0</v>
      </c>
      <c r="AN1096">
        <v>0</v>
      </c>
      <c r="AO1096">
        <f t="shared" si="527"/>
        <v>0</v>
      </c>
      <c r="AP1096">
        <f t="shared" si="536"/>
        <v>0</v>
      </c>
      <c r="AQ1096">
        <f t="shared" ca="1" si="528"/>
        <v>0.99999999999999978</v>
      </c>
      <c r="AR1096" t="str">
        <f t="shared" ca="1" si="529"/>
        <v>Supercritical</v>
      </c>
      <c r="AS1096">
        <f t="shared" ca="1" si="530"/>
        <v>3.8148159832266538E-3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191</v>
      </c>
      <c r="I1097">
        <v>0.06</v>
      </c>
      <c r="J1097">
        <f t="shared" si="531"/>
        <v>1.0009999999999764</v>
      </c>
      <c r="K1097">
        <f t="shared" si="532"/>
        <v>51</v>
      </c>
      <c r="L1097">
        <f t="shared" ca="1" si="533"/>
        <v>0.05</v>
      </c>
      <c r="M1097">
        <f t="shared" ca="1" si="506"/>
        <v>0.26</v>
      </c>
      <c r="N1097">
        <f t="shared" ca="1" si="507"/>
        <v>4.9056603773584909E-2</v>
      </c>
      <c r="O1097">
        <f t="shared" ca="1" si="508"/>
        <v>196.15384615384616</v>
      </c>
      <c r="P1097">
        <f t="shared" ca="1" si="509"/>
        <v>632.13849999999991</v>
      </c>
      <c r="Q1097">
        <f t="shared" ca="1" si="510"/>
        <v>2593.2155316486619</v>
      </c>
      <c r="R1097">
        <f t="shared" ca="1" si="511"/>
        <v>482.07306851378365</v>
      </c>
      <c r="S1097">
        <f t="shared" ca="1" si="512"/>
        <v>280.07692026646265</v>
      </c>
      <c r="T1097">
        <f t="shared" ca="1" si="513"/>
        <v>1019.7665564573041</v>
      </c>
      <c r="U1097">
        <f t="shared" ca="1" si="534"/>
        <v>-482.75074928545064</v>
      </c>
      <c r="V1097">
        <f t="shared" ca="1" si="535"/>
        <v>0</v>
      </c>
      <c r="W1097">
        <f t="shared" ca="1" si="514"/>
        <v>0.05</v>
      </c>
      <c r="X1097">
        <f t="shared" ca="1" si="515"/>
        <v>0.26</v>
      </c>
      <c r="Y1097">
        <f t="shared" ca="1" si="516"/>
        <v>4.9056603773584909E-2</v>
      </c>
      <c r="Z1097">
        <f t="shared" ca="1" si="517"/>
        <v>196.15384615384616</v>
      </c>
      <c r="AA1097">
        <f t="shared" ca="1" si="518"/>
        <v>632.13849999999991</v>
      </c>
      <c r="AB1097">
        <f t="shared" ca="1" si="519"/>
        <v>2593.2155316486619</v>
      </c>
      <c r="AC1097">
        <f t="shared" ca="1" si="520"/>
        <v>482.07306851378365</v>
      </c>
      <c r="AD1097">
        <f t="shared" ca="1" si="521"/>
        <v>280.07692026646265</v>
      </c>
      <c r="AE1097">
        <f t="shared" ca="1" si="522"/>
        <v>1019.7665564573041</v>
      </c>
      <c r="AF1097">
        <f t="shared" ca="1" si="523"/>
        <v>482.25887083179077</v>
      </c>
      <c r="AG1097">
        <f t="shared" ca="1" si="524"/>
        <v>0</v>
      </c>
      <c r="AH1097">
        <f ca="1">IF(V32="Supercritical",L1097,IF(V32="Subcritical",W1097,IF(AND(V1097=1,AG1097=1),IF(T1097&gt;=AE1097,L1097,W1097),IF(V1097=1,L1097,IF(AG1097=1,W1097,MAX($D$16,POWER((ABS(K1097)^2)/($I$5*MAX(F1097,0.1)^2),1/3)))))))</f>
        <v>2.1403668656741068</v>
      </c>
      <c r="AI1097">
        <f t="shared" ca="1" si="525"/>
        <v>634.22886686567404</v>
      </c>
      <c r="AJ1097">
        <f t="shared" ca="1" si="526"/>
        <v>635.29905029851113</v>
      </c>
      <c r="AM1097">
        <v>0</v>
      </c>
      <c r="AN1097">
        <v>0</v>
      </c>
      <c r="AO1097">
        <f t="shared" si="527"/>
        <v>0</v>
      </c>
      <c r="AP1097">
        <f t="shared" si="536"/>
        <v>0</v>
      </c>
      <c r="AQ1097">
        <f t="shared" ca="1" si="528"/>
        <v>0.99999999999999978</v>
      </c>
      <c r="AR1097" t="str">
        <f t="shared" ca="1" si="529"/>
        <v>Supercritical</v>
      </c>
      <c r="AS1097">
        <f t="shared" ca="1" si="530"/>
        <v>3.8148159832266538E-3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191</v>
      </c>
      <c r="I1098">
        <v>5.7000000000000002E-2</v>
      </c>
      <c r="J1098">
        <f t="shared" si="531"/>
        <v>1</v>
      </c>
      <c r="K1098">
        <f t="shared" si="532"/>
        <v>51</v>
      </c>
      <c r="L1098">
        <f t="shared" ca="1" si="533"/>
        <v>0.05</v>
      </c>
      <c r="M1098">
        <f t="shared" ca="1" si="506"/>
        <v>0.26</v>
      </c>
      <c r="N1098">
        <f t="shared" ca="1" si="507"/>
        <v>4.9056603773584909E-2</v>
      </c>
      <c r="O1098">
        <f t="shared" ca="1" si="508"/>
        <v>196.15384615384616</v>
      </c>
      <c r="P1098">
        <f t="shared" ca="1" si="509"/>
        <v>632.13799999999992</v>
      </c>
      <c r="Q1098">
        <f t="shared" ca="1" si="510"/>
        <v>2593.2150316486623</v>
      </c>
      <c r="R1098">
        <f t="shared" ca="1" si="511"/>
        <v>482.07306851378365</v>
      </c>
      <c r="S1098">
        <f t="shared" ca="1" si="512"/>
        <v>280.07692026646265</v>
      </c>
      <c r="T1098">
        <f t="shared" ca="1" si="513"/>
        <v>1019.7665564573041</v>
      </c>
      <c r="U1098">
        <f t="shared" ca="1" si="534"/>
        <v>-482.25887083179077</v>
      </c>
      <c r="V1098">
        <f t="shared" ca="1" si="535"/>
        <v>0</v>
      </c>
      <c r="W1098">
        <f t="shared" ca="1" si="514"/>
        <v>0.05</v>
      </c>
      <c r="X1098">
        <f t="shared" ca="1" si="515"/>
        <v>0.26</v>
      </c>
      <c r="Y1098">
        <f t="shared" ca="1" si="516"/>
        <v>4.9056603773584909E-2</v>
      </c>
      <c r="Z1098">
        <f t="shared" ca="1" si="517"/>
        <v>196.15384615384616</v>
      </c>
      <c r="AA1098">
        <f t="shared" ca="1" si="518"/>
        <v>632.13799999999992</v>
      </c>
      <c r="AB1098">
        <f t="shared" ca="1" si="519"/>
        <v>2593.2150316486623</v>
      </c>
      <c r="AC1098">
        <f t="shared" ca="1" si="520"/>
        <v>482.07306851378365</v>
      </c>
      <c r="AD1098">
        <f t="shared" ca="1" si="521"/>
        <v>280.07692026646265</v>
      </c>
      <c r="AE1098">
        <f t="shared" ca="1" si="522"/>
        <v>1019.7665564573041</v>
      </c>
      <c r="AF1098">
        <f t="shared" ca="1" si="523"/>
        <v>481.59049544528125</v>
      </c>
      <c r="AG1098">
        <f t="shared" ca="1" si="524"/>
        <v>0</v>
      </c>
      <c r="AH1098">
        <f ca="1">IF(V32="Supercritical",L1098,IF(V32="Subcritical",W1098,IF(AND(V1098=1,AG1098=1),IF(T1098&gt;=AE1098,L1098,W1098),IF(V1098=1,L1098,IF(AG1098=1,W1098,MAX($D$16,POWER((ABS(K1098)^2)/($I$5*MAX(F1098,0.1)^2),1/3)))))))</f>
        <v>2.1403668656741068</v>
      </c>
      <c r="AI1098">
        <f t="shared" ca="1" si="525"/>
        <v>634.22836686567405</v>
      </c>
      <c r="AJ1098">
        <f t="shared" ca="1" si="526"/>
        <v>635.29855029851115</v>
      </c>
      <c r="AM1098">
        <v>0</v>
      </c>
      <c r="AN1098">
        <v>0</v>
      </c>
      <c r="AO1098">
        <f t="shared" si="527"/>
        <v>0</v>
      </c>
      <c r="AP1098">
        <f t="shared" si="536"/>
        <v>0</v>
      </c>
      <c r="AQ1098">
        <f t="shared" ca="1" si="528"/>
        <v>0.99999999999999978</v>
      </c>
      <c r="AR1098" t="str">
        <f t="shared" ca="1" si="529"/>
        <v>Supercritical</v>
      </c>
      <c r="AS1098">
        <f t="shared" ca="1" si="530"/>
        <v>3.8148159832266538E-3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191</v>
      </c>
      <c r="I1099">
        <v>0</v>
      </c>
      <c r="J1099">
        <f t="shared" si="531"/>
        <v>0.99900000000002365</v>
      </c>
      <c r="K1099">
        <f t="shared" si="532"/>
        <v>51</v>
      </c>
      <c r="L1099">
        <f t="shared" ca="1" si="533"/>
        <v>0.05</v>
      </c>
      <c r="M1099">
        <f t="shared" ca="1" si="506"/>
        <v>0.26</v>
      </c>
      <c r="N1099">
        <f t="shared" ca="1" si="507"/>
        <v>4.9056603773584909E-2</v>
      </c>
      <c r="O1099">
        <f t="shared" ca="1" si="508"/>
        <v>196.15384615384616</v>
      </c>
      <c r="P1099">
        <f t="shared" ca="1" si="509"/>
        <v>632.13749999999993</v>
      </c>
      <c r="Q1099">
        <f t="shared" ca="1" si="510"/>
        <v>2593.2145316486622</v>
      </c>
      <c r="R1099">
        <f t="shared" ca="1" si="511"/>
        <v>482.07306851378365</v>
      </c>
      <c r="S1099">
        <f t="shared" ca="1" si="512"/>
        <v>280.07692026646265</v>
      </c>
      <c r="T1099">
        <f t="shared" ca="1" si="513"/>
        <v>1019.7665564573041</v>
      </c>
      <c r="U1099">
        <f t="shared" ca="1" si="534"/>
        <v>-481.59049544528125</v>
      </c>
      <c r="V1099">
        <f t="shared" ca="1" si="535"/>
        <v>0</v>
      </c>
      <c r="W1099">
        <f t="shared" ca="1" si="514"/>
        <v>0.05</v>
      </c>
      <c r="X1099">
        <f t="shared" ca="1" si="515"/>
        <v>0.26</v>
      </c>
      <c r="Y1099">
        <f t="shared" ca="1" si="516"/>
        <v>4.9056603773584909E-2</v>
      </c>
      <c r="Z1099">
        <f t="shared" ca="1" si="517"/>
        <v>196.15384615384616</v>
      </c>
      <c r="AA1099">
        <f t="shared" ca="1" si="518"/>
        <v>632.13749999999993</v>
      </c>
      <c r="AB1099">
        <f t="shared" ca="1" si="519"/>
        <v>2593.2145316486622</v>
      </c>
      <c r="AC1099">
        <f t="shared" ca="1" si="520"/>
        <v>482.07306851378365</v>
      </c>
      <c r="AD1099">
        <f t="shared" ca="1" si="521"/>
        <v>280.07692026646265</v>
      </c>
      <c r="AE1099">
        <f t="shared" ca="1" si="522"/>
        <v>1019.7665564573041</v>
      </c>
      <c r="AF1099">
        <f t="shared" ca="1" si="523"/>
        <v>482.07256851378361</v>
      </c>
      <c r="AG1099">
        <f t="shared" ca="1" si="524"/>
        <v>0</v>
      </c>
      <c r="AH1099">
        <f ca="1">IF(V32="Supercritical",L1099,IF(V32="Subcritical",W1099,IF(AND(V1099=1,AG1099=1),IF(T1099&gt;=AE1099,L1099,W1099),IF(V1099=1,L1099,IF(AG1099=1,W1099,MAX($D$16,POWER((ABS(K1099)^2)/($I$5*MAX(F1099,0.1)^2),1/3)))))))</f>
        <v>2.1403668656741068</v>
      </c>
      <c r="AI1099">
        <f t="shared" ca="1" si="525"/>
        <v>634.22786686567406</v>
      </c>
      <c r="AJ1099">
        <f t="shared" ca="1" si="526"/>
        <v>635.29805029851116</v>
      </c>
      <c r="AM1099">
        <v>0</v>
      </c>
      <c r="AN1099">
        <v>0</v>
      </c>
      <c r="AO1099">
        <f t="shared" si="527"/>
        <v>0</v>
      </c>
      <c r="AP1099">
        <f t="shared" si="536"/>
        <v>0</v>
      </c>
      <c r="AQ1099">
        <f t="shared" ca="1" si="528"/>
        <v>0.99999999999999978</v>
      </c>
      <c r="AR1099" t="str">
        <f t="shared" ca="1" si="529"/>
        <v>Supercritical</v>
      </c>
      <c r="AS1099">
        <f t="shared" ca="1" si="530"/>
        <v>3.8148159832266538E-3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191</v>
      </c>
      <c r="I1100">
        <v>0</v>
      </c>
      <c r="J1100">
        <f t="shared" si="531"/>
        <v>1</v>
      </c>
      <c r="K1100">
        <f t="shared" si="532"/>
        <v>51</v>
      </c>
      <c r="L1100">
        <f t="shared" ca="1" si="533"/>
        <v>0.05</v>
      </c>
      <c r="M1100">
        <f t="shared" ca="1" si="506"/>
        <v>0.26</v>
      </c>
      <c r="N1100">
        <f t="shared" ca="1" si="507"/>
        <v>4.9056603773584909E-2</v>
      </c>
      <c r="O1100">
        <f t="shared" ca="1" si="508"/>
        <v>196.15384615384616</v>
      </c>
      <c r="P1100">
        <f t="shared" ca="1" si="509"/>
        <v>632.13699999999994</v>
      </c>
      <c r="Q1100">
        <f t="shared" ca="1" si="510"/>
        <v>2593.2140316486621</v>
      </c>
      <c r="R1100">
        <f t="shared" ca="1" si="511"/>
        <v>482.07306851378365</v>
      </c>
      <c r="S1100">
        <f t="shared" ca="1" si="512"/>
        <v>280.07692026646265</v>
      </c>
      <c r="T1100">
        <f t="shared" ca="1" si="513"/>
        <v>1019.7665564573041</v>
      </c>
      <c r="U1100">
        <f t="shared" ca="1" si="534"/>
        <v>-482.07256851378361</v>
      </c>
      <c r="V1100">
        <f t="shared" ca="1" si="535"/>
        <v>0</v>
      </c>
      <c r="W1100">
        <f t="shared" ca="1" si="514"/>
        <v>0.05</v>
      </c>
      <c r="X1100">
        <f t="shared" ca="1" si="515"/>
        <v>0.26</v>
      </c>
      <c r="Y1100">
        <f t="shared" ca="1" si="516"/>
        <v>4.9056603773584909E-2</v>
      </c>
      <c r="Z1100">
        <f t="shared" ca="1" si="517"/>
        <v>196.15384615384616</v>
      </c>
      <c r="AA1100">
        <f t="shared" ca="1" si="518"/>
        <v>632.13699999999994</v>
      </c>
      <c r="AB1100">
        <f t="shared" ca="1" si="519"/>
        <v>2593.2140316486621</v>
      </c>
      <c r="AC1100">
        <f t="shared" ca="1" si="520"/>
        <v>482.07306851378365</v>
      </c>
      <c r="AD1100">
        <f t="shared" ca="1" si="521"/>
        <v>280.07692026646265</v>
      </c>
      <c r="AE1100">
        <f t="shared" ca="1" si="522"/>
        <v>1019.7665564573041</v>
      </c>
      <c r="AF1100">
        <f t="shared" ca="1" si="523"/>
        <v>482.25887083179032</v>
      </c>
      <c r="AG1100">
        <f t="shared" ca="1" si="524"/>
        <v>0</v>
      </c>
      <c r="AH1100">
        <f ca="1">IF(V32="Supercritical",L1100,IF(V32="Subcritical",W1100,IF(AND(V1100=1,AG1100=1),IF(T1100&gt;=AE1100,L1100,W1100),IF(V1100=1,L1100,IF(AG1100=1,W1100,MAX($D$16,POWER((ABS(K1100)^2)/($I$5*MAX(F1100,0.1)^2),1/3)))))))</f>
        <v>2.1403668656741068</v>
      </c>
      <c r="AI1100">
        <f t="shared" ca="1" si="525"/>
        <v>634.22736686567407</v>
      </c>
      <c r="AJ1100">
        <f t="shared" ca="1" si="526"/>
        <v>635.29755029851117</v>
      </c>
      <c r="AM1100">
        <v>0</v>
      </c>
      <c r="AN1100">
        <v>0</v>
      </c>
      <c r="AO1100">
        <f t="shared" si="527"/>
        <v>0</v>
      </c>
      <c r="AP1100">
        <f t="shared" si="536"/>
        <v>0</v>
      </c>
      <c r="AQ1100">
        <f t="shared" ca="1" si="528"/>
        <v>0.99999999999999978</v>
      </c>
      <c r="AR1100" t="str">
        <f t="shared" ca="1" si="529"/>
        <v>Supercritical</v>
      </c>
      <c r="AS1100">
        <f t="shared" ca="1" si="530"/>
        <v>3.8148159832266538E-3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191</v>
      </c>
      <c r="I1101">
        <v>5.7000000000000002E-2</v>
      </c>
      <c r="J1101">
        <f t="shared" si="531"/>
        <v>1</v>
      </c>
      <c r="K1101">
        <f t="shared" si="532"/>
        <v>51</v>
      </c>
      <c r="L1101">
        <f t="shared" ca="1" si="533"/>
        <v>0.05</v>
      </c>
      <c r="M1101">
        <f t="shared" ca="1" si="506"/>
        <v>0.26</v>
      </c>
      <c r="N1101">
        <f t="shared" ca="1" si="507"/>
        <v>4.9056603773584909E-2</v>
      </c>
      <c r="O1101">
        <f t="shared" ca="1" si="508"/>
        <v>196.15384615384616</v>
      </c>
      <c r="P1101">
        <f t="shared" ca="1" si="509"/>
        <v>632.13649999999996</v>
      </c>
      <c r="Q1101">
        <f t="shared" ca="1" si="510"/>
        <v>2593.213531648662</v>
      </c>
      <c r="R1101">
        <f t="shared" ca="1" si="511"/>
        <v>482.07306851378365</v>
      </c>
      <c r="S1101">
        <f t="shared" ca="1" si="512"/>
        <v>280.07692026646265</v>
      </c>
      <c r="T1101">
        <f t="shared" ca="1" si="513"/>
        <v>1019.7665564573041</v>
      </c>
      <c r="U1101">
        <f t="shared" ca="1" si="534"/>
        <v>-482.25887083179032</v>
      </c>
      <c r="V1101">
        <f t="shared" ca="1" si="535"/>
        <v>0</v>
      </c>
      <c r="W1101">
        <f t="shared" ca="1" si="514"/>
        <v>0.05</v>
      </c>
      <c r="X1101">
        <f t="shared" ca="1" si="515"/>
        <v>0.26</v>
      </c>
      <c r="Y1101">
        <f t="shared" ca="1" si="516"/>
        <v>4.9056603773584909E-2</v>
      </c>
      <c r="Z1101">
        <f t="shared" ca="1" si="517"/>
        <v>196.15384615384616</v>
      </c>
      <c r="AA1101">
        <f t="shared" ca="1" si="518"/>
        <v>632.13649999999996</v>
      </c>
      <c r="AB1101">
        <f t="shared" ca="1" si="519"/>
        <v>2593.213531648662</v>
      </c>
      <c r="AC1101">
        <f t="shared" ca="1" si="520"/>
        <v>482.07306851378365</v>
      </c>
      <c r="AD1101">
        <f t="shared" ca="1" si="521"/>
        <v>280.07692026646265</v>
      </c>
      <c r="AE1101">
        <f t="shared" ca="1" si="522"/>
        <v>1019.7665564573041</v>
      </c>
      <c r="AF1101">
        <f t="shared" ca="1" si="523"/>
        <v>482.25887083179032</v>
      </c>
      <c r="AG1101">
        <f t="shared" ca="1" si="524"/>
        <v>0</v>
      </c>
      <c r="AH1101">
        <f ca="1">IF(V32="Supercritical",L1101,IF(V32="Subcritical",W1101,IF(AND(V1101=1,AG1101=1),IF(T1101&gt;=AE1101,L1101,W1101),IF(V1101=1,L1101,IF(AG1101=1,W1101,MAX($D$16,POWER((ABS(K1101)^2)/($I$5*MAX(F1101,0.1)^2),1/3)))))))</f>
        <v>2.1403668656741068</v>
      </c>
      <c r="AI1101">
        <f t="shared" ca="1" si="525"/>
        <v>634.22686686567408</v>
      </c>
      <c r="AJ1101">
        <f t="shared" ca="1" si="526"/>
        <v>635.29705029851118</v>
      </c>
      <c r="AM1101">
        <v>0</v>
      </c>
      <c r="AN1101">
        <v>0</v>
      </c>
      <c r="AO1101">
        <f t="shared" si="527"/>
        <v>0</v>
      </c>
      <c r="AP1101">
        <f t="shared" si="536"/>
        <v>0</v>
      </c>
      <c r="AQ1101">
        <f t="shared" ca="1" si="528"/>
        <v>0.99999999999999978</v>
      </c>
      <c r="AR1101" t="str">
        <f t="shared" ca="1" si="529"/>
        <v>Supercritical</v>
      </c>
      <c r="AS1101">
        <f t="shared" ca="1" si="530"/>
        <v>3.8148159832266538E-3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191</v>
      </c>
      <c r="I1102">
        <v>5.7000000000000002E-2</v>
      </c>
      <c r="J1102">
        <f t="shared" si="531"/>
        <v>1</v>
      </c>
      <c r="K1102">
        <f t="shared" si="532"/>
        <v>51</v>
      </c>
      <c r="L1102">
        <f t="shared" ca="1" si="533"/>
        <v>0.05</v>
      </c>
      <c r="M1102">
        <f t="shared" ca="1" si="506"/>
        <v>0.26</v>
      </c>
      <c r="N1102">
        <f t="shared" ca="1" si="507"/>
        <v>4.9056603773584909E-2</v>
      </c>
      <c r="O1102">
        <f t="shared" ca="1" si="508"/>
        <v>196.15384615384616</v>
      </c>
      <c r="P1102">
        <f t="shared" ca="1" si="509"/>
        <v>632.13599999999997</v>
      </c>
      <c r="Q1102">
        <f t="shared" ca="1" si="510"/>
        <v>2593.2130316486619</v>
      </c>
      <c r="R1102">
        <f t="shared" ca="1" si="511"/>
        <v>482.07306851378365</v>
      </c>
      <c r="S1102">
        <f t="shared" ca="1" si="512"/>
        <v>280.07692026646265</v>
      </c>
      <c r="T1102">
        <f t="shared" ca="1" si="513"/>
        <v>1019.7665564573041</v>
      </c>
      <c r="U1102">
        <f t="shared" ca="1" si="534"/>
        <v>-482.25887083179032</v>
      </c>
      <c r="V1102">
        <f t="shared" ca="1" si="535"/>
        <v>0</v>
      </c>
      <c r="W1102">
        <f t="shared" ca="1" si="514"/>
        <v>0.05</v>
      </c>
      <c r="X1102">
        <f t="shared" ca="1" si="515"/>
        <v>0.26</v>
      </c>
      <c r="Y1102">
        <f t="shared" ca="1" si="516"/>
        <v>4.9056603773584909E-2</v>
      </c>
      <c r="Z1102">
        <f t="shared" ca="1" si="517"/>
        <v>196.15384615384616</v>
      </c>
      <c r="AA1102">
        <f t="shared" ca="1" si="518"/>
        <v>632.13599999999997</v>
      </c>
      <c r="AB1102">
        <f t="shared" ca="1" si="519"/>
        <v>2593.2130316486619</v>
      </c>
      <c r="AC1102">
        <f t="shared" ca="1" si="520"/>
        <v>482.07306851378365</v>
      </c>
      <c r="AD1102">
        <f t="shared" ca="1" si="521"/>
        <v>280.07692026646265</v>
      </c>
      <c r="AE1102">
        <f t="shared" ca="1" si="522"/>
        <v>1019.7665564573041</v>
      </c>
      <c r="AF1102">
        <f t="shared" ca="1" si="523"/>
        <v>482.07256851378406</v>
      </c>
      <c r="AG1102">
        <f t="shared" ca="1" si="524"/>
        <v>0</v>
      </c>
      <c r="AH1102">
        <f ca="1">IF(V32="Supercritical",L1102,IF(V32="Subcritical",W1102,IF(AND(V1102=1,AG1102=1),IF(T1102&gt;=AE1102,L1102,W1102),IF(V1102=1,L1102,IF(AG1102=1,W1102,MAX($D$16,POWER((ABS(K1102)^2)/($I$5*MAX(F1102,0.1)^2),1/3)))))))</f>
        <v>2.1403668656741068</v>
      </c>
      <c r="AI1102">
        <f t="shared" ca="1" si="525"/>
        <v>634.22636686567409</v>
      </c>
      <c r="AJ1102">
        <f t="shared" ca="1" si="526"/>
        <v>635.29655029851119</v>
      </c>
      <c r="AM1102">
        <v>0</v>
      </c>
      <c r="AN1102">
        <v>0</v>
      </c>
      <c r="AO1102">
        <f t="shared" si="527"/>
        <v>0</v>
      </c>
      <c r="AP1102">
        <f t="shared" si="536"/>
        <v>0</v>
      </c>
      <c r="AQ1102">
        <f t="shared" ca="1" si="528"/>
        <v>0.99999999999999978</v>
      </c>
      <c r="AR1102" t="str">
        <f t="shared" ca="1" si="529"/>
        <v>Supercritical</v>
      </c>
      <c r="AS1102">
        <f t="shared" ca="1" si="530"/>
        <v>3.8148159832266538E-3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191</v>
      </c>
      <c r="I1103">
        <v>0</v>
      </c>
      <c r="J1103">
        <f t="shared" si="531"/>
        <v>1</v>
      </c>
      <c r="K1103">
        <f t="shared" si="532"/>
        <v>51</v>
      </c>
      <c r="L1103">
        <f t="shared" ca="1" si="533"/>
        <v>0.05</v>
      </c>
      <c r="M1103">
        <f t="shared" ca="1" si="506"/>
        <v>0.26</v>
      </c>
      <c r="N1103">
        <f t="shared" ca="1" si="507"/>
        <v>4.9056603773584909E-2</v>
      </c>
      <c r="O1103">
        <f t="shared" ca="1" si="508"/>
        <v>196.15384615384616</v>
      </c>
      <c r="P1103">
        <f t="shared" ca="1" si="509"/>
        <v>632.13549999999998</v>
      </c>
      <c r="Q1103">
        <f t="shared" ca="1" si="510"/>
        <v>2593.2125316486622</v>
      </c>
      <c r="R1103">
        <f t="shared" ca="1" si="511"/>
        <v>482.07306851378365</v>
      </c>
      <c r="S1103">
        <f t="shared" ca="1" si="512"/>
        <v>280.07692026646265</v>
      </c>
      <c r="T1103">
        <f t="shared" ca="1" si="513"/>
        <v>1019.7665564573041</v>
      </c>
      <c r="U1103">
        <f t="shared" ca="1" si="534"/>
        <v>-482.07256851378406</v>
      </c>
      <c r="V1103">
        <f t="shared" ca="1" si="535"/>
        <v>0</v>
      </c>
      <c r="W1103">
        <f t="shared" ca="1" si="514"/>
        <v>0.05</v>
      </c>
      <c r="X1103">
        <f t="shared" ca="1" si="515"/>
        <v>0.26</v>
      </c>
      <c r="Y1103">
        <f t="shared" ca="1" si="516"/>
        <v>4.9056603773584909E-2</v>
      </c>
      <c r="Z1103">
        <f t="shared" ca="1" si="517"/>
        <v>196.15384615384616</v>
      </c>
      <c r="AA1103">
        <f t="shared" ca="1" si="518"/>
        <v>632.13549999999998</v>
      </c>
      <c r="AB1103">
        <f t="shared" ca="1" si="519"/>
        <v>2593.2125316486622</v>
      </c>
      <c r="AC1103">
        <f t="shared" ca="1" si="520"/>
        <v>482.07306851378365</v>
      </c>
      <c r="AD1103">
        <f t="shared" ca="1" si="521"/>
        <v>280.07692026646265</v>
      </c>
      <c r="AE1103">
        <f t="shared" ca="1" si="522"/>
        <v>1019.7665564573041</v>
      </c>
      <c r="AF1103">
        <f t="shared" ca="1" si="523"/>
        <v>482.07256851378361</v>
      </c>
      <c r="AG1103">
        <f t="shared" ca="1" si="524"/>
        <v>0</v>
      </c>
      <c r="AH1103">
        <f ca="1">IF(V32="Supercritical",L1103,IF(V32="Subcritical",W1103,IF(AND(V1103=1,AG1103=1),IF(T1103&gt;=AE1103,L1103,W1103),IF(V1103=1,L1103,IF(AG1103=1,W1103,MAX($D$16,POWER((ABS(K1103)^2)/($I$5*MAX(F1103,0.1)^2),1/3)))))))</f>
        <v>2.1403668656741068</v>
      </c>
      <c r="AI1103">
        <f t="shared" ca="1" si="525"/>
        <v>634.22586686567411</v>
      </c>
      <c r="AJ1103">
        <f t="shared" ca="1" si="526"/>
        <v>635.2960502985112</v>
      </c>
      <c r="AM1103">
        <v>0</v>
      </c>
      <c r="AN1103">
        <v>0</v>
      </c>
      <c r="AO1103">
        <f t="shared" si="527"/>
        <v>0</v>
      </c>
      <c r="AP1103">
        <f t="shared" si="536"/>
        <v>0</v>
      </c>
      <c r="AQ1103">
        <f t="shared" ca="1" si="528"/>
        <v>0.99999999999999978</v>
      </c>
      <c r="AR1103" t="str">
        <f t="shared" ca="1" si="529"/>
        <v>Supercritical</v>
      </c>
      <c r="AS1103">
        <f t="shared" ca="1" si="530"/>
        <v>3.8148159832266538E-3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191</v>
      </c>
      <c r="I1104">
        <v>0</v>
      </c>
      <c r="J1104">
        <f t="shared" si="531"/>
        <v>1</v>
      </c>
      <c r="K1104">
        <f t="shared" si="532"/>
        <v>51</v>
      </c>
      <c r="L1104">
        <f t="shared" ca="1" si="533"/>
        <v>0.05</v>
      </c>
      <c r="M1104">
        <f t="shared" ca="1" si="506"/>
        <v>0.26</v>
      </c>
      <c r="N1104">
        <f t="shared" ca="1" si="507"/>
        <v>4.9056603773584909E-2</v>
      </c>
      <c r="O1104">
        <f t="shared" ca="1" si="508"/>
        <v>196.15384615384616</v>
      </c>
      <c r="P1104">
        <f t="shared" ca="1" si="509"/>
        <v>632.13499999999999</v>
      </c>
      <c r="Q1104">
        <f t="shared" ca="1" si="510"/>
        <v>2593.2120316486621</v>
      </c>
      <c r="R1104">
        <f t="shared" ca="1" si="511"/>
        <v>482.07306851378365</v>
      </c>
      <c r="S1104">
        <f t="shared" ca="1" si="512"/>
        <v>280.07692026646265</v>
      </c>
      <c r="T1104">
        <f t="shared" ca="1" si="513"/>
        <v>1019.7665564573041</v>
      </c>
      <c r="U1104">
        <f t="shared" ca="1" si="534"/>
        <v>-482.07256851378361</v>
      </c>
      <c r="V1104">
        <f t="shared" ca="1" si="535"/>
        <v>0</v>
      </c>
      <c r="W1104">
        <f t="shared" ca="1" si="514"/>
        <v>0.05</v>
      </c>
      <c r="X1104">
        <f t="shared" ca="1" si="515"/>
        <v>0.26</v>
      </c>
      <c r="Y1104">
        <f t="shared" ca="1" si="516"/>
        <v>4.9056603773584909E-2</v>
      </c>
      <c r="Z1104">
        <f t="shared" ca="1" si="517"/>
        <v>196.15384615384616</v>
      </c>
      <c r="AA1104">
        <f t="shared" ca="1" si="518"/>
        <v>632.13499999999999</v>
      </c>
      <c r="AB1104">
        <f t="shared" ca="1" si="519"/>
        <v>2593.2120316486621</v>
      </c>
      <c r="AC1104">
        <f t="shared" ca="1" si="520"/>
        <v>482.07306851378365</v>
      </c>
      <c r="AD1104">
        <f t="shared" ca="1" si="521"/>
        <v>280.07692026646265</v>
      </c>
      <c r="AE1104">
        <f t="shared" ca="1" si="522"/>
        <v>1019.7665564573041</v>
      </c>
      <c r="AF1104">
        <f t="shared" ca="1" si="523"/>
        <v>482.25233390835137</v>
      </c>
      <c r="AG1104">
        <f t="shared" ca="1" si="524"/>
        <v>0</v>
      </c>
      <c r="AH1104">
        <f ca="1">IF(V32="Supercritical",L1104,IF(V32="Subcritical",W1104,IF(AND(V1104=1,AG1104=1),IF(T1104&gt;=AE1104,L1104,W1104),IF(V1104=1,L1104,IF(AG1104=1,W1104,MAX($D$16,POWER((ABS(K1104)^2)/($I$5*MAX(F1104,0.1)^2),1/3)))))))</f>
        <v>2.1403668656741068</v>
      </c>
      <c r="AI1104">
        <f t="shared" ca="1" si="525"/>
        <v>634.22536686567412</v>
      </c>
      <c r="AJ1104">
        <f t="shared" ca="1" si="526"/>
        <v>635.29555029851122</v>
      </c>
      <c r="AM1104">
        <v>0</v>
      </c>
      <c r="AN1104">
        <v>0</v>
      </c>
      <c r="AO1104">
        <f t="shared" si="527"/>
        <v>0</v>
      </c>
      <c r="AP1104">
        <f t="shared" si="536"/>
        <v>0</v>
      </c>
      <c r="AQ1104">
        <f t="shared" ca="1" si="528"/>
        <v>0.99999999999999978</v>
      </c>
      <c r="AR1104" t="str">
        <f t="shared" ca="1" si="529"/>
        <v>Supercritical</v>
      </c>
      <c r="AS1104">
        <f t="shared" ca="1" si="530"/>
        <v>3.8148159832266538E-3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191</v>
      </c>
      <c r="I1105">
        <v>5.5E-2</v>
      </c>
      <c r="J1105">
        <f t="shared" si="531"/>
        <v>1</v>
      </c>
      <c r="K1105">
        <f t="shared" si="532"/>
        <v>51</v>
      </c>
      <c r="L1105">
        <f t="shared" ca="1" si="533"/>
        <v>0.05</v>
      </c>
      <c r="M1105">
        <f t="shared" ca="1" si="506"/>
        <v>0.26</v>
      </c>
      <c r="N1105">
        <f t="shared" ca="1" si="507"/>
        <v>4.9056603773584909E-2</v>
      </c>
      <c r="O1105">
        <f t="shared" ca="1" si="508"/>
        <v>196.15384615384616</v>
      </c>
      <c r="P1105">
        <f t="shared" ca="1" si="509"/>
        <v>632.1345</v>
      </c>
      <c r="Q1105">
        <f t="shared" ca="1" si="510"/>
        <v>2593.211531648662</v>
      </c>
      <c r="R1105">
        <f t="shared" ca="1" si="511"/>
        <v>482.07306851378365</v>
      </c>
      <c r="S1105">
        <f t="shared" ca="1" si="512"/>
        <v>280.07692026646265</v>
      </c>
      <c r="T1105">
        <f t="shared" ca="1" si="513"/>
        <v>1019.7665564573041</v>
      </c>
      <c r="U1105">
        <f t="shared" ca="1" si="534"/>
        <v>-482.25233390835137</v>
      </c>
      <c r="V1105">
        <f t="shared" ca="1" si="535"/>
        <v>0</v>
      </c>
      <c r="W1105">
        <f t="shared" ca="1" si="514"/>
        <v>0.05</v>
      </c>
      <c r="X1105">
        <f t="shared" ca="1" si="515"/>
        <v>0.26</v>
      </c>
      <c r="Y1105">
        <f t="shared" ca="1" si="516"/>
        <v>4.9056603773584909E-2</v>
      </c>
      <c r="Z1105">
        <f t="shared" ca="1" si="517"/>
        <v>196.15384615384616</v>
      </c>
      <c r="AA1105">
        <f t="shared" ca="1" si="518"/>
        <v>632.1345</v>
      </c>
      <c r="AB1105">
        <f t="shared" ca="1" si="519"/>
        <v>2593.211531648662</v>
      </c>
      <c r="AC1105">
        <f t="shared" ca="1" si="520"/>
        <v>482.07306851378365</v>
      </c>
      <c r="AD1105">
        <f t="shared" ca="1" si="521"/>
        <v>280.07692026646265</v>
      </c>
      <c r="AE1105">
        <f t="shared" ca="1" si="522"/>
        <v>1019.7665564573041</v>
      </c>
      <c r="AF1105">
        <f t="shared" ca="1" si="523"/>
        <v>482.73440697685373</v>
      </c>
      <c r="AG1105">
        <f t="shared" ca="1" si="524"/>
        <v>0</v>
      </c>
      <c r="AH1105">
        <f ca="1">IF(V32="Supercritical",L1105,IF(V32="Subcritical",W1105,IF(AND(V1105=1,AG1105=1),IF(T1105&gt;=AE1105,L1105,W1105),IF(V1105=1,L1105,IF(AG1105=1,W1105,MAX($D$16,POWER((ABS(K1105)^2)/($I$5*MAX(F1105,0.1)^2),1/3)))))))</f>
        <v>2.1403668656741068</v>
      </c>
      <c r="AI1105">
        <f t="shared" ca="1" si="525"/>
        <v>634.22486686567413</v>
      </c>
      <c r="AJ1105">
        <f t="shared" ca="1" si="526"/>
        <v>635.29505029851123</v>
      </c>
      <c r="AM1105">
        <v>0</v>
      </c>
      <c r="AN1105">
        <v>0</v>
      </c>
      <c r="AO1105">
        <f t="shared" si="527"/>
        <v>0</v>
      </c>
      <c r="AP1105">
        <f t="shared" si="536"/>
        <v>0</v>
      </c>
      <c r="AQ1105">
        <f t="shared" ca="1" si="528"/>
        <v>0.99999999999999978</v>
      </c>
      <c r="AR1105" t="str">
        <f t="shared" ca="1" si="529"/>
        <v>Supercritical</v>
      </c>
      <c r="AS1105">
        <f t="shared" ca="1" si="530"/>
        <v>3.8148159832266538E-3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191</v>
      </c>
      <c r="I1106">
        <v>5.5E-2</v>
      </c>
      <c r="J1106">
        <f t="shared" si="531"/>
        <v>1.0009999999999764</v>
      </c>
      <c r="K1106">
        <f t="shared" si="532"/>
        <v>51</v>
      </c>
      <c r="L1106">
        <f t="shared" ca="1" si="533"/>
        <v>0.05</v>
      </c>
      <c r="M1106">
        <f t="shared" ca="1" si="506"/>
        <v>0.26</v>
      </c>
      <c r="N1106">
        <f t="shared" ca="1" si="507"/>
        <v>4.9056603773584909E-2</v>
      </c>
      <c r="O1106">
        <f t="shared" ca="1" si="508"/>
        <v>196.15384615384616</v>
      </c>
      <c r="P1106">
        <f t="shared" ca="1" si="509"/>
        <v>632.1339999999999</v>
      </c>
      <c r="Q1106">
        <f t="shared" ca="1" si="510"/>
        <v>2593.2110316486619</v>
      </c>
      <c r="R1106">
        <f t="shared" ca="1" si="511"/>
        <v>482.07306851378365</v>
      </c>
      <c r="S1106">
        <f t="shared" ca="1" si="512"/>
        <v>280.07692026646265</v>
      </c>
      <c r="T1106">
        <f t="shared" ca="1" si="513"/>
        <v>1019.7665564573041</v>
      </c>
      <c r="U1106">
        <f t="shared" ca="1" si="534"/>
        <v>-482.73440697685373</v>
      </c>
      <c r="V1106">
        <f t="shared" ca="1" si="535"/>
        <v>0</v>
      </c>
      <c r="W1106">
        <f t="shared" ca="1" si="514"/>
        <v>0.05</v>
      </c>
      <c r="X1106">
        <f t="shared" ca="1" si="515"/>
        <v>0.26</v>
      </c>
      <c r="Y1106">
        <f t="shared" ca="1" si="516"/>
        <v>4.9056603773584909E-2</v>
      </c>
      <c r="Z1106">
        <f t="shared" ca="1" si="517"/>
        <v>196.15384615384616</v>
      </c>
      <c r="AA1106">
        <f t="shared" ca="1" si="518"/>
        <v>632.1339999999999</v>
      </c>
      <c r="AB1106">
        <f t="shared" ca="1" si="519"/>
        <v>2593.2110316486619</v>
      </c>
      <c r="AC1106">
        <f t="shared" ca="1" si="520"/>
        <v>482.07306851378365</v>
      </c>
      <c r="AD1106">
        <f t="shared" ca="1" si="521"/>
        <v>280.07692026646265</v>
      </c>
      <c r="AE1106">
        <f t="shared" ca="1" si="522"/>
        <v>1019.7665564573041</v>
      </c>
      <c r="AF1106">
        <f t="shared" ca="1" si="523"/>
        <v>482.07256851378406</v>
      </c>
      <c r="AG1106">
        <f t="shared" ca="1" si="524"/>
        <v>0</v>
      </c>
      <c r="AH1106">
        <f ca="1">IF(V32="Supercritical",L1106,IF(V32="Subcritical",W1106,IF(AND(V1106=1,AG1106=1),IF(T1106&gt;=AE1106,L1106,W1106),IF(V1106=1,L1106,IF(AG1106=1,W1106,MAX($D$16,POWER((ABS(K1106)^2)/($I$5*MAX(F1106,0.1)^2),1/3)))))))</f>
        <v>2.1403668656741068</v>
      </c>
      <c r="AI1106">
        <f t="shared" ca="1" si="525"/>
        <v>634.22436686567403</v>
      </c>
      <c r="AJ1106">
        <f t="shared" ca="1" si="526"/>
        <v>635.29455029851113</v>
      </c>
      <c r="AM1106">
        <v>0</v>
      </c>
      <c r="AN1106">
        <v>0</v>
      </c>
      <c r="AO1106">
        <f t="shared" si="527"/>
        <v>0</v>
      </c>
      <c r="AP1106">
        <f t="shared" si="536"/>
        <v>0</v>
      </c>
      <c r="AQ1106">
        <f t="shared" ca="1" si="528"/>
        <v>0.99999999999999978</v>
      </c>
      <c r="AR1106" t="str">
        <f t="shared" ca="1" si="529"/>
        <v>Supercritical</v>
      </c>
      <c r="AS1106">
        <f t="shared" ca="1" si="530"/>
        <v>3.8148159832266538E-3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191</v>
      </c>
      <c r="I1107">
        <v>0</v>
      </c>
      <c r="J1107">
        <f t="shared" si="531"/>
        <v>1</v>
      </c>
      <c r="K1107">
        <f t="shared" si="532"/>
        <v>51</v>
      </c>
      <c r="L1107">
        <f t="shared" ca="1" si="533"/>
        <v>0.05</v>
      </c>
      <c r="M1107">
        <f t="shared" ca="1" si="506"/>
        <v>0.26</v>
      </c>
      <c r="N1107">
        <f t="shared" ca="1" si="507"/>
        <v>4.9056603773584909E-2</v>
      </c>
      <c r="O1107">
        <f t="shared" ca="1" si="508"/>
        <v>196.15384615384616</v>
      </c>
      <c r="P1107">
        <f t="shared" ca="1" si="509"/>
        <v>632.13349999999991</v>
      </c>
      <c r="Q1107">
        <f t="shared" ca="1" si="510"/>
        <v>2593.2105316486623</v>
      </c>
      <c r="R1107">
        <f t="shared" ca="1" si="511"/>
        <v>482.07306851378365</v>
      </c>
      <c r="S1107">
        <f t="shared" ca="1" si="512"/>
        <v>280.07692026646265</v>
      </c>
      <c r="T1107">
        <f t="shared" ca="1" si="513"/>
        <v>1019.7665564573041</v>
      </c>
      <c r="U1107">
        <f t="shared" ca="1" si="534"/>
        <v>-482.07256851378406</v>
      </c>
      <c r="V1107">
        <f t="shared" ca="1" si="535"/>
        <v>0</v>
      </c>
      <c r="W1107">
        <f t="shared" ca="1" si="514"/>
        <v>0.05</v>
      </c>
      <c r="X1107">
        <f t="shared" ca="1" si="515"/>
        <v>0.26</v>
      </c>
      <c r="Y1107">
        <f t="shared" ca="1" si="516"/>
        <v>4.9056603773584909E-2</v>
      </c>
      <c r="Z1107">
        <f t="shared" ca="1" si="517"/>
        <v>196.15384615384616</v>
      </c>
      <c r="AA1107">
        <f t="shared" ca="1" si="518"/>
        <v>632.13349999999991</v>
      </c>
      <c r="AB1107">
        <f t="shared" ca="1" si="519"/>
        <v>2593.2105316486623</v>
      </c>
      <c r="AC1107">
        <f t="shared" ca="1" si="520"/>
        <v>482.07306851378365</v>
      </c>
      <c r="AD1107">
        <f t="shared" ca="1" si="521"/>
        <v>280.07692026646265</v>
      </c>
      <c r="AE1107">
        <f t="shared" ca="1" si="522"/>
        <v>1019.7665564573041</v>
      </c>
      <c r="AF1107">
        <f t="shared" ca="1" si="523"/>
        <v>481.59049544528125</v>
      </c>
      <c r="AG1107">
        <f t="shared" ca="1" si="524"/>
        <v>0</v>
      </c>
      <c r="AH1107">
        <f ca="1">IF(V32="Supercritical",L1107,IF(V32="Subcritical",W1107,IF(AND(V1107=1,AG1107=1),IF(T1107&gt;=AE1107,L1107,W1107),IF(V1107=1,L1107,IF(AG1107=1,W1107,MAX($D$16,POWER((ABS(K1107)^2)/($I$5*MAX(F1107,0.1)^2),1/3)))))))</f>
        <v>2.1403668656741068</v>
      </c>
      <c r="AI1107">
        <f t="shared" ca="1" si="525"/>
        <v>634.22386686567404</v>
      </c>
      <c r="AJ1107">
        <f t="shared" ca="1" si="526"/>
        <v>635.29405029851114</v>
      </c>
      <c r="AM1107">
        <v>0</v>
      </c>
      <c r="AN1107">
        <v>0</v>
      </c>
      <c r="AO1107">
        <f t="shared" si="527"/>
        <v>0</v>
      </c>
      <c r="AP1107">
        <f t="shared" si="536"/>
        <v>0</v>
      </c>
      <c r="AQ1107">
        <f t="shared" ca="1" si="528"/>
        <v>0.99999999999999978</v>
      </c>
      <c r="AR1107" t="str">
        <f t="shared" ca="1" si="529"/>
        <v>Supercritical</v>
      </c>
      <c r="AS1107">
        <f t="shared" ca="1" si="530"/>
        <v>3.8148159832266538E-3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191</v>
      </c>
      <c r="I1108">
        <v>0</v>
      </c>
      <c r="J1108">
        <f t="shared" si="531"/>
        <v>0.99900000000002365</v>
      </c>
      <c r="K1108">
        <f t="shared" si="532"/>
        <v>51</v>
      </c>
      <c r="L1108">
        <f t="shared" ca="1" si="533"/>
        <v>0.05</v>
      </c>
      <c r="M1108">
        <f t="shared" ca="1" si="506"/>
        <v>0.26</v>
      </c>
      <c r="N1108">
        <f t="shared" ca="1" si="507"/>
        <v>4.9056603773584909E-2</v>
      </c>
      <c r="O1108">
        <f t="shared" ca="1" si="508"/>
        <v>196.15384615384616</v>
      </c>
      <c r="P1108">
        <f t="shared" ca="1" si="509"/>
        <v>632.13299999999992</v>
      </c>
      <c r="Q1108">
        <f t="shared" ca="1" si="510"/>
        <v>2593.2100316486622</v>
      </c>
      <c r="R1108">
        <f t="shared" ca="1" si="511"/>
        <v>482.07306851378365</v>
      </c>
      <c r="S1108">
        <f t="shared" ca="1" si="512"/>
        <v>280.07692026646265</v>
      </c>
      <c r="T1108">
        <f t="shared" ca="1" si="513"/>
        <v>1019.7665564573041</v>
      </c>
      <c r="U1108">
        <f t="shared" ca="1" si="534"/>
        <v>-481.59049544528125</v>
      </c>
      <c r="V1108">
        <f t="shared" ca="1" si="535"/>
        <v>0</v>
      </c>
      <c r="W1108">
        <f t="shared" ca="1" si="514"/>
        <v>0.05</v>
      </c>
      <c r="X1108">
        <f t="shared" ca="1" si="515"/>
        <v>0.26</v>
      </c>
      <c r="Y1108">
        <f t="shared" ca="1" si="516"/>
        <v>4.9056603773584909E-2</v>
      </c>
      <c r="Z1108">
        <f t="shared" ca="1" si="517"/>
        <v>196.15384615384616</v>
      </c>
      <c r="AA1108">
        <f t="shared" ca="1" si="518"/>
        <v>632.13299999999992</v>
      </c>
      <c r="AB1108">
        <f t="shared" ca="1" si="519"/>
        <v>2593.2100316486622</v>
      </c>
      <c r="AC1108">
        <f t="shared" ca="1" si="520"/>
        <v>482.07306851378365</v>
      </c>
      <c r="AD1108">
        <f t="shared" ca="1" si="521"/>
        <v>280.07692026646265</v>
      </c>
      <c r="AE1108">
        <f t="shared" ca="1" si="522"/>
        <v>1019.7665564573041</v>
      </c>
      <c r="AF1108">
        <f t="shared" ca="1" si="523"/>
        <v>482.25887083179032</v>
      </c>
      <c r="AG1108">
        <f t="shared" ca="1" si="524"/>
        <v>0</v>
      </c>
      <c r="AH1108">
        <f ca="1">IF(V32="Supercritical",L1108,IF(V32="Subcritical",W1108,IF(AND(V1108=1,AG1108=1),IF(T1108&gt;=AE1108,L1108,W1108),IF(V1108=1,L1108,IF(AG1108=1,W1108,MAX($D$16,POWER((ABS(K1108)^2)/($I$5*MAX(F1108,0.1)^2),1/3)))))))</f>
        <v>2.1403668656741068</v>
      </c>
      <c r="AI1108">
        <f t="shared" ca="1" si="525"/>
        <v>634.22336686567405</v>
      </c>
      <c r="AJ1108">
        <f t="shared" ca="1" si="526"/>
        <v>635.29355029851115</v>
      </c>
      <c r="AM1108">
        <v>0</v>
      </c>
      <c r="AN1108">
        <v>0</v>
      </c>
      <c r="AO1108">
        <f t="shared" si="527"/>
        <v>0</v>
      </c>
      <c r="AP1108">
        <f t="shared" si="536"/>
        <v>0</v>
      </c>
      <c r="AQ1108">
        <f t="shared" ca="1" si="528"/>
        <v>0.99999999999999978</v>
      </c>
      <c r="AR1108" t="str">
        <f t="shared" ca="1" si="529"/>
        <v>Supercritical</v>
      </c>
      <c r="AS1108">
        <f t="shared" ca="1" si="530"/>
        <v>3.8148159832266538E-3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191</v>
      </c>
      <c r="I1109">
        <v>5.7000000000000002E-2</v>
      </c>
      <c r="J1109">
        <f t="shared" si="531"/>
        <v>1</v>
      </c>
      <c r="K1109">
        <f t="shared" si="532"/>
        <v>51</v>
      </c>
      <c r="L1109">
        <f t="shared" ca="1" si="533"/>
        <v>0.05</v>
      </c>
      <c r="M1109">
        <f t="shared" ca="1" si="506"/>
        <v>0.26</v>
      </c>
      <c r="N1109">
        <f t="shared" ca="1" si="507"/>
        <v>4.9056603773584909E-2</v>
      </c>
      <c r="O1109">
        <f t="shared" ca="1" si="508"/>
        <v>196.15384615384616</v>
      </c>
      <c r="P1109">
        <f t="shared" ca="1" si="509"/>
        <v>632.13249999999994</v>
      </c>
      <c r="Q1109">
        <f t="shared" ca="1" si="510"/>
        <v>2593.2095316486621</v>
      </c>
      <c r="R1109">
        <f t="shared" ca="1" si="511"/>
        <v>482.07306851378365</v>
      </c>
      <c r="S1109">
        <f t="shared" ca="1" si="512"/>
        <v>280.07692026646265</v>
      </c>
      <c r="T1109">
        <f t="shared" ca="1" si="513"/>
        <v>1019.7665564573041</v>
      </c>
      <c r="U1109">
        <f t="shared" ca="1" si="534"/>
        <v>-482.25887083179032</v>
      </c>
      <c r="V1109">
        <f t="shared" ca="1" si="535"/>
        <v>0</v>
      </c>
      <c r="W1109">
        <f t="shared" ca="1" si="514"/>
        <v>0.05</v>
      </c>
      <c r="X1109">
        <f t="shared" ca="1" si="515"/>
        <v>0.26</v>
      </c>
      <c r="Y1109">
        <f t="shared" ca="1" si="516"/>
        <v>4.9056603773584909E-2</v>
      </c>
      <c r="Z1109">
        <f t="shared" ca="1" si="517"/>
        <v>196.15384615384616</v>
      </c>
      <c r="AA1109">
        <f t="shared" ca="1" si="518"/>
        <v>632.13249999999994</v>
      </c>
      <c r="AB1109">
        <f t="shared" ca="1" si="519"/>
        <v>2593.2095316486621</v>
      </c>
      <c r="AC1109">
        <f t="shared" ca="1" si="520"/>
        <v>482.07306851378365</v>
      </c>
      <c r="AD1109">
        <f t="shared" ca="1" si="521"/>
        <v>280.07692026646265</v>
      </c>
      <c r="AE1109">
        <f t="shared" ca="1" si="522"/>
        <v>1019.7665564573041</v>
      </c>
      <c r="AF1109">
        <f t="shared" ca="1" si="523"/>
        <v>482.25887083179032</v>
      </c>
      <c r="AG1109">
        <f t="shared" ca="1" si="524"/>
        <v>0</v>
      </c>
      <c r="AH1109">
        <f ca="1">IF(V32="Supercritical",L1109,IF(V32="Subcritical",W1109,IF(AND(V1109=1,AG1109=1),IF(T1109&gt;=AE1109,L1109,W1109),IF(V1109=1,L1109,IF(AG1109=1,W1109,MAX($D$16,POWER((ABS(K1109)^2)/($I$5*MAX(F1109,0.1)^2),1/3)))))))</f>
        <v>2.1403668656741068</v>
      </c>
      <c r="AI1109">
        <f t="shared" ca="1" si="525"/>
        <v>634.22286686567406</v>
      </c>
      <c r="AJ1109">
        <f t="shared" ca="1" si="526"/>
        <v>635.29305029851116</v>
      </c>
      <c r="AM1109">
        <v>0</v>
      </c>
      <c r="AN1109">
        <v>0</v>
      </c>
      <c r="AO1109">
        <f t="shared" si="527"/>
        <v>0</v>
      </c>
      <c r="AP1109">
        <f t="shared" si="536"/>
        <v>0</v>
      </c>
      <c r="AQ1109">
        <f t="shared" ca="1" si="528"/>
        <v>0.99999999999999978</v>
      </c>
      <c r="AR1109" t="str">
        <f t="shared" ca="1" si="529"/>
        <v>Supercritical</v>
      </c>
      <c r="AS1109">
        <f t="shared" ca="1" si="530"/>
        <v>3.8148159832266538E-3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191</v>
      </c>
      <c r="I1110">
        <v>5.7000000000000002E-2</v>
      </c>
      <c r="J1110">
        <f t="shared" si="531"/>
        <v>1</v>
      </c>
      <c r="K1110">
        <f t="shared" si="532"/>
        <v>51</v>
      </c>
      <c r="L1110">
        <f t="shared" ca="1" si="533"/>
        <v>0.05</v>
      </c>
      <c r="M1110">
        <f t="shared" ref="M1110:M1173" ca="1" si="537">((F1110)+(G1110)*(L1110))*(L1110)</f>
        <v>0.26</v>
      </c>
      <c r="N1110">
        <f t="shared" ref="N1110:N1173" ca="1" si="538">(((F1110)+(G1110)*(L1110))*(L1110))/MAX((F1110)+2*(L1110)*SQRT(1+(G1110)^2),0.000001)</f>
        <v>4.9056603773584909E-2</v>
      </c>
      <c r="O1110">
        <f t="shared" ref="O1110:O1173" ca="1" si="539">ABS(K1110)/MAX(((F1110)+(G1110)*(L1110))*(L1110),0.000001)</f>
        <v>196.15384615384616</v>
      </c>
      <c r="P1110">
        <f t="shared" ref="P1110:P1173" ca="1" si="540">E1110+L1110</f>
        <v>632.13199999999995</v>
      </c>
      <c r="Q1110">
        <f t="shared" ref="Q1110:Q1173" ca="1" si="541">P1110+((ABS(K1110)/MAX(((F1110)+(G1110)*(L1110))*(L1110),0.000001))^2)/(2*$I$5)</f>
        <v>2593.2090316486619</v>
      </c>
      <c r="R1110">
        <f t="shared" ref="R1110:R1173" ca="1" si="542">((ABS(K1110)*$D$6)/(MAX(((F1110)+(G1110)*(L1110))*(L1110),0.000001)*MAX(((((F1110)+(G1110)*(L1110))*(L1110))/MAX((F1110)+2*(L1110)*SQRT(1+(G1110)^2),0.000001))^(2/3),0.000001)))^2</f>
        <v>482.07306851378365</v>
      </c>
      <c r="S1110">
        <f t="shared" ref="S1110:S1173" ca="1" si="543">ABS(ABS(K1110)/MAX(((F1110)+(G1110)*(L1110))*(L1110),0.000001))/SQRT($I$5*MAX((((F1110)+(G1110)*(L1110))*(L1110))/MAX((F1110)+2*(G1110)*(L1110),0.000001),0.000001))</f>
        <v>280.07692026646265</v>
      </c>
      <c r="T1110">
        <f t="shared" ref="T1110:T1173" ca="1" si="544">((F1110)*(L1110)^2)/2+(G1110)*(L1110)^3/3+(ABS(K1110)^2)/($I$5*MAX(((F1110)+(G1110)*(L1110))*(L1110),0.000001))</f>
        <v>1019.7665564573041</v>
      </c>
      <c r="U1110">
        <f t="shared" ca="1" si="534"/>
        <v>-482.25887083179032</v>
      </c>
      <c r="V1110">
        <f t="shared" ca="1" si="535"/>
        <v>0</v>
      </c>
      <c r="W1110">
        <f t="shared" ref="W1110:W1173" ca="1" si="545">IF(OR($D$20=0,AG1111=0),W1111,IF(OR(W1110=0,AD1111&gt;1),MAX($D$16,POWER((ABS(K1110)^2)/($I$5*MAX(F1110,0.1)^2),1/3)),IF(AF1110&gt;0,MAX($D$16,W1110+((AF1110)*$D$18*IF((AD1110)&lt;1,1,-1))),IF(AF1110&lt;0,IF(ABS((MAX($D$16,POWER((ABS(K1110)^2)/($I$5*MAX(F1110,0.1)^2),1/3)))-W1110)&gt;$D$19,MAX($D$16,W1110+($D$18*((MAX($D$16,POWER((ABS(K1110)^2)/($I$5*MAX(F1110,0.1)^2),1/3)))-W1110))),MAX($D$16,POWER((ABS(K1110)^2)/($I$5*MAX(F1110,0.1)^2),1/3))),W1110))))</f>
        <v>0.05</v>
      </c>
      <c r="X1110">
        <f t="shared" ref="X1110:X1173" ca="1" si="546">((F1110)+(G1110)*(W1110))*(W1110)</f>
        <v>0.26</v>
      </c>
      <c r="Y1110">
        <f t="shared" ref="Y1110:Y1173" ca="1" si="547">(((F1110)+(G1110)*(W1110))*(W1110))/MAX((F1110)+2*(W1110)*SQRT(1+(G1110)^2),0.000001)</f>
        <v>4.9056603773584909E-2</v>
      </c>
      <c r="Z1110">
        <f t="shared" ref="Z1110:Z1173" ca="1" si="548">ABS(K1110)/MAX(((F1110)+(G1110)*(W1110))*(W1110),0.000001)</f>
        <v>196.15384615384616</v>
      </c>
      <c r="AA1110">
        <f t="shared" ref="AA1110:AA1173" ca="1" si="549">E1110+W1110</f>
        <v>632.13199999999995</v>
      </c>
      <c r="AB1110">
        <f t="shared" ref="AB1110:AB1173" ca="1" si="550">AA1110+((ABS(K1110)/MAX(((F1110)+(G1110)*(W1110))*(W1110),0.000001))^2)/(2*$I$5)</f>
        <v>2593.2090316486619</v>
      </c>
      <c r="AC1110">
        <f t="shared" ref="AC1110:AC1173" ca="1" si="551">((ABS(K1110)*$D$6)/(MAX(((F1110)+(G1110)*(W1110))*(W1110),0.000001)*MAX(((((F1110)+(G1110)*(W1110))*(W1110))/MAX((F1110)+2*(W1110)*SQRT(1+(G1110)^2),0.000001))^(2/3),0.000001)))^2</f>
        <v>482.07306851378365</v>
      </c>
      <c r="AD1110">
        <f t="shared" ref="AD1110:AD1173" ca="1" si="552">ABS(ABS(K1110)/MAX(((F1110)+(G1110)*(W1110))*(W1110),0.000001))/SQRT($I$5*MAX((((F1110)+(G1110)*(W1110))*(W1110))/MAX((F1110)+2*(G1110)*(W1110),0.000001),0.000001))</f>
        <v>280.07692026646265</v>
      </c>
      <c r="AE1110">
        <f t="shared" ref="AE1110:AE1173" ca="1" si="553">((F1110)*(W1110)^2)/2+(G1110)*(W1110)^3/3+(ABS(K1110)^2)/($I$5*MAX(((F1110)+(G1110)*(W1110))*(W1110),0.000001))</f>
        <v>1019.7665564573041</v>
      </c>
      <c r="AF1110">
        <f t="shared" ref="AF1110:AF1173" ca="1" si="554">AB1111+(((AC1110+AC1111)/2)*J1111)+(IF(Z1110&gt;Z1111,$D$8*((Z1110^2-Z1111^2)/(2*$I$5)),$D$9*((Z1111^2-Z1110^2)/(2*$I$5)))+($D$10*(ABS(I1111)/90)*(MAX(Z1110^2,Z1111^2)/(2*$I$5))))-AB1110</f>
        <v>482.07256851378361</v>
      </c>
      <c r="AG1110">
        <f t="shared" ref="AG1110:AG1173" ca="1" si="555">IF(ROUND(AD1110,3)=1,1,IF(AND(ABS(AF1110)&lt;$D$19,AD1110&lt;1),1,0))</f>
        <v>0</v>
      </c>
      <c r="AH1110">
        <f ca="1">IF(V32="Supercritical",L1110,IF(V32="Subcritical",W1110,IF(AND(V1110=1,AG1110=1),IF(T1110&gt;=AE1110,L1110,W1110),IF(V1110=1,L1110,IF(AG1110=1,W1110,MAX($D$16,POWER((ABS(K1110)^2)/($I$5*MAX(F1110,0.1)^2),1/3)))))))</f>
        <v>2.1403668656741068</v>
      </c>
      <c r="AI1110">
        <f t="shared" ref="AI1110:AI1173" ca="1" si="556">E1110+AH1110</f>
        <v>634.22236686567408</v>
      </c>
      <c r="AJ1110">
        <f t="shared" ref="AJ1110:AJ1173" ca="1" si="557">AI1110+((ABS(K1110)/MAX(((F1110)+(G1110)*(AH1110))*(AH1110),0.000001))^2)/(2*$I$5)</f>
        <v>635.29255029851117</v>
      </c>
      <c r="AM1110">
        <v>0</v>
      </c>
      <c r="AN1110">
        <v>0</v>
      </c>
      <c r="AO1110">
        <f t="shared" ref="AO1110:AO1173" si="558">AM1110+AN1110</f>
        <v>0</v>
      </c>
      <c r="AP1110">
        <f t="shared" si="536"/>
        <v>0</v>
      </c>
      <c r="AQ1110">
        <f t="shared" ref="AQ1110:AQ1173" ca="1" si="559">ABS(ABS(K1110)/MAX(((F1110)+(G1110)*(AH1110))*(AH1110),0.000001))/SQRT($I$5*MAX((((F1110)+(G1110)*(AH1110))*(AH1110))/MAX((F1110)+2*(G1110)*(AH1110),0.000001),0.000001))</f>
        <v>0.99999999999999978</v>
      </c>
      <c r="AR1110" t="str">
        <f t="shared" ref="AR1110:AR1173" ca="1" si="560">IF(AQ1110&lt;1,"Subcritical","Supercritical")</f>
        <v>Supercritical</v>
      </c>
      <c r="AS1110">
        <f t="shared" ref="AS1110:AS1173" ca="1" si="561">((ABS(K1110)*$D$6)/(MAX(((F1110)+(G1110)*(AH1110))*(AH1110),0.000001)*MAX(((((F1110)+(G1110)*(AH1110))*(AH1110))/MAX((F1110)+2*(AH1110)*SQRT(1+(G1110)^2),0.000001))^(2/3),0.000001)))^2</f>
        <v>3.8148159832266538E-3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191</v>
      </c>
      <c r="I1111">
        <v>0</v>
      </c>
      <c r="J1111">
        <f t="shared" ref="J1111:J1174" si="562">B1111-B1110</f>
        <v>1</v>
      </c>
      <c r="K1111">
        <f t="shared" ref="K1111:K1174" si="563">MAX(0,K1110-AO1110)</f>
        <v>51</v>
      </c>
      <c r="L1111">
        <f t="shared" ref="L1111:L1174" ca="1" si="564">IF(OR($D$20=0,V1110=0),L1110,IF(OR(L1111=0,S1110&lt;1,S1111&lt;1),MAX($D$16,POWER((ABS(K1111)^2)/($I$5*MAX(F1111,0.1)^2),1/3)),IF(U1111&gt;0,MAX($D$16,L1111+((U1111)*$D$18*IF((S1111)&lt;1,1,-1))),IF(U1111&lt;0,IF(ABS((MAX($D$16,POWER((ABS(K1111)^2)/($I$5*MAX(F1111,0.1)^2),1/3)))-L1111)&gt;$D$19,MAX($D$16,L1111+($D$18*((MAX($D$16,POWER((ABS(K1111)^2)/($I$5*MAX(F1111,0.1)^2),1/3)))-L1111))),MAX($D$16,POWER((ABS(K1111)^2)/($I$5*MAX(F1111,0.1)^2),1/3))),L1111))))</f>
        <v>0.05</v>
      </c>
      <c r="M1111">
        <f t="shared" ca="1" si="537"/>
        <v>0.26</v>
      </c>
      <c r="N1111">
        <f t="shared" ca="1" si="538"/>
        <v>4.9056603773584909E-2</v>
      </c>
      <c r="O1111">
        <f t="shared" ca="1" si="539"/>
        <v>196.15384615384616</v>
      </c>
      <c r="P1111">
        <f t="shared" ca="1" si="540"/>
        <v>632.13149999999996</v>
      </c>
      <c r="Q1111">
        <f t="shared" ca="1" si="541"/>
        <v>2593.2085316486618</v>
      </c>
      <c r="R1111">
        <f t="shared" ca="1" si="542"/>
        <v>482.07306851378365</v>
      </c>
      <c r="S1111">
        <f t="shared" ca="1" si="543"/>
        <v>280.07692026646265</v>
      </c>
      <c r="T1111">
        <f t="shared" ca="1" si="544"/>
        <v>1019.7665564573041</v>
      </c>
      <c r="U1111">
        <f t="shared" ref="U1111:U1174" ca="1" si="565">Q1110-(((R1110+R1111)/2)*J1111)-(IF(O1110&gt;O1111,$D$8*((O1110^2-O1111^2)/(2*$I$5)),$D$9*((O1111^2-O1110^2)/(2*$I$5)))+($D$10*(ABS(I1111)/90)*(MAX(O1110^2,O1111^2)/(2*$I$5))))-Q1111</f>
        <v>-482.07256851378361</v>
      </c>
      <c r="V1111">
        <f t="shared" ref="V1111:V1174" ca="1" si="566">IF(ROUND(S1111,3)=1,1,IF(AND(ABS(U1111)&lt;$D$19,S1111&gt;1),1,0))</f>
        <v>0</v>
      </c>
      <c r="W1111">
        <f t="shared" ca="1" si="545"/>
        <v>0.05</v>
      </c>
      <c r="X1111">
        <f t="shared" ca="1" si="546"/>
        <v>0.26</v>
      </c>
      <c r="Y1111">
        <f t="shared" ca="1" si="547"/>
        <v>4.9056603773584909E-2</v>
      </c>
      <c r="Z1111">
        <f t="shared" ca="1" si="548"/>
        <v>196.15384615384616</v>
      </c>
      <c r="AA1111">
        <f t="shared" ca="1" si="549"/>
        <v>632.13149999999996</v>
      </c>
      <c r="AB1111">
        <f t="shared" ca="1" si="550"/>
        <v>2593.2085316486618</v>
      </c>
      <c r="AC1111">
        <f t="shared" ca="1" si="551"/>
        <v>482.07306851378365</v>
      </c>
      <c r="AD1111">
        <f t="shared" ca="1" si="552"/>
        <v>280.07692026646265</v>
      </c>
      <c r="AE1111">
        <f t="shared" ca="1" si="553"/>
        <v>1019.7665564573041</v>
      </c>
      <c r="AF1111">
        <f t="shared" ca="1" si="554"/>
        <v>482.07256851378406</v>
      </c>
      <c r="AG1111">
        <f t="shared" ca="1" si="555"/>
        <v>0</v>
      </c>
      <c r="AH1111">
        <f ca="1">IF(V32="Supercritical",L1111,IF(V32="Subcritical",W1111,IF(AND(V1111=1,AG1111=1),IF(T1111&gt;=AE1111,L1111,W1111),IF(V1111=1,L1111,IF(AG1111=1,W1111,MAX($D$16,POWER((ABS(K1111)^2)/($I$5*MAX(F1111,0.1)^2),1/3)))))))</f>
        <v>2.1403668656741068</v>
      </c>
      <c r="AI1111">
        <f t="shared" ca="1" si="556"/>
        <v>634.22186686567409</v>
      </c>
      <c r="AJ1111">
        <f t="shared" ca="1" si="557"/>
        <v>635.29205029851119</v>
      </c>
      <c r="AM1111">
        <v>0</v>
      </c>
      <c r="AN1111">
        <v>0</v>
      </c>
      <c r="AO1111">
        <f t="shared" si="558"/>
        <v>0</v>
      </c>
      <c r="AP1111">
        <f t="shared" ref="AP1111:AP1174" si="567">AP1110+AO1111</f>
        <v>0</v>
      </c>
      <c r="AQ1111">
        <f t="shared" ca="1" si="559"/>
        <v>0.99999999999999978</v>
      </c>
      <c r="AR1111" t="str">
        <f t="shared" ca="1" si="560"/>
        <v>Supercritical</v>
      </c>
      <c r="AS1111">
        <f t="shared" ca="1" si="561"/>
        <v>3.8148159832266538E-3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191</v>
      </c>
      <c r="I1112">
        <v>0</v>
      </c>
      <c r="J1112">
        <f t="shared" si="562"/>
        <v>1</v>
      </c>
      <c r="K1112">
        <f t="shared" si="563"/>
        <v>51</v>
      </c>
      <c r="L1112">
        <f t="shared" ca="1" si="564"/>
        <v>0.05</v>
      </c>
      <c r="M1112">
        <f t="shared" ca="1" si="537"/>
        <v>0.26</v>
      </c>
      <c r="N1112">
        <f t="shared" ca="1" si="538"/>
        <v>4.9056603773584909E-2</v>
      </c>
      <c r="O1112">
        <f t="shared" ca="1" si="539"/>
        <v>196.15384615384616</v>
      </c>
      <c r="P1112">
        <f t="shared" ca="1" si="540"/>
        <v>632.13099999999997</v>
      </c>
      <c r="Q1112">
        <f t="shared" ca="1" si="541"/>
        <v>2593.2080316486622</v>
      </c>
      <c r="R1112">
        <f t="shared" ca="1" si="542"/>
        <v>482.07306851378365</v>
      </c>
      <c r="S1112">
        <f t="shared" ca="1" si="543"/>
        <v>280.07692026646265</v>
      </c>
      <c r="T1112">
        <f t="shared" ca="1" si="544"/>
        <v>1019.7665564573041</v>
      </c>
      <c r="U1112">
        <f t="shared" ca="1" si="565"/>
        <v>-482.07256851378406</v>
      </c>
      <c r="V1112">
        <f t="shared" ca="1" si="566"/>
        <v>0</v>
      </c>
      <c r="W1112">
        <f t="shared" ca="1" si="545"/>
        <v>0.05</v>
      </c>
      <c r="X1112">
        <f t="shared" ca="1" si="546"/>
        <v>0.26</v>
      </c>
      <c r="Y1112">
        <f t="shared" ca="1" si="547"/>
        <v>4.9056603773584909E-2</v>
      </c>
      <c r="Z1112">
        <f t="shared" ca="1" si="548"/>
        <v>196.15384615384616</v>
      </c>
      <c r="AA1112">
        <f t="shared" ca="1" si="549"/>
        <v>632.13099999999997</v>
      </c>
      <c r="AB1112">
        <f t="shared" ca="1" si="550"/>
        <v>2593.2080316486622</v>
      </c>
      <c r="AC1112">
        <f t="shared" ca="1" si="551"/>
        <v>482.07306851378365</v>
      </c>
      <c r="AD1112">
        <f t="shared" ca="1" si="552"/>
        <v>280.07692026646265</v>
      </c>
      <c r="AE1112">
        <f t="shared" ca="1" si="553"/>
        <v>1019.7665564573041</v>
      </c>
      <c r="AF1112">
        <f t="shared" ca="1" si="554"/>
        <v>482.25887083179032</v>
      </c>
      <c r="AG1112">
        <f t="shared" ca="1" si="555"/>
        <v>0</v>
      </c>
      <c r="AH1112">
        <f ca="1">IF(V32="Supercritical",L1112,IF(V32="Subcritical",W1112,IF(AND(V1112=1,AG1112=1),IF(T1112&gt;=AE1112,L1112,W1112),IF(V1112=1,L1112,IF(AG1112=1,W1112,MAX($D$16,POWER((ABS(K1112)^2)/($I$5*MAX(F1112,0.1)^2),1/3)))))))</f>
        <v>2.1403668656741068</v>
      </c>
      <c r="AI1112">
        <f t="shared" ca="1" si="556"/>
        <v>634.2213668656741</v>
      </c>
      <c r="AJ1112">
        <f t="shared" ca="1" si="557"/>
        <v>635.2915502985112</v>
      </c>
      <c r="AM1112">
        <v>0</v>
      </c>
      <c r="AN1112">
        <v>0</v>
      </c>
      <c r="AO1112">
        <f t="shared" si="558"/>
        <v>0</v>
      </c>
      <c r="AP1112">
        <f t="shared" si="567"/>
        <v>0</v>
      </c>
      <c r="AQ1112">
        <f t="shared" ca="1" si="559"/>
        <v>0.99999999999999978</v>
      </c>
      <c r="AR1112" t="str">
        <f t="shared" ca="1" si="560"/>
        <v>Supercritical</v>
      </c>
      <c r="AS1112">
        <f t="shared" ca="1" si="561"/>
        <v>3.8148159832266538E-3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191</v>
      </c>
      <c r="I1113">
        <v>5.7000000000000002E-2</v>
      </c>
      <c r="J1113">
        <f t="shared" si="562"/>
        <v>1</v>
      </c>
      <c r="K1113">
        <f t="shared" si="563"/>
        <v>51</v>
      </c>
      <c r="L1113">
        <f t="shared" ca="1" si="564"/>
        <v>0.05</v>
      </c>
      <c r="M1113">
        <f t="shared" ca="1" si="537"/>
        <v>0.26</v>
      </c>
      <c r="N1113">
        <f t="shared" ca="1" si="538"/>
        <v>4.9056603773584909E-2</v>
      </c>
      <c r="O1113">
        <f t="shared" ca="1" si="539"/>
        <v>196.15384615384616</v>
      </c>
      <c r="P1113">
        <f t="shared" ca="1" si="540"/>
        <v>632.13049999999998</v>
      </c>
      <c r="Q1113">
        <f t="shared" ca="1" si="541"/>
        <v>2593.2075316486621</v>
      </c>
      <c r="R1113">
        <f t="shared" ca="1" si="542"/>
        <v>482.07306851378365</v>
      </c>
      <c r="S1113">
        <f t="shared" ca="1" si="543"/>
        <v>280.07692026646265</v>
      </c>
      <c r="T1113">
        <f t="shared" ca="1" si="544"/>
        <v>1019.7665564573041</v>
      </c>
      <c r="U1113">
        <f t="shared" ca="1" si="565"/>
        <v>-482.25887083179032</v>
      </c>
      <c r="V1113">
        <f t="shared" ca="1" si="566"/>
        <v>0</v>
      </c>
      <c r="W1113">
        <f t="shared" ca="1" si="545"/>
        <v>0.05</v>
      </c>
      <c r="X1113">
        <f t="shared" ca="1" si="546"/>
        <v>0.26</v>
      </c>
      <c r="Y1113">
        <f t="shared" ca="1" si="547"/>
        <v>4.9056603773584909E-2</v>
      </c>
      <c r="Z1113">
        <f t="shared" ca="1" si="548"/>
        <v>196.15384615384616</v>
      </c>
      <c r="AA1113">
        <f t="shared" ca="1" si="549"/>
        <v>632.13049999999998</v>
      </c>
      <c r="AB1113">
        <f t="shared" ca="1" si="550"/>
        <v>2593.2075316486621</v>
      </c>
      <c r="AC1113">
        <f t="shared" ca="1" si="551"/>
        <v>482.07306851378365</v>
      </c>
      <c r="AD1113">
        <f t="shared" ca="1" si="552"/>
        <v>280.07692026646265</v>
      </c>
      <c r="AE1113">
        <f t="shared" ca="1" si="553"/>
        <v>1019.7665564573041</v>
      </c>
      <c r="AF1113">
        <f t="shared" ca="1" si="554"/>
        <v>482.26867621694828</v>
      </c>
      <c r="AG1113">
        <f t="shared" ca="1" si="555"/>
        <v>0</v>
      </c>
      <c r="AH1113">
        <f ca="1">IF(V32="Supercritical",L1113,IF(V32="Subcritical",W1113,IF(AND(V1113=1,AG1113=1),IF(T1113&gt;=AE1113,L1113,W1113),IF(V1113=1,L1113,IF(AG1113=1,W1113,MAX($D$16,POWER((ABS(K1113)^2)/($I$5*MAX(F1113,0.1)^2),1/3)))))))</f>
        <v>2.1403668656741068</v>
      </c>
      <c r="AI1113">
        <f t="shared" ca="1" si="556"/>
        <v>634.22086686567411</v>
      </c>
      <c r="AJ1113">
        <f t="shared" ca="1" si="557"/>
        <v>635.29105029851121</v>
      </c>
      <c r="AM1113">
        <v>0</v>
      </c>
      <c r="AN1113">
        <v>0</v>
      </c>
      <c r="AO1113">
        <f t="shared" si="558"/>
        <v>0</v>
      </c>
      <c r="AP1113">
        <f t="shared" si="567"/>
        <v>0</v>
      </c>
      <c r="AQ1113">
        <f t="shared" ca="1" si="559"/>
        <v>0.99999999999999978</v>
      </c>
      <c r="AR1113" t="str">
        <f t="shared" ca="1" si="560"/>
        <v>Supercritical</v>
      </c>
      <c r="AS1113">
        <f t="shared" ca="1" si="561"/>
        <v>3.8148159832266538E-3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191</v>
      </c>
      <c r="I1114">
        <v>0.06</v>
      </c>
      <c r="J1114">
        <f t="shared" si="562"/>
        <v>1</v>
      </c>
      <c r="K1114">
        <f t="shared" si="563"/>
        <v>51</v>
      </c>
      <c r="L1114">
        <f t="shared" ca="1" si="564"/>
        <v>0.05</v>
      </c>
      <c r="M1114">
        <f t="shared" ca="1" si="537"/>
        <v>0.26</v>
      </c>
      <c r="N1114">
        <f t="shared" ca="1" si="538"/>
        <v>4.9056603773584909E-2</v>
      </c>
      <c r="O1114">
        <f t="shared" ca="1" si="539"/>
        <v>196.15384615384616</v>
      </c>
      <c r="P1114">
        <f t="shared" ca="1" si="540"/>
        <v>632.13</v>
      </c>
      <c r="Q1114">
        <f t="shared" ca="1" si="541"/>
        <v>2593.207031648662</v>
      </c>
      <c r="R1114">
        <f t="shared" ca="1" si="542"/>
        <v>482.07306851378365</v>
      </c>
      <c r="S1114">
        <f t="shared" ca="1" si="543"/>
        <v>280.07692026646265</v>
      </c>
      <c r="T1114">
        <f t="shared" ca="1" si="544"/>
        <v>1019.7665564573041</v>
      </c>
      <c r="U1114">
        <f t="shared" ca="1" si="565"/>
        <v>-482.26867621694828</v>
      </c>
      <c r="V1114">
        <f t="shared" ca="1" si="566"/>
        <v>0</v>
      </c>
      <c r="W1114">
        <f t="shared" ca="1" si="545"/>
        <v>0.05</v>
      </c>
      <c r="X1114">
        <f t="shared" ca="1" si="546"/>
        <v>0.26</v>
      </c>
      <c r="Y1114">
        <f t="shared" ca="1" si="547"/>
        <v>4.9056603773584909E-2</v>
      </c>
      <c r="Z1114">
        <f t="shared" ca="1" si="548"/>
        <v>196.15384615384616</v>
      </c>
      <c r="AA1114">
        <f t="shared" ca="1" si="549"/>
        <v>632.13</v>
      </c>
      <c r="AB1114">
        <f t="shared" ca="1" si="550"/>
        <v>2593.207031648662</v>
      </c>
      <c r="AC1114">
        <f t="shared" ca="1" si="551"/>
        <v>482.07306851378365</v>
      </c>
      <c r="AD1114">
        <f t="shared" ca="1" si="552"/>
        <v>280.07692026646265</v>
      </c>
      <c r="AE1114">
        <f t="shared" ca="1" si="553"/>
        <v>1019.7665564573041</v>
      </c>
      <c r="AF1114">
        <f t="shared" ca="1" si="554"/>
        <v>482.56117850572537</v>
      </c>
      <c r="AG1114">
        <f t="shared" ca="1" si="555"/>
        <v>0</v>
      </c>
      <c r="AH1114">
        <f ca="1">IF(V32="Supercritical",L1114,IF(V32="Subcritical",W1114,IF(AND(V1114=1,AG1114=1),IF(T1114&gt;=AE1114,L1114,W1114),IF(V1114=1,L1114,IF(AG1114=1,W1114,MAX($D$16,POWER((ABS(K1114)^2)/($I$5*MAX(F1114,0.1)^2),1/3)))))))</f>
        <v>2.1403668656741068</v>
      </c>
      <c r="AI1114">
        <f t="shared" ca="1" si="556"/>
        <v>634.22036686567412</v>
      </c>
      <c r="AJ1114">
        <f t="shared" ca="1" si="557"/>
        <v>635.29055029851122</v>
      </c>
      <c r="AM1114">
        <v>0</v>
      </c>
      <c r="AN1114">
        <v>0</v>
      </c>
      <c r="AO1114">
        <f t="shared" si="558"/>
        <v>0</v>
      </c>
      <c r="AP1114">
        <f t="shared" si="567"/>
        <v>0</v>
      </c>
      <c r="AQ1114">
        <f t="shared" ca="1" si="559"/>
        <v>0.99999999999999978</v>
      </c>
      <c r="AR1114" t="str">
        <f t="shared" ca="1" si="560"/>
        <v>Supercritical</v>
      </c>
      <c r="AS1114">
        <f t="shared" ca="1" si="561"/>
        <v>3.8148159832266538E-3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191</v>
      </c>
      <c r="I1115">
        <v>2E-3</v>
      </c>
      <c r="J1115">
        <f t="shared" si="562"/>
        <v>1.0009999999999764</v>
      </c>
      <c r="K1115">
        <f t="shared" si="563"/>
        <v>51</v>
      </c>
      <c r="L1115">
        <f t="shared" ca="1" si="564"/>
        <v>0.05</v>
      </c>
      <c r="M1115">
        <f t="shared" ca="1" si="537"/>
        <v>0.26</v>
      </c>
      <c r="N1115">
        <f t="shared" ca="1" si="538"/>
        <v>4.9056603773584909E-2</v>
      </c>
      <c r="O1115">
        <f t="shared" ca="1" si="539"/>
        <v>196.15384615384616</v>
      </c>
      <c r="P1115">
        <f t="shared" ca="1" si="540"/>
        <v>632.12950000000001</v>
      </c>
      <c r="Q1115">
        <f t="shared" ca="1" si="541"/>
        <v>2593.2065316486623</v>
      </c>
      <c r="R1115">
        <f t="shared" ca="1" si="542"/>
        <v>482.07306851378365</v>
      </c>
      <c r="S1115">
        <f t="shared" ca="1" si="543"/>
        <v>280.07692026646265</v>
      </c>
      <c r="T1115">
        <f t="shared" ca="1" si="544"/>
        <v>1019.7665564573041</v>
      </c>
      <c r="U1115">
        <f t="shared" ca="1" si="565"/>
        <v>-482.56117850572537</v>
      </c>
      <c r="V1115">
        <f t="shared" ca="1" si="566"/>
        <v>0</v>
      </c>
      <c r="W1115">
        <f t="shared" ca="1" si="545"/>
        <v>0.05</v>
      </c>
      <c r="X1115">
        <f t="shared" ca="1" si="546"/>
        <v>0.26</v>
      </c>
      <c r="Y1115">
        <f t="shared" ca="1" si="547"/>
        <v>4.9056603773584909E-2</v>
      </c>
      <c r="Z1115">
        <f t="shared" ca="1" si="548"/>
        <v>196.15384615384616</v>
      </c>
      <c r="AA1115">
        <f t="shared" ca="1" si="549"/>
        <v>632.12950000000001</v>
      </c>
      <c r="AB1115">
        <f t="shared" ca="1" si="550"/>
        <v>2593.2065316486623</v>
      </c>
      <c r="AC1115">
        <f t="shared" ca="1" si="551"/>
        <v>482.07306851378365</v>
      </c>
      <c r="AD1115">
        <f t="shared" ca="1" si="552"/>
        <v>280.07692026646265</v>
      </c>
      <c r="AE1115">
        <f t="shared" ca="1" si="553"/>
        <v>1019.7665564573041</v>
      </c>
      <c r="AF1115">
        <f t="shared" ca="1" si="554"/>
        <v>482.07256851378361</v>
      </c>
      <c r="AG1115">
        <f t="shared" ca="1" si="555"/>
        <v>0</v>
      </c>
      <c r="AH1115">
        <f ca="1">IF(V32="Supercritical",L1115,IF(V32="Subcritical",W1115,IF(AND(V1115=1,AG1115=1),IF(T1115&gt;=AE1115,L1115,W1115),IF(V1115=1,L1115,IF(AG1115=1,W1115,MAX($D$16,POWER((ABS(K1115)^2)/($I$5*MAX(F1115,0.1)^2),1/3)))))))</f>
        <v>2.1403668656741068</v>
      </c>
      <c r="AI1115">
        <f t="shared" ca="1" si="556"/>
        <v>634.21986686567413</v>
      </c>
      <c r="AJ1115">
        <f t="shared" ca="1" si="557"/>
        <v>635.29005029851123</v>
      </c>
      <c r="AM1115">
        <v>0</v>
      </c>
      <c r="AN1115">
        <v>0</v>
      </c>
      <c r="AO1115">
        <f t="shared" si="558"/>
        <v>0</v>
      </c>
      <c r="AP1115">
        <f t="shared" si="567"/>
        <v>0</v>
      </c>
      <c r="AQ1115">
        <f t="shared" ca="1" si="559"/>
        <v>0.99999999999999978</v>
      </c>
      <c r="AR1115" t="str">
        <f t="shared" ca="1" si="560"/>
        <v>Supercritical</v>
      </c>
      <c r="AS1115">
        <f t="shared" ca="1" si="561"/>
        <v>3.8148159832266538E-3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191</v>
      </c>
      <c r="I1116">
        <v>0</v>
      </c>
      <c r="J1116">
        <f t="shared" si="562"/>
        <v>1</v>
      </c>
      <c r="K1116">
        <f t="shared" si="563"/>
        <v>51</v>
      </c>
      <c r="L1116">
        <f t="shared" ca="1" si="564"/>
        <v>0.05</v>
      </c>
      <c r="M1116">
        <f t="shared" ca="1" si="537"/>
        <v>0.26</v>
      </c>
      <c r="N1116">
        <f t="shared" ca="1" si="538"/>
        <v>4.9056603773584909E-2</v>
      </c>
      <c r="O1116">
        <f t="shared" ca="1" si="539"/>
        <v>196.15384615384616</v>
      </c>
      <c r="P1116">
        <f t="shared" ca="1" si="540"/>
        <v>632.12899999999991</v>
      </c>
      <c r="Q1116">
        <f t="shared" ca="1" si="541"/>
        <v>2593.2060316486622</v>
      </c>
      <c r="R1116">
        <f t="shared" ca="1" si="542"/>
        <v>482.07306851378365</v>
      </c>
      <c r="S1116">
        <f t="shared" ca="1" si="543"/>
        <v>280.07692026646265</v>
      </c>
      <c r="T1116">
        <f t="shared" ca="1" si="544"/>
        <v>1019.7665564573041</v>
      </c>
      <c r="U1116">
        <f t="shared" ca="1" si="565"/>
        <v>-482.07256851378361</v>
      </c>
      <c r="V1116">
        <f t="shared" ca="1" si="566"/>
        <v>0</v>
      </c>
      <c r="W1116">
        <f t="shared" ca="1" si="545"/>
        <v>0.05</v>
      </c>
      <c r="X1116">
        <f t="shared" ca="1" si="546"/>
        <v>0.26</v>
      </c>
      <c r="Y1116">
        <f t="shared" ca="1" si="547"/>
        <v>4.9056603773584909E-2</v>
      </c>
      <c r="Z1116">
        <f t="shared" ca="1" si="548"/>
        <v>196.15384615384616</v>
      </c>
      <c r="AA1116">
        <f t="shared" ca="1" si="549"/>
        <v>632.12899999999991</v>
      </c>
      <c r="AB1116">
        <f t="shared" ca="1" si="550"/>
        <v>2593.2060316486622</v>
      </c>
      <c r="AC1116">
        <f t="shared" ca="1" si="551"/>
        <v>482.07306851378365</v>
      </c>
      <c r="AD1116">
        <f t="shared" ca="1" si="552"/>
        <v>280.07692026646265</v>
      </c>
      <c r="AE1116">
        <f t="shared" ca="1" si="553"/>
        <v>1019.7665564573041</v>
      </c>
      <c r="AF1116">
        <f t="shared" ca="1" si="554"/>
        <v>482.25887083179032</v>
      </c>
      <c r="AG1116">
        <f t="shared" ca="1" si="555"/>
        <v>0</v>
      </c>
      <c r="AH1116">
        <f ca="1">IF(V32="Supercritical",L1116,IF(V32="Subcritical",W1116,IF(AND(V1116=1,AG1116=1),IF(T1116&gt;=AE1116,L1116,W1116),IF(V1116=1,L1116,IF(AG1116=1,W1116,MAX($D$16,POWER((ABS(K1116)^2)/($I$5*MAX(F1116,0.1)^2),1/3)))))))</f>
        <v>2.1403668656741068</v>
      </c>
      <c r="AI1116">
        <f t="shared" ca="1" si="556"/>
        <v>634.21936686567403</v>
      </c>
      <c r="AJ1116">
        <f t="shared" ca="1" si="557"/>
        <v>635.28955029851113</v>
      </c>
      <c r="AM1116">
        <v>0</v>
      </c>
      <c r="AN1116">
        <v>0</v>
      </c>
      <c r="AO1116">
        <f t="shared" si="558"/>
        <v>0</v>
      </c>
      <c r="AP1116">
        <f t="shared" si="567"/>
        <v>0</v>
      </c>
      <c r="AQ1116">
        <f t="shared" ca="1" si="559"/>
        <v>0.99999999999999978</v>
      </c>
      <c r="AR1116" t="str">
        <f t="shared" ca="1" si="560"/>
        <v>Supercritical</v>
      </c>
      <c r="AS1116">
        <f t="shared" ca="1" si="561"/>
        <v>3.8148159832266538E-3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191</v>
      </c>
      <c r="I1117">
        <v>5.7000000000000002E-2</v>
      </c>
      <c r="J1117">
        <f t="shared" si="562"/>
        <v>1</v>
      </c>
      <c r="K1117">
        <f t="shared" si="563"/>
        <v>51</v>
      </c>
      <c r="L1117">
        <f t="shared" ca="1" si="564"/>
        <v>0.05</v>
      </c>
      <c r="M1117">
        <f t="shared" ca="1" si="537"/>
        <v>0.26</v>
      </c>
      <c r="N1117">
        <f t="shared" ca="1" si="538"/>
        <v>4.9056603773584909E-2</v>
      </c>
      <c r="O1117">
        <f t="shared" ca="1" si="539"/>
        <v>196.15384615384616</v>
      </c>
      <c r="P1117">
        <f t="shared" ca="1" si="540"/>
        <v>632.12849999999992</v>
      </c>
      <c r="Q1117">
        <f t="shared" ca="1" si="541"/>
        <v>2593.2055316486621</v>
      </c>
      <c r="R1117">
        <f t="shared" ca="1" si="542"/>
        <v>482.07306851378365</v>
      </c>
      <c r="S1117">
        <f t="shared" ca="1" si="543"/>
        <v>280.07692026646265</v>
      </c>
      <c r="T1117">
        <f t="shared" ca="1" si="544"/>
        <v>1019.7665564573041</v>
      </c>
      <c r="U1117">
        <f t="shared" ca="1" si="565"/>
        <v>-482.25887083179032</v>
      </c>
      <c r="V1117">
        <f t="shared" ca="1" si="566"/>
        <v>0</v>
      </c>
      <c r="W1117">
        <f t="shared" ca="1" si="545"/>
        <v>0.05</v>
      </c>
      <c r="X1117">
        <f t="shared" ca="1" si="546"/>
        <v>0.26</v>
      </c>
      <c r="Y1117">
        <f t="shared" ca="1" si="547"/>
        <v>4.9056603773584909E-2</v>
      </c>
      <c r="Z1117">
        <f t="shared" ca="1" si="548"/>
        <v>196.15384615384616</v>
      </c>
      <c r="AA1117">
        <f t="shared" ca="1" si="549"/>
        <v>632.12849999999992</v>
      </c>
      <c r="AB1117">
        <f t="shared" ca="1" si="550"/>
        <v>2593.2055316486621</v>
      </c>
      <c r="AC1117">
        <f t="shared" ca="1" si="551"/>
        <v>482.07306851378365</v>
      </c>
      <c r="AD1117">
        <f t="shared" ca="1" si="552"/>
        <v>280.07692026646265</v>
      </c>
      <c r="AE1117">
        <f t="shared" ca="1" si="553"/>
        <v>1019.7665564573041</v>
      </c>
      <c r="AF1117">
        <f t="shared" ca="1" si="554"/>
        <v>481.77679776328796</v>
      </c>
      <c r="AG1117">
        <f t="shared" ca="1" si="555"/>
        <v>0</v>
      </c>
      <c r="AH1117">
        <f ca="1">IF(V32="Supercritical",L1117,IF(V32="Subcritical",W1117,IF(AND(V1117=1,AG1117=1),IF(T1117&gt;=AE1117,L1117,W1117),IF(V1117=1,L1117,IF(AG1117=1,W1117,MAX($D$16,POWER((ABS(K1117)^2)/($I$5*MAX(F1117,0.1)^2),1/3)))))))</f>
        <v>2.1403668656741068</v>
      </c>
      <c r="AI1117">
        <f t="shared" ca="1" si="556"/>
        <v>634.21886686567404</v>
      </c>
      <c r="AJ1117">
        <f t="shared" ca="1" si="557"/>
        <v>635.28905029851114</v>
      </c>
      <c r="AM1117">
        <v>0</v>
      </c>
      <c r="AN1117">
        <v>0</v>
      </c>
      <c r="AO1117">
        <f t="shared" si="558"/>
        <v>0</v>
      </c>
      <c r="AP1117">
        <f t="shared" si="567"/>
        <v>0</v>
      </c>
      <c r="AQ1117">
        <f t="shared" ca="1" si="559"/>
        <v>0.99999999999999978</v>
      </c>
      <c r="AR1117" t="str">
        <f t="shared" ca="1" si="560"/>
        <v>Supercritical</v>
      </c>
      <c r="AS1117">
        <f t="shared" ca="1" si="561"/>
        <v>3.8148159832266538E-3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191</v>
      </c>
      <c r="I1118">
        <v>5.7000000000000002E-2</v>
      </c>
      <c r="J1118">
        <f t="shared" si="562"/>
        <v>0.99900000000002365</v>
      </c>
      <c r="K1118">
        <f t="shared" si="563"/>
        <v>51</v>
      </c>
      <c r="L1118">
        <f t="shared" ca="1" si="564"/>
        <v>0.05</v>
      </c>
      <c r="M1118">
        <f t="shared" ca="1" si="537"/>
        <v>0.26</v>
      </c>
      <c r="N1118">
        <f t="shared" ca="1" si="538"/>
        <v>4.9056603773584909E-2</v>
      </c>
      <c r="O1118">
        <f t="shared" ca="1" si="539"/>
        <v>196.15384615384616</v>
      </c>
      <c r="P1118">
        <f t="shared" ca="1" si="540"/>
        <v>632.12799999999993</v>
      </c>
      <c r="Q1118">
        <f t="shared" ca="1" si="541"/>
        <v>2593.205031648662</v>
      </c>
      <c r="R1118">
        <f t="shared" ca="1" si="542"/>
        <v>482.07306851378365</v>
      </c>
      <c r="S1118">
        <f t="shared" ca="1" si="543"/>
        <v>280.07692026646265</v>
      </c>
      <c r="T1118">
        <f t="shared" ca="1" si="544"/>
        <v>1019.7665564573041</v>
      </c>
      <c r="U1118">
        <f t="shared" ca="1" si="565"/>
        <v>-481.77679776328796</v>
      </c>
      <c r="V1118">
        <f t="shared" ca="1" si="566"/>
        <v>0</v>
      </c>
      <c r="W1118">
        <f t="shared" ca="1" si="545"/>
        <v>0.05</v>
      </c>
      <c r="X1118">
        <f t="shared" ca="1" si="546"/>
        <v>0.26</v>
      </c>
      <c r="Y1118">
        <f t="shared" ca="1" si="547"/>
        <v>4.9056603773584909E-2</v>
      </c>
      <c r="Z1118">
        <f t="shared" ca="1" si="548"/>
        <v>196.15384615384616</v>
      </c>
      <c r="AA1118">
        <f t="shared" ca="1" si="549"/>
        <v>632.12799999999993</v>
      </c>
      <c r="AB1118">
        <f t="shared" ca="1" si="550"/>
        <v>2593.205031648662</v>
      </c>
      <c r="AC1118">
        <f t="shared" ca="1" si="551"/>
        <v>482.07306851378365</v>
      </c>
      <c r="AD1118">
        <f t="shared" ca="1" si="552"/>
        <v>280.07692026646265</v>
      </c>
      <c r="AE1118">
        <f t="shared" ca="1" si="553"/>
        <v>1019.7665564573041</v>
      </c>
      <c r="AF1118">
        <f t="shared" ca="1" si="554"/>
        <v>482.07256851378361</v>
      </c>
      <c r="AG1118">
        <f t="shared" ca="1" si="555"/>
        <v>0</v>
      </c>
      <c r="AH1118">
        <f ca="1">IF(V32="Supercritical",L1118,IF(V32="Subcritical",W1118,IF(AND(V1118=1,AG1118=1),IF(T1118&gt;=AE1118,L1118,W1118),IF(V1118=1,L1118,IF(AG1118=1,W1118,MAX($D$16,POWER((ABS(K1118)^2)/($I$5*MAX(F1118,0.1)^2),1/3)))))))</f>
        <v>2.1403668656741068</v>
      </c>
      <c r="AI1118">
        <f t="shared" ca="1" si="556"/>
        <v>634.21836686567406</v>
      </c>
      <c r="AJ1118">
        <f t="shared" ca="1" si="557"/>
        <v>635.28855029851115</v>
      </c>
      <c r="AM1118">
        <v>0</v>
      </c>
      <c r="AN1118">
        <v>0</v>
      </c>
      <c r="AO1118">
        <f t="shared" si="558"/>
        <v>0</v>
      </c>
      <c r="AP1118">
        <f t="shared" si="567"/>
        <v>0</v>
      </c>
      <c r="AQ1118">
        <f t="shared" ca="1" si="559"/>
        <v>0.99999999999999978</v>
      </c>
      <c r="AR1118" t="str">
        <f t="shared" ca="1" si="560"/>
        <v>Supercritical</v>
      </c>
      <c r="AS1118">
        <f t="shared" ca="1" si="561"/>
        <v>3.8148159832266538E-3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191</v>
      </c>
      <c r="I1119">
        <v>0</v>
      </c>
      <c r="J1119">
        <f t="shared" si="562"/>
        <v>1</v>
      </c>
      <c r="K1119">
        <f t="shared" si="563"/>
        <v>51</v>
      </c>
      <c r="L1119">
        <f t="shared" ca="1" si="564"/>
        <v>0.05</v>
      </c>
      <c r="M1119">
        <f t="shared" ca="1" si="537"/>
        <v>0.26</v>
      </c>
      <c r="N1119">
        <f t="shared" ca="1" si="538"/>
        <v>4.9056603773584909E-2</v>
      </c>
      <c r="O1119">
        <f t="shared" ca="1" si="539"/>
        <v>196.15384615384616</v>
      </c>
      <c r="P1119">
        <f t="shared" ca="1" si="540"/>
        <v>632.12749999999994</v>
      </c>
      <c r="Q1119">
        <f t="shared" ca="1" si="541"/>
        <v>2593.2045316486619</v>
      </c>
      <c r="R1119">
        <f t="shared" ca="1" si="542"/>
        <v>482.07306851378365</v>
      </c>
      <c r="S1119">
        <f t="shared" ca="1" si="543"/>
        <v>280.07692026646265</v>
      </c>
      <c r="T1119">
        <f t="shared" ca="1" si="544"/>
        <v>1019.7665564573041</v>
      </c>
      <c r="U1119">
        <f t="shared" ca="1" si="565"/>
        <v>-482.07256851378361</v>
      </c>
      <c r="V1119">
        <f t="shared" ca="1" si="566"/>
        <v>0</v>
      </c>
      <c r="W1119">
        <f t="shared" ca="1" si="545"/>
        <v>0.05</v>
      </c>
      <c r="X1119">
        <f t="shared" ca="1" si="546"/>
        <v>0.26</v>
      </c>
      <c r="Y1119">
        <f t="shared" ca="1" si="547"/>
        <v>4.9056603773584909E-2</v>
      </c>
      <c r="Z1119">
        <f t="shared" ca="1" si="548"/>
        <v>196.15384615384616</v>
      </c>
      <c r="AA1119">
        <f t="shared" ca="1" si="549"/>
        <v>632.12749999999994</v>
      </c>
      <c r="AB1119">
        <f t="shared" ca="1" si="550"/>
        <v>2593.2045316486619</v>
      </c>
      <c r="AC1119">
        <f t="shared" ca="1" si="551"/>
        <v>482.07306851378365</v>
      </c>
      <c r="AD1119">
        <f t="shared" ca="1" si="552"/>
        <v>280.07692026646265</v>
      </c>
      <c r="AE1119">
        <f t="shared" ca="1" si="553"/>
        <v>1019.7665564573041</v>
      </c>
      <c r="AF1119">
        <f t="shared" ca="1" si="554"/>
        <v>482.07256851378361</v>
      </c>
      <c r="AG1119">
        <f t="shared" ca="1" si="555"/>
        <v>0</v>
      </c>
      <c r="AH1119">
        <f ca="1">IF(V32="Supercritical",L1119,IF(V32="Subcritical",W1119,IF(AND(V1119=1,AG1119=1),IF(T1119&gt;=AE1119,L1119,W1119),IF(V1119=1,L1119,IF(AG1119=1,W1119,MAX($D$16,POWER((ABS(K1119)^2)/($I$5*MAX(F1119,0.1)^2),1/3)))))))</f>
        <v>2.1403668656741068</v>
      </c>
      <c r="AI1119">
        <f t="shared" ca="1" si="556"/>
        <v>634.21786686567407</v>
      </c>
      <c r="AJ1119">
        <f t="shared" ca="1" si="557"/>
        <v>635.28805029851117</v>
      </c>
      <c r="AM1119">
        <v>0</v>
      </c>
      <c r="AN1119">
        <v>0</v>
      </c>
      <c r="AO1119">
        <f t="shared" si="558"/>
        <v>0</v>
      </c>
      <c r="AP1119">
        <f t="shared" si="567"/>
        <v>0</v>
      </c>
      <c r="AQ1119">
        <f t="shared" ca="1" si="559"/>
        <v>0.99999999999999978</v>
      </c>
      <c r="AR1119" t="str">
        <f t="shared" ca="1" si="560"/>
        <v>Supercritical</v>
      </c>
      <c r="AS1119">
        <f t="shared" ca="1" si="561"/>
        <v>3.8148159832266538E-3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191</v>
      </c>
      <c r="I1120">
        <v>0</v>
      </c>
      <c r="J1120">
        <f t="shared" si="562"/>
        <v>1</v>
      </c>
      <c r="K1120">
        <f t="shared" si="563"/>
        <v>51</v>
      </c>
      <c r="L1120">
        <f t="shared" ca="1" si="564"/>
        <v>0.05</v>
      </c>
      <c r="M1120">
        <f t="shared" ca="1" si="537"/>
        <v>0.26</v>
      </c>
      <c r="N1120">
        <f t="shared" ca="1" si="538"/>
        <v>4.9056603773584909E-2</v>
      </c>
      <c r="O1120">
        <f t="shared" ca="1" si="539"/>
        <v>196.15384615384616</v>
      </c>
      <c r="P1120">
        <f t="shared" ca="1" si="540"/>
        <v>632.12699999999995</v>
      </c>
      <c r="Q1120">
        <f t="shared" ca="1" si="541"/>
        <v>2593.2040316486618</v>
      </c>
      <c r="R1120">
        <f t="shared" ca="1" si="542"/>
        <v>482.07306851378365</v>
      </c>
      <c r="S1120">
        <f t="shared" ca="1" si="543"/>
        <v>280.07692026646265</v>
      </c>
      <c r="T1120">
        <f t="shared" ca="1" si="544"/>
        <v>1019.7665564573041</v>
      </c>
      <c r="U1120">
        <f t="shared" ca="1" si="565"/>
        <v>-482.07256851378361</v>
      </c>
      <c r="V1120">
        <f t="shared" ca="1" si="566"/>
        <v>0</v>
      </c>
      <c r="W1120">
        <f t="shared" ca="1" si="545"/>
        <v>0.05</v>
      </c>
      <c r="X1120">
        <f t="shared" ca="1" si="546"/>
        <v>0.26</v>
      </c>
      <c r="Y1120">
        <f t="shared" ca="1" si="547"/>
        <v>4.9056603773584909E-2</v>
      </c>
      <c r="Z1120">
        <f t="shared" ca="1" si="548"/>
        <v>196.15384615384616</v>
      </c>
      <c r="AA1120">
        <f t="shared" ca="1" si="549"/>
        <v>632.12699999999995</v>
      </c>
      <c r="AB1120">
        <f t="shared" ca="1" si="550"/>
        <v>2593.2040316486618</v>
      </c>
      <c r="AC1120">
        <f t="shared" ca="1" si="551"/>
        <v>482.07306851378365</v>
      </c>
      <c r="AD1120">
        <f t="shared" ca="1" si="552"/>
        <v>280.07692026646265</v>
      </c>
      <c r="AE1120">
        <f t="shared" ca="1" si="553"/>
        <v>1019.7665564573041</v>
      </c>
      <c r="AF1120">
        <f t="shared" ca="1" si="554"/>
        <v>482.25887083179077</v>
      </c>
      <c r="AG1120">
        <f t="shared" ca="1" si="555"/>
        <v>0</v>
      </c>
      <c r="AH1120">
        <f ca="1">IF(V32="Supercritical",L1120,IF(V32="Subcritical",W1120,IF(AND(V1120=1,AG1120=1),IF(T1120&gt;=AE1120,L1120,W1120),IF(V1120=1,L1120,IF(AG1120=1,W1120,MAX($D$16,POWER((ABS(K1120)^2)/($I$5*MAX(F1120,0.1)^2),1/3)))))))</f>
        <v>2.1403668656741068</v>
      </c>
      <c r="AI1120">
        <f t="shared" ca="1" si="556"/>
        <v>634.21736686567408</v>
      </c>
      <c r="AJ1120">
        <f t="shared" ca="1" si="557"/>
        <v>635.28755029851118</v>
      </c>
      <c r="AM1120">
        <v>0</v>
      </c>
      <c r="AN1120">
        <v>0</v>
      </c>
      <c r="AO1120">
        <f t="shared" si="558"/>
        <v>0</v>
      </c>
      <c r="AP1120">
        <f t="shared" si="567"/>
        <v>0</v>
      </c>
      <c r="AQ1120">
        <f t="shared" ca="1" si="559"/>
        <v>0.99999999999999978</v>
      </c>
      <c r="AR1120" t="str">
        <f t="shared" ca="1" si="560"/>
        <v>Supercritical</v>
      </c>
      <c r="AS1120">
        <f t="shared" ca="1" si="561"/>
        <v>3.8148159832266538E-3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191</v>
      </c>
      <c r="I1121">
        <v>5.7000000000000002E-2</v>
      </c>
      <c r="J1121">
        <f t="shared" si="562"/>
        <v>1</v>
      </c>
      <c r="K1121">
        <f t="shared" si="563"/>
        <v>51</v>
      </c>
      <c r="L1121">
        <f t="shared" ca="1" si="564"/>
        <v>0.05</v>
      </c>
      <c r="M1121">
        <f t="shared" ca="1" si="537"/>
        <v>0.26</v>
      </c>
      <c r="N1121">
        <f t="shared" ca="1" si="538"/>
        <v>4.9056603773584909E-2</v>
      </c>
      <c r="O1121">
        <f t="shared" ca="1" si="539"/>
        <v>196.15384615384616</v>
      </c>
      <c r="P1121">
        <f t="shared" ca="1" si="540"/>
        <v>632.12649999999996</v>
      </c>
      <c r="Q1121">
        <f t="shared" ca="1" si="541"/>
        <v>2593.2035316486622</v>
      </c>
      <c r="R1121">
        <f t="shared" ca="1" si="542"/>
        <v>482.07306851378365</v>
      </c>
      <c r="S1121">
        <f t="shared" ca="1" si="543"/>
        <v>280.07692026646265</v>
      </c>
      <c r="T1121">
        <f t="shared" ca="1" si="544"/>
        <v>1019.7665564573041</v>
      </c>
      <c r="U1121">
        <f t="shared" ca="1" si="565"/>
        <v>-482.25887083179077</v>
      </c>
      <c r="V1121">
        <f t="shared" ca="1" si="566"/>
        <v>0</v>
      </c>
      <c r="W1121">
        <f t="shared" ca="1" si="545"/>
        <v>0.05</v>
      </c>
      <c r="X1121">
        <f t="shared" ca="1" si="546"/>
        <v>0.26</v>
      </c>
      <c r="Y1121">
        <f t="shared" ca="1" si="547"/>
        <v>4.9056603773584909E-2</v>
      </c>
      <c r="Z1121">
        <f t="shared" ca="1" si="548"/>
        <v>196.15384615384616</v>
      </c>
      <c r="AA1121">
        <f t="shared" ca="1" si="549"/>
        <v>632.12649999999996</v>
      </c>
      <c r="AB1121">
        <f t="shared" ca="1" si="550"/>
        <v>2593.2035316486622</v>
      </c>
      <c r="AC1121">
        <f t="shared" ca="1" si="551"/>
        <v>482.07306851378365</v>
      </c>
      <c r="AD1121">
        <f t="shared" ca="1" si="552"/>
        <v>280.07692026646265</v>
      </c>
      <c r="AE1121">
        <f t="shared" ca="1" si="553"/>
        <v>1019.7665564573041</v>
      </c>
      <c r="AF1121">
        <f t="shared" ca="1" si="554"/>
        <v>482.25887083179032</v>
      </c>
      <c r="AG1121">
        <f t="shared" ca="1" si="555"/>
        <v>0</v>
      </c>
      <c r="AH1121">
        <f ca="1">IF(V32="Supercritical",L1121,IF(V32="Subcritical",W1121,IF(AND(V1121=1,AG1121=1),IF(T1121&gt;=AE1121,L1121,W1121),IF(V1121=1,L1121,IF(AG1121=1,W1121,MAX($D$16,POWER((ABS(K1121)^2)/($I$5*MAX(F1121,0.1)^2),1/3)))))))</f>
        <v>2.1403668656741068</v>
      </c>
      <c r="AI1121">
        <f t="shared" ca="1" si="556"/>
        <v>634.21686686567409</v>
      </c>
      <c r="AJ1121">
        <f t="shared" ca="1" si="557"/>
        <v>635.28705029851119</v>
      </c>
      <c r="AM1121">
        <v>0</v>
      </c>
      <c r="AN1121">
        <v>0</v>
      </c>
      <c r="AO1121">
        <f t="shared" si="558"/>
        <v>0</v>
      </c>
      <c r="AP1121">
        <f t="shared" si="567"/>
        <v>0</v>
      </c>
      <c r="AQ1121">
        <f t="shared" ca="1" si="559"/>
        <v>0.99999999999999978</v>
      </c>
      <c r="AR1121" t="str">
        <f t="shared" ca="1" si="560"/>
        <v>Supercritical</v>
      </c>
      <c r="AS1121">
        <f t="shared" ca="1" si="561"/>
        <v>3.8148159832266538E-3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191</v>
      </c>
      <c r="I1122">
        <v>5.7000000000000002E-2</v>
      </c>
      <c r="J1122">
        <f t="shared" si="562"/>
        <v>1</v>
      </c>
      <c r="K1122">
        <f t="shared" si="563"/>
        <v>51</v>
      </c>
      <c r="L1122">
        <f t="shared" ca="1" si="564"/>
        <v>0.05</v>
      </c>
      <c r="M1122">
        <f t="shared" ca="1" si="537"/>
        <v>0.26</v>
      </c>
      <c r="N1122">
        <f t="shared" ca="1" si="538"/>
        <v>4.9056603773584909E-2</v>
      </c>
      <c r="O1122">
        <f t="shared" ca="1" si="539"/>
        <v>196.15384615384616</v>
      </c>
      <c r="P1122">
        <f t="shared" ca="1" si="540"/>
        <v>632.12599999999998</v>
      </c>
      <c r="Q1122">
        <f t="shared" ca="1" si="541"/>
        <v>2593.2030316486621</v>
      </c>
      <c r="R1122">
        <f t="shared" ca="1" si="542"/>
        <v>482.07306851378365</v>
      </c>
      <c r="S1122">
        <f t="shared" ca="1" si="543"/>
        <v>280.07692026646265</v>
      </c>
      <c r="T1122">
        <f t="shared" ca="1" si="544"/>
        <v>1019.7665564573041</v>
      </c>
      <c r="U1122">
        <f t="shared" ca="1" si="565"/>
        <v>-482.25887083179032</v>
      </c>
      <c r="V1122">
        <f t="shared" ca="1" si="566"/>
        <v>0</v>
      </c>
      <c r="W1122">
        <f t="shared" ca="1" si="545"/>
        <v>0.05</v>
      </c>
      <c r="X1122">
        <f t="shared" ca="1" si="546"/>
        <v>0.26</v>
      </c>
      <c r="Y1122">
        <f t="shared" ca="1" si="547"/>
        <v>4.9056603773584909E-2</v>
      </c>
      <c r="Z1122">
        <f t="shared" ca="1" si="548"/>
        <v>196.15384615384616</v>
      </c>
      <c r="AA1122">
        <f t="shared" ca="1" si="549"/>
        <v>632.12599999999998</v>
      </c>
      <c r="AB1122">
        <f t="shared" ca="1" si="550"/>
        <v>2593.2030316486621</v>
      </c>
      <c r="AC1122">
        <f t="shared" ca="1" si="551"/>
        <v>482.07306851378365</v>
      </c>
      <c r="AD1122">
        <f t="shared" ca="1" si="552"/>
        <v>280.07692026646265</v>
      </c>
      <c r="AE1122">
        <f t="shared" ca="1" si="553"/>
        <v>1019.7665564573041</v>
      </c>
      <c r="AF1122">
        <f t="shared" ca="1" si="554"/>
        <v>482.07256851378361</v>
      </c>
      <c r="AG1122">
        <f t="shared" ca="1" si="555"/>
        <v>0</v>
      </c>
      <c r="AH1122">
        <f ca="1">IF(V32="Supercritical",L1122,IF(V32="Subcritical",W1122,IF(AND(V1122=1,AG1122=1),IF(T1122&gt;=AE1122,L1122,W1122),IF(V1122=1,L1122,IF(AG1122=1,W1122,MAX($D$16,POWER((ABS(K1122)^2)/($I$5*MAX(F1122,0.1)^2),1/3)))))))</f>
        <v>2.1403668656741068</v>
      </c>
      <c r="AI1122">
        <f t="shared" ca="1" si="556"/>
        <v>634.2163668656741</v>
      </c>
      <c r="AJ1122">
        <f t="shared" ca="1" si="557"/>
        <v>635.2865502985112</v>
      </c>
      <c r="AM1122">
        <v>0</v>
      </c>
      <c r="AN1122">
        <v>0</v>
      </c>
      <c r="AO1122">
        <f t="shared" si="558"/>
        <v>0</v>
      </c>
      <c r="AP1122">
        <f t="shared" si="567"/>
        <v>0</v>
      </c>
      <c r="AQ1122">
        <f t="shared" ca="1" si="559"/>
        <v>0.99999999999999978</v>
      </c>
      <c r="AR1122" t="str">
        <f t="shared" ca="1" si="560"/>
        <v>Supercritical</v>
      </c>
      <c r="AS1122">
        <f t="shared" ca="1" si="561"/>
        <v>3.8148159832266538E-3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191</v>
      </c>
      <c r="I1123">
        <v>0</v>
      </c>
      <c r="J1123">
        <f t="shared" si="562"/>
        <v>1</v>
      </c>
      <c r="K1123">
        <f t="shared" si="563"/>
        <v>51</v>
      </c>
      <c r="L1123">
        <f t="shared" ca="1" si="564"/>
        <v>0.05</v>
      </c>
      <c r="M1123">
        <f t="shared" ca="1" si="537"/>
        <v>0.26</v>
      </c>
      <c r="N1123">
        <f t="shared" ca="1" si="538"/>
        <v>4.9056603773584909E-2</v>
      </c>
      <c r="O1123">
        <f t="shared" ca="1" si="539"/>
        <v>196.15384615384616</v>
      </c>
      <c r="P1123">
        <f t="shared" ca="1" si="540"/>
        <v>632.12549999999999</v>
      </c>
      <c r="Q1123">
        <f t="shared" ca="1" si="541"/>
        <v>2593.202531648662</v>
      </c>
      <c r="R1123">
        <f t="shared" ca="1" si="542"/>
        <v>482.07306851378365</v>
      </c>
      <c r="S1123">
        <f t="shared" ca="1" si="543"/>
        <v>280.07692026646265</v>
      </c>
      <c r="T1123">
        <f t="shared" ca="1" si="544"/>
        <v>1019.7665564573041</v>
      </c>
      <c r="U1123">
        <f t="shared" ca="1" si="565"/>
        <v>-482.07256851378361</v>
      </c>
      <c r="V1123">
        <f t="shared" ca="1" si="566"/>
        <v>0</v>
      </c>
      <c r="W1123">
        <f t="shared" ca="1" si="545"/>
        <v>0.05</v>
      </c>
      <c r="X1123">
        <f t="shared" ca="1" si="546"/>
        <v>0.26</v>
      </c>
      <c r="Y1123">
        <f t="shared" ca="1" si="547"/>
        <v>4.9056603773584909E-2</v>
      </c>
      <c r="Z1123">
        <f t="shared" ca="1" si="548"/>
        <v>196.15384615384616</v>
      </c>
      <c r="AA1123">
        <f t="shared" ca="1" si="549"/>
        <v>632.12549999999999</v>
      </c>
      <c r="AB1123">
        <f t="shared" ca="1" si="550"/>
        <v>2593.202531648662</v>
      </c>
      <c r="AC1123">
        <f t="shared" ca="1" si="551"/>
        <v>482.07306851378365</v>
      </c>
      <c r="AD1123">
        <f t="shared" ca="1" si="552"/>
        <v>280.07692026646265</v>
      </c>
      <c r="AE1123">
        <f t="shared" ca="1" si="553"/>
        <v>1019.7665564573041</v>
      </c>
      <c r="AF1123">
        <f t="shared" ca="1" si="554"/>
        <v>482.25233390835183</v>
      </c>
      <c r="AG1123">
        <f t="shared" ca="1" si="555"/>
        <v>0</v>
      </c>
      <c r="AH1123">
        <f ca="1">IF(V32="Supercritical",L1123,IF(V32="Subcritical",W1123,IF(AND(V1123=1,AG1123=1),IF(T1123&gt;=AE1123,L1123,W1123),IF(V1123=1,L1123,IF(AG1123=1,W1123,MAX($D$16,POWER((ABS(K1123)^2)/($I$5*MAX(F1123,0.1)^2),1/3)))))))</f>
        <v>2.1403668656741068</v>
      </c>
      <c r="AI1123">
        <f t="shared" ca="1" si="556"/>
        <v>634.21586686567412</v>
      </c>
      <c r="AJ1123">
        <f t="shared" ca="1" si="557"/>
        <v>635.28605029851121</v>
      </c>
      <c r="AM1123">
        <v>0</v>
      </c>
      <c r="AN1123">
        <v>0</v>
      </c>
      <c r="AO1123">
        <f t="shared" si="558"/>
        <v>0</v>
      </c>
      <c r="AP1123">
        <f t="shared" si="567"/>
        <v>0</v>
      </c>
      <c r="AQ1123">
        <f t="shared" ca="1" si="559"/>
        <v>0.99999999999999978</v>
      </c>
      <c r="AR1123" t="str">
        <f t="shared" ca="1" si="560"/>
        <v>Supercritical</v>
      </c>
      <c r="AS1123">
        <f t="shared" ca="1" si="561"/>
        <v>3.8148159832266538E-3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191</v>
      </c>
      <c r="I1124">
        <v>5.5E-2</v>
      </c>
      <c r="J1124">
        <f t="shared" si="562"/>
        <v>1</v>
      </c>
      <c r="K1124">
        <f t="shared" si="563"/>
        <v>51</v>
      </c>
      <c r="L1124">
        <f t="shared" ca="1" si="564"/>
        <v>0.05</v>
      </c>
      <c r="M1124">
        <f t="shared" ca="1" si="537"/>
        <v>0.26</v>
      </c>
      <c r="N1124">
        <f t="shared" ca="1" si="538"/>
        <v>4.9056603773584909E-2</v>
      </c>
      <c r="O1124">
        <f t="shared" ca="1" si="539"/>
        <v>196.15384615384616</v>
      </c>
      <c r="P1124">
        <f t="shared" ca="1" si="540"/>
        <v>632.125</v>
      </c>
      <c r="Q1124">
        <f t="shared" ca="1" si="541"/>
        <v>2593.2020316486623</v>
      </c>
      <c r="R1124">
        <f t="shared" ca="1" si="542"/>
        <v>482.07306851378365</v>
      </c>
      <c r="S1124">
        <f t="shared" ca="1" si="543"/>
        <v>280.07692026646265</v>
      </c>
      <c r="T1124">
        <f t="shared" ca="1" si="544"/>
        <v>1019.7665564573041</v>
      </c>
      <c r="U1124">
        <f t="shared" ca="1" si="565"/>
        <v>-482.25233390835183</v>
      </c>
      <c r="V1124">
        <f t="shared" ca="1" si="566"/>
        <v>0</v>
      </c>
      <c r="W1124">
        <f t="shared" ca="1" si="545"/>
        <v>0.05</v>
      </c>
      <c r="X1124">
        <f t="shared" ca="1" si="546"/>
        <v>0.26</v>
      </c>
      <c r="Y1124">
        <f t="shared" ca="1" si="547"/>
        <v>4.9056603773584909E-2</v>
      </c>
      <c r="Z1124">
        <f t="shared" ca="1" si="548"/>
        <v>196.15384615384616</v>
      </c>
      <c r="AA1124">
        <f t="shared" ca="1" si="549"/>
        <v>632.125</v>
      </c>
      <c r="AB1124">
        <f t="shared" ca="1" si="550"/>
        <v>2593.2020316486623</v>
      </c>
      <c r="AC1124">
        <f t="shared" ca="1" si="551"/>
        <v>482.07306851378365</v>
      </c>
      <c r="AD1124">
        <f t="shared" ca="1" si="552"/>
        <v>280.07692026646265</v>
      </c>
      <c r="AE1124">
        <f t="shared" ca="1" si="553"/>
        <v>1019.7665564573041</v>
      </c>
      <c r="AF1124">
        <f t="shared" ca="1" si="554"/>
        <v>482.73440697685373</v>
      </c>
      <c r="AG1124">
        <f t="shared" ca="1" si="555"/>
        <v>0</v>
      </c>
      <c r="AH1124">
        <f ca="1">IF(V32="Supercritical",L1124,IF(V32="Subcritical",W1124,IF(AND(V1124=1,AG1124=1),IF(T1124&gt;=AE1124,L1124,W1124),IF(V1124=1,L1124,IF(AG1124=1,W1124,MAX($D$16,POWER((ABS(K1124)^2)/($I$5*MAX(F1124,0.1)^2),1/3)))))))</f>
        <v>2.1403668656741068</v>
      </c>
      <c r="AI1124">
        <f t="shared" ca="1" si="556"/>
        <v>634.21536686567413</v>
      </c>
      <c r="AJ1124">
        <f t="shared" ca="1" si="557"/>
        <v>635.28555029851123</v>
      </c>
      <c r="AM1124">
        <v>0</v>
      </c>
      <c r="AN1124">
        <v>0</v>
      </c>
      <c r="AO1124">
        <f t="shared" si="558"/>
        <v>0</v>
      </c>
      <c r="AP1124">
        <f t="shared" si="567"/>
        <v>0</v>
      </c>
      <c r="AQ1124">
        <f t="shared" ca="1" si="559"/>
        <v>0.99999999999999978</v>
      </c>
      <c r="AR1124" t="str">
        <f t="shared" ca="1" si="560"/>
        <v>Supercritical</v>
      </c>
      <c r="AS1124">
        <f t="shared" ca="1" si="561"/>
        <v>3.8148159832266538E-3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191</v>
      </c>
      <c r="I1125">
        <v>5.5E-2</v>
      </c>
      <c r="J1125">
        <f t="shared" si="562"/>
        <v>1.0009999999999764</v>
      </c>
      <c r="K1125">
        <f t="shared" si="563"/>
        <v>51</v>
      </c>
      <c r="L1125">
        <f t="shared" ca="1" si="564"/>
        <v>0.05</v>
      </c>
      <c r="M1125">
        <f t="shared" ca="1" si="537"/>
        <v>0.26</v>
      </c>
      <c r="N1125">
        <f t="shared" ca="1" si="538"/>
        <v>4.9056603773584909E-2</v>
      </c>
      <c r="O1125">
        <f t="shared" ca="1" si="539"/>
        <v>196.15384615384616</v>
      </c>
      <c r="P1125">
        <f t="shared" ca="1" si="540"/>
        <v>632.1244999999999</v>
      </c>
      <c r="Q1125">
        <f t="shared" ca="1" si="541"/>
        <v>2593.2015316486622</v>
      </c>
      <c r="R1125">
        <f t="shared" ca="1" si="542"/>
        <v>482.07306851378365</v>
      </c>
      <c r="S1125">
        <f t="shared" ca="1" si="543"/>
        <v>280.07692026646265</v>
      </c>
      <c r="T1125">
        <f t="shared" ca="1" si="544"/>
        <v>1019.7665564573041</v>
      </c>
      <c r="U1125">
        <f t="shared" ca="1" si="565"/>
        <v>-482.73440697685373</v>
      </c>
      <c r="V1125">
        <f t="shared" ca="1" si="566"/>
        <v>0</v>
      </c>
      <c r="W1125">
        <f t="shared" ca="1" si="545"/>
        <v>0.05</v>
      </c>
      <c r="X1125">
        <f t="shared" ca="1" si="546"/>
        <v>0.26</v>
      </c>
      <c r="Y1125">
        <f t="shared" ca="1" si="547"/>
        <v>4.9056603773584909E-2</v>
      </c>
      <c r="Z1125">
        <f t="shared" ca="1" si="548"/>
        <v>196.15384615384616</v>
      </c>
      <c r="AA1125">
        <f t="shared" ca="1" si="549"/>
        <v>632.1244999999999</v>
      </c>
      <c r="AB1125">
        <f t="shared" ca="1" si="550"/>
        <v>2593.2015316486622</v>
      </c>
      <c r="AC1125">
        <f t="shared" ca="1" si="551"/>
        <v>482.07306851378365</v>
      </c>
      <c r="AD1125">
        <f t="shared" ca="1" si="552"/>
        <v>280.07692026646265</v>
      </c>
      <c r="AE1125">
        <f t="shared" ca="1" si="553"/>
        <v>1019.7665564573041</v>
      </c>
      <c r="AF1125">
        <f t="shared" ca="1" si="554"/>
        <v>482.07256851378361</v>
      </c>
      <c r="AG1125">
        <f t="shared" ca="1" si="555"/>
        <v>0</v>
      </c>
      <c r="AH1125">
        <f ca="1">IF(V32="Supercritical",L1125,IF(V32="Subcritical",W1125,IF(AND(V1125=1,AG1125=1),IF(T1125&gt;=AE1125,L1125,W1125),IF(V1125=1,L1125,IF(AG1125=1,W1125,MAX($D$16,POWER((ABS(K1125)^2)/($I$5*MAX(F1125,0.1)^2),1/3)))))))</f>
        <v>2.1403668656741068</v>
      </c>
      <c r="AI1125">
        <f t="shared" ca="1" si="556"/>
        <v>634.21486686567403</v>
      </c>
      <c r="AJ1125">
        <f t="shared" ca="1" si="557"/>
        <v>635.28505029851112</v>
      </c>
      <c r="AM1125">
        <v>0</v>
      </c>
      <c r="AN1125">
        <v>0</v>
      </c>
      <c r="AO1125">
        <f t="shared" si="558"/>
        <v>0</v>
      </c>
      <c r="AP1125">
        <f t="shared" si="567"/>
        <v>0</v>
      </c>
      <c r="AQ1125">
        <f t="shared" ca="1" si="559"/>
        <v>0.99999999999999978</v>
      </c>
      <c r="AR1125" t="str">
        <f t="shared" ca="1" si="560"/>
        <v>Supercritical</v>
      </c>
      <c r="AS1125">
        <f t="shared" ca="1" si="561"/>
        <v>3.8148159832266538E-3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191</v>
      </c>
      <c r="I1126">
        <v>0</v>
      </c>
      <c r="J1126">
        <f t="shared" si="562"/>
        <v>1</v>
      </c>
      <c r="K1126">
        <f t="shared" si="563"/>
        <v>51</v>
      </c>
      <c r="L1126">
        <f t="shared" ca="1" si="564"/>
        <v>0.05</v>
      </c>
      <c r="M1126">
        <f t="shared" ca="1" si="537"/>
        <v>0.26</v>
      </c>
      <c r="N1126">
        <f t="shared" ca="1" si="538"/>
        <v>4.9056603773584909E-2</v>
      </c>
      <c r="O1126">
        <f t="shared" ca="1" si="539"/>
        <v>196.15384615384616</v>
      </c>
      <c r="P1126">
        <f t="shared" ca="1" si="540"/>
        <v>632.12399999999991</v>
      </c>
      <c r="Q1126">
        <f t="shared" ca="1" si="541"/>
        <v>2593.2010316486621</v>
      </c>
      <c r="R1126">
        <f t="shared" ca="1" si="542"/>
        <v>482.07306851378365</v>
      </c>
      <c r="S1126">
        <f t="shared" ca="1" si="543"/>
        <v>280.07692026646265</v>
      </c>
      <c r="T1126">
        <f t="shared" ca="1" si="544"/>
        <v>1019.7665564573041</v>
      </c>
      <c r="U1126">
        <f t="shared" ca="1" si="565"/>
        <v>-482.07256851378361</v>
      </c>
      <c r="V1126">
        <f t="shared" ca="1" si="566"/>
        <v>0</v>
      </c>
      <c r="W1126">
        <f t="shared" ca="1" si="545"/>
        <v>0.05</v>
      </c>
      <c r="X1126">
        <f t="shared" ca="1" si="546"/>
        <v>0.26</v>
      </c>
      <c r="Y1126">
        <f t="shared" ca="1" si="547"/>
        <v>4.9056603773584909E-2</v>
      </c>
      <c r="Z1126">
        <f t="shared" ca="1" si="548"/>
        <v>196.15384615384616</v>
      </c>
      <c r="AA1126">
        <f t="shared" ca="1" si="549"/>
        <v>632.12399999999991</v>
      </c>
      <c r="AB1126">
        <f t="shared" ca="1" si="550"/>
        <v>2593.2010316486621</v>
      </c>
      <c r="AC1126">
        <f t="shared" ca="1" si="551"/>
        <v>482.07306851378365</v>
      </c>
      <c r="AD1126">
        <f t="shared" ca="1" si="552"/>
        <v>280.07692026646265</v>
      </c>
      <c r="AE1126">
        <f t="shared" ca="1" si="553"/>
        <v>1019.7665564573041</v>
      </c>
      <c r="AF1126">
        <f t="shared" ca="1" si="554"/>
        <v>481.59049544528125</v>
      </c>
      <c r="AG1126">
        <f t="shared" ca="1" si="555"/>
        <v>0</v>
      </c>
      <c r="AH1126">
        <f ca="1">IF(V32="Supercritical",L1126,IF(V32="Subcritical",W1126,IF(AND(V1126=1,AG1126=1),IF(T1126&gt;=AE1126,L1126,W1126),IF(V1126=1,L1126,IF(AG1126=1,W1126,MAX($D$16,POWER((ABS(K1126)^2)/($I$5*MAX(F1126,0.1)^2),1/3)))))))</f>
        <v>2.1403668656741068</v>
      </c>
      <c r="AI1126">
        <f t="shared" ca="1" si="556"/>
        <v>634.21436686567404</v>
      </c>
      <c r="AJ1126">
        <f t="shared" ca="1" si="557"/>
        <v>635.28455029851114</v>
      </c>
      <c r="AM1126">
        <v>0</v>
      </c>
      <c r="AN1126">
        <v>0</v>
      </c>
      <c r="AO1126">
        <f t="shared" si="558"/>
        <v>0</v>
      </c>
      <c r="AP1126">
        <f t="shared" si="567"/>
        <v>0</v>
      </c>
      <c r="AQ1126">
        <f t="shared" ca="1" si="559"/>
        <v>0.99999999999999978</v>
      </c>
      <c r="AR1126" t="str">
        <f t="shared" ca="1" si="560"/>
        <v>Supercritical</v>
      </c>
      <c r="AS1126">
        <f t="shared" ca="1" si="561"/>
        <v>3.8148159832266538E-3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191</v>
      </c>
      <c r="I1127">
        <v>0</v>
      </c>
      <c r="J1127">
        <f t="shared" si="562"/>
        <v>0.99900000000002365</v>
      </c>
      <c r="K1127">
        <f t="shared" si="563"/>
        <v>51</v>
      </c>
      <c r="L1127">
        <f t="shared" ca="1" si="564"/>
        <v>0.05</v>
      </c>
      <c r="M1127">
        <f t="shared" ca="1" si="537"/>
        <v>0.26</v>
      </c>
      <c r="N1127">
        <f t="shared" ca="1" si="538"/>
        <v>4.9056603773584909E-2</v>
      </c>
      <c r="O1127">
        <f t="shared" ca="1" si="539"/>
        <v>196.15384615384616</v>
      </c>
      <c r="P1127">
        <f t="shared" ca="1" si="540"/>
        <v>632.12349999999992</v>
      </c>
      <c r="Q1127">
        <f t="shared" ca="1" si="541"/>
        <v>2593.200531648662</v>
      </c>
      <c r="R1127">
        <f t="shared" ca="1" si="542"/>
        <v>482.07306851378365</v>
      </c>
      <c r="S1127">
        <f t="shared" ca="1" si="543"/>
        <v>280.07692026646265</v>
      </c>
      <c r="T1127">
        <f t="shared" ca="1" si="544"/>
        <v>1019.7665564573041</v>
      </c>
      <c r="U1127">
        <f t="shared" ca="1" si="565"/>
        <v>-481.59049544528125</v>
      </c>
      <c r="V1127">
        <f t="shared" ca="1" si="566"/>
        <v>0</v>
      </c>
      <c r="W1127">
        <f t="shared" ca="1" si="545"/>
        <v>0.05</v>
      </c>
      <c r="X1127">
        <f t="shared" ca="1" si="546"/>
        <v>0.26</v>
      </c>
      <c r="Y1127">
        <f t="shared" ca="1" si="547"/>
        <v>4.9056603773584909E-2</v>
      </c>
      <c r="Z1127">
        <f t="shared" ca="1" si="548"/>
        <v>196.15384615384616</v>
      </c>
      <c r="AA1127">
        <f t="shared" ca="1" si="549"/>
        <v>632.12349999999992</v>
      </c>
      <c r="AB1127">
        <f t="shared" ca="1" si="550"/>
        <v>2593.200531648662</v>
      </c>
      <c r="AC1127">
        <f t="shared" ca="1" si="551"/>
        <v>482.07306851378365</v>
      </c>
      <c r="AD1127">
        <f t="shared" ca="1" si="552"/>
        <v>280.07692026646265</v>
      </c>
      <c r="AE1127">
        <f t="shared" ca="1" si="553"/>
        <v>1019.7665564573041</v>
      </c>
      <c r="AF1127">
        <f t="shared" ca="1" si="554"/>
        <v>482.25887083179032</v>
      </c>
      <c r="AG1127">
        <f t="shared" ca="1" si="555"/>
        <v>0</v>
      </c>
      <c r="AH1127">
        <f ca="1">IF(V32="Supercritical",L1127,IF(V32="Subcritical",W1127,IF(AND(V1127=1,AG1127=1),IF(T1127&gt;=AE1127,L1127,W1127),IF(V1127=1,L1127,IF(AG1127=1,W1127,MAX($D$16,POWER((ABS(K1127)^2)/($I$5*MAX(F1127,0.1)^2),1/3)))))))</f>
        <v>2.1403668656741068</v>
      </c>
      <c r="AI1127">
        <f t="shared" ca="1" si="556"/>
        <v>634.21386686567405</v>
      </c>
      <c r="AJ1127">
        <f t="shared" ca="1" si="557"/>
        <v>635.28405029851115</v>
      </c>
      <c r="AM1127">
        <v>0</v>
      </c>
      <c r="AN1127">
        <v>0</v>
      </c>
      <c r="AO1127">
        <f t="shared" si="558"/>
        <v>0</v>
      </c>
      <c r="AP1127">
        <f t="shared" si="567"/>
        <v>0</v>
      </c>
      <c r="AQ1127">
        <f t="shared" ca="1" si="559"/>
        <v>0.99999999999999978</v>
      </c>
      <c r="AR1127" t="str">
        <f t="shared" ca="1" si="560"/>
        <v>Supercritical</v>
      </c>
      <c r="AS1127">
        <f t="shared" ca="1" si="561"/>
        <v>3.8148159832266538E-3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191</v>
      </c>
      <c r="I1128">
        <v>5.7000000000000002E-2</v>
      </c>
      <c r="J1128">
        <f t="shared" si="562"/>
        <v>1</v>
      </c>
      <c r="K1128">
        <f t="shared" si="563"/>
        <v>51</v>
      </c>
      <c r="L1128">
        <f t="shared" ca="1" si="564"/>
        <v>0.05</v>
      </c>
      <c r="M1128">
        <f t="shared" ca="1" si="537"/>
        <v>0.26</v>
      </c>
      <c r="N1128">
        <f t="shared" ca="1" si="538"/>
        <v>4.9056603773584909E-2</v>
      </c>
      <c r="O1128">
        <f t="shared" ca="1" si="539"/>
        <v>196.15384615384616</v>
      </c>
      <c r="P1128">
        <f t="shared" ca="1" si="540"/>
        <v>632.12299999999993</v>
      </c>
      <c r="Q1128">
        <f t="shared" ca="1" si="541"/>
        <v>2593.2000316486619</v>
      </c>
      <c r="R1128">
        <f t="shared" ca="1" si="542"/>
        <v>482.07306851378365</v>
      </c>
      <c r="S1128">
        <f t="shared" ca="1" si="543"/>
        <v>280.07692026646265</v>
      </c>
      <c r="T1128">
        <f t="shared" ca="1" si="544"/>
        <v>1019.7665564573041</v>
      </c>
      <c r="U1128">
        <f t="shared" ca="1" si="565"/>
        <v>-482.25887083179032</v>
      </c>
      <c r="V1128">
        <f t="shared" ca="1" si="566"/>
        <v>0</v>
      </c>
      <c r="W1128">
        <f t="shared" ca="1" si="545"/>
        <v>0.05</v>
      </c>
      <c r="X1128">
        <f t="shared" ca="1" si="546"/>
        <v>0.26</v>
      </c>
      <c r="Y1128">
        <f t="shared" ca="1" si="547"/>
        <v>4.9056603773584909E-2</v>
      </c>
      <c r="Z1128">
        <f t="shared" ca="1" si="548"/>
        <v>196.15384615384616</v>
      </c>
      <c r="AA1128">
        <f t="shared" ca="1" si="549"/>
        <v>632.12299999999993</v>
      </c>
      <c r="AB1128">
        <f t="shared" ca="1" si="550"/>
        <v>2593.2000316486619</v>
      </c>
      <c r="AC1128">
        <f t="shared" ca="1" si="551"/>
        <v>482.07306851378365</v>
      </c>
      <c r="AD1128">
        <f t="shared" ca="1" si="552"/>
        <v>280.07692026646265</v>
      </c>
      <c r="AE1128">
        <f t="shared" ca="1" si="553"/>
        <v>1019.7665564573041</v>
      </c>
      <c r="AF1128">
        <f t="shared" ca="1" si="554"/>
        <v>482.25887083179032</v>
      </c>
      <c r="AG1128">
        <f t="shared" ca="1" si="555"/>
        <v>0</v>
      </c>
      <c r="AH1128">
        <f ca="1">IF(V32="Supercritical",L1128,IF(V32="Subcritical",W1128,IF(AND(V1128=1,AG1128=1),IF(T1128&gt;=AE1128,L1128,W1128),IF(V1128=1,L1128,IF(AG1128=1,W1128,MAX($D$16,POWER((ABS(K1128)^2)/($I$5*MAX(F1128,0.1)^2),1/3)))))))</f>
        <v>2.1403668656741068</v>
      </c>
      <c r="AI1128">
        <f t="shared" ca="1" si="556"/>
        <v>634.21336686567406</v>
      </c>
      <c r="AJ1128">
        <f t="shared" ca="1" si="557"/>
        <v>635.28355029851116</v>
      </c>
      <c r="AM1128">
        <v>0</v>
      </c>
      <c r="AN1128">
        <v>0</v>
      </c>
      <c r="AO1128">
        <f t="shared" si="558"/>
        <v>0</v>
      </c>
      <c r="AP1128">
        <f t="shared" si="567"/>
        <v>0</v>
      </c>
      <c r="AQ1128">
        <f t="shared" ca="1" si="559"/>
        <v>0.99999999999999978</v>
      </c>
      <c r="AR1128" t="str">
        <f t="shared" ca="1" si="560"/>
        <v>Supercritical</v>
      </c>
      <c r="AS1128">
        <f t="shared" ca="1" si="561"/>
        <v>3.8148159832266538E-3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191</v>
      </c>
      <c r="I1129">
        <v>5.7000000000000002E-2</v>
      </c>
      <c r="J1129">
        <f t="shared" si="562"/>
        <v>1</v>
      </c>
      <c r="K1129">
        <f t="shared" si="563"/>
        <v>51</v>
      </c>
      <c r="L1129">
        <f t="shared" ca="1" si="564"/>
        <v>0.05</v>
      </c>
      <c r="M1129">
        <f t="shared" ca="1" si="537"/>
        <v>0.26</v>
      </c>
      <c r="N1129">
        <f t="shared" ca="1" si="538"/>
        <v>4.9056603773584909E-2</v>
      </c>
      <c r="O1129">
        <f t="shared" ca="1" si="539"/>
        <v>196.15384615384616</v>
      </c>
      <c r="P1129">
        <f t="shared" ca="1" si="540"/>
        <v>632.12249999999995</v>
      </c>
      <c r="Q1129">
        <f t="shared" ca="1" si="541"/>
        <v>2593.1995316486618</v>
      </c>
      <c r="R1129">
        <f t="shared" ca="1" si="542"/>
        <v>482.07306851378365</v>
      </c>
      <c r="S1129">
        <f t="shared" ca="1" si="543"/>
        <v>280.07692026646265</v>
      </c>
      <c r="T1129">
        <f t="shared" ca="1" si="544"/>
        <v>1019.7665564573041</v>
      </c>
      <c r="U1129">
        <f t="shared" ca="1" si="565"/>
        <v>-482.25887083179032</v>
      </c>
      <c r="V1129">
        <f t="shared" ca="1" si="566"/>
        <v>0</v>
      </c>
      <c r="W1129">
        <f t="shared" ca="1" si="545"/>
        <v>0.05</v>
      </c>
      <c r="X1129">
        <f t="shared" ca="1" si="546"/>
        <v>0.26</v>
      </c>
      <c r="Y1129">
        <f t="shared" ca="1" si="547"/>
        <v>4.9056603773584909E-2</v>
      </c>
      <c r="Z1129">
        <f t="shared" ca="1" si="548"/>
        <v>196.15384615384616</v>
      </c>
      <c r="AA1129">
        <f t="shared" ca="1" si="549"/>
        <v>632.12249999999995</v>
      </c>
      <c r="AB1129">
        <f t="shared" ca="1" si="550"/>
        <v>2593.1995316486618</v>
      </c>
      <c r="AC1129">
        <f t="shared" ca="1" si="551"/>
        <v>482.07306851378365</v>
      </c>
      <c r="AD1129">
        <f t="shared" ca="1" si="552"/>
        <v>280.07692026646265</v>
      </c>
      <c r="AE1129">
        <f t="shared" ca="1" si="553"/>
        <v>1019.7665564573041</v>
      </c>
      <c r="AF1129">
        <f t="shared" ca="1" si="554"/>
        <v>482.07256851378406</v>
      </c>
      <c r="AG1129">
        <f t="shared" ca="1" si="555"/>
        <v>0</v>
      </c>
      <c r="AH1129">
        <f ca="1">IF(V32="Supercritical",L1129,IF(V32="Subcritical",W1129,IF(AND(V1129=1,AG1129=1),IF(T1129&gt;=AE1129,L1129,W1129),IF(V1129=1,L1129,IF(AG1129=1,W1129,MAX($D$16,POWER((ABS(K1129)^2)/($I$5*MAX(F1129,0.1)^2),1/3)))))))</f>
        <v>2.1403668656741068</v>
      </c>
      <c r="AI1129">
        <f t="shared" ca="1" si="556"/>
        <v>634.21286686567407</v>
      </c>
      <c r="AJ1129">
        <f t="shared" ca="1" si="557"/>
        <v>635.28305029851117</v>
      </c>
      <c r="AM1129">
        <v>0</v>
      </c>
      <c r="AN1129">
        <v>0</v>
      </c>
      <c r="AO1129">
        <f t="shared" si="558"/>
        <v>0</v>
      </c>
      <c r="AP1129">
        <f t="shared" si="567"/>
        <v>0</v>
      </c>
      <c r="AQ1129">
        <f t="shared" ca="1" si="559"/>
        <v>0.99999999999999978</v>
      </c>
      <c r="AR1129" t="str">
        <f t="shared" ca="1" si="560"/>
        <v>Supercritical</v>
      </c>
      <c r="AS1129">
        <f t="shared" ca="1" si="561"/>
        <v>3.8148159832266538E-3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191</v>
      </c>
      <c r="I1130">
        <v>0</v>
      </c>
      <c r="J1130">
        <f t="shared" si="562"/>
        <v>1</v>
      </c>
      <c r="K1130">
        <f t="shared" si="563"/>
        <v>51</v>
      </c>
      <c r="L1130">
        <f t="shared" ca="1" si="564"/>
        <v>0.05</v>
      </c>
      <c r="M1130">
        <f t="shared" ca="1" si="537"/>
        <v>0.26</v>
      </c>
      <c r="N1130">
        <f t="shared" ca="1" si="538"/>
        <v>4.9056603773584909E-2</v>
      </c>
      <c r="O1130">
        <f t="shared" ca="1" si="539"/>
        <v>196.15384615384616</v>
      </c>
      <c r="P1130">
        <f t="shared" ca="1" si="540"/>
        <v>632.12199999999996</v>
      </c>
      <c r="Q1130">
        <f t="shared" ca="1" si="541"/>
        <v>2593.1990316486622</v>
      </c>
      <c r="R1130">
        <f t="shared" ca="1" si="542"/>
        <v>482.07306851378365</v>
      </c>
      <c r="S1130">
        <f t="shared" ca="1" si="543"/>
        <v>280.07692026646265</v>
      </c>
      <c r="T1130">
        <f t="shared" ca="1" si="544"/>
        <v>1019.7665564573041</v>
      </c>
      <c r="U1130">
        <f t="shared" ca="1" si="565"/>
        <v>-482.07256851378406</v>
      </c>
      <c r="V1130">
        <f t="shared" ca="1" si="566"/>
        <v>0</v>
      </c>
      <c r="W1130">
        <f t="shared" ca="1" si="545"/>
        <v>0.05</v>
      </c>
      <c r="X1130">
        <f t="shared" ca="1" si="546"/>
        <v>0.26</v>
      </c>
      <c r="Y1130">
        <f t="shared" ca="1" si="547"/>
        <v>4.9056603773584909E-2</v>
      </c>
      <c r="Z1130">
        <f t="shared" ca="1" si="548"/>
        <v>196.15384615384616</v>
      </c>
      <c r="AA1130">
        <f t="shared" ca="1" si="549"/>
        <v>632.12199999999996</v>
      </c>
      <c r="AB1130">
        <f t="shared" ca="1" si="550"/>
        <v>2593.1990316486622</v>
      </c>
      <c r="AC1130">
        <f t="shared" ca="1" si="551"/>
        <v>482.07306851378365</v>
      </c>
      <c r="AD1130">
        <f t="shared" ca="1" si="552"/>
        <v>280.07692026646265</v>
      </c>
      <c r="AE1130">
        <f t="shared" ca="1" si="553"/>
        <v>1019.7665564573041</v>
      </c>
      <c r="AF1130">
        <f t="shared" ca="1" si="554"/>
        <v>482.07256851378361</v>
      </c>
      <c r="AG1130">
        <f t="shared" ca="1" si="555"/>
        <v>0</v>
      </c>
      <c r="AH1130">
        <f ca="1">IF(V32="Supercritical",L1130,IF(V32="Subcritical",W1130,IF(AND(V1130=1,AG1130=1),IF(T1130&gt;=AE1130,L1130,W1130),IF(V1130=1,L1130,IF(AG1130=1,W1130,MAX($D$16,POWER((ABS(K1130)^2)/($I$5*MAX(F1130,0.1)^2),1/3)))))))</f>
        <v>2.1403668656741068</v>
      </c>
      <c r="AI1130">
        <f t="shared" ca="1" si="556"/>
        <v>634.21236686567408</v>
      </c>
      <c r="AJ1130">
        <f t="shared" ca="1" si="557"/>
        <v>635.28255029851118</v>
      </c>
      <c r="AM1130">
        <v>0</v>
      </c>
      <c r="AN1130">
        <v>0</v>
      </c>
      <c r="AO1130">
        <f t="shared" si="558"/>
        <v>0</v>
      </c>
      <c r="AP1130">
        <f t="shared" si="567"/>
        <v>0</v>
      </c>
      <c r="AQ1130">
        <f t="shared" ca="1" si="559"/>
        <v>0.99999999999999978</v>
      </c>
      <c r="AR1130" t="str">
        <f t="shared" ca="1" si="560"/>
        <v>Supercritical</v>
      </c>
      <c r="AS1130">
        <f t="shared" ca="1" si="561"/>
        <v>3.8148159832266538E-3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191</v>
      </c>
      <c r="I1131">
        <v>0</v>
      </c>
      <c r="J1131">
        <f t="shared" si="562"/>
        <v>1</v>
      </c>
      <c r="K1131">
        <f t="shared" si="563"/>
        <v>51</v>
      </c>
      <c r="L1131">
        <f t="shared" ca="1" si="564"/>
        <v>0.05</v>
      </c>
      <c r="M1131">
        <f t="shared" ca="1" si="537"/>
        <v>0.26</v>
      </c>
      <c r="N1131">
        <f t="shared" ca="1" si="538"/>
        <v>4.9056603773584909E-2</v>
      </c>
      <c r="O1131">
        <f t="shared" ca="1" si="539"/>
        <v>196.15384615384616</v>
      </c>
      <c r="P1131">
        <f t="shared" ca="1" si="540"/>
        <v>632.12149999999997</v>
      </c>
      <c r="Q1131">
        <f t="shared" ca="1" si="541"/>
        <v>2593.1985316486621</v>
      </c>
      <c r="R1131">
        <f t="shared" ca="1" si="542"/>
        <v>482.07306851378365</v>
      </c>
      <c r="S1131">
        <f t="shared" ca="1" si="543"/>
        <v>280.07692026646265</v>
      </c>
      <c r="T1131">
        <f t="shared" ca="1" si="544"/>
        <v>1019.7665564573041</v>
      </c>
      <c r="U1131">
        <f t="shared" ca="1" si="565"/>
        <v>-482.07256851378361</v>
      </c>
      <c r="V1131">
        <f t="shared" ca="1" si="566"/>
        <v>0</v>
      </c>
      <c r="W1131">
        <f t="shared" ca="1" si="545"/>
        <v>0.05</v>
      </c>
      <c r="X1131">
        <f t="shared" ca="1" si="546"/>
        <v>0.26</v>
      </c>
      <c r="Y1131">
        <f t="shared" ca="1" si="547"/>
        <v>4.9056603773584909E-2</v>
      </c>
      <c r="Z1131">
        <f t="shared" ca="1" si="548"/>
        <v>196.15384615384616</v>
      </c>
      <c r="AA1131">
        <f t="shared" ca="1" si="549"/>
        <v>632.12149999999997</v>
      </c>
      <c r="AB1131">
        <f t="shared" ca="1" si="550"/>
        <v>2593.1985316486621</v>
      </c>
      <c r="AC1131">
        <f t="shared" ca="1" si="551"/>
        <v>482.07306851378365</v>
      </c>
      <c r="AD1131">
        <f t="shared" ca="1" si="552"/>
        <v>280.07692026646265</v>
      </c>
      <c r="AE1131">
        <f t="shared" ca="1" si="553"/>
        <v>1019.7665564573041</v>
      </c>
      <c r="AF1131">
        <f t="shared" ca="1" si="554"/>
        <v>482.25887083179032</v>
      </c>
      <c r="AG1131">
        <f t="shared" ca="1" si="555"/>
        <v>0</v>
      </c>
      <c r="AH1131">
        <f ca="1">IF(V32="Supercritical",L1131,IF(V32="Subcritical",W1131,IF(AND(V1131=1,AG1131=1),IF(T1131&gt;=AE1131,L1131,W1131),IF(V1131=1,L1131,IF(AG1131=1,W1131,MAX($D$16,POWER((ABS(K1131)^2)/($I$5*MAX(F1131,0.1)^2),1/3)))))))</f>
        <v>2.1403668656741068</v>
      </c>
      <c r="AI1131">
        <f t="shared" ca="1" si="556"/>
        <v>634.2118668656741</v>
      </c>
      <c r="AJ1131">
        <f t="shared" ca="1" si="557"/>
        <v>635.28205029851119</v>
      </c>
      <c r="AM1131">
        <v>0</v>
      </c>
      <c r="AN1131">
        <v>0</v>
      </c>
      <c r="AO1131">
        <f t="shared" si="558"/>
        <v>0</v>
      </c>
      <c r="AP1131">
        <f t="shared" si="567"/>
        <v>0</v>
      </c>
      <c r="AQ1131">
        <f t="shared" ca="1" si="559"/>
        <v>0.99999999999999978</v>
      </c>
      <c r="AR1131" t="str">
        <f t="shared" ca="1" si="560"/>
        <v>Supercritical</v>
      </c>
      <c r="AS1131">
        <f t="shared" ca="1" si="561"/>
        <v>3.8148159832266538E-3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191</v>
      </c>
      <c r="I1132">
        <v>5.7000000000000002E-2</v>
      </c>
      <c r="J1132">
        <f t="shared" si="562"/>
        <v>1</v>
      </c>
      <c r="K1132">
        <f t="shared" si="563"/>
        <v>51</v>
      </c>
      <c r="L1132">
        <f t="shared" ca="1" si="564"/>
        <v>0.05</v>
      </c>
      <c r="M1132">
        <f t="shared" ca="1" si="537"/>
        <v>0.26</v>
      </c>
      <c r="N1132">
        <f t="shared" ca="1" si="538"/>
        <v>4.9056603773584909E-2</v>
      </c>
      <c r="O1132">
        <f t="shared" ca="1" si="539"/>
        <v>196.15384615384616</v>
      </c>
      <c r="P1132">
        <f t="shared" ca="1" si="540"/>
        <v>632.12099999999998</v>
      </c>
      <c r="Q1132">
        <f t="shared" ca="1" si="541"/>
        <v>2593.198031648662</v>
      </c>
      <c r="R1132">
        <f t="shared" ca="1" si="542"/>
        <v>482.07306851378365</v>
      </c>
      <c r="S1132">
        <f t="shared" ca="1" si="543"/>
        <v>280.07692026646265</v>
      </c>
      <c r="T1132">
        <f t="shared" ca="1" si="544"/>
        <v>1019.7665564573041</v>
      </c>
      <c r="U1132">
        <f t="shared" ca="1" si="565"/>
        <v>-482.25887083179032</v>
      </c>
      <c r="V1132">
        <f t="shared" ca="1" si="566"/>
        <v>0</v>
      </c>
      <c r="W1132">
        <f t="shared" ca="1" si="545"/>
        <v>0.05</v>
      </c>
      <c r="X1132">
        <f t="shared" ca="1" si="546"/>
        <v>0.26</v>
      </c>
      <c r="Y1132">
        <f t="shared" ca="1" si="547"/>
        <v>4.9056603773584909E-2</v>
      </c>
      <c r="Z1132">
        <f t="shared" ca="1" si="548"/>
        <v>196.15384615384616</v>
      </c>
      <c r="AA1132">
        <f t="shared" ca="1" si="549"/>
        <v>632.12099999999998</v>
      </c>
      <c r="AB1132">
        <f t="shared" ca="1" si="550"/>
        <v>2593.198031648662</v>
      </c>
      <c r="AC1132">
        <f t="shared" ca="1" si="551"/>
        <v>482.07306851378365</v>
      </c>
      <c r="AD1132">
        <f t="shared" ca="1" si="552"/>
        <v>280.07692026646265</v>
      </c>
      <c r="AE1132">
        <f t="shared" ca="1" si="553"/>
        <v>1019.7665564573041</v>
      </c>
      <c r="AF1132">
        <f t="shared" ca="1" si="554"/>
        <v>482.26867621694873</v>
      </c>
      <c r="AG1132">
        <f t="shared" ca="1" si="555"/>
        <v>0</v>
      </c>
      <c r="AH1132">
        <f ca="1">IF(V32="Supercritical",L1132,IF(V32="Subcritical",W1132,IF(AND(V1132=1,AG1132=1),IF(T1132&gt;=AE1132,L1132,W1132),IF(V1132=1,L1132,IF(AG1132=1,W1132,MAX($D$16,POWER((ABS(K1132)^2)/($I$5*MAX(F1132,0.1)^2),1/3)))))))</f>
        <v>2.1403668656741068</v>
      </c>
      <c r="AI1132">
        <f t="shared" ca="1" si="556"/>
        <v>634.21136686567411</v>
      </c>
      <c r="AJ1132">
        <f t="shared" ca="1" si="557"/>
        <v>635.28155029851121</v>
      </c>
      <c r="AM1132">
        <v>0</v>
      </c>
      <c r="AN1132">
        <v>0</v>
      </c>
      <c r="AO1132">
        <f t="shared" si="558"/>
        <v>0</v>
      </c>
      <c r="AP1132">
        <f t="shared" si="567"/>
        <v>0</v>
      </c>
      <c r="AQ1132">
        <f t="shared" ca="1" si="559"/>
        <v>0.99999999999999978</v>
      </c>
      <c r="AR1132" t="str">
        <f t="shared" ca="1" si="560"/>
        <v>Supercritical</v>
      </c>
      <c r="AS1132">
        <f t="shared" ca="1" si="561"/>
        <v>3.8148159832266538E-3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191</v>
      </c>
      <c r="I1133">
        <v>0.06</v>
      </c>
      <c r="J1133">
        <f t="shared" si="562"/>
        <v>1</v>
      </c>
      <c r="K1133">
        <f t="shared" si="563"/>
        <v>51</v>
      </c>
      <c r="L1133">
        <f t="shared" ca="1" si="564"/>
        <v>0.05</v>
      </c>
      <c r="M1133">
        <f t="shared" ca="1" si="537"/>
        <v>0.26</v>
      </c>
      <c r="N1133">
        <f t="shared" ca="1" si="538"/>
        <v>4.9056603773584909E-2</v>
      </c>
      <c r="O1133">
        <f t="shared" ca="1" si="539"/>
        <v>196.15384615384616</v>
      </c>
      <c r="P1133">
        <f t="shared" ca="1" si="540"/>
        <v>632.12049999999999</v>
      </c>
      <c r="Q1133">
        <f t="shared" ca="1" si="541"/>
        <v>2593.1975316486623</v>
      </c>
      <c r="R1133">
        <f t="shared" ca="1" si="542"/>
        <v>482.07306851378365</v>
      </c>
      <c r="S1133">
        <f t="shared" ca="1" si="543"/>
        <v>280.07692026646265</v>
      </c>
      <c r="T1133">
        <f t="shared" ca="1" si="544"/>
        <v>1019.7665564573041</v>
      </c>
      <c r="U1133">
        <f t="shared" ca="1" si="565"/>
        <v>-482.26867621694873</v>
      </c>
      <c r="V1133">
        <f t="shared" ca="1" si="566"/>
        <v>0</v>
      </c>
      <c r="W1133">
        <f t="shared" ca="1" si="545"/>
        <v>0.05</v>
      </c>
      <c r="X1133">
        <f t="shared" ca="1" si="546"/>
        <v>0.26</v>
      </c>
      <c r="Y1133">
        <f t="shared" ca="1" si="547"/>
        <v>4.9056603773584909E-2</v>
      </c>
      <c r="Z1133">
        <f t="shared" ca="1" si="548"/>
        <v>196.15384615384616</v>
      </c>
      <c r="AA1133">
        <f t="shared" ca="1" si="549"/>
        <v>632.12049999999999</v>
      </c>
      <c r="AB1133">
        <f t="shared" ca="1" si="550"/>
        <v>2593.1975316486623</v>
      </c>
      <c r="AC1133">
        <f t="shared" ca="1" si="551"/>
        <v>482.07306851378365</v>
      </c>
      <c r="AD1133">
        <f t="shared" ca="1" si="552"/>
        <v>280.07692026646265</v>
      </c>
      <c r="AE1133">
        <f t="shared" ca="1" si="553"/>
        <v>1019.7665564573041</v>
      </c>
      <c r="AF1133">
        <f t="shared" ca="1" si="554"/>
        <v>482.56117850572491</v>
      </c>
      <c r="AG1133">
        <f t="shared" ca="1" si="555"/>
        <v>0</v>
      </c>
      <c r="AH1133">
        <f ca="1">IF(V32="Supercritical",L1133,IF(V32="Subcritical",W1133,IF(AND(V1133=1,AG1133=1),IF(T1133&gt;=AE1133,L1133,W1133),IF(V1133=1,L1133,IF(AG1133=1,W1133,MAX($D$16,POWER((ABS(K1133)^2)/($I$5*MAX(F1133,0.1)^2),1/3)))))))</f>
        <v>2.1403668656741068</v>
      </c>
      <c r="AI1133">
        <f t="shared" ca="1" si="556"/>
        <v>634.21086686567412</v>
      </c>
      <c r="AJ1133">
        <f t="shared" ca="1" si="557"/>
        <v>635.28105029851122</v>
      </c>
      <c r="AM1133">
        <v>0</v>
      </c>
      <c r="AN1133">
        <v>0</v>
      </c>
      <c r="AO1133">
        <f t="shared" si="558"/>
        <v>0</v>
      </c>
      <c r="AP1133">
        <f t="shared" si="567"/>
        <v>0</v>
      </c>
      <c r="AQ1133">
        <f t="shared" ca="1" si="559"/>
        <v>0.99999999999999978</v>
      </c>
      <c r="AR1133" t="str">
        <f t="shared" ca="1" si="560"/>
        <v>Supercritical</v>
      </c>
      <c r="AS1133">
        <f t="shared" ca="1" si="561"/>
        <v>3.8148159832266538E-3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191</v>
      </c>
      <c r="I1134">
        <v>2E-3</v>
      </c>
      <c r="J1134">
        <f t="shared" si="562"/>
        <v>1.0009999999999764</v>
      </c>
      <c r="K1134">
        <f t="shared" si="563"/>
        <v>51</v>
      </c>
      <c r="L1134">
        <f t="shared" ca="1" si="564"/>
        <v>0.05</v>
      </c>
      <c r="M1134">
        <f t="shared" ca="1" si="537"/>
        <v>0.26</v>
      </c>
      <c r="N1134">
        <f t="shared" ca="1" si="538"/>
        <v>4.9056603773584909E-2</v>
      </c>
      <c r="O1134">
        <f t="shared" ca="1" si="539"/>
        <v>196.15384615384616</v>
      </c>
      <c r="P1134">
        <f t="shared" ca="1" si="540"/>
        <v>632.12</v>
      </c>
      <c r="Q1134">
        <f t="shared" ca="1" si="541"/>
        <v>2593.1970316486622</v>
      </c>
      <c r="R1134">
        <f t="shared" ca="1" si="542"/>
        <v>482.07306851378365</v>
      </c>
      <c r="S1134">
        <f t="shared" ca="1" si="543"/>
        <v>280.07692026646265</v>
      </c>
      <c r="T1134">
        <f t="shared" ca="1" si="544"/>
        <v>1019.7665564573041</v>
      </c>
      <c r="U1134">
        <f t="shared" ca="1" si="565"/>
        <v>-482.56117850572491</v>
      </c>
      <c r="V1134">
        <f t="shared" ca="1" si="566"/>
        <v>0</v>
      </c>
      <c r="W1134">
        <f t="shared" ca="1" si="545"/>
        <v>0.05</v>
      </c>
      <c r="X1134">
        <f t="shared" ca="1" si="546"/>
        <v>0.26</v>
      </c>
      <c r="Y1134">
        <f t="shared" ca="1" si="547"/>
        <v>4.9056603773584909E-2</v>
      </c>
      <c r="Z1134">
        <f t="shared" ca="1" si="548"/>
        <v>196.15384615384616</v>
      </c>
      <c r="AA1134">
        <f t="shared" ca="1" si="549"/>
        <v>632.12</v>
      </c>
      <c r="AB1134">
        <f t="shared" ca="1" si="550"/>
        <v>2593.1970316486622</v>
      </c>
      <c r="AC1134">
        <f t="shared" ca="1" si="551"/>
        <v>482.07306851378365</v>
      </c>
      <c r="AD1134">
        <f t="shared" ca="1" si="552"/>
        <v>280.07692026646265</v>
      </c>
      <c r="AE1134">
        <f t="shared" ca="1" si="553"/>
        <v>1019.7665564573041</v>
      </c>
      <c r="AF1134">
        <f t="shared" ca="1" si="554"/>
        <v>482.07256851378361</v>
      </c>
      <c r="AG1134">
        <f t="shared" ca="1" si="555"/>
        <v>0</v>
      </c>
      <c r="AH1134">
        <f ca="1">IF(V32="Supercritical",L1134,IF(V32="Subcritical",W1134,IF(AND(V1134=1,AG1134=1),IF(T1134&gt;=AE1134,L1134,W1134),IF(V1134=1,L1134,IF(AG1134=1,W1134,MAX($D$16,POWER((ABS(K1134)^2)/($I$5*MAX(F1134,0.1)^2),1/3)))))))</f>
        <v>2.1403668656741068</v>
      </c>
      <c r="AI1134">
        <f t="shared" ca="1" si="556"/>
        <v>634.21036686567413</v>
      </c>
      <c r="AJ1134">
        <f t="shared" ca="1" si="557"/>
        <v>635.28055029851123</v>
      </c>
      <c r="AM1134">
        <v>0</v>
      </c>
      <c r="AN1134">
        <v>0</v>
      </c>
      <c r="AO1134">
        <f t="shared" si="558"/>
        <v>0</v>
      </c>
      <c r="AP1134">
        <f t="shared" si="567"/>
        <v>0</v>
      </c>
      <c r="AQ1134">
        <f t="shared" ca="1" si="559"/>
        <v>0.99999999999999978</v>
      </c>
      <c r="AR1134" t="str">
        <f t="shared" ca="1" si="560"/>
        <v>Supercritical</v>
      </c>
      <c r="AS1134">
        <f t="shared" ca="1" si="561"/>
        <v>3.8148159832266538E-3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191</v>
      </c>
      <c r="I1135">
        <v>0</v>
      </c>
      <c r="J1135">
        <f t="shared" si="562"/>
        <v>1</v>
      </c>
      <c r="K1135">
        <f t="shared" si="563"/>
        <v>51</v>
      </c>
      <c r="L1135">
        <f t="shared" ca="1" si="564"/>
        <v>0.05</v>
      </c>
      <c r="M1135">
        <f t="shared" ca="1" si="537"/>
        <v>0.26</v>
      </c>
      <c r="N1135">
        <f t="shared" ca="1" si="538"/>
        <v>4.9056603773584909E-2</v>
      </c>
      <c r="O1135">
        <f t="shared" ca="1" si="539"/>
        <v>196.15384615384616</v>
      </c>
      <c r="P1135">
        <f t="shared" ca="1" si="540"/>
        <v>632.1194999999999</v>
      </c>
      <c r="Q1135">
        <f t="shared" ca="1" si="541"/>
        <v>2593.1965316486621</v>
      </c>
      <c r="R1135">
        <f t="shared" ca="1" si="542"/>
        <v>482.07306851378365</v>
      </c>
      <c r="S1135">
        <f t="shared" ca="1" si="543"/>
        <v>280.07692026646265</v>
      </c>
      <c r="T1135">
        <f t="shared" ca="1" si="544"/>
        <v>1019.7665564573041</v>
      </c>
      <c r="U1135">
        <f t="shared" ca="1" si="565"/>
        <v>-482.07256851378361</v>
      </c>
      <c r="V1135">
        <f t="shared" ca="1" si="566"/>
        <v>0</v>
      </c>
      <c r="W1135">
        <f t="shared" ca="1" si="545"/>
        <v>0.05</v>
      </c>
      <c r="X1135">
        <f t="shared" ca="1" si="546"/>
        <v>0.26</v>
      </c>
      <c r="Y1135">
        <f t="shared" ca="1" si="547"/>
        <v>4.9056603773584909E-2</v>
      </c>
      <c r="Z1135">
        <f t="shared" ca="1" si="548"/>
        <v>196.15384615384616</v>
      </c>
      <c r="AA1135">
        <f t="shared" ca="1" si="549"/>
        <v>632.1194999999999</v>
      </c>
      <c r="AB1135">
        <f t="shared" ca="1" si="550"/>
        <v>2593.1965316486621</v>
      </c>
      <c r="AC1135">
        <f t="shared" ca="1" si="551"/>
        <v>482.07306851378365</v>
      </c>
      <c r="AD1135">
        <f t="shared" ca="1" si="552"/>
        <v>280.07692026646265</v>
      </c>
      <c r="AE1135">
        <f t="shared" ca="1" si="553"/>
        <v>1019.7665564573041</v>
      </c>
      <c r="AF1135">
        <f t="shared" ca="1" si="554"/>
        <v>481.77679776328796</v>
      </c>
      <c r="AG1135">
        <f t="shared" ca="1" si="555"/>
        <v>0</v>
      </c>
      <c r="AH1135">
        <f ca="1">IF(V32="Supercritical",L1135,IF(V32="Subcritical",W1135,IF(AND(V1135=1,AG1135=1),IF(T1135&gt;=AE1135,L1135,W1135),IF(V1135=1,L1135,IF(AG1135=1,W1135,MAX($D$16,POWER((ABS(K1135)^2)/($I$5*MAX(F1135,0.1)^2),1/3)))))))</f>
        <v>2.1403668656741068</v>
      </c>
      <c r="AI1135">
        <f t="shared" ca="1" si="556"/>
        <v>634.20986686567403</v>
      </c>
      <c r="AJ1135">
        <f t="shared" ca="1" si="557"/>
        <v>635.28005029851113</v>
      </c>
      <c r="AM1135">
        <v>0</v>
      </c>
      <c r="AN1135">
        <v>0</v>
      </c>
      <c r="AO1135">
        <f t="shared" si="558"/>
        <v>0</v>
      </c>
      <c r="AP1135">
        <f t="shared" si="567"/>
        <v>0</v>
      </c>
      <c r="AQ1135">
        <f t="shared" ca="1" si="559"/>
        <v>0.99999999999999978</v>
      </c>
      <c r="AR1135" t="str">
        <f t="shared" ca="1" si="560"/>
        <v>Supercritical</v>
      </c>
      <c r="AS1135">
        <f t="shared" ca="1" si="561"/>
        <v>3.8148159832266538E-3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191</v>
      </c>
      <c r="I1136">
        <v>5.7000000000000002E-2</v>
      </c>
      <c r="J1136">
        <f t="shared" si="562"/>
        <v>0.99900000000002365</v>
      </c>
      <c r="K1136">
        <f t="shared" si="563"/>
        <v>51</v>
      </c>
      <c r="L1136">
        <f t="shared" ca="1" si="564"/>
        <v>0.05</v>
      </c>
      <c r="M1136">
        <f t="shared" ca="1" si="537"/>
        <v>0.26</v>
      </c>
      <c r="N1136">
        <f t="shared" ca="1" si="538"/>
        <v>4.9056603773584909E-2</v>
      </c>
      <c r="O1136">
        <f t="shared" ca="1" si="539"/>
        <v>196.15384615384616</v>
      </c>
      <c r="P1136">
        <f t="shared" ca="1" si="540"/>
        <v>632.11899999999991</v>
      </c>
      <c r="Q1136">
        <f t="shared" ca="1" si="541"/>
        <v>2593.196031648662</v>
      </c>
      <c r="R1136">
        <f t="shared" ca="1" si="542"/>
        <v>482.07306851378365</v>
      </c>
      <c r="S1136">
        <f t="shared" ca="1" si="543"/>
        <v>280.07692026646265</v>
      </c>
      <c r="T1136">
        <f t="shared" ca="1" si="544"/>
        <v>1019.7665564573041</v>
      </c>
      <c r="U1136">
        <f t="shared" ca="1" si="565"/>
        <v>-481.77679776328796</v>
      </c>
      <c r="V1136">
        <f t="shared" ca="1" si="566"/>
        <v>0</v>
      </c>
      <c r="W1136">
        <f t="shared" ca="1" si="545"/>
        <v>0.05</v>
      </c>
      <c r="X1136">
        <f t="shared" ca="1" si="546"/>
        <v>0.26</v>
      </c>
      <c r="Y1136">
        <f t="shared" ca="1" si="547"/>
        <v>4.9056603773584909E-2</v>
      </c>
      <c r="Z1136">
        <f t="shared" ca="1" si="548"/>
        <v>196.15384615384616</v>
      </c>
      <c r="AA1136">
        <f t="shared" ca="1" si="549"/>
        <v>632.11899999999991</v>
      </c>
      <c r="AB1136">
        <f t="shared" ca="1" si="550"/>
        <v>2593.196031648662</v>
      </c>
      <c r="AC1136">
        <f t="shared" ca="1" si="551"/>
        <v>482.07306851378365</v>
      </c>
      <c r="AD1136">
        <f t="shared" ca="1" si="552"/>
        <v>280.07692026646265</v>
      </c>
      <c r="AE1136">
        <f t="shared" ca="1" si="553"/>
        <v>1019.7665564573041</v>
      </c>
      <c r="AF1136">
        <f t="shared" ca="1" si="554"/>
        <v>482.25887083179032</v>
      </c>
      <c r="AG1136">
        <f t="shared" ca="1" si="555"/>
        <v>0</v>
      </c>
      <c r="AH1136">
        <f ca="1">IF(V32="Supercritical",L1136,IF(V32="Subcritical",W1136,IF(AND(V1136=1,AG1136=1),IF(T1136&gt;=AE1136,L1136,W1136),IF(V1136=1,L1136,IF(AG1136=1,W1136,MAX($D$16,POWER((ABS(K1136)^2)/($I$5*MAX(F1136,0.1)^2),1/3)))))))</f>
        <v>2.1403668656741068</v>
      </c>
      <c r="AI1136">
        <f t="shared" ca="1" si="556"/>
        <v>634.20936686567404</v>
      </c>
      <c r="AJ1136">
        <f t="shared" ca="1" si="557"/>
        <v>635.27955029851114</v>
      </c>
      <c r="AM1136">
        <v>0</v>
      </c>
      <c r="AN1136">
        <v>0</v>
      </c>
      <c r="AO1136">
        <f t="shared" si="558"/>
        <v>0</v>
      </c>
      <c r="AP1136">
        <f t="shared" si="567"/>
        <v>0</v>
      </c>
      <c r="AQ1136">
        <f t="shared" ca="1" si="559"/>
        <v>0.99999999999999978</v>
      </c>
      <c r="AR1136" t="str">
        <f t="shared" ca="1" si="560"/>
        <v>Supercritical</v>
      </c>
      <c r="AS1136">
        <f t="shared" ca="1" si="561"/>
        <v>3.8148159832266538E-3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191</v>
      </c>
      <c r="I1137">
        <v>5.7000000000000002E-2</v>
      </c>
      <c r="J1137">
        <f t="shared" si="562"/>
        <v>1</v>
      </c>
      <c r="K1137">
        <f t="shared" si="563"/>
        <v>51</v>
      </c>
      <c r="L1137">
        <f t="shared" ca="1" si="564"/>
        <v>0.05</v>
      </c>
      <c r="M1137">
        <f t="shared" ca="1" si="537"/>
        <v>0.26</v>
      </c>
      <c r="N1137">
        <f t="shared" ca="1" si="538"/>
        <v>4.9056603773584909E-2</v>
      </c>
      <c r="O1137">
        <f t="shared" ca="1" si="539"/>
        <v>196.15384615384616</v>
      </c>
      <c r="P1137">
        <f t="shared" ca="1" si="540"/>
        <v>632.11849999999993</v>
      </c>
      <c r="Q1137">
        <f t="shared" ca="1" si="541"/>
        <v>2593.1955316486619</v>
      </c>
      <c r="R1137">
        <f t="shared" ca="1" si="542"/>
        <v>482.07306851378365</v>
      </c>
      <c r="S1137">
        <f t="shared" ca="1" si="543"/>
        <v>280.07692026646265</v>
      </c>
      <c r="T1137">
        <f t="shared" ca="1" si="544"/>
        <v>1019.7665564573041</v>
      </c>
      <c r="U1137">
        <f t="shared" ca="1" si="565"/>
        <v>-482.25887083179032</v>
      </c>
      <c r="V1137">
        <f t="shared" ca="1" si="566"/>
        <v>0</v>
      </c>
      <c r="W1137">
        <f t="shared" ca="1" si="545"/>
        <v>0.05</v>
      </c>
      <c r="X1137">
        <f t="shared" ca="1" si="546"/>
        <v>0.26</v>
      </c>
      <c r="Y1137">
        <f t="shared" ca="1" si="547"/>
        <v>4.9056603773584909E-2</v>
      </c>
      <c r="Z1137">
        <f t="shared" ca="1" si="548"/>
        <v>196.15384615384616</v>
      </c>
      <c r="AA1137">
        <f t="shared" ca="1" si="549"/>
        <v>632.11849999999993</v>
      </c>
      <c r="AB1137">
        <f t="shared" ca="1" si="550"/>
        <v>2593.1955316486619</v>
      </c>
      <c r="AC1137">
        <f t="shared" ca="1" si="551"/>
        <v>482.07306851378365</v>
      </c>
      <c r="AD1137">
        <f t="shared" ca="1" si="552"/>
        <v>280.07692026646265</v>
      </c>
      <c r="AE1137">
        <f t="shared" ca="1" si="553"/>
        <v>1019.7665564573041</v>
      </c>
      <c r="AF1137">
        <f t="shared" ca="1" si="554"/>
        <v>482.07256851378361</v>
      </c>
      <c r="AG1137">
        <f t="shared" ca="1" si="555"/>
        <v>0</v>
      </c>
      <c r="AH1137">
        <f ca="1">IF(V32="Supercritical",L1137,IF(V32="Subcritical",W1137,IF(AND(V1137=1,AG1137=1),IF(T1137&gt;=AE1137,L1137,W1137),IF(V1137=1,L1137,IF(AG1137=1,W1137,MAX($D$16,POWER((ABS(K1137)^2)/($I$5*MAX(F1137,0.1)^2),1/3)))))))</f>
        <v>2.1403668656741068</v>
      </c>
      <c r="AI1137">
        <f t="shared" ca="1" si="556"/>
        <v>634.20886686567405</v>
      </c>
      <c r="AJ1137">
        <f t="shared" ca="1" si="557"/>
        <v>635.27905029851115</v>
      </c>
      <c r="AM1137">
        <v>0</v>
      </c>
      <c r="AN1137">
        <v>0</v>
      </c>
      <c r="AO1137">
        <f t="shared" si="558"/>
        <v>0</v>
      </c>
      <c r="AP1137">
        <f t="shared" si="567"/>
        <v>0</v>
      </c>
      <c r="AQ1137">
        <f t="shared" ca="1" si="559"/>
        <v>0.99999999999999978</v>
      </c>
      <c r="AR1137" t="str">
        <f t="shared" ca="1" si="560"/>
        <v>Supercritical</v>
      </c>
      <c r="AS1137">
        <f t="shared" ca="1" si="561"/>
        <v>3.8148159832266538E-3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191</v>
      </c>
      <c r="I1138">
        <v>0</v>
      </c>
      <c r="J1138">
        <f t="shared" si="562"/>
        <v>1</v>
      </c>
      <c r="K1138">
        <f t="shared" si="563"/>
        <v>51</v>
      </c>
      <c r="L1138">
        <f t="shared" ca="1" si="564"/>
        <v>0.05</v>
      </c>
      <c r="M1138">
        <f t="shared" ca="1" si="537"/>
        <v>0.26</v>
      </c>
      <c r="N1138">
        <f t="shared" ca="1" si="538"/>
        <v>4.9056603773584909E-2</v>
      </c>
      <c r="O1138">
        <f t="shared" ca="1" si="539"/>
        <v>196.15384615384616</v>
      </c>
      <c r="P1138">
        <f t="shared" ca="1" si="540"/>
        <v>632.11799999999994</v>
      </c>
      <c r="Q1138">
        <f t="shared" ca="1" si="541"/>
        <v>2593.1950316486618</v>
      </c>
      <c r="R1138">
        <f t="shared" ca="1" si="542"/>
        <v>482.07306851378365</v>
      </c>
      <c r="S1138">
        <f t="shared" ca="1" si="543"/>
        <v>280.07692026646265</v>
      </c>
      <c r="T1138">
        <f t="shared" ca="1" si="544"/>
        <v>1019.7665564573041</v>
      </c>
      <c r="U1138">
        <f t="shared" ca="1" si="565"/>
        <v>-482.07256851378361</v>
      </c>
      <c r="V1138">
        <f t="shared" ca="1" si="566"/>
        <v>0</v>
      </c>
      <c r="W1138">
        <f t="shared" ca="1" si="545"/>
        <v>0.05</v>
      </c>
      <c r="X1138">
        <f t="shared" ca="1" si="546"/>
        <v>0.26</v>
      </c>
      <c r="Y1138">
        <f t="shared" ca="1" si="547"/>
        <v>4.9056603773584909E-2</v>
      </c>
      <c r="Z1138">
        <f t="shared" ca="1" si="548"/>
        <v>196.15384615384616</v>
      </c>
      <c r="AA1138">
        <f t="shared" ca="1" si="549"/>
        <v>632.11799999999994</v>
      </c>
      <c r="AB1138">
        <f t="shared" ca="1" si="550"/>
        <v>2593.1950316486618</v>
      </c>
      <c r="AC1138">
        <f t="shared" ca="1" si="551"/>
        <v>482.07306851378365</v>
      </c>
      <c r="AD1138">
        <f t="shared" ca="1" si="552"/>
        <v>280.07692026646265</v>
      </c>
      <c r="AE1138">
        <f t="shared" ca="1" si="553"/>
        <v>1019.7665564573041</v>
      </c>
      <c r="AF1138">
        <f t="shared" ca="1" si="554"/>
        <v>482.07256851378406</v>
      </c>
      <c r="AG1138">
        <f t="shared" ca="1" si="555"/>
        <v>0</v>
      </c>
      <c r="AH1138">
        <f ca="1">IF(V32="Supercritical",L1138,IF(V32="Subcritical",W1138,IF(AND(V1138=1,AG1138=1),IF(T1138&gt;=AE1138,L1138,W1138),IF(V1138=1,L1138,IF(AG1138=1,W1138,MAX($D$16,POWER((ABS(K1138)^2)/($I$5*MAX(F1138,0.1)^2),1/3)))))))</f>
        <v>2.1403668656741068</v>
      </c>
      <c r="AI1138">
        <f t="shared" ca="1" si="556"/>
        <v>634.20836686567407</v>
      </c>
      <c r="AJ1138">
        <f t="shared" ca="1" si="557"/>
        <v>635.27855029851116</v>
      </c>
      <c r="AM1138">
        <v>0</v>
      </c>
      <c r="AN1138">
        <v>0</v>
      </c>
      <c r="AO1138">
        <f t="shared" si="558"/>
        <v>0</v>
      </c>
      <c r="AP1138">
        <f t="shared" si="567"/>
        <v>0</v>
      </c>
      <c r="AQ1138">
        <f t="shared" ca="1" si="559"/>
        <v>0.99999999999999978</v>
      </c>
      <c r="AR1138" t="str">
        <f t="shared" ca="1" si="560"/>
        <v>Supercritical</v>
      </c>
      <c r="AS1138">
        <f t="shared" ca="1" si="561"/>
        <v>3.8148159832266538E-3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191</v>
      </c>
      <c r="I1139">
        <v>0</v>
      </c>
      <c r="J1139">
        <f t="shared" si="562"/>
        <v>1</v>
      </c>
      <c r="K1139">
        <f t="shared" si="563"/>
        <v>51</v>
      </c>
      <c r="L1139">
        <f t="shared" ca="1" si="564"/>
        <v>0.05</v>
      </c>
      <c r="M1139">
        <f t="shared" ca="1" si="537"/>
        <v>0.26</v>
      </c>
      <c r="N1139">
        <f t="shared" ca="1" si="538"/>
        <v>4.9056603773584909E-2</v>
      </c>
      <c r="O1139">
        <f t="shared" ca="1" si="539"/>
        <v>196.15384615384616</v>
      </c>
      <c r="P1139">
        <f t="shared" ca="1" si="540"/>
        <v>632.11749999999995</v>
      </c>
      <c r="Q1139">
        <f t="shared" ca="1" si="541"/>
        <v>2593.1945316486622</v>
      </c>
      <c r="R1139">
        <f t="shared" ca="1" si="542"/>
        <v>482.07306851378365</v>
      </c>
      <c r="S1139">
        <f t="shared" ca="1" si="543"/>
        <v>280.07692026646265</v>
      </c>
      <c r="T1139">
        <f t="shared" ca="1" si="544"/>
        <v>1019.7665564573041</v>
      </c>
      <c r="U1139">
        <f t="shared" ca="1" si="565"/>
        <v>-482.07256851378406</v>
      </c>
      <c r="V1139">
        <f t="shared" ca="1" si="566"/>
        <v>0</v>
      </c>
      <c r="W1139">
        <f t="shared" ca="1" si="545"/>
        <v>0.05</v>
      </c>
      <c r="X1139">
        <f t="shared" ca="1" si="546"/>
        <v>0.26</v>
      </c>
      <c r="Y1139">
        <f t="shared" ca="1" si="547"/>
        <v>4.9056603773584909E-2</v>
      </c>
      <c r="Z1139">
        <f t="shared" ca="1" si="548"/>
        <v>196.15384615384616</v>
      </c>
      <c r="AA1139">
        <f t="shared" ca="1" si="549"/>
        <v>632.11749999999995</v>
      </c>
      <c r="AB1139">
        <f t="shared" ca="1" si="550"/>
        <v>2593.1945316486622</v>
      </c>
      <c r="AC1139">
        <f t="shared" ca="1" si="551"/>
        <v>482.07306851378365</v>
      </c>
      <c r="AD1139">
        <f t="shared" ca="1" si="552"/>
        <v>280.07692026646265</v>
      </c>
      <c r="AE1139">
        <f t="shared" ca="1" si="553"/>
        <v>1019.7665564573041</v>
      </c>
      <c r="AF1139">
        <f t="shared" ca="1" si="554"/>
        <v>482.25887083179032</v>
      </c>
      <c r="AG1139">
        <f t="shared" ca="1" si="555"/>
        <v>0</v>
      </c>
      <c r="AH1139">
        <f ca="1">IF(V32="Supercritical",L1139,IF(V32="Subcritical",W1139,IF(AND(V1139=1,AG1139=1),IF(T1139&gt;=AE1139,L1139,W1139),IF(V1139=1,L1139,IF(AG1139=1,W1139,MAX($D$16,POWER((ABS(K1139)^2)/($I$5*MAX(F1139,0.1)^2),1/3)))))))</f>
        <v>2.1403668656741068</v>
      </c>
      <c r="AI1139">
        <f t="shared" ca="1" si="556"/>
        <v>634.20786686567408</v>
      </c>
      <c r="AJ1139">
        <f t="shared" ca="1" si="557"/>
        <v>635.27805029851118</v>
      </c>
      <c r="AM1139">
        <v>0</v>
      </c>
      <c r="AN1139">
        <v>0</v>
      </c>
      <c r="AO1139">
        <f t="shared" si="558"/>
        <v>0</v>
      </c>
      <c r="AP1139">
        <f t="shared" si="567"/>
        <v>0</v>
      </c>
      <c r="AQ1139">
        <f t="shared" ca="1" si="559"/>
        <v>0.99999999999999978</v>
      </c>
      <c r="AR1139" t="str">
        <f t="shared" ca="1" si="560"/>
        <v>Supercritical</v>
      </c>
      <c r="AS1139">
        <f t="shared" ca="1" si="561"/>
        <v>3.8148159832266538E-3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191</v>
      </c>
      <c r="I1140">
        <v>5.7000000000000002E-2</v>
      </c>
      <c r="J1140">
        <f t="shared" si="562"/>
        <v>1</v>
      </c>
      <c r="K1140">
        <f t="shared" si="563"/>
        <v>51</v>
      </c>
      <c r="L1140">
        <f t="shared" ca="1" si="564"/>
        <v>0.05</v>
      </c>
      <c r="M1140">
        <f t="shared" ca="1" si="537"/>
        <v>0.26</v>
      </c>
      <c r="N1140">
        <f t="shared" ca="1" si="538"/>
        <v>4.9056603773584909E-2</v>
      </c>
      <c r="O1140">
        <f t="shared" ca="1" si="539"/>
        <v>196.15384615384616</v>
      </c>
      <c r="P1140">
        <f t="shared" ca="1" si="540"/>
        <v>632.11699999999996</v>
      </c>
      <c r="Q1140">
        <f t="shared" ca="1" si="541"/>
        <v>2593.1940316486621</v>
      </c>
      <c r="R1140">
        <f t="shared" ca="1" si="542"/>
        <v>482.07306851378365</v>
      </c>
      <c r="S1140">
        <f t="shared" ca="1" si="543"/>
        <v>280.07692026646265</v>
      </c>
      <c r="T1140">
        <f t="shared" ca="1" si="544"/>
        <v>1019.7665564573041</v>
      </c>
      <c r="U1140">
        <f t="shared" ca="1" si="565"/>
        <v>-482.25887083179032</v>
      </c>
      <c r="V1140">
        <f t="shared" ca="1" si="566"/>
        <v>0</v>
      </c>
      <c r="W1140">
        <f t="shared" ca="1" si="545"/>
        <v>0.05</v>
      </c>
      <c r="X1140">
        <f t="shared" ca="1" si="546"/>
        <v>0.26</v>
      </c>
      <c r="Y1140">
        <f t="shared" ca="1" si="547"/>
        <v>4.9056603773584909E-2</v>
      </c>
      <c r="Z1140">
        <f t="shared" ca="1" si="548"/>
        <v>196.15384615384616</v>
      </c>
      <c r="AA1140">
        <f t="shared" ca="1" si="549"/>
        <v>632.11699999999996</v>
      </c>
      <c r="AB1140">
        <f t="shared" ca="1" si="550"/>
        <v>2593.1940316486621</v>
      </c>
      <c r="AC1140">
        <f t="shared" ca="1" si="551"/>
        <v>482.07306851378365</v>
      </c>
      <c r="AD1140">
        <f t="shared" ca="1" si="552"/>
        <v>280.07692026646265</v>
      </c>
      <c r="AE1140">
        <f t="shared" ca="1" si="553"/>
        <v>1019.7665564573041</v>
      </c>
      <c r="AF1140">
        <f t="shared" ca="1" si="554"/>
        <v>482.25887083179032</v>
      </c>
      <c r="AG1140">
        <f t="shared" ca="1" si="555"/>
        <v>0</v>
      </c>
      <c r="AH1140">
        <f ca="1">IF(V32="Supercritical",L1140,IF(V32="Subcritical",W1140,IF(AND(V1140=1,AG1140=1),IF(T1140&gt;=AE1140,L1140,W1140),IF(V1140=1,L1140,IF(AG1140=1,W1140,MAX($D$16,POWER((ABS(K1140)^2)/($I$5*MAX(F1140,0.1)^2),1/3)))))))</f>
        <v>2.1403668656741068</v>
      </c>
      <c r="AI1140">
        <f t="shared" ca="1" si="556"/>
        <v>634.20736686567409</v>
      </c>
      <c r="AJ1140">
        <f t="shared" ca="1" si="557"/>
        <v>635.27755029851119</v>
      </c>
      <c r="AM1140">
        <v>0</v>
      </c>
      <c r="AN1140">
        <v>0</v>
      </c>
      <c r="AO1140">
        <f t="shared" si="558"/>
        <v>0</v>
      </c>
      <c r="AP1140">
        <f t="shared" si="567"/>
        <v>0</v>
      </c>
      <c r="AQ1140">
        <f t="shared" ca="1" si="559"/>
        <v>0.99999999999999978</v>
      </c>
      <c r="AR1140" t="str">
        <f t="shared" ca="1" si="560"/>
        <v>Supercritical</v>
      </c>
      <c r="AS1140">
        <f t="shared" ca="1" si="561"/>
        <v>3.8148159832266538E-3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191</v>
      </c>
      <c r="I1141">
        <v>5.7000000000000002E-2</v>
      </c>
      <c r="J1141">
        <f t="shared" si="562"/>
        <v>1</v>
      </c>
      <c r="K1141">
        <f t="shared" si="563"/>
        <v>51</v>
      </c>
      <c r="L1141">
        <f t="shared" ca="1" si="564"/>
        <v>0.05</v>
      </c>
      <c r="M1141">
        <f t="shared" ca="1" si="537"/>
        <v>0.26</v>
      </c>
      <c r="N1141">
        <f t="shared" ca="1" si="538"/>
        <v>4.9056603773584909E-2</v>
      </c>
      <c r="O1141">
        <f t="shared" ca="1" si="539"/>
        <v>196.15384615384616</v>
      </c>
      <c r="P1141">
        <f t="shared" ca="1" si="540"/>
        <v>632.11649999999997</v>
      </c>
      <c r="Q1141">
        <f t="shared" ca="1" si="541"/>
        <v>2593.193531648662</v>
      </c>
      <c r="R1141">
        <f t="shared" ca="1" si="542"/>
        <v>482.07306851378365</v>
      </c>
      <c r="S1141">
        <f t="shared" ca="1" si="543"/>
        <v>280.07692026646265</v>
      </c>
      <c r="T1141">
        <f t="shared" ca="1" si="544"/>
        <v>1019.7665564573041</v>
      </c>
      <c r="U1141">
        <f t="shared" ca="1" si="565"/>
        <v>-482.25887083179032</v>
      </c>
      <c r="V1141">
        <f t="shared" ca="1" si="566"/>
        <v>0</v>
      </c>
      <c r="W1141">
        <f t="shared" ca="1" si="545"/>
        <v>0.05</v>
      </c>
      <c r="X1141">
        <f t="shared" ca="1" si="546"/>
        <v>0.26</v>
      </c>
      <c r="Y1141">
        <f t="shared" ca="1" si="547"/>
        <v>4.9056603773584909E-2</v>
      </c>
      <c r="Z1141">
        <f t="shared" ca="1" si="548"/>
        <v>196.15384615384616</v>
      </c>
      <c r="AA1141">
        <f t="shared" ca="1" si="549"/>
        <v>632.11649999999997</v>
      </c>
      <c r="AB1141">
        <f t="shared" ca="1" si="550"/>
        <v>2593.193531648662</v>
      </c>
      <c r="AC1141">
        <f t="shared" ca="1" si="551"/>
        <v>482.07306851378365</v>
      </c>
      <c r="AD1141">
        <f t="shared" ca="1" si="552"/>
        <v>280.07692026646265</v>
      </c>
      <c r="AE1141">
        <f t="shared" ca="1" si="553"/>
        <v>1019.7665564573041</v>
      </c>
      <c r="AF1141">
        <f t="shared" ca="1" si="554"/>
        <v>482.07910543722301</v>
      </c>
      <c r="AG1141">
        <f t="shared" ca="1" si="555"/>
        <v>0</v>
      </c>
      <c r="AH1141">
        <f ca="1">IF(V32="Supercritical",L1141,IF(V32="Subcritical",W1141,IF(AND(V1141=1,AG1141=1),IF(T1141&gt;=AE1141,L1141,W1141),IF(V1141=1,L1141,IF(AG1141=1,W1141,MAX($D$16,POWER((ABS(K1141)^2)/($I$5*MAX(F1141,0.1)^2),1/3)))))))</f>
        <v>2.1403668656741068</v>
      </c>
      <c r="AI1141">
        <f t="shared" ca="1" si="556"/>
        <v>634.2068668656741</v>
      </c>
      <c r="AJ1141">
        <f t="shared" ca="1" si="557"/>
        <v>635.2770502985112</v>
      </c>
      <c r="AM1141">
        <v>0</v>
      </c>
      <c r="AN1141">
        <v>0</v>
      </c>
      <c r="AO1141">
        <f t="shared" si="558"/>
        <v>0</v>
      </c>
      <c r="AP1141">
        <f t="shared" si="567"/>
        <v>0</v>
      </c>
      <c r="AQ1141">
        <f t="shared" ca="1" si="559"/>
        <v>0.99999999999999978</v>
      </c>
      <c r="AR1141" t="str">
        <f t="shared" ca="1" si="560"/>
        <v>Supercritical</v>
      </c>
      <c r="AS1141">
        <f t="shared" ca="1" si="561"/>
        <v>3.8148159832266538E-3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191</v>
      </c>
      <c r="I1142">
        <v>2E-3</v>
      </c>
      <c r="J1142">
        <f t="shared" si="562"/>
        <v>1</v>
      </c>
      <c r="K1142">
        <f t="shared" si="563"/>
        <v>51</v>
      </c>
      <c r="L1142">
        <f t="shared" ca="1" si="564"/>
        <v>0.05</v>
      </c>
      <c r="M1142">
        <f t="shared" ca="1" si="537"/>
        <v>0.26</v>
      </c>
      <c r="N1142">
        <f t="shared" ca="1" si="538"/>
        <v>4.9056603773584909E-2</v>
      </c>
      <c r="O1142">
        <f t="shared" ca="1" si="539"/>
        <v>196.15384615384616</v>
      </c>
      <c r="P1142">
        <f t="shared" ca="1" si="540"/>
        <v>632.11599999999999</v>
      </c>
      <c r="Q1142">
        <f t="shared" ca="1" si="541"/>
        <v>2593.1930316486623</v>
      </c>
      <c r="R1142">
        <f t="shared" ca="1" si="542"/>
        <v>482.07306851378365</v>
      </c>
      <c r="S1142">
        <f t="shared" ca="1" si="543"/>
        <v>280.07692026646265</v>
      </c>
      <c r="T1142">
        <f t="shared" ca="1" si="544"/>
        <v>1019.7665564573041</v>
      </c>
      <c r="U1142">
        <f t="shared" ca="1" si="565"/>
        <v>-482.07910543722301</v>
      </c>
      <c r="V1142">
        <f t="shared" ca="1" si="566"/>
        <v>0</v>
      </c>
      <c r="W1142">
        <f t="shared" ca="1" si="545"/>
        <v>0.05</v>
      </c>
      <c r="X1142">
        <f t="shared" ca="1" si="546"/>
        <v>0.26</v>
      </c>
      <c r="Y1142">
        <f t="shared" ca="1" si="547"/>
        <v>4.9056603773584909E-2</v>
      </c>
      <c r="Z1142">
        <f t="shared" ca="1" si="548"/>
        <v>196.15384615384616</v>
      </c>
      <c r="AA1142">
        <f t="shared" ca="1" si="549"/>
        <v>632.11599999999999</v>
      </c>
      <c r="AB1142">
        <f t="shared" ca="1" si="550"/>
        <v>2593.1930316486623</v>
      </c>
      <c r="AC1142">
        <f t="shared" ca="1" si="551"/>
        <v>482.07306851378365</v>
      </c>
      <c r="AD1142">
        <f t="shared" ca="1" si="552"/>
        <v>280.07692026646265</v>
      </c>
      <c r="AE1142">
        <f t="shared" ca="1" si="553"/>
        <v>1019.7665564573041</v>
      </c>
      <c r="AF1142">
        <f t="shared" ca="1" si="554"/>
        <v>482.56117850572491</v>
      </c>
      <c r="AG1142">
        <f t="shared" ca="1" si="555"/>
        <v>0</v>
      </c>
      <c r="AH1142">
        <f ca="1">IF(V32="Supercritical",L1142,IF(V32="Subcritical",W1142,IF(AND(V1142=1,AG1142=1),IF(T1142&gt;=AE1142,L1142,W1142),IF(V1142=1,L1142,IF(AG1142=1,W1142,MAX($D$16,POWER((ABS(K1142)^2)/($I$5*MAX(F1142,0.1)^2),1/3)))))))</f>
        <v>2.1403668656741068</v>
      </c>
      <c r="AI1142">
        <f t="shared" ca="1" si="556"/>
        <v>634.20636686567411</v>
      </c>
      <c r="AJ1142">
        <f t="shared" ca="1" si="557"/>
        <v>635.27655029851121</v>
      </c>
      <c r="AM1142">
        <v>0</v>
      </c>
      <c r="AN1142">
        <v>0</v>
      </c>
      <c r="AO1142">
        <f t="shared" si="558"/>
        <v>0</v>
      </c>
      <c r="AP1142">
        <f t="shared" si="567"/>
        <v>0</v>
      </c>
      <c r="AQ1142">
        <f t="shared" ca="1" si="559"/>
        <v>0.99999999999999978</v>
      </c>
      <c r="AR1142" t="str">
        <f t="shared" ca="1" si="560"/>
        <v>Supercritical</v>
      </c>
      <c r="AS1142">
        <f t="shared" ca="1" si="561"/>
        <v>3.8148159832266538E-3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191</v>
      </c>
      <c r="I1143">
        <v>2E-3</v>
      </c>
      <c r="J1143">
        <f t="shared" si="562"/>
        <v>1.0009999999999764</v>
      </c>
      <c r="K1143">
        <f t="shared" si="563"/>
        <v>51</v>
      </c>
      <c r="L1143">
        <f t="shared" ca="1" si="564"/>
        <v>0.05</v>
      </c>
      <c r="M1143">
        <f t="shared" ca="1" si="537"/>
        <v>0.26</v>
      </c>
      <c r="N1143">
        <f t="shared" ca="1" si="538"/>
        <v>4.9056603773584909E-2</v>
      </c>
      <c r="O1143">
        <f t="shared" ca="1" si="539"/>
        <v>196.15384615384616</v>
      </c>
      <c r="P1143">
        <f t="shared" ca="1" si="540"/>
        <v>632.1155</v>
      </c>
      <c r="Q1143">
        <f t="shared" ca="1" si="541"/>
        <v>2593.1925316486622</v>
      </c>
      <c r="R1143">
        <f t="shared" ca="1" si="542"/>
        <v>482.07306851378365</v>
      </c>
      <c r="S1143">
        <f t="shared" ca="1" si="543"/>
        <v>280.07692026646265</v>
      </c>
      <c r="T1143">
        <f t="shared" ca="1" si="544"/>
        <v>1019.7665564573041</v>
      </c>
      <c r="U1143">
        <f t="shared" ca="1" si="565"/>
        <v>-482.56117850572491</v>
      </c>
      <c r="V1143">
        <f t="shared" ca="1" si="566"/>
        <v>0</v>
      </c>
      <c r="W1143">
        <f t="shared" ca="1" si="545"/>
        <v>0.05</v>
      </c>
      <c r="X1143">
        <f t="shared" ca="1" si="546"/>
        <v>0.26</v>
      </c>
      <c r="Y1143">
        <f t="shared" ca="1" si="547"/>
        <v>4.9056603773584909E-2</v>
      </c>
      <c r="Z1143">
        <f t="shared" ca="1" si="548"/>
        <v>196.15384615384616</v>
      </c>
      <c r="AA1143">
        <f t="shared" ca="1" si="549"/>
        <v>632.1155</v>
      </c>
      <c r="AB1143">
        <f t="shared" ca="1" si="550"/>
        <v>2593.1925316486622</v>
      </c>
      <c r="AC1143">
        <f t="shared" ca="1" si="551"/>
        <v>482.07306851378365</v>
      </c>
      <c r="AD1143">
        <f t="shared" ca="1" si="552"/>
        <v>280.07692026646265</v>
      </c>
      <c r="AE1143">
        <f t="shared" ca="1" si="553"/>
        <v>1019.7665564573041</v>
      </c>
      <c r="AF1143">
        <f t="shared" ca="1" si="554"/>
        <v>482.25887083179032</v>
      </c>
      <c r="AG1143">
        <f t="shared" ca="1" si="555"/>
        <v>0</v>
      </c>
      <c r="AH1143">
        <f ca="1">IF(V32="Supercritical",L1143,IF(V32="Subcritical",W1143,IF(AND(V1143=1,AG1143=1),IF(T1143&gt;=AE1143,L1143,W1143),IF(V1143=1,L1143,IF(AG1143=1,W1143,MAX($D$16,POWER((ABS(K1143)^2)/($I$5*MAX(F1143,0.1)^2),1/3)))))))</f>
        <v>2.1403668656741068</v>
      </c>
      <c r="AI1143">
        <f t="shared" ca="1" si="556"/>
        <v>634.20586686567412</v>
      </c>
      <c r="AJ1143">
        <f t="shared" ca="1" si="557"/>
        <v>635.27605029851122</v>
      </c>
      <c r="AM1143">
        <v>0</v>
      </c>
      <c r="AN1143">
        <v>0</v>
      </c>
      <c r="AO1143">
        <f t="shared" si="558"/>
        <v>0</v>
      </c>
      <c r="AP1143">
        <f t="shared" si="567"/>
        <v>0</v>
      </c>
      <c r="AQ1143">
        <f t="shared" ca="1" si="559"/>
        <v>0.99999999999999978</v>
      </c>
      <c r="AR1143" t="str">
        <f t="shared" ca="1" si="560"/>
        <v>Supercritical</v>
      </c>
      <c r="AS1143">
        <f t="shared" ca="1" si="561"/>
        <v>3.8148159832266538E-3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191</v>
      </c>
      <c r="I1144">
        <v>5.7000000000000002E-2</v>
      </c>
      <c r="J1144">
        <f t="shared" si="562"/>
        <v>1</v>
      </c>
      <c r="K1144">
        <f t="shared" si="563"/>
        <v>51</v>
      </c>
      <c r="L1144">
        <f t="shared" ca="1" si="564"/>
        <v>0.05</v>
      </c>
      <c r="M1144">
        <f t="shared" ca="1" si="537"/>
        <v>0.26</v>
      </c>
      <c r="N1144">
        <f t="shared" ca="1" si="538"/>
        <v>4.9056603773584909E-2</v>
      </c>
      <c r="O1144">
        <f t="shared" ca="1" si="539"/>
        <v>196.15384615384616</v>
      </c>
      <c r="P1144">
        <f t="shared" ca="1" si="540"/>
        <v>632.11500000000001</v>
      </c>
      <c r="Q1144">
        <f t="shared" ca="1" si="541"/>
        <v>2593.1920316486621</v>
      </c>
      <c r="R1144">
        <f t="shared" ca="1" si="542"/>
        <v>482.07306851378365</v>
      </c>
      <c r="S1144">
        <f t="shared" ca="1" si="543"/>
        <v>280.07692026646265</v>
      </c>
      <c r="T1144">
        <f t="shared" ca="1" si="544"/>
        <v>1019.7665564573041</v>
      </c>
      <c r="U1144">
        <f t="shared" ca="1" si="565"/>
        <v>-482.25887083179032</v>
      </c>
      <c r="V1144">
        <f t="shared" ca="1" si="566"/>
        <v>0</v>
      </c>
      <c r="W1144">
        <f t="shared" ca="1" si="545"/>
        <v>0.05</v>
      </c>
      <c r="X1144">
        <f t="shared" ca="1" si="546"/>
        <v>0.26</v>
      </c>
      <c r="Y1144">
        <f t="shared" ca="1" si="547"/>
        <v>4.9056603773584909E-2</v>
      </c>
      <c r="Z1144">
        <f t="shared" ca="1" si="548"/>
        <v>196.15384615384616</v>
      </c>
      <c r="AA1144">
        <f t="shared" ca="1" si="549"/>
        <v>632.11500000000001</v>
      </c>
      <c r="AB1144">
        <f t="shared" ca="1" si="550"/>
        <v>2593.1920316486621</v>
      </c>
      <c r="AC1144">
        <f t="shared" ca="1" si="551"/>
        <v>482.07306851378365</v>
      </c>
      <c r="AD1144">
        <f t="shared" ca="1" si="552"/>
        <v>280.07692026646265</v>
      </c>
      <c r="AE1144">
        <f t="shared" ca="1" si="553"/>
        <v>1019.7665564573041</v>
      </c>
      <c r="AF1144">
        <f t="shared" ca="1" si="554"/>
        <v>482.25887083179032</v>
      </c>
      <c r="AG1144">
        <f t="shared" ca="1" si="555"/>
        <v>0</v>
      </c>
      <c r="AH1144">
        <f ca="1">IF(V32="Supercritical",L1144,IF(V32="Subcritical",W1144,IF(AND(V1144=1,AG1144=1),IF(T1144&gt;=AE1144,L1144,W1144),IF(V1144=1,L1144,IF(AG1144=1,W1144,MAX($D$16,POWER((ABS(K1144)^2)/($I$5*MAX(F1144,0.1)^2),1/3)))))))</f>
        <v>2.1403668656741068</v>
      </c>
      <c r="AI1144">
        <f t="shared" ca="1" si="556"/>
        <v>634.20536686567414</v>
      </c>
      <c r="AJ1144">
        <f t="shared" ca="1" si="557"/>
        <v>635.27555029851123</v>
      </c>
      <c r="AM1144">
        <v>0</v>
      </c>
      <c r="AN1144">
        <v>0</v>
      </c>
      <c r="AO1144">
        <f t="shared" si="558"/>
        <v>0</v>
      </c>
      <c r="AP1144">
        <f t="shared" si="567"/>
        <v>0</v>
      </c>
      <c r="AQ1144">
        <f t="shared" ca="1" si="559"/>
        <v>0.99999999999999978</v>
      </c>
      <c r="AR1144" t="str">
        <f t="shared" ca="1" si="560"/>
        <v>Supercritical</v>
      </c>
      <c r="AS1144">
        <f t="shared" ca="1" si="561"/>
        <v>3.8148159832266538E-3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191</v>
      </c>
      <c r="I1145">
        <v>5.7000000000000002E-2</v>
      </c>
      <c r="J1145">
        <f t="shared" si="562"/>
        <v>1</v>
      </c>
      <c r="K1145">
        <f t="shared" si="563"/>
        <v>51</v>
      </c>
      <c r="L1145">
        <f t="shared" ca="1" si="564"/>
        <v>0.05</v>
      </c>
      <c r="M1145">
        <f t="shared" ca="1" si="537"/>
        <v>0.26</v>
      </c>
      <c r="N1145">
        <f t="shared" ca="1" si="538"/>
        <v>4.9056603773584909E-2</v>
      </c>
      <c r="O1145">
        <f t="shared" ca="1" si="539"/>
        <v>196.15384615384616</v>
      </c>
      <c r="P1145">
        <f t="shared" ca="1" si="540"/>
        <v>632.11449999999991</v>
      </c>
      <c r="Q1145">
        <f t="shared" ca="1" si="541"/>
        <v>2593.191531648662</v>
      </c>
      <c r="R1145">
        <f t="shared" ca="1" si="542"/>
        <v>482.07306851378365</v>
      </c>
      <c r="S1145">
        <f t="shared" ca="1" si="543"/>
        <v>280.07692026646265</v>
      </c>
      <c r="T1145">
        <f t="shared" ca="1" si="544"/>
        <v>1019.7665564573041</v>
      </c>
      <c r="U1145">
        <f t="shared" ca="1" si="565"/>
        <v>-482.25887083179032</v>
      </c>
      <c r="V1145">
        <f t="shared" ca="1" si="566"/>
        <v>0</v>
      </c>
      <c r="W1145">
        <f t="shared" ca="1" si="545"/>
        <v>0.05</v>
      </c>
      <c r="X1145">
        <f t="shared" ca="1" si="546"/>
        <v>0.26</v>
      </c>
      <c r="Y1145">
        <f t="shared" ca="1" si="547"/>
        <v>4.9056603773584909E-2</v>
      </c>
      <c r="Z1145">
        <f t="shared" ca="1" si="548"/>
        <v>196.15384615384616</v>
      </c>
      <c r="AA1145">
        <f t="shared" ca="1" si="549"/>
        <v>632.11449999999991</v>
      </c>
      <c r="AB1145">
        <f t="shared" ca="1" si="550"/>
        <v>2593.191531648662</v>
      </c>
      <c r="AC1145">
        <f t="shared" ca="1" si="551"/>
        <v>482.07306851378365</v>
      </c>
      <c r="AD1145">
        <f t="shared" ca="1" si="552"/>
        <v>280.07692026646265</v>
      </c>
      <c r="AE1145">
        <f t="shared" ca="1" si="553"/>
        <v>1019.7665564573041</v>
      </c>
      <c r="AF1145">
        <f t="shared" ca="1" si="554"/>
        <v>481.59049544528125</v>
      </c>
      <c r="AG1145">
        <f t="shared" ca="1" si="555"/>
        <v>0</v>
      </c>
      <c r="AH1145">
        <f ca="1">IF(V32="Supercritical",L1145,IF(V32="Subcritical",W1145,IF(AND(V1145=1,AG1145=1),IF(T1145&gt;=AE1145,L1145,W1145),IF(V1145=1,L1145,IF(AG1145=1,W1145,MAX($D$16,POWER((ABS(K1145)^2)/($I$5*MAX(F1145,0.1)^2),1/3)))))))</f>
        <v>2.1403668656741068</v>
      </c>
      <c r="AI1145">
        <f t="shared" ca="1" si="556"/>
        <v>634.20486686567403</v>
      </c>
      <c r="AJ1145">
        <f t="shared" ca="1" si="557"/>
        <v>635.27505029851113</v>
      </c>
      <c r="AM1145">
        <v>0</v>
      </c>
      <c r="AN1145">
        <v>0</v>
      </c>
      <c r="AO1145">
        <f t="shared" si="558"/>
        <v>0</v>
      </c>
      <c r="AP1145">
        <f t="shared" si="567"/>
        <v>0</v>
      </c>
      <c r="AQ1145">
        <f t="shared" ca="1" si="559"/>
        <v>0.99999999999999978</v>
      </c>
      <c r="AR1145" t="str">
        <f t="shared" ca="1" si="560"/>
        <v>Supercritical</v>
      </c>
      <c r="AS1145">
        <f t="shared" ca="1" si="561"/>
        <v>3.8148159832266538E-3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191</v>
      </c>
      <c r="I1146">
        <v>0</v>
      </c>
      <c r="J1146">
        <f t="shared" si="562"/>
        <v>0.99900000000002365</v>
      </c>
      <c r="K1146">
        <f t="shared" si="563"/>
        <v>51</v>
      </c>
      <c r="L1146">
        <f t="shared" ca="1" si="564"/>
        <v>0.05</v>
      </c>
      <c r="M1146">
        <f t="shared" ca="1" si="537"/>
        <v>0.26</v>
      </c>
      <c r="N1146">
        <f t="shared" ca="1" si="538"/>
        <v>4.9056603773584909E-2</v>
      </c>
      <c r="O1146">
        <f t="shared" ca="1" si="539"/>
        <v>196.15384615384616</v>
      </c>
      <c r="P1146">
        <f t="shared" ca="1" si="540"/>
        <v>632.11399999999992</v>
      </c>
      <c r="Q1146">
        <f t="shared" ca="1" si="541"/>
        <v>2593.1910316486619</v>
      </c>
      <c r="R1146">
        <f t="shared" ca="1" si="542"/>
        <v>482.07306851378365</v>
      </c>
      <c r="S1146">
        <f t="shared" ca="1" si="543"/>
        <v>280.07692026646265</v>
      </c>
      <c r="T1146">
        <f t="shared" ca="1" si="544"/>
        <v>1019.7665564573041</v>
      </c>
      <c r="U1146">
        <f t="shared" ca="1" si="565"/>
        <v>-481.59049544528125</v>
      </c>
      <c r="V1146">
        <f t="shared" ca="1" si="566"/>
        <v>0</v>
      </c>
      <c r="W1146">
        <f t="shared" ca="1" si="545"/>
        <v>0.05</v>
      </c>
      <c r="X1146">
        <f t="shared" ca="1" si="546"/>
        <v>0.26</v>
      </c>
      <c r="Y1146">
        <f t="shared" ca="1" si="547"/>
        <v>4.9056603773584909E-2</v>
      </c>
      <c r="Z1146">
        <f t="shared" ca="1" si="548"/>
        <v>196.15384615384616</v>
      </c>
      <c r="AA1146">
        <f t="shared" ca="1" si="549"/>
        <v>632.11399999999992</v>
      </c>
      <c r="AB1146">
        <f t="shared" ca="1" si="550"/>
        <v>2593.1910316486619</v>
      </c>
      <c r="AC1146">
        <f t="shared" ca="1" si="551"/>
        <v>482.07306851378365</v>
      </c>
      <c r="AD1146">
        <f t="shared" ca="1" si="552"/>
        <v>280.07692026646265</v>
      </c>
      <c r="AE1146">
        <f t="shared" ca="1" si="553"/>
        <v>1019.7665564573041</v>
      </c>
      <c r="AF1146">
        <f t="shared" ca="1" si="554"/>
        <v>482.07256851378361</v>
      </c>
      <c r="AG1146">
        <f t="shared" ca="1" si="555"/>
        <v>0</v>
      </c>
      <c r="AH1146">
        <f ca="1">IF(V32="Supercritical",L1146,IF(V32="Subcritical",W1146,IF(AND(V1146=1,AG1146=1),IF(T1146&gt;=AE1146,L1146,W1146),IF(V1146=1,L1146,IF(AG1146=1,W1146,MAX($D$16,POWER((ABS(K1146)^2)/($I$5*MAX(F1146,0.1)^2),1/3)))))))</f>
        <v>2.1403668656741068</v>
      </c>
      <c r="AI1146">
        <f t="shared" ca="1" si="556"/>
        <v>634.20436686567405</v>
      </c>
      <c r="AJ1146">
        <f t="shared" ca="1" si="557"/>
        <v>635.27455029851114</v>
      </c>
      <c r="AM1146">
        <v>0</v>
      </c>
      <c r="AN1146">
        <v>0</v>
      </c>
      <c r="AO1146">
        <f t="shared" si="558"/>
        <v>0</v>
      </c>
      <c r="AP1146">
        <f t="shared" si="567"/>
        <v>0</v>
      </c>
      <c r="AQ1146">
        <f t="shared" ca="1" si="559"/>
        <v>0.99999999999999978</v>
      </c>
      <c r="AR1146" t="str">
        <f t="shared" ca="1" si="560"/>
        <v>Supercritical</v>
      </c>
      <c r="AS1146">
        <f t="shared" ca="1" si="561"/>
        <v>3.8148159832266538E-3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191</v>
      </c>
      <c r="I1147">
        <v>0</v>
      </c>
      <c r="J1147">
        <f t="shared" si="562"/>
        <v>1</v>
      </c>
      <c r="K1147">
        <f t="shared" si="563"/>
        <v>51</v>
      </c>
      <c r="L1147">
        <f t="shared" ca="1" si="564"/>
        <v>0.05</v>
      </c>
      <c r="M1147">
        <f t="shared" ca="1" si="537"/>
        <v>0.26</v>
      </c>
      <c r="N1147">
        <f t="shared" ca="1" si="538"/>
        <v>4.9056603773584909E-2</v>
      </c>
      <c r="O1147">
        <f t="shared" ca="1" si="539"/>
        <v>196.15384615384616</v>
      </c>
      <c r="P1147">
        <f t="shared" ca="1" si="540"/>
        <v>632.11349999999993</v>
      </c>
      <c r="Q1147">
        <f t="shared" ca="1" si="541"/>
        <v>2593.1905316486618</v>
      </c>
      <c r="R1147">
        <f t="shared" ca="1" si="542"/>
        <v>482.07306851378365</v>
      </c>
      <c r="S1147">
        <f t="shared" ca="1" si="543"/>
        <v>280.07692026646265</v>
      </c>
      <c r="T1147">
        <f t="shared" ca="1" si="544"/>
        <v>1019.7665564573041</v>
      </c>
      <c r="U1147">
        <f t="shared" ca="1" si="565"/>
        <v>-482.07256851378361</v>
      </c>
      <c r="V1147">
        <f t="shared" ca="1" si="566"/>
        <v>0</v>
      </c>
      <c r="W1147">
        <f t="shared" ca="1" si="545"/>
        <v>0.05</v>
      </c>
      <c r="X1147">
        <f t="shared" ca="1" si="546"/>
        <v>0.26</v>
      </c>
      <c r="Y1147">
        <f t="shared" ca="1" si="547"/>
        <v>4.9056603773584909E-2</v>
      </c>
      <c r="Z1147">
        <f t="shared" ca="1" si="548"/>
        <v>196.15384615384616</v>
      </c>
      <c r="AA1147">
        <f t="shared" ca="1" si="549"/>
        <v>632.11349999999993</v>
      </c>
      <c r="AB1147">
        <f t="shared" ca="1" si="550"/>
        <v>2593.1905316486618</v>
      </c>
      <c r="AC1147">
        <f t="shared" ca="1" si="551"/>
        <v>482.07306851378365</v>
      </c>
      <c r="AD1147">
        <f t="shared" ca="1" si="552"/>
        <v>280.07692026646265</v>
      </c>
      <c r="AE1147">
        <f t="shared" ca="1" si="553"/>
        <v>1019.7665564573041</v>
      </c>
      <c r="AF1147">
        <f t="shared" ca="1" si="554"/>
        <v>482.25887083179077</v>
      </c>
      <c r="AG1147">
        <f t="shared" ca="1" si="555"/>
        <v>0</v>
      </c>
      <c r="AH1147">
        <f ca="1">IF(V32="Supercritical",L1147,IF(V32="Subcritical",W1147,IF(AND(V1147=1,AG1147=1),IF(T1147&gt;=AE1147,L1147,W1147),IF(V1147=1,L1147,IF(AG1147=1,W1147,MAX($D$16,POWER((ABS(K1147)^2)/($I$5*MAX(F1147,0.1)^2),1/3)))))))</f>
        <v>2.1403668656741068</v>
      </c>
      <c r="AI1147">
        <f t="shared" ca="1" si="556"/>
        <v>634.20386686567406</v>
      </c>
      <c r="AJ1147">
        <f t="shared" ca="1" si="557"/>
        <v>635.27405029851116</v>
      </c>
      <c r="AM1147">
        <v>0</v>
      </c>
      <c r="AN1147">
        <v>0</v>
      </c>
      <c r="AO1147">
        <f t="shared" si="558"/>
        <v>0</v>
      </c>
      <c r="AP1147">
        <f t="shared" si="567"/>
        <v>0</v>
      </c>
      <c r="AQ1147">
        <f t="shared" ca="1" si="559"/>
        <v>0.99999999999999978</v>
      </c>
      <c r="AR1147" t="str">
        <f t="shared" ca="1" si="560"/>
        <v>Supercritical</v>
      </c>
      <c r="AS1147">
        <f t="shared" ca="1" si="561"/>
        <v>3.8148159832266538E-3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191</v>
      </c>
      <c r="I1148">
        <v>5.7000000000000002E-2</v>
      </c>
      <c r="J1148">
        <f t="shared" si="562"/>
        <v>1</v>
      </c>
      <c r="K1148">
        <f t="shared" si="563"/>
        <v>51</v>
      </c>
      <c r="L1148">
        <f t="shared" ca="1" si="564"/>
        <v>0.05</v>
      </c>
      <c r="M1148">
        <f t="shared" ca="1" si="537"/>
        <v>0.26</v>
      </c>
      <c r="N1148">
        <f t="shared" ca="1" si="538"/>
        <v>4.9056603773584909E-2</v>
      </c>
      <c r="O1148">
        <f t="shared" ca="1" si="539"/>
        <v>196.15384615384616</v>
      </c>
      <c r="P1148">
        <f t="shared" ca="1" si="540"/>
        <v>632.11299999999994</v>
      </c>
      <c r="Q1148">
        <f t="shared" ca="1" si="541"/>
        <v>2593.1900316486622</v>
      </c>
      <c r="R1148">
        <f t="shared" ca="1" si="542"/>
        <v>482.07306851378365</v>
      </c>
      <c r="S1148">
        <f t="shared" ca="1" si="543"/>
        <v>280.07692026646265</v>
      </c>
      <c r="T1148">
        <f t="shared" ca="1" si="544"/>
        <v>1019.7665564573041</v>
      </c>
      <c r="U1148">
        <f t="shared" ca="1" si="565"/>
        <v>-482.25887083179077</v>
      </c>
      <c r="V1148">
        <f t="shared" ca="1" si="566"/>
        <v>0</v>
      </c>
      <c r="W1148">
        <f t="shared" ca="1" si="545"/>
        <v>0.05</v>
      </c>
      <c r="X1148">
        <f t="shared" ca="1" si="546"/>
        <v>0.26</v>
      </c>
      <c r="Y1148">
        <f t="shared" ca="1" si="547"/>
        <v>4.9056603773584909E-2</v>
      </c>
      <c r="Z1148">
        <f t="shared" ca="1" si="548"/>
        <v>196.15384615384616</v>
      </c>
      <c r="AA1148">
        <f t="shared" ca="1" si="549"/>
        <v>632.11299999999994</v>
      </c>
      <c r="AB1148">
        <f t="shared" ca="1" si="550"/>
        <v>2593.1900316486622</v>
      </c>
      <c r="AC1148">
        <f t="shared" ca="1" si="551"/>
        <v>482.07306851378365</v>
      </c>
      <c r="AD1148">
        <f t="shared" ca="1" si="552"/>
        <v>280.07692026646265</v>
      </c>
      <c r="AE1148">
        <f t="shared" ca="1" si="553"/>
        <v>1019.7665564573041</v>
      </c>
      <c r="AF1148">
        <f t="shared" ca="1" si="554"/>
        <v>482.25887083179032</v>
      </c>
      <c r="AG1148">
        <f t="shared" ca="1" si="555"/>
        <v>0</v>
      </c>
      <c r="AH1148">
        <f ca="1">IF(V32="Supercritical",L1148,IF(V32="Subcritical",W1148,IF(AND(V1148=1,AG1148=1),IF(T1148&gt;=AE1148,L1148,W1148),IF(V1148=1,L1148,IF(AG1148=1,W1148,MAX($D$16,POWER((ABS(K1148)^2)/($I$5*MAX(F1148,0.1)^2),1/3)))))))</f>
        <v>2.1403668656741068</v>
      </c>
      <c r="AI1148">
        <f t="shared" ca="1" si="556"/>
        <v>634.20336686567407</v>
      </c>
      <c r="AJ1148">
        <f t="shared" ca="1" si="557"/>
        <v>635.27355029851117</v>
      </c>
      <c r="AM1148">
        <v>0</v>
      </c>
      <c r="AN1148">
        <v>0</v>
      </c>
      <c r="AO1148">
        <f t="shared" si="558"/>
        <v>0</v>
      </c>
      <c r="AP1148">
        <f t="shared" si="567"/>
        <v>0</v>
      </c>
      <c r="AQ1148">
        <f t="shared" ca="1" si="559"/>
        <v>0.99999999999999978</v>
      </c>
      <c r="AR1148" t="str">
        <f t="shared" ca="1" si="560"/>
        <v>Supercritical</v>
      </c>
      <c r="AS1148">
        <f t="shared" ca="1" si="561"/>
        <v>3.8148159832266538E-3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191</v>
      </c>
      <c r="I1149">
        <v>5.7000000000000002E-2</v>
      </c>
      <c r="J1149">
        <f t="shared" si="562"/>
        <v>1</v>
      </c>
      <c r="K1149">
        <f t="shared" si="563"/>
        <v>51</v>
      </c>
      <c r="L1149">
        <f t="shared" ca="1" si="564"/>
        <v>0.05</v>
      </c>
      <c r="M1149">
        <f t="shared" ca="1" si="537"/>
        <v>0.26</v>
      </c>
      <c r="N1149">
        <f t="shared" ca="1" si="538"/>
        <v>4.9056603773584909E-2</v>
      </c>
      <c r="O1149">
        <f t="shared" ca="1" si="539"/>
        <v>196.15384615384616</v>
      </c>
      <c r="P1149">
        <f t="shared" ca="1" si="540"/>
        <v>632.11249999999995</v>
      </c>
      <c r="Q1149">
        <f t="shared" ca="1" si="541"/>
        <v>2593.1895316486621</v>
      </c>
      <c r="R1149">
        <f t="shared" ca="1" si="542"/>
        <v>482.07306851378365</v>
      </c>
      <c r="S1149">
        <f t="shared" ca="1" si="543"/>
        <v>280.07692026646265</v>
      </c>
      <c r="T1149">
        <f t="shared" ca="1" si="544"/>
        <v>1019.7665564573041</v>
      </c>
      <c r="U1149">
        <f t="shared" ca="1" si="565"/>
        <v>-482.25887083179032</v>
      </c>
      <c r="V1149">
        <f t="shared" ca="1" si="566"/>
        <v>0</v>
      </c>
      <c r="W1149">
        <f t="shared" ca="1" si="545"/>
        <v>0.05</v>
      </c>
      <c r="X1149">
        <f t="shared" ca="1" si="546"/>
        <v>0.26</v>
      </c>
      <c r="Y1149">
        <f t="shared" ca="1" si="547"/>
        <v>4.9056603773584909E-2</v>
      </c>
      <c r="Z1149">
        <f t="shared" ca="1" si="548"/>
        <v>196.15384615384616</v>
      </c>
      <c r="AA1149">
        <f t="shared" ca="1" si="549"/>
        <v>632.11249999999995</v>
      </c>
      <c r="AB1149">
        <f t="shared" ca="1" si="550"/>
        <v>2593.1895316486621</v>
      </c>
      <c r="AC1149">
        <f t="shared" ca="1" si="551"/>
        <v>482.07306851378365</v>
      </c>
      <c r="AD1149">
        <f t="shared" ca="1" si="552"/>
        <v>280.07692026646265</v>
      </c>
      <c r="AE1149">
        <f t="shared" ca="1" si="553"/>
        <v>1019.7665564573041</v>
      </c>
      <c r="AF1149">
        <f t="shared" ca="1" si="554"/>
        <v>482.07256851378361</v>
      </c>
      <c r="AG1149">
        <f t="shared" ca="1" si="555"/>
        <v>0</v>
      </c>
      <c r="AH1149">
        <f ca="1">IF(V32="Supercritical",L1149,IF(V32="Subcritical",W1149,IF(AND(V1149=1,AG1149=1),IF(T1149&gt;=AE1149,L1149,W1149),IF(V1149=1,L1149,IF(AG1149=1,W1149,MAX($D$16,POWER((ABS(K1149)^2)/($I$5*MAX(F1149,0.1)^2),1/3)))))))</f>
        <v>2.1403668656741068</v>
      </c>
      <c r="AI1149">
        <f t="shared" ca="1" si="556"/>
        <v>634.20286686567408</v>
      </c>
      <c r="AJ1149">
        <f t="shared" ca="1" si="557"/>
        <v>635.27305029851118</v>
      </c>
      <c r="AM1149">
        <v>0</v>
      </c>
      <c r="AN1149">
        <v>0</v>
      </c>
      <c r="AO1149">
        <f t="shared" si="558"/>
        <v>0</v>
      </c>
      <c r="AP1149">
        <f t="shared" si="567"/>
        <v>0</v>
      </c>
      <c r="AQ1149">
        <f t="shared" ca="1" si="559"/>
        <v>0.99999999999999978</v>
      </c>
      <c r="AR1149" t="str">
        <f t="shared" ca="1" si="560"/>
        <v>Supercritical</v>
      </c>
      <c r="AS1149">
        <f t="shared" ca="1" si="561"/>
        <v>3.8148159832266538E-3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191</v>
      </c>
      <c r="I1150">
        <v>0</v>
      </c>
      <c r="J1150">
        <f t="shared" si="562"/>
        <v>1</v>
      </c>
      <c r="K1150">
        <f t="shared" si="563"/>
        <v>51</v>
      </c>
      <c r="L1150">
        <f t="shared" ca="1" si="564"/>
        <v>0.05</v>
      </c>
      <c r="M1150">
        <f t="shared" ca="1" si="537"/>
        <v>0.26</v>
      </c>
      <c r="N1150">
        <f t="shared" ca="1" si="538"/>
        <v>4.9056603773584909E-2</v>
      </c>
      <c r="O1150">
        <f t="shared" ca="1" si="539"/>
        <v>196.15384615384616</v>
      </c>
      <c r="P1150">
        <f t="shared" ca="1" si="540"/>
        <v>632.11199999999997</v>
      </c>
      <c r="Q1150">
        <f t="shared" ca="1" si="541"/>
        <v>2593.189031648662</v>
      </c>
      <c r="R1150">
        <f t="shared" ca="1" si="542"/>
        <v>482.07306851378365</v>
      </c>
      <c r="S1150">
        <f t="shared" ca="1" si="543"/>
        <v>280.07692026646265</v>
      </c>
      <c r="T1150">
        <f t="shared" ca="1" si="544"/>
        <v>1019.7665564573041</v>
      </c>
      <c r="U1150">
        <f t="shared" ca="1" si="565"/>
        <v>-482.07256851378361</v>
      </c>
      <c r="V1150">
        <f t="shared" ca="1" si="566"/>
        <v>0</v>
      </c>
      <c r="W1150">
        <f t="shared" ca="1" si="545"/>
        <v>0.05</v>
      </c>
      <c r="X1150">
        <f t="shared" ca="1" si="546"/>
        <v>0.26</v>
      </c>
      <c r="Y1150">
        <f t="shared" ca="1" si="547"/>
        <v>4.9056603773584909E-2</v>
      </c>
      <c r="Z1150">
        <f t="shared" ca="1" si="548"/>
        <v>196.15384615384616</v>
      </c>
      <c r="AA1150">
        <f t="shared" ca="1" si="549"/>
        <v>632.11199999999997</v>
      </c>
      <c r="AB1150">
        <f t="shared" ca="1" si="550"/>
        <v>2593.189031648662</v>
      </c>
      <c r="AC1150">
        <f t="shared" ca="1" si="551"/>
        <v>482.07306851378365</v>
      </c>
      <c r="AD1150">
        <f t="shared" ca="1" si="552"/>
        <v>280.07692026646265</v>
      </c>
      <c r="AE1150">
        <f t="shared" ca="1" si="553"/>
        <v>1019.7665564573041</v>
      </c>
      <c r="AF1150">
        <f t="shared" ca="1" si="554"/>
        <v>482.07256851378406</v>
      </c>
      <c r="AG1150">
        <f t="shared" ca="1" si="555"/>
        <v>0</v>
      </c>
      <c r="AH1150">
        <f ca="1">IF(V32="Supercritical",L1150,IF(V32="Subcritical",W1150,IF(AND(V1150=1,AG1150=1),IF(T1150&gt;=AE1150,L1150,W1150),IF(V1150=1,L1150,IF(AG1150=1,W1150,MAX($D$16,POWER((ABS(K1150)^2)/($I$5*MAX(F1150,0.1)^2),1/3)))))))</f>
        <v>2.1403668656741068</v>
      </c>
      <c r="AI1150">
        <f t="shared" ca="1" si="556"/>
        <v>634.20236686567409</v>
      </c>
      <c r="AJ1150">
        <f t="shared" ca="1" si="557"/>
        <v>635.27255029851119</v>
      </c>
      <c r="AM1150">
        <v>0</v>
      </c>
      <c r="AN1150">
        <v>0</v>
      </c>
      <c r="AO1150">
        <f t="shared" si="558"/>
        <v>0</v>
      </c>
      <c r="AP1150">
        <f t="shared" si="567"/>
        <v>0</v>
      </c>
      <c r="AQ1150">
        <f t="shared" ca="1" si="559"/>
        <v>0.99999999999999978</v>
      </c>
      <c r="AR1150" t="str">
        <f t="shared" ca="1" si="560"/>
        <v>Supercritical</v>
      </c>
      <c r="AS1150">
        <f t="shared" ca="1" si="561"/>
        <v>3.8148159832266538E-3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191</v>
      </c>
      <c r="I1151">
        <v>0</v>
      </c>
      <c r="J1151">
        <f t="shared" si="562"/>
        <v>1</v>
      </c>
      <c r="K1151">
        <f t="shared" si="563"/>
        <v>51</v>
      </c>
      <c r="L1151">
        <f t="shared" ca="1" si="564"/>
        <v>0.05</v>
      </c>
      <c r="M1151">
        <f t="shared" ca="1" si="537"/>
        <v>0.26</v>
      </c>
      <c r="N1151">
        <f t="shared" ca="1" si="538"/>
        <v>4.9056603773584909E-2</v>
      </c>
      <c r="O1151">
        <f t="shared" ca="1" si="539"/>
        <v>196.15384615384616</v>
      </c>
      <c r="P1151">
        <f t="shared" ca="1" si="540"/>
        <v>632.11149999999998</v>
      </c>
      <c r="Q1151">
        <f t="shared" ca="1" si="541"/>
        <v>2593.1885316486623</v>
      </c>
      <c r="R1151">
        <f t="shared" ca="1" si="542"/>
        <v>482.07306851378365</v>
      </c>
      <c r="S1151">
        <f t="shared" ca="1" si="543"/>
        <v>280.07692026646265</v>
      </c>
      <c r="T1151">
        <f t="shared" ca="1" si="544"/>
        <v>1019.7665564573041</v>
      </c>
      <c r="U1151">
        <f t="shared" ca="1" si="565"/>
        <v>-482.07256851378406</v>
      </c>
      <c r="V1151">
        <f t="shared" ca="1" si="566"/>
        <v>0</v>
      </c>
      <c r="W1151">
        <f t="shared" ca="1" si="545"/>
        <v>0.05</v>
      </c>
      <c r="X1151">
        <f t="shared" ca="1" si="546"/>
        <v>0.26</v>
      </c>
      <c r="Y1151">
        <f t="shared" ca="1" si="547"/>
        <v>4.9056603773584909E-2</v>
      </c>
      <c r="Z1151">
        <f t="shared" ca="1" si="548"/>
        <v>196.15384615384616</v>
      </c>
      <c r="AA1151">
        <f t="shared" ca="1" si="549"/>
        <v>632.11149999999998</v>
      </c>
      <c r="AB1151">
        <f t="shared" ca="1" si="550"/>
        <v>2593.1885316486623</v>
      </c>
      <c r="AC1151">
        <f t="shared" ca="1" si="551"/>
        <v>482.07306851378365</v>
      </c>
      <c r="AD1151">
        <f t="shared" ca="1" si="552"/>
        <v>280.07692026646265</v>
      </c>
      <c r="AE1151">
        <f t="shared" ca="1" si="553"/>
        <v>1019.7665564573041</v>
      </c>
      <c r="AF1151">
        <f t="shared" ca="1" si="554"/>
        <v>482.25233390835137</v>
      </c>
      <c r="AG1151">
        <f t="shared" ca="1" si="555"/>
        <v>0</v>
      </c>
      <c r="AH1151">
        <f ca="1">IF(V32="Supercritical",L1151,IF(V32="Subcritical",W1151,IF(AND(V1151=1,AG1151=1),IF(T1151&gt;=AE1151,L1151,W1151),IF(V1151=1,L1151,IF(AG1151=1,W1151,MAX($D$16,POWER((ABS(K1151)^2)/($I$5*MAX(F1151,0.1)^2),1/3)))))))</f>
        <v>2.1403668656741068</v>
      </c>
      <c r="AI1151">
        <f t="shared" ca="1" si="556"/>
        <v>634.20186686567411</v>
      </c>
      <c r="AJ1151">
        <f t="shared" ca="1" si="557"/>
        <v>635.2720502985112</v>
      </c>
      <c r="AM1151">
        <v>0</v>
      </c>
      <c r="AN1151">
        <v>0</v>
      </c>
      <c r="AO1151">
        <f t="shared" si="558"/>
        <v>0</v>
      </c>
      <c r="AP1151">
        <f t="shared" si="567"/>
        <v>0</v>
      </c>
      <c r="AQ1151">
        <f t="shared" ca="1" si="559"/>
        <v>0.99999999999999978</v>
      </c>
      <c r="AR1151" t="str">
        <f t="shared" ca="1" si="560"/>
        <v>Supercritical</v>
      </c>
      <c r="AS1151">
        <f t="shared" ca="1" si="561"/>
        <v>3.8148159832266538E-3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191</v>
      </c>
      <c r="I1152">
        <v>5.5E-2</v>
      </c>
      <c r="J1152">
        <f t="shared" si="562"/>
        <v>1</v>
      </c>
      <c r="K1152">
        <f t="shared" si="563"/>
        <v>51</v>
      </c>
      <c r="L1152">
        <f t="shared" ca="1" si="564"/>
        <v>0.05</v>
      </c>
      <c r="M1152">
        <f t="shared" ca="1" si="537"/>
        <v>0.26</v>
      </c>
      <c r="N1152">
        <f t="shared" ca="1" si="538"/>
        <v>4.9056603773584909E-2</v>
      </c>
      <c r="O1152">
        <f t="shared" ca="1" si="539"/>
        <v>196.15384615384616</v>
      </c>
      <c r="P1152">
        <f t="shared" ca="1" si="540"/>
        <v>632.11099999999999</v>
      </c>
      <c r="Q1152">
        <f t="shared" ca="1" si="541"/>
        <v>2593.1880316486622</v>
      </c>
      <c r="R1152">
        <f t="shared" ca="1" si="542"/>
        <v>482.07306851378365</v>
      </c>
      <c r="S1152">
        <f t="shared" ca="1" si="543"/>
        <v>280.07692026646265</v>
      </c>
      <c r="T1152">
        <f t="shared" ca="1" si="544"/>
        <v>1019.7665564573041</v>
      </c>
      <c r="U1152">
        <f t="shared" ca="1" si="565"/>
        <v>-482.25233390835137</v>
      </c>
      <c r="V1152">
        <f t="shared" ca="1" si="566"/>
        <v>0</v>
      </c>
      <c r="W1152">
        <f t="shared" ca="1" si="545"/>
        <v>0.05</v>
      </c>
      <c r="X1152">
        <f t="shared" ca="1" si="546"/>
        <v>0.26</v>
      </c>
      <c r="Y1152">
        <f t="shared" ca="1" si="547"/>
        <v>4.9056603773584909E-2</v>
      </c>
      <c r="Z1152">
        <f t="shared" ca="1" si="548"/>
        <v>196.15384615384616</v>
      </c>
      <c r="AA1152">
        <f t="shared" ca="1" si="549"/>
        <v>632.11099999999999</v>
      </c>
      <c r="AB1152">
        <f t="shared" ca="1" si="550"/>
        <v>2593.1880316486622</v>
      </c>
      <c r="AC1152">
        <f t="shared" ca="1" si="551"/>
        <v>482.07306851378365</v>
      </c>
      <c r="AD1152">
        <f t="shared" ca="1" si="552"/>
        <v>280.07692026646265</v>
      </c>
      <c r="AE1152">
        <f t="shared" ca="1" si="553"/>
        <v>1019.7665564573041</v>
      </c>
      <c r="AF1152">
        <f t="shared" ca="1" si="554"/>
        <v>482.73440697685373</v>
      </c>
      <c r="AG1152">
        <f t="shared" ca="1" si="555"/>
        <v>0</v>
      </c>
      <c r="AH1152">
        <f ca="1">IF(V32="Supercritical",L1152,IF(V32="Subcritical",W1152,IF(AND(V1152=1,AG1152=1),IF(T1152&gt;=AE1152,L1152,W1152),IF(V1152=1,L1152,IF(AG1152=1,W1152,MAX($D$16,POWER((ABS(K1152)^2)/($I$5*MAX(F1152,0.1)^2),1/3)))))))</f>
        <v>2.1403668656741068</v>
      </c>
      <c r="AI1152">
        <f t="shared" ca="1" si="556"/>
        <v>634.20136686567412</v>
      </c>
      <c r="AJ1152">
        <f t="shared" ca="1" si="557"/>
        <v>635.27155029851122</v>
      </c>
      <c r="AM1152">
        <v>0</v>
      </c>
      <c r="AN1152">
        <v>0</v>
      </c>
      <c r="AO1152">
        <f t="shared" si="558"/>
        <v>0</v>
      </c>
      <c r="AP1152">
        <f t="shared" si="567"/>
        <v>0</v>
      </c>
      <c r="AQ1152">
        <f t="shared" ca="1" si="559"/>
        <v>0.99999999999999978</v>
      </c>
      <c r="AR1152" t="str">
        <f t="shared" ca="1" si="560"/>
        <v>Supercritical</v>
      </c>
      <c r="AS1152">
        <f t="shared" ca="1" si="561"/>
        <v>3.8148159832266538E-3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191</v>
      </c>
      <c r="I1153">
        <v>5.5E-2</v>
      </c>
      <c r="J1153">
        <f t="shared" si="562"/>
        <v>1.0009999999999764</v>
      </c>
      <c r="K1153">
        <f t="shared" si="563"/>
        <v>51</v>
      </c>
      <c r="L1153">
        <f t="shared" ca="1" si="564"/>
        <v>0.05</v>
      </c>
      <c r="M1153">
        <f t="shared" ca="1" si="537"/>
        <v>0.26</v>
      </c>
      <c r="N1153">
        <f t="shared" ca="1" si="538"/>
        <v>4.9056603773584909E-2</v>
      </c>
      <c r="O1153">
        <f t="shared" ca="1" si="539"/>
        <v>196.15384615384616</v>
      </c>
      <c r="P1153">
        <f t="shared" ca="1" si="540"/>
        <v>632.1105</v>
      </c>
      <c r="Q1153">
        <f t="shared" ca="1" si="541"/>
        <v>2593.1875316486621</v>
      </c>
      <c r="R1153">
        <f t="shared" ca="1" si="542"/>
        <v>482.07306851378365</v>
      </c>
      <c r="S1153">
        <f t="shared" ca="1" si="543"/>
        <v>280.07692026646265</v>
      </c>
      <c r="T1153">
        <f t="shared" ca="1" si="544"/>
        <v>1019.7665564573041</v>
      </c>
      <c r="U1153">
        <f t="shared" ca="1" si="565"/>
        <v>-482.73440697685373</v>
      </c>
      <c r="V1153">
        <f t="shared" ca="1" si="566"/>
        <v>0</v>
      </c>
      <c r="W1153">
        <f t="shared" ca="1" si="545"/>
        <v>0.05</v>
      </c>
      <c r="X1153">
        <f t="shared" ca="1" si="546"/>
        <v>0.26</v>
      </c>
      <c r="Y1153">
        <f t="shared" ca="1" si="547"/>
        <v>4.9056603773584909E-2</v>
      </c>
      <c r="Z1153">
        <f t="shared" ca="1" si="548"/>
        <v>196.15384615384616</v>
      </c>
      <c r="AA1153">
        <f t="shared" ca="1" si="549"/>
        <v>632.1105</v>
      </c>
      <c r="AB1153">
        <f t="shared" ca="1" si="550"/>
        <v>2593.1875316486621</v>
      </c>
      <c r="AC1153">
        <f t="shared" ca="1" si="551"/>
        <v>482.07306851378365</v>
      </c>
      <c r="AD1153">
        <f t="shared" ca="1" si="552"/>
        <v>280.07692026646265</v>
      </c>
      <c r="AE1153">
        <f t="shared" ca="1" si="553"/>
        <v>1019.7665564573041</v>
      </c>
      <c r="AF1153">
        <f t="shared" ca="1" si="554"/>
        <v>482.07256851378361</v>
      </c>
      <c r="AG1153">
        <f t="shared" ca="1" si="555"/>
        <v>0</v>
      </c>
      <c r="AH1153">
        <f ca="1">IF(V32="Supercritical",L1153,IF(V32="Subcritical",W1153,IF(AND(V1153=1,AG1153=1),IF(T1153&gt;=AE1153,L1153,W1153),IF(V1153=1,L1153,IF(AG1153=1,W1153,MAX($D$16,POWER((ABS(K1153)^2)/($I$5*MAX(F1153,0.1)^2),1/3)))))))</f>
        <v>2.1403668656741068</v>
      </c>
      <c r="AI1153">
        <f t="shared" ca="1" si="556"/>
        <v>634.20086686567413</v>
      </c>
      <c r="AJ1153">
        <f t="shared" ca="1" si="557"/>
        <v>635.27105029851123</v>
      </c>
      <c r="AM1153">
        <v>0</v>
      </c>
      <c r="AN1153">
        <v>0</v>
      </c>
      <c r="AO1153">
        <f t="shared" si="558"/>
        <v>0</v>
      </c>
      <c r="AP1153">
        <f t="shared" si="567"/>
        <v>0</v>
      </c>
      <c r="AQ1153">
        <f t="shared" ca="1" si="559"/>
        <v>0.99999999999999978</v>
      </c>
      <c r="AR1153" t="str">
        <f t="shared" ca="1" si="560"/>
        <v>Supercritical</v>
      </c>
      <c r="AS1153">
        <f t="shared" ca="1" si="561"/>
        <v>3.8148159832266538E-3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191</v>
      </c>
      <c r="I1154">
        <v>0</v>
      </c>
      <c r="J1154">
        <f t="shared" si="562"/>
        <v>1</v>
      </c>
      <c r="K1154">
        <f t="shared" si="563"/>
        <v>51</v>
      </c>
      <c r="L1154">
        <f t="shared" ca="1" si="564"/>
        <v>0.05</v>
      </c>
      <c r="M1154">
        <f t="shared" ca="1" si="537"/>
        <v>0.26</v>
      </c>
      <c r="N1154">
        <f t="shared" ca="1" si="538"/>
        <v>4.9056603773584909E-2</v>
      </c>
      <c r="O1154">
        <f t="shared" ca="1" si="539"/>
        <v>196.15384615384616</v>
      </c>
      <c r="P1154">
        <f t="shared" ca="1" si="540"/>
        <v>632.1099999999999</v>
      </c>
      <c r="Q1154">
        <f t="shared" ca="1" si="541"/>
        <v>2593.187031648662</v>
      </c>
      <c r="R1154">
        <f t="shared" ca="1" si="542"/>
        <v>482.07306851378365</v>
      </c>
      <c r="S1154">
        <f t="shared" ca="1" si="543"/>
        <v>280.07692026646265</v>
      </c>
      <c r="T1154">
        <f t="shared" ca="1" si="544"/>
        <v>1019.7665564573041</v>
      </c>
      <c r="U1154">
        <f t="shared" ca="1" si="565"/>
        <v>-482.07256851378361</v>
      </c>
      <c r="V1154">
        <f t="shared" ca="1" si="566"/>
        <v>0</v>
      </c>
      <c r="W1154">
        <f t="shared" ca="1" si="545"/>
        <v>0.05</v>
      </c>
      <c r="X1154">
        <f t="shared" ca="1" si="546"/>
        <v>0.26</v>
      </c>
      <c r="Y1154">
        <f t="shared" ca="1" si="547"/>
        <v>4.9056603773584909E-2</v>
      </c>
      <c r="Z1154">
        <f t="shared" ca="1" si="548"/>
        <v>196.15384615384616</v>
      </c>
      <c r="AA1154">
        <f t="shared" ca="1" si="549"/>
        <v>632.1099999999999</v>
      </c>
      <c r="AB1154">
        <f t="shared" ca="1" si="550"/>
        <v>2593.187031648662</v>
      </c>
      <c r="AC1154">
        <f t="shared" ca="1" si="551"/>
        <v>482.07306851378365</v>
      </c>
      <c r="AD1154">
        <f t="shared" ca="1" si="552"/>
        <v>280.07692026646265</v>
      </c>
      <c r="AE1154">
        <f t="shared" ca="1" si="553"/>
        <v>1019.7665564573041</v>
      </c>
      <c r="AF1154">
        <f t="shared" ca="1" si="554"/>
        <v>481.77679776328796</v>
      </c>
      <c r="AG1154">
        <f t="shared" ca="1" si="555"/>
        <v>0</v>
      </c>
      <c r="AH1154">
        <f ca="1">IF(V32="Supercritical",L1154,IF(V32="Subcritical",W1154,IF(AND(V1154=1,AG1154=1),IF(T1154&gt;=AE1154,L1154,W1154),IF(V1154=1,L1154,IF(AG1154=1,W1154,MAX($D$16,POWER((ABS(K1154)^2)/($I$5*MAX(F1154,0.1)^2),1/3)))))))</f>
        <v>2.1403668656741068</v>
      </c>
      <c r="AI1154">
        <f t="shared" ca="1" si="556"/>
        <v>634.20036686567403</v>
      </c>
      <c r="AJ1154">
        <f t="shared" ca="1" si="557"/>
        <v>635.27055029851113</v>
      </c>
      <c r="AM1154">
        <v>0</v>
      </c>
      <c r="AN1154">
        <v>0</v>
      </c>
      <c r="AO1154">
        <f t="shared" si="558"/>
        <v>0</v>
      </c>
      <c r="AP1154">
        <f t="shared" si="567"/>
        <v>0</v>
      </c>
      <c r="AQ1154">
        <f t="shared" ca="1" si="559"/>
        <v>0.99999999999999978</v>
      </c>
      <c r="AR1154" t="str">
        <f t="shared" ca="1" si="560"/>
        <v>Supercritical</v>
      </c>
      <c r="AS1154">
        <f t="shared" ca="1" si="561"/>
        <v>3.8148159832266538E-3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191</v>
      </c>
      <c r="I1155">
        <v>5.7000000000000002E-2</v>
      </c>
      <c r="J1155">
        <f t="shared" si="562"/>
        <v>0.99900000000002365</v>
      </c>
      <c r="K1155">
        <f t="shared" si="563"/>
        <v>51</v>
      </c>
      <c r="L1155">
        <f t="shared" ca="1" si="564"/>
        <v>0.05</v>
      </c>
      <c r="M1155">
        <f t="shared" ca="1" si="537"/>
        <v>0.26</v>
      </c>
      <c r="N1155">
        <f t="shared" ca="1" si="538"/>
        <v>4.9056603773584909E-2</v>
      </c>
      <c r="O1155">
        <f t="shared" ca="1" si="539"/>
        <v>196.15384615384616</v>
      </c>
      <c r="P1155">
        <f t="shared" ca="1" si="540"/>
        <v>632.10949999999991</v>
      </c>
      <c r="Q1155">
        <f t="shared" ca="1" si="541"/>
        <v>2593.1865316486619</v>
      </c>
      <c r="R1155">
        <f t="shared" ca="1" si="542"/>
        <v>482.07306851378365</v>
      </c>
      <c r="S1155">
        <f t="shared" ca="1" si="543"/>
        <v>280.07692026646265</v>
      </c>
      <c r="T1155">
        <f t="shared" ca="1" si="544"/>
        <v>1019.7665564573041</v>
      </c>
      <c r="U1155">
        <f t="shared" ca="1" si="565"/>
        <v>-481.77679776328796</v>
      </c>
      <c r="V1155">
        <f t="shared" ca="1" si="566"/>
        <v>0</v>
      </c>
      <c r="W1155">
        <f t="shared" ca="1" si="545"/>
        <v>0.05</v>
      </c>
      <c r="X1155">
        <f t="shared" ca="1" si="546"/>
        <v>0.26</v>
      </c>
      <c r="Y1155">
        <f t="shared" ca="1" si="547"/>
        <v>4.9056603773584909E-2</v>
      </c>
      <c r="Z1155">
        <f t="shared" ca="1" si="548"/>
        <v>196.15384615384616</v>
      </c>
      <c r="AA1155">
        <f t="shared" ca="1" si="549"/>
        <v>632.10949999999991</v>
      </c>
      <c r="AB1155">
        <f t="shared" ca="1" si="550"/>
        <v>2593.1865316486619</v>
      </c>
      <c r="AC1155">
        <f t="shared" ca="1" si="551"/>
        <v>482.07306851378365</v>
      </c>
      <c r="AD1155">
        <f t="shared" ca="1" si="552"/>
        <v>280.07692026646265</v>
      </c>
      <c r="AE1155">
        <f t="shared" ca="1" si="553"/>
        <v>1019.7665564573041</v>
      </c>
      <c r="AF1155">
        <f t="shared" ca="1" si="554"/>
        <v>482.25887083179032</v>
      </c>
      <c r="AG1155">
        <f t="shared" ca="1" si="555"/>
        <v>0</v>
      </c>
      <c r="AH1155">
        <f ca="1">IF(V32="Supercritical",L1155,IF(V32="Subcritical",W1155,IF(AND(V1155=1,AG1155=1),IF(T1155&gt;=AE1155,L1155,W1155),IF(V1155=1,L1155,IF(AG1155=1,W1155,MAX($D$16,POWER((ABS(K1155)^2)/($I$5*MAX(F1155,0.1)^2),1/3)))))))</f>
        <v>2.1403668656741068</v>
      </c>
      <c r="AI1155">
        <f t="shared" ca="1" si="556"/>
        <v>634.19986686567404</v>
      </c>
      <c r="AJ1155">
        <f t="shared" ca="1" si="557"/>
        <v>635.27005029851114</v>
      </c>
      <c r="AM1155">
        <v>0</v>
      </c>
      <c r="AN1155">
        <v>0</v>
      </c>
      <c r="AO1155">
        <f t="shared" si="558"/>
        <v>0</v>
      </c>
      <c r="AP1155">
        <f t="shared" si="567"/>
        <v>0</v>
      </c>
      <c r="AQ1155">
        <f t="shared" ca="1" si="559"/>
        <v>0.99999999999999978</v>
      </c>
      <c r="AR1155" t="str">
        <f t="shared" ca="1" si="560"/>
        <v>Supercritical</v>
      </c>
      <c r="AS1155">
        <f t="shared" ca="1" si="561"/>
        <v>3.8148159832266538E-3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191</v>
      </c>
      <c r="I1156">
        <v>5.7000000000000002E-2</v>
      </c>
      <c r="J1156">
        <f t="shared" si="562"/>
        <v>1</v>
      </c>
      <c r="K1156">
        <f t="shared" si="563"/>
        <v>51</v>
      </c>
      <c r="L1156">
        <f t="shared" ca="1" si="564"/>
        <v>0.05</v>
      </c>
      <c r="M1156">
        <f t="shared" ca="1" si="537"/>
        <v>0.26</v>
      </c>
      <c r="N1156">
        <f t="shared" ca="1" si="538"/>
        <v>4.9056603773584909E-2</v>
      </c>
      <c r="O1156">
        <f t="shared" ca="1" si="539"/>
        <v>196.15384615384616</v>
      </c>
      <c r="P1156">
        <f t="shared" ca="1" si="540"/>
        <v>632.10899999999992</v>
      </c>
      <c r="Q1156">
        <f t="shared" ca="1" si="541"/>
        <v>2593.1860316486618</v>
      </c>
      <c r="R1156">
        <f t="shared" ca="1" si="542"/>
        <v>482.07306851378365</v>
      </c>
      <c r="S1156">
        <f t="shared" ca="1" si="543"/>
        <v>280.07692026646265</v>
      </c>
      <c r="T1156">
        <f t="shared" ca="1" si="544"/>
        <v>1019.7665564573041</v>
      </c>
      <c r="U1156">
        <f t="shared" ca="1" si="565"/>
        <v>-482.25887083179032</v>
      </c>
      <c r="V1156">
        <f t="shared" ca="1" si="566"/>
        <v>0</v>
      </c>
      <c r="W1156">
        <f t="shared" ca="1" si="545"/>
        <v>0.05</v>
      </c>
      <c r="X1156">
        <f t="shared" ca="1" si="546"/>
        <v>0.26</v>
      </c>
      <c r="Y1156">
        <f t="shared" ca="1" si="547"/>
        <v>4.9056603773584909E-2</v>
      </c>
      <c r="Z1156">
        <f t="shared" ca="1" si="548"/>
        <v>196.15384615384616</v>
      </c>
      <c r="AA1156">
        <f t="shared" ca="1" si="549"/>
        <v>632.10899999999992</v>
      </c>
      <c r="AB1156">
        <f t="shared" ca="1" si="550"/>
        <v>2593.1860316486618</v>
      </c>
      <c r="AC1156">
        <f t="shared" ca="1" si="551"/>
        <v>482.07306851378365</v>
      </c>
      <c r="AD1156">
        <f t="shared" ca="1" si="552"/>
        <v>280.07692026646265</v>
      </c>
      <c r="AE1156">
        <f t="shared" ca="1" si="553"/>
        <v>1019.7665564573041</v>
      </c>
      <c r="AF1156">
        <f t="shared" ca="1" si="554"/>
        <v>482.07256851378406</v>
      </c>
      <c r="AG1156">
        <f t="shared" ca="1" si="555"/>
        <v>0</v>
      </c>
      <c r="AH1156">
        <f ca="1">IF(V32="Supercritical",L1156,IF(V32="Subcritical",W1156,IF(AND(V1156=1,AG1156=1),IF(T1156&gt;=AE1156,L1156,W1156),IF(V1156=1,L1156,IF(AG1156=1,W1156,MAX($D$16,POWER((ABS(K1156)^2)/($I$5*MAX(F1156,0.1)^2),1/3)))))))</f>
        <v>2.1403668656741068</v>
      </c>
      <c r="AI1156">
        <f t="shared" ca="1" si="556"/>
        <v>634.19936686567405</v>
      </c>
      <c r="AJ1156">
        <f t="shared" ca="1" si="557"/>
        <v>635.26955029851115</v>
      </c>
      <c r="AM1156">
        <v>0</v>
      </c>
      <c r="AN1156">
        <v>0</v>
      </c>
      <c r="AO1156">
        <f t="shared" si="558"/>
        <v>0</v>
      </c>
      <c r="AP1156">
        <f t="shared" si="567"/>
        <v>0</v>
      </c>
      <c r="AQ1156">
        <f t="shared" ca="1" si="559"/>
        <v>0.99999999999999978</v>
      </c>
      <c r="AR1156" t="str">
        <f t="shared" ca="1" si="560"/>
        <v>Supercritical</v>
      </c>
      <c r="AS1156">
        <f t="shared" ca="1" si="561"/>
        <v>3.8148159832266538E-3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191</v>
      </c>
      <c r="I1157">
        <v>0</v>
      </c>
      <c r="J1157">
        <f t="shared" si="562"/>
        <v>1</v>
      </c>
      <c r="K1157">
        <f t="shared" si="563"/>
        <v>51</v>
      </c>
      <c r="L1157">
        <f t="shared" ca="1" si="564"/>
        <v>0.05</v>
      </c>
      <c r="M1157">
        <f t="shared" ca="1" si="537"/>
        <v>0.26</v>
      </c>
      <c r="N1157">
        <f t="shared" ca="1" si="538"/>
        <v>4.9056603773584909E-2</v>
      </c>
      <c r="O1157">
        <f t="shared" ca="1" si="539"/>
        <v>196.15384615384616</v>
      </c>
      <c r="P1157">
        <f t="shared" ca="1" si="540"/>
        <v>632.10849999999994</v>
      </c>
      <c r="Q1157">
        <f t="shared" ca="1" si="541"/>
        <v>2593.1855316486622</v>
      </c>
      <c r="R1157">
        <f t="shared" ca="1" si="542"/>
        <v>482.07306851378365</v>
      </c>
      <c r="S1157">
        <f t="shared" ca="1" si="543"/>
        <v>280.07692026646265</v>
      </c>
      <c r="T1157">
        <f t="shared" ca="1" si="544"/>
        <v>1019.7665564573041</v>
      </c>
      <c r="U1157">
        <f t="shared" ca="1" si="565"/>
        <v>-482.07256851378406</v>
      </c>
      <c r="V1157">
        <f t="shared" ca="1" si="566"/>
        <v>0</v>
      </c>
      <c r="W1157">
        <f t="shared" ca="1" si="545"/>
        <v>0.05</v>
      </c>
      <c r="X1157">
        <f t="shared" ca="1" si="546"/>
        <v>0.26</v>
      </c>
      <c r="Y1157">
        <f t="shared" ca="1" si="547"/>
        <v>4.9056603773584909E-2</v>
      </c>
      <c r="Z1157">
        <f t="shared" ca="1" si="548"/>
        <v>196.15384615384616</v>
      </c>
      <c r="AA1157">
        <f t="shared" ca="1" si="549"/>
        <v>632.10849999999994</v>
      </c>
      <c r="AB1157">
        <f t="shared" ca="1" si="550"/>
        <v>2593.1855316486622</v>
      </c>
      <c r="AC1157">
        <f t="shared" ca="1" si="551"/>
        <v>482.07306851378365</v>
      </c>
      <c r="AD1157">
        <f t="shared" ca="1" si="552"/>
        <v>280.07692026646265</v>
      </c>
      <c r="AE1157">
        <f t="shared" ca="1" si="553"/>
        <v>1019.7665564573041</v>
      </c>
      <c r="AF1157">
        <f t="shared" ca="1" si="554"/>
        <v>482.07256851378361</v>
      </c>
      <c r="AG1157">
        <f t="shared" ca="1" si="555"/>
        <v>0</v>
      </c>
      <c r="AH1157">
        <f ca="1">IF(V32="Supercritical",L1157,IF(V32="Subcritical",W1157,IF(AND(V1157=1,AG1157=1),IF(T1157&gt;=AE1157,L1157,W1157),IF(V1157=1,L1157,IF(AG1157=1,W1157,MAX($D$16,POWER((ABS(K1157)^2)/($I$5*MAX(F1157,0.1)^2),1/3)))))))</f>
        <v>2.1403668656741068</v>
      </c>
      <c r="AI1157">
        <f t="shared" ca="1" si="556"/>
        <v>634.19886686567406</v>
      </c>
      <c r="AJ1157">
        <f t="shared" ca="1" si="557"/>
        <v>635.26905029851116</v>
      </c>
      <c r="AM1157">
        <v>0</v>
      </c>
      <c r="AN1157">
        <v>0</v>
      </c>
      <c r="AO1157">
        <f t="shared" si="558"/>
        <v>0</v>
      </c>
      <c r="AP1157">
        <f t="shared" si="567"/>
        <v>0</v>
      </c>
      <c r="AQ1157">
        <f t="shared" ca="1" si="559"/>
        <v>0.99999999999999978</v>
      </c>
      <c r="AR1157" t="str">
        <f t="shared" ca="1" si="560"/>
        <v>Supercritical</v>
      </c>
      <c r="AS1157">
        <f t="shared" ca="1" si="561"/>
        <v>3.8148159832266538E-3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191</v>
      </c>
      <c r="I1158">
        <v>0</v>
      </c>
      <c r="J1158">
        <f t="shared" si="562"/>
        <v>1</v>
      </c>
      <c r="K1158">
        <f t="shared" si="563"/>
        <v>51</v>
      </c>
      <c r="L1158">
        <f t="shared" ca="1" si="564"/>
        <v>0.05</v>
      </c>
      <c r="M1158">
        <f t="shared" ca="1" si="537"/>
        <v>0.26</v>
      </c>
      <c r="N1158">
        <f t="shared" ca="1" si="538"/>
        <v>4.9056603773584909E-2</v>
      </c>
      <c r="O1158">
        <f t="shared" ca="1" si="539"/>
        <v>196.15384615384616</v>
      </c>
      <c r="P1158">
        <f t="shared" ca="1" si="540"/>
        <v>632.10799999999995</v>
      </c>
      <c r="Q1158">
        <f t="shared" ca="1" si="541"/>
        <v>2593.1850316486621</v>
      </c>
      <c r="R1158">
        <f t="shared" ca="1" si="542"/>
        <v>482.07306851378365</v>
      </c>
      <c r="S1158">
        <f t="shared" ca="1" si="543"/>
        <v>280.07692026646265</v>
      </c>
      <c r="T1158">
        <f t="shared" ca="1" si="544"/>
        <v>1019.7665564573041</v>
      </c>
      <c r="U1158">
        <f t="shared" ca="1" si="565"/>
        <v>-482.07256851378361</v>
      </c>
      <c r="V1158">
        <f t="shared" ca="1" si="566"/>
        <v>0</v>
      </c>
      <c r="W1158">
        <f t="shared" ca="1" si="545"/>
        <v>0.05</v>
      </c>
      <c r="X1158">
        <f t="shared" ca="1" si="546"/>
        <v>0.26</v>
      </c>
      <c r="Y1158">
        <f t="shared" ca="1" si="547"/>
        <v>4.9056603773584909E-2</v>
      </c>
      <c r="Z1158">
        <f t="shared" ca="1" si="548"/>
        <v>196.15384615384616</v>
      </c>
      <c r="AA1158">
        <f t="shared" ca="1" si="549"/>
        <v>632.10799999999995</v>
      </c>
      <c r="AB1158">
        <f t="shared" ca="1" si="550"/>
        <v>2593.1850316486621</v>
      </c>
      <c r="AC1158">
        <f t="shared" ca="1" si="551"/>
        <v>482.07306851378365</v>
      </c>
      <c r="AD1158">
        <f t="shared" ca="1" si="552"/>
        <v>280.07692026646265</v>
      </c>
      <c r="AE1158">
        <f t="shared" ca="1" si="553"/>
        <v>1019.7665564573041</v>
      </c>
      <c r="AF1158">
        <f t="shared" ca="1" si="554"/>
        <v>482.25887083179032</v>
      </c>
      <c r="AG1158">
        <f t="shared" ca="1" si="555"/>
        <v>0</v>
      </c>
      <c r="AH1158">
        <f ca="1">IF(V32="Supercritical",L1158,IF(V32="Subcritical",W1158,IF(AND(V1158=1,AG1158=1),IF(T1158&gt;=AE1158,L1158,W1158),IF(V1158=1,L1158,IF(AG1158=1,W1158,MAX($D$16,POWER((ABS(K1158)^2)/($I$5*MAX(F1158,0.1)^2),1/3)))))))</f>
        <v>2.1403668656741068</v>
      </c>
      <c r="AI1158">
        <f t="shared" ca="1" si="556"/>
        <v>634.19836686567407</v>
      </c>
      <c r="AJ1158">
        <f t="shared" ca="1" si="557"/>
        <v>635.26855029851117</v>
      </c>
      <c r="AM1158">
        <v>0</v>
      </c>
      <c r="AN1158">
        <v>0</v>
      </c>
      <c r="AO1158">
        <f t="shared" si="558"/>
        <v>0</v>
      </c>
      <c r="AP1158">
        <f t="shared" si="567"/>
        <v>0</v>
      </c>
      <c r="AQ1158">
        <f t="shared" ca="1" si="559"/>
        <v>0.99999999999999978</v>
      </c>
      <c r="AR1158" t="str">
        <f t="shared" ca="1" si="560"/>
        <v>Supercritical</v>
      </c>
      <c r="AS1158">
        <f t="shared" ca="1" si="561"/>
        <v>3.8148159832266538E-3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191</v>
      </c>
      <c r="I1159">
        <v>5.7000000000000002E-2</v>
      </c>
      <c r="J1159">
        <f t="shared" si="562"/>
        <v>1</v>
      </c>
      <c r="K1159">
        <f t="shared" si="563"/>
        <v>51</v>
      </c>
      <c r="L1159">
        <f t="shared" ca="1" si="564"/>
        <v>0.05</v>
      </c>
      <c r="M1159">
        <f t="shared" ca="1" si="537"/>
        <v>0.26</v>
      </c>
      <c r="N1159">
        <f t="shared" ca="1" si="538"/>
        <v>4.9056603773584909E-2</v>
      </c>
      <c r="O1159">
        <f t="shared" ca="1" si="539"/>
        <v>196.15384615384616</v>
      </c>
      <c r="P1159">
        <f t="shared" ca="1" si="540"/>
        <v>632.10749999999996</v>
      </c>
      <c r="Q1159">
        <f t="shared" ca="1" si="541"/>
        <v>2593.184531648662</v>
      </c>
      <c r="R1159">
        <f t="shared" ca="1" si="542"/>
        <v>482.07306851378365</v>
      </c>
      <c r="S1159">
        <f t="shared" ca="1" si="543"/>
        <v>280.07692026646265</v>
      </c>
      <c r="T1159">
        <f t="shared" ca="1" si="544"/>
        <v>1019.7665564573041</v>
      </c>
      <c r="U1159">
        <f t="shared" ca="1" si="565"/>
        <v>-482.25887083179032</v>
      </c>
      <c r="V1159">
        <f t="shared" ca="1" si="566"/>
        <v>0</v>
      </c>
      <c r="W1159">
        <f t="shared" ca="1" si="545"/>
        <v>0.05</v>
      </c>
      <c r="X1159">
        <f t="shared" ca="1" si="546"/>
        <v>0.26</v>
      </c>
      <c r="Y1159">
        <f t="shared" ca="1" si="547"/>
        <v>4.9056603773584909E-2</v>
      </c>
      <c r="Z1159">
        <f t="shared" ca="1" si="548"/>
        <v>196.15384615384616</v>
      </c>
      <c r="AA1159">
        <f t="shared" ca="1" si="549"/>
        <v>632.10749999999996</v>
      </c>
      <c r="AB1159">
        <f t="shared" ca="1" si="550"/>
        <v>2593.184531648662</v>
      </c>
      <c r="AC1159">
        <f t="shared" ca="1" si="551"/>
        <v>482.07306851378365</v>
      </c>
      <c r="AD1159">
        <f t="shared" ca="1" si="552"/>
        <v>280.07692026646265</v>
      </c>
      <c r="AE1159">
        <f t="shared" ca="1" si="553"/>
        <v>1019.7665564573041</v>
      </c>
      <c r="AF1159">
        <f t="shared" ca="1" si="554"/>
        <v>482.25887083179077</v>
      </c>
      <c r="AG1159">
        <f t="shared" ca="1" si="555"/>
        <v>0</v>
      </c>
      <c r="AH1159">
        <f ca="1">IF(V32="Supercritical",L1159,IF(V32="Subcritical",W1159,IF(AND(V1159=1,AG1159=1),IF(T1159&gt;=AE1159,L1159,W1159),IF(V1159=1,L1159,IF(AG1159=1,W1159,MAX($D$16,POWER((ABS(K1159)^2)/($I$5*MAX(F1159,0.1)^2),1/3)))))))</f>
        <v>2.1403668656741068</v>
      </c>
      <c r="AI1159">
        <f t="shared" ca="1" si="556"/>
        <v>634.19786686567409</v>
      </c>
      <c r="AJ1159">
        <f t="shared" ca="1" si="557"/>
        <v>635.26805029851118</v>
      </c>
      <c r="AM1159">
        <v>0</v>
      </c>
      <c r="AN1159">
        <v>0</v>
      </c>
      <c r="AO1159">
        <f t="shared" si="558"/>
        <v>0</v>
      </c>
      <c r="AP1159">
        <f t="shared" si="567"/>
        <v>0</v>
      </c>
      <c r="AQ1159">
        <f t="shared" ca="1" si="559"/>
        <v>0.99999999999999978</v>
      </c>
      <c r="AR1159" t="str">
        <f t="shared" ca="1" si="560"/>
        <v>Supercritical</v>
      </c>
      <c r="AS1159">
        <f t="shared" ca="1" si="561"/>
        <v>3.8148159832266538E-3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191</v>
      </c>
      <c r="I1160">
        <v>5.7000000000000002E-2</v>
      </c>
      <c r="J1160">
        <f t="shared" si="562"/>
        <v>1</v>
      </c>
      <c r="K1160">
        <f t="shared" si="563"/>
        <v>51</v>
      </c>
      <c r="L1160">
        <f t="shared" ca="1" si="564"/>
        <v>0.05</v>
      </c>
      <c r="M1160">
        <f t="shared" ca="1" si="537"/>
        <v>0.26</v>
      </c>
      <c r="N1160">
        <f t="shared" ca="1" si="538"/>
        <v>4.9056603773584909E-2</v>
      </c>
      <c r="O1160">
        <f t="shared" ca="1" si="539"/>
        <v>196.15384615384616</v>
      </c>
      <c r="P1160">
        <f t="shared" ca="1" si="540"/>
        <v>632.10699999999997</v>
      </c>
      <c r="Q1160">
        <f t="shared" ca="1" si="541"/>
        <v>2593.1840316486623</v>
      </c>
      <c r="R1160">
        <f t="shared" ca="1" si="542"/>
        <v>482.07306851378365</v>
      </c>
      <c r="S1160">
        <f t="shared" ca="1" si="543"/>
        <v>280.07692026646265</v>
      </c>
      <c r="T1160">
        <f t="shared" ca="1" si="544"/>
        <v>1019.7665564573041</v>
      </c>
      <c r="U1160">
        <f t="shared" ca="1" si="565"/>
        <v>-482.25887083179077</v>
      </c>
      <c r="V1160">
        <f t="shared" ca="1" si="566"/>
        <v>0</v>
      </c>
      <c r="W1160">
        <f t="shared" ca="1" si="545"/>
        <v>0.05</v>
      </c>
      <c r="X1160">
        <f t="shared" ca="1" si="546"/>
        <v>0.26</v>
      </c>
      <c r="Y1160">
        <f t="shared" ca="1" si="547"/>
        <v>4.9056603773584909E-2</v>
      </c>
      <c r="Z1160">
        <f t="shared" ca="1" si="548"/>
        <v>196.15384615384616</v>
      </c>
      <c r="AA1160">
        <f t="shared" ca="1" si="549"/>
        <v>632.10699999999997</v>
      </c>
      <c r="AB1160">
        <f t="shared" ca="1" si="550"/>
        <v>2593.1840316486623</v>
      </c>
      <c r="AC1160">
        <f t="shared" ca="1" si="551"/>
        <v>482.07306851378365</v>
      </c>
      <c r="AD1160">
        <f t="shared" ca="1" si="552"/>
        <v>280.07692026646265</v>
      </c>
      <c r="AE1160">
        <f t="shared" ca="1" si="553"/>
        <v>1019.7665564573041</v>
      </c>
      <c r="AF1160">
        <f t="shared" ca="1" si="554"/>
        <v>482.07910543722255</v>
      </c>
      <c r="AG1160">
        <f t="shared" ca="1" si="555"/>
        <v>0</v>
      </c>
      <c r="AH1160">
        <f ca="1">IF(V32="Supercritical",L1160,IF(V32="Subcritical",W1160,IF(AND(V1160=1,AG1160=1),IF(T1160&gt;=AE1160,L1160,W1160),IF(V1160=1,L1160,IF(AG1160=1,W1160,MAX($D$16,POWER((ABS(K1160)^2)/($I$5*MAX(F1160,0.1)^2),1/3)))))))</f>
        <v>2.1403668656741068</v>
      </c>
      <c r="AI1160">
        <f t="shared" ca="1" si="556"/>
        <v>634.1973668656741</v>
      </c>
      <c r="AJ1160">
        <f t="shared" ca="1" si="557"/>
        <v>635.2675502985112</v>
      </c>
      <c r="AM1160">
        <v>0</v>
      </c>
      <c r="AN1160">
        <v>0</v>
      </c>
      <c r="AO1160">
        <f t="shared" si="558"/>
        <v>0</v>
      </c>
      <c r="AP1160">
        <f t="shared" si="567"/>
        <v>0</v>
      </c>
      <c r="AQ1160">
        <f t="shared" ca="1" si="559"/>
        <v>0.99999999999999978</v>
      </c>
      <c r="AR1160" t="str">
        <f t="shared" ca="1" si="560"/>
        <v>Supercritical</v>
      </c>
      <c r="AS1160">
        <f t="shared" ca="1" si="561"/>
        <v>3.8148159832266538E-3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191</v>
      </c>
      <c r="I1161">
        <v>2E-3</v>
      </c>
      <c r="J1161">
        <f t="shared" si="562"/>
        <v>1</v>
      </c>
      <c r="K1161">
        <f t="shared" si="563"/>
        <v>51</v>
      </c>
      <c r="L1161">
        <f t="shared" ca="1" si="564"/>
        <v>0.05</v>
      </c>
      <c r="M1161">
        <f t="shared" ca="1" si="537"/>
        <v>0.26</v>
      </c>
      <c r="N1161">
        <f t="shared" ca="1" si="538"/>
        <v>4.9056603773584909E-2</v>
      </c>
      <c r="O1161">
        <f t="shared" ca="1" si="539"/>
        <v>196.15384615384616</v>
      </c>
      <c r="P1161">
        <f t="shared" ca="1" si="540"/>
        <v>632.10649999999998</v>
      </c>
      <c r="Q1161">
        <f t="shared" ca="1" si="541"/>
        <v>2593.1835316486622</v>
      </c>
      <c r="R1161">
        <f t="shared" ca="1" si="542"/>
        <v>482.07306851378365</v>
      </c>
      <c r="S1161">
        <f t="shared" ca="1" si="543"/>
        <v>280.07692026646265</v>
      </c>
      <c r="T1161">
        <f t="shared" ca="1" si="544"/>
        <v>1019.7665564573041</v>
      </c>
      <c r="U1161">
        <f t="shared" ca="1" si="565"/>
        <v>-482.07910543722255</v>
      </c>
      <c r="V1161">
        <f t="shared" ca="1" si="566"/>
        <v>0</v>
      </c>
      <c r="W1161">
        <f t="shared" ca="1" si="545"/>
        <v>0.05</v>
      </c>
      <c r="X1161">
        <f t="shared" ca="1" si="546"/>
        <v>0.26</v>
      </c>
      <c r="Y1161">
        <f t="shared" ca="1" si="547"/>
        <v>4.9056603773584909E-2</v>
      </c>
      <c r="Z1161">
        <f t="shared" ca="1" si="548"/>
        <v>196.15384615384616</v>
      </c>
      <c r="AA1161">
        <f t="shared" ca="1" si="549"/>
        <v>632.10649999999998</v>
      </c>
      <c r="AB1161">
        <f t="shared" ca="1" si="550"/>
        <v>2593.1835316486622</v>
      </c>
      <c r="AC1161">
        <f t="shared" ca="1" si="551"/>
        <v>482.07306851378365</v>
      </c>
      <c r="AD1161">
        <f t="shared" ca="1" si="552"/>
        <v>280.07692026646265</v>
      </c>
      <c r="AE1161">
        <f t="shared" ca="1" si="553"/>
        <v>1019.7665564573041</v>
      </c>
      <c r="AF1161">
        <f t="shared" ca="1" si="554"/>
        <v>482.56117850572491</v>
      </c>
      <c r="AG1161">
        <f t="shared" ca="1" si="555"/>
        <v>0</v>
      </c>
      <c r="AH1161">
        <f ca="1">IF(V32="Supercritical",L1161,IF(V32="Subcritical",W1161,IF(AND(V1161=1,AG1161=1),IF(T1161&gt;=AE1161,L1161,W1161),IF(V1161=1,L1161,IF(AG1161=1,W1161,MAX($D$16,POWER((ABS(K1161)^2)/($I$5*MAX(F1161,0.1)^2),1/3)))))))</f>
        <v>2.1403668656741068</v>
      </c>
      <c r="AI1161">
        <f t="shared" ca="1" si="556"/>
        <v>634.19686686567411</v>
      </c>
      <c r="AJ1161">
        <f t="shared" ca="1" si="557"/>
        <v>635.26705029851121</v>
      </c>
      <c r="AM1161">
        <v>0</v>
      </c>
      <c r="AN1161">
        <v>0</v>
      </c>
      <c r="AO1161">
        <f t="shared" si="558"/>
        <v>0</v>
      </c>
      <c r="AP1161">
        <f t="shared" si="567"/>
        <v>0</v>
      </c>
      <c r="AQ1161">
        <f t="shared" ca="1" si="559"/>
        <v>0.99999999999999978</v>
      </c>
      <c r="AR1161" t="str">
        <f t="shared" ca="1" si="560"/>
        <v>Supercritical</v>
      </c>
      <c r="AS1161">
        <f t="shared" ca="1" si="561"/>
        <v>3.8148159832266538E-3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191</v>
      </c>
      <c r="I1162">
        <v>2E-3</v>
      </c>
      <c r="J1162">
        <f t="shared" si="562"/>
        <v>1.0009999999999764</v>
      </c>
      <c r="K1162">
        <f t="shared" si="563"/>
        <v>51</v>
      </c>
      <c r="L1162">
        <f t="shared" ca="1" si="564"/>
        <v>0.05</v>
      </c>
      <c r="M1162">
        <f t="shared" ca="1" si="537"/>
        <v>0.26</v>
      </c>
      <c r="N1162">
        <f t="shared" ca="1" si="538"/>
        <v>4.9056603773584909E-2</v>
      </c>
      <c r="O1162">
        <f t="shared" ca="1" si="539"/>
        <v>196.15384615384616</v>
      </c>
      <c r="P1162">
        <f t="shared" ca="1" si="540"/>
        <v>632.10599999999999</v>
      </c>
      <c r="Q1162">
        <f t="shared" ca="1" si="541"/>
        <v>2593.1830316486621</v>
      </c>
      <c r="R1162">
        <f t="shared" ca="1" si="542"/>
        <v>482.07306851378365</v>
      </c>
      <c r="S1162">
        <f t="shared" ca="1" si="543"/>
        <v>280.07692026646265</v>
      </c>
      <c r="T1162">
        <f t="shared" ca="1" si="544"/>
        <v>1019.7665564573041</v>
      </c>
      <c r="U1162">
        <f t="shared" ca="1" si="565"/>
        <v>-482.56117850572491</v>
      </c>
      <c r="V1162">
        <f t="shared" ca="1" si="566"/>
        <v>0</v>
      </c>
      <c r="W1162">
        <f t="shared" ca="1" si="545"/>
        <v>0.05</v>
      </c>
      <c r="X1162">
        <f t="shared" ca="1" si="546"/>
        <v>0.26</v>
      </c>
      <c r="Y1162">
        <f t="shared" ca="1" si="547"/>
        <v>4.9056603773584909E-2</v>
      </c>
      <c r="Z1162">
        <f t="shared" ca="1" si="548"/>
        <v>196.15384615384616</v>
      </c>
      <c r="AA1162">
        <f t="shared" ca="1" si="549"/>
        <v>632.10599999999999</v>
      </c>
      <c r="AB1162">
        <f t="shared" ca="1" si="550"/>
        <v>2593.1830316486621</v>
      </c>
      <c r="AC1162">
        <f t="shared" ca="1" si="551"/>
        <v>482.07306851378365</v>
      </c>
      <c r="AD1162">
        <f t="shared" ca="1" si="552"/>
        <v>280.07692026646265</v>
      </c>
      <c r="AE1162">
        <f t="shared" ca="1" si="553"/>
        <v>1019.7665564573041</v>
      </c>
      <c r="AF1162">
        <f t="shared" ca="1" si="554"/>
        <v>482.25887083179032</v>
      </c>
      <c r="AG1162">
        <f t="shared" ca="1" si="555"/>
        <v>0</v>
      </c>
      <c r="AH1162">
        <f ca="1">IF(V32="Supercritical",L1162,IF(V32="Subcritical",W1162,IF(AND(V1162=1,AG1162=1),IF(T1162&gt;=AE1162,L1162,W1162),IF(V1162=1,L1162,IF(AG1162=1,W1162,MAX($D$16,POWER((ABS(K1162)^2)/($I$5*MAX(F1162,0.1)^2),1/3)))))))</f>
        <v>2.1403668656741068</v>
      </c>
      <c r="AI1162">
        <f t="shared" ca="1" si="556"/>
        <v>634.19636686567412</v>
      </c>
      <c r="AJ1162">
        <f t="shared" ca="1" si="557"/>
        <v>635.26655029851122</v>
      </c>
      <c r="AM1162">
        <v>0</v>
      </c>
      <c r="AN1162">
        <v>0</v>
      </c>
      <c r="AO1162">
        <f t="shared" si="558"/>
        <v>0</v>
      </c>
      <c r="AP1162">
        <f t="shared" si="567"/>
        <v>0</v>
      </c>
      <c r="AQ1162">
        <f t="shared" ca="1" si="559"/>
        <v>0.99999999999999978</v>
      </c>
      <c r="AR1162" t="str">
        <f t="shared" ca="1" si="560"/>
        <v>Supercritical</v>
      </c>
      <c r="AS1162">
        <f t="shared" ca="1" si="561"/>
        <v>3.8148159832266538E-3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191</v>
      </c>
      <c r="I1163">
        <v>5.7000000000000002E-2</v>
      </c>
      <c r="J1163">
        <f t="shared" si="562"/>
        <v>1</v>
      </c>
      <c r="K1163">
        <f t="shared" si="563"/>
        <v>51</v>
      </c>
      <c r="L1163">
        <f t="shared" ca="1" si="564"/>
        <v>0.05</v>
      </c>
      <c r="M1163">
        <f t="shared" ca="1" si="537"/>
        <v>0.26</v>
      </c>
      <c r="N1163">
        <f t="shared" ca="1" si="538"/>
        <v>4.9056603773584909E-2</v>
      </c>
      <c r="O1163">
        <f t="shared" ca="1" si="539"/>
        <v>196.15384615384616</v>
      </c>
      <c r="P1163">
        <f t="shared" ca="1" si="540"/>
        <v>632.10550000000001</v>
      </c>
      <c r="Q1163">
        <f t="shared" ca="1" si="541"/>
        <v>2593.182531648662</v>
      </c>
      <c r="R1163">
        <f t="shared" ca="1" si="542"/>
        <v>482.07306851378365</v>
      </c>
      <c r="S1163">
        <f t="shared" ca="1" si="543"/>
        <v>280.07692026646265</v>
      </c>
      <c r="T1163">
        <f t="shared" ca="1" si="544"/>
        <v>1019.7665564573041</v>
      </c>
      <c r="U1163">
        <f t="shared" ca="1" si="565"/>
        <v>-482.25887083179032</v>
      </c>
      <c r="V1163">
        <f t="shared" ca="1" si="566"/>
        <v>0</v>
      </c>
      <c r="W1163">
        <f t="shared" ca="1" si="545"/>
        <v>0.05</v>
      </c>
      <c r="X1163">
        <f t="shared" ca="1" si="546"/>
        <v>0.26</v>
      </c>
      <c r="Y1163">
        <f t="shared" ca="1" si="547"/>
        <v>4.9056603773584909E-2</v>
      </c>
      <c r="Z1163">
        <f t="shared" ca="1" si="548"/>
        <v>196.15384615384616</v>
      </c>
      <c r="AA1163">
        <f t="shared" ca="1" si="549"/>
        <v>632.10550000000001</v>
      </c>
      <c r="AB1163">
        <f t="shared" ca="1" si="550"/>
        <v>2593.182531648662</v>
      </c>
      <c r="AC1163">
        <f t="shared" ca="1" si="551"/>
        <v>482.07306851378365</v>
      </c>
      <c r="AD1163">
        <f t="shared" ca="1" si="552"/>
        <v>280.07692026646265</v>
      </c>
      <c r="AE1163">
        <f t="shared" ca="1" si="553"/>
        <v>1019.7665564573041</v>
      </c>
      <c r="AF1163">
        <f t="shared" ca="1" si="554"/>
        <v>482.25887083179032</v>
      </c>
      <c r="AG1163">
        <f t="shared" ca="1" si="555"/>
        <v>0</v>
      </c>
      <c r="AH1163">
        <f ca="1">IF(V32="Supercritical",L1163,IF(V32="Subcritical",W1163,IF(AND(V1163=1,AG1163=1),IF(T1163&gt;=AE1163,L1163,W1163),IF(V1163=1,L1163,IF(AG1163=1,W1163,MAX($D$16,POWER((ABS(K1163)^2)/($I$5*MAX(F1163,0.1)^2),1/3)))))))</f>
        <v>2.1403668656741068</v>
      </c>
      <c r="AI1163">
        <f t="shared" ca="1" si="556"/>
        <v>634.19586686567413</v>
      </c>
      <c r="AJ1163">
        <f t="shared" ca="1" si="557"/>
        <v>635.26605029851123</v>
      </c>
      <c r="AM1163">
        <v>0</v>
      </c>
      <c r="AN1163">
        <v>0</v>
      </c>
      <c r="AO1163">
        <f t="shared" si="558"/>
        <v>0</v>
      </c>
      <c r="AP1163">
        <f t="shared" si="567"/>
        <v>0</v>
      </c>
      <c r="AQ1163">
        <f t="shared" ca="1" si="559"/>
        <v>0.99999999999999978</v>
      </c>
      <c r="AR1163" t="str">
        <f t="shared" ca="1" si="560"/>
        <v>Supercritical</v>
      </c>
      <c r="AS1163">
        <f t="shared" ca="1" si="561"/>
        <v>3.8148159832266538E-3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191</v>
      </c>
      <c r="I1164">
        <v>5.7000000000000002E-2</v>
      </c>
      <c r="J1164">
        <f t="shared" si="562"/>
        <v>1</v>
      </c>
      <c r="K1164">
        <f t="shared" si="563"/>
        <v>51</v>
      </c>
      <c r="L1164">
        <f t="shared" ca="1" si="564"/>
        <v>0.05</v>
      </c>
      <c r="M1164">
        <f t="shared" ca="1" si="537"/>
        <v>0.26</v>
      </c>
      <c r="N1164">
        <f t="shared" ca="1" si="538"/>
        <v>4.9056603773584909E-2</v>
      </c>
      <c r="O1164">
        <f t="shared" ca="1" si="539"/>
        <v>196.15384615384616</v>
      </c>
      <c r="P1164">
        <f t="shared" ca="1" si="540"/>
        <v>632.1049999999999</v>
      </c>
      <c r="Q1164">
        <f t="shared" ca="1" si="541"/>
        <v>2593.1820316486619</v>
      </c>
      <c r="R1164">
        <f t="shared" ca="1" si="542"/>
        <v>482.07306851378365</v>
      </c>
      <c r="S1164">
        <f t="shared" ca="1" si="543"/>
        <v>280.07692026646265</v>
      </c>
      <c r="T1164">
        <f t="shared" ca="1" si="544"/>
        <v>1019.7665564573041</v>
      </c>
      <c r="U1164">
        <f t="shared" ca="1" si="565"/>
        <v>-482.25887083179032</v>
      </c>
      <c r="V1164">
        <f t="shared" ca="1" si="566"/>
        <v>0</v>
      </c>
      <c r="W1164">
        <f t="shared" ca="1" si="545"/>
        <v>0.05</v>
      </c>
      <c r="X1164">
        <f t="shared" ca="1" si="546"/>
        <v>0.26</v>
      </c>
      <c r="Y1164">
        <f t="shared" ca="1" si="547"/>
        <v>4.9056603773584909E-2</v>
      </c>
      <c r="Z1164">
        <f t="shared" ca="1" si="548"/>
        <v>196.15384615384616</v>
      </c>
      <c r="AA1164">
        <f t="shared" ca="1" si="549"/>
        <v>632.1049999999999</v>
      </c>
      <c r="AB1164">
        <f t="shared" ca="1" si="550"/>
        <v>2593.1820316486619</v>
      </c>
      <c r="AC1164">
        <f t="shared" ca="1" si="551"/>
        <v>482.07306851378365</v>
      </c>
      <c r="AD1164">
        <f t="shared" ca="1" si="552"/>
        <v>280.07692026646265</v>
      </c>
      <c r="AE1164">
        <f t="shared" ca="1" si="553"/>
        <v>1019.7665564573041</v>
      </c>
      <c r="AF1164">
        <f t="shared" ca="1" si="554"/>
        <v>481.59049544528125</v>
      </c>
      <c r="AG1164">
        <f t="shared" ca="1" si="555"/>
        <v>0</v>
      </c>
      <c r="AH1164">
        <f ca="1">IF(V32="Supercritical",L1164,IF(V32="Subcritical",W1164,IF(AND(V1164=1,AG1164=1),IF(T1164&gt;=AE1164,L1164,W1164),IF(V1164=1,L1164,IF(AG1164=1,W1164,MAX($D$16,POWER((ABS(K1164)^2)/($I$5*MAX(F1164,0.1)^2),1/3)))))))</f>
        <v>2.1403668656741068</v>
      </c>
      <c r="AI1164">
        <f t="shared" ca="1" si="556"/>
        <v>634.19536686567403</v>
      </c>
      <c r="AJ1164">
        <f t="shared" ca="1" si="557"/>
        <v>635.26555029851113</v>
      </c>
      <c r="AM1164">
        <v>0</v>
      </c>
      <c r="AN1164">
        <v>0</v>
      </c>
      <c r="AO1164">
        <f t="shared" si="558"/>
        <v>0</v>
      </c>
      <c r="AP1164">
        <f t="shared" si="567"/>
        <v>0</v>
      </c>
      <c r="AQ1164">
        <f t="shared" ca="1" si="559"/>
        <v>0.99999999999999978</v>
      </c>
      <c r="AR1164" t="str">
        <f t="shared" ca="1" si="560"/>
        <v>Supercritical</v>
      </c>
      <c r="AS1164">
        <f t="shared" ca="1" si="561"/>
        <v>3.8148159832266538E-3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191</v>
      </c>
      <c r="I1165">
        <v>0</v>
      </c>
      <c r="J1165">
        <f t="shared" si="562"/>
        <v>0.99900000000002365</v>
      </c>
      <c r="K1165">
        <f t="shared" si="563"/>
        <v>51</v>
      </c>
      <c r="L1165">
        <f t="shared" ca="1" si="564"/>
        <v>0.05</v>
      </c>
      <c r="M1165">
        <f t="shared" ca="1" si="537"/>
        <v>0.26</v>
      </c>
      <c r="N1165">
        <f t="shared" ca="1" si="538"/>
        <v>4.9056603773584909E-2</v>
      </c>
      <c r="O1165">
        <f t="shared" ca="1" si="539"/>
        <v>196.15384615384616</v>
      </c>
      <c r="P1165">
        <f t="shared" ca="1" si="540"/>
        <v>632.10449999999992</v>
      </c>
      <c r="Q1165">
        <f t="shared" ca="1" si="541"/>
        <v>2593.1815316486618</v>
      </c>
      <c r="R1165">
        <f t="shared" ca="1" si="542"/>
        <v>482.07306851378365</v>
      </c>
      <c r="S1165">
        <f t="shared" ca="1" si="543"/>
        <v>280.07692026646265</v>
      </c>
      <c r="T1165">
        <f t="shared" ca="1" si="544"/>
        <v>1019.7665564573041</v>
      </c>
      <c r="U1165">
        <f t="shared" ca="1" si="565"/>
        <v>-481.59049544528125</v>
      </c>
      <c r="V1165">
        <f t="shared" ca="1" si="566"/>
        <v>0</v>
      </c>
      <c r="W1165">
        <f t="shared" ca="1" si="545"/>
        <v>0.05</v>
      </c>
      <c r="X1165">
        <f t="shared" ca="1" si="546"/>
        <v>0.26</v>
      </c>
      <c r="Y1165">
        <f t="shared" ca="1" si="547"/>
        <v>4.9056603773584909E-2</v>
      </c>
      <c r="Z1165">
        <f t="shared" ca="1" si="548"/>
        <v>196.15384615384616</v>
      </c>
      <c r="AA1165">
        <f t="shared" ca="1" si="549"/>
        <v>632.10449999999992</v>
      </c>
      <c r="AB1165">
        <f t="shared" ca="1" si="550"/>
        <v>2593.1815316486618</v>
      </c>
      <c r="AC1165">
        <f t="shared" ca="1" si="551"/>
        <v>482.07306851378365</v>
      </c>
      <c r="AD1165">
        <f t="shared" ca="1" si="552"/>
        <v>280.07692026646265</v>
      </c>
      <c r="AE1165">
        <f t="shared" ca="1" si="553"/>
        <v>1019.7665564573041</v>
      </c>
      <c r="AF1165">
        <f t="shared" ca="1" si="554"/>
        <v>482.07256851378406</v>
      </c>
      <c r="AG1165">
        <f t="shared" ca="1" si="555"/>
        <v>0</v>
      </c>
      <c r="AH1165">
        <f ca="1">IF(V32="Supercritical",L1165,IF(V32="Subcritical",W1165,IF(AND(V1165=1,AG1165=1),IF(T1165&gt;=AE1165,L1165,W1165),IF(V1165=1,L1165,IF(AG1165=1,W1165,MAX($D$16,POWER((ABS(K1165)^2)/($I$5*MAX(F1165,0.1)^2),1/3)))))))</f>
        <v>2.1403668656741068</v>
      </c>
      <c r="AI1165">
        <f t="shared" ca="1" si="556"/>
        <v>634.19486686567404</v>
      </c>
      <c r="AJ1165">
        <f t="shared" ca="1" si="557"/>
        <v>635.26505029851114</v>
      </c>
      <c r="AM1165">
        <v>0</v>
      </c>
      <c r="AN1165">
        <v>0</v>
      </c>
      <c r="AO1165">
        <f t="shared" si="558"/>
        <v>0</v>
      </c>
      <c r="AP1165">
        <f t="shared" si="567"/>
        <v>0</v>
      </c>
      <c r="AQ1165">
        <f t="shared" ca="1" si="559"/>
        <v>0.99999999999999978</v>
      </c>
      <c r="AR1165" t="str">
        <f t="shared" ca="1" si="560"/>
        <v>Supercritical</v>
      </c>
      <c r="AS1165">
        <f t="shared" ca="1" si="561"/>
        <v>3.8148159832266538E-3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191</v>
      </c>
      <c r="I1166">
        <v>0</v>
      </c>
      <c r="J1166">
        <f t="shared" si="562"/>
        <v>1</v>
      </c>
      <c r="K1166">
        <f t="shared" si="563"/>
        <v>51</v>
      </c>
      <c r="L1166">
        <f t="shared" ca="1" si="564"/>
        <v>0.05</v>
      </c>
      <c r="M1166">
        <f t="shared" ca="1" si="537"/>
        <v>0.26</v>
      </c>
      <c r="N1166">
        <f t="shared" ca="1" si="538"/>
        <v>4.9056603773584909E-2</v>
      </c>
      <c r="O1166">
        <f t="shared" ca="1" si="539"/>
        <v>196.15384615384616</v>
      </c>
      <c r="P1166">
        <f t="shared" ca="1" si="540"/>
        <v>632.10399999999993</v>
      </c>
      <c r="Q1166">
        <f t="shared" ca="1" si="541"/>
        <v>2593.1810316486622</v>
      </c>
      <c r="R1166">
        <f t="shared" ca="1" si="542"/>
        <v>482.07306851378365</v>
      </c>
      <c r="S1166">
        <f t="shared" ca="1" si="543"/>
        <v>280.07692026646265</v>
      </c>
      <c r="T1166">
        <f t="shared" ca="1" si="544"/>
        <v>1019.7665564573041</v>
      </c>
      <c r="U1166">
        <f t="shared" ca="1" si="565"/>
        <v>-482.07256851378406</v>
      </c>
      <c r="V1166">
        <f t="shared" ca="1" si="566"/>
        <v>0</v>
      </c>
      <c r="W1166">
        <f t="shared" ca="1" si="545"/>
        <v>0.05</v>
      </c>
      <c r="X1166">
        <f t="shared" ca="1" si="546"/>
        <v>0.26</v>
      </c>
      <c r="Y1166">
        <f t="shared" ca="1" si="547"/>
        <v>4.9056603773584909E-2</v>
      </c>
      <c r="Z1166">
        <f t="shared" ca="1" si="548"/>
        <v>196.15384615384616</v>
      </c>
      <c r="AA1166">
        <f t="shared" ca="1" si="549"/>
        <v>632.10399999999993</v>
      </c>
      <c r="AB1166">
        <f t="shared" ca="1" si="550"/>
        <v>2593.1810316486622</v>
      </c>
      <c r="AC1166">
        <f t="shared" ca="1" si="551"/>
        <v>482.07306851378365</v>
      </c>
      <c r="AD1166">
        <f t="shared" ca="1" si="552"/>
        <v>280.07692026646265</v>
      </c>
      <c r="AE1166">
        <f t="shared" ca="1" si="553"/>
        <v>1019.7665564573041</v>
      </c>
      <c r="AF1166">
        <f t="shared" ca="1" si="554"/>
        <v>482.25887083179032</v>
      </c>
      <c r="AG1166">
        <f t="shared" ca="1" si="555"/>
        <v>0</v>
      </c>
      <c r="AH1166">
        <f ca="1">IF(V32="Supercritical",L1166,IF(V32="Subcritical",W1166,IF(AND(V1166=1,AG1166=1),IF(T1166&gt;=AE1166,L1166,W1166),IF(V1166=1,L1166,IF(AG1166=1,W1166,MAX($D$16,POWER((ABS(K1166)^2)/($I$5*MAX(F1166,0.1)^2),1/3)))))))</f>
        <v>2.1403668656741068</v>
      </c>
      <c r="AI1166">
        <f t="shared" ca="1" si="556"/>
        <v>634.19436686567406</v>
      </c>
      <c r="AJ1166">
        <f t="shared" ca="1" si="557"/>
        <v>635.26455029851115</v>
      </c>
      <c r="AM1166">
        <v>0</v>
      </c>
      <c r="AN1166">
        <v>0</v>
      </c>
      <c r="AO1166">
        <f t="shared" si="558"/>
        <v>0</v>
      </c>
      <c r="AP1166">
        <f t="shared" si="567"/>
        <v>0</v>
      </c>
      <c r="AQ1166">
        <f t="shared" ca="1" si="559"/>
        <v>0.99999999999999978</v>
      </c>
      <c r="AR1166" t="str">
        <f t="shared" ca="1" si="560"/>
        <v>Supercritical</v>
      </c>
      <c r="AS1166">
        <f t="shared" ca="1" si="561"/>
        <v>3.8148159832266538E-3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191</v>
      </c>
      <c r="I1167">
        <v>5.7000000000000002E-2</v>
      </c>
      <c r="J1167">
        <f t="shared" si="562"/>
        <v>1</v>
      </c>
      <c r="K1167">
        <f t="shared" si="563"/>
        <v>51</v>
      </c>
      <c r="L1167">
        <f t="shared" ca="1" si="564"/>
        <v>0.05</v>
      </c>
      <c r="M1167">
        <f t="shared" ca="1" si="537"/>
        <v>0.26</v>
      </c>
      <c r="N1167">
        <f t="shared" ca="1" si="538"/>
        <v>4.9056603773584909E-2</v>
      </c>
      <c r="O1167">
        <f t="shared" ca="1" si="539"/>
        <v>196.15384615384616</v>
      </c>
      <c r="P1167">
        <f t="shared" ca="1" si="540"/>
        <v>632.10349999999994</v>
      </c>
      <c r="Q1167">
        <f t="shared" ca="1" si="541"/>
        <v>2593.1805316486621</v>
      </c>
      <c r="R1167">
        <f t="shared" ca="1" si="542"/>
        <v>482.07306851378365</v>
      </c>
      <c r="S1167">
        <f t="shared" ca="1" si="543"/>
        <v>280.07692026646265</v>
      </c>
      <c r="T1167">
        <f t="shared" ca="1" si="544"/>
        <v>1019.7665564573041</v>
      </c>
      <c r="U1167">
        <f t="shared" ca="1" si="565"/>
        <v>-482.25887083179032</v>
      </c>
      <c r="V1167">
        <f t="shared" ca="1" si="566"/>
        <v>0</v>
      </c>
      <c r="W1167">
        <f t="shared" ca="1" si="545"/>
        <v>0.05</v>
      </c>
      <c r="X1167">
        <f t="shared" ca="1" si="546"/>
        <v>0.26</v>
      </c>
      <c r="Y1167">
        <f t="shared" ca="1" si="547"/>
        <v>4.9056603773584909E-2</v>
      </c>
      <c r="Z1167">
        <f t="shared" ca="1" si="548"/>
        <v>196.15384615384616</v>
      </c>
      <c r="AA1167">
        <f t="shared" ca="1" si="549"/>
        <v>632.10349999999994</v>
      </c>
      <c r="AB1167">
        <f t="shared" ca="1" si="550"/>
        <v>2593.1805316486621</v>
      </c>
      <c r="AC1167">
        <f t="shared" ca="1" si="551"/>
        <v>482.07306851378365</v>
      </c>
      <c r="AD1167">
        <f t="shared" ca="1" si="552"/>
        <v>280.07692026646265</v>
      </c>
      <c r="AE1167">
        <f t="shared" ca="1" si="553"/>
        <v>1019.7665564573041</v>
      </c>
      <c r="AF1167">
        <f t="shared" ca="1" si="554"/>
        <v>482.25887083179032</v>
      </c>
      <c r="AG1167">
        <f t="shared" ca="1" si="555"/>
        <v>0</v>
      </c>
      <c r="AH1167">
        <f ca="1">IF(V32="Supercritical",L1167,IF(V32="Subcritical",W1167,IF(AND(V1167=1,AG1167=1),IF(T1167&gt;=AE1167,L1167,W1167),IF(V1167=1,L1167,IF(AG1167=1,W1167,MAX($D$16,POWER((ABS(K1167)^2)/($I$5*MAX(F1167,0.1)^2),1/3)))))))</f>
        <v>2.1403668656741068</v>
      </c>
      <c r="AI1167">
        <f t="shared" ca="1" si="556"/>
        <v>634.19386686567407</v>
      </c>
      <c r="AJ1167">
        <f t="shared" ca="1" si="557"/>
        <v>635.26405029851117</v>
      </c>
      <c r="AM1167">
        <v>0</v>
      </c>
      <c r="AN1167">
        <v>0</v>
      </c>
      <c r="AO1167">
        <f t="shared" si="558"/>
        <v>0</v>
      </c>
      <c r="AP1167">
        <f t="shared" si="567"/>
        <v>0</v>
      </c>
      <c r="AQ1167">
        <f t="shared" ca="1" si="559"/>
        <v>0.99999999999999978</v>
      </c>
      <c r="AR1167" t="str">
        <f t="shared" ca="1" si="560"/>
        <v>Supercritical</v>
      </c>
      <c r="AS1167">
        <f t="shared" ca="1" si="561"/>
        <v>3.8148159832266538E-3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191</v>
      </c>
      <c r="I1168">
        <v>5.7000000000000002E-2</v>
      </c>
      <c r="J1168">
        <f t="shared" si="562"/>
        <v>1</v>
      </c>
      <c r="K1168">
        <f t="shared" si="563"/>
        <v>51</v>
      </c>
      <c r="L1168">
        <f t="shared" ca="1" si="564"/>
        <v>0.05</v>
      </c>
      <c r="M1168">
        <f t="shared" ca="1" si="537"/>
        <v>0.26</v>
      </c>
      <c r="N1168">
        <f t="shared" ca="1" si="538"/>
        <v>4.9056603773584909E-2</v>
      </c>
      <c r="O1168">
        <f t="shared" ca="1" si="539"/>
        <v>196.15384615384616</v>
      </c>
      <c r="P1168">
        <f t="shared" ca="1" si="540"/>
        <v>632.10299999999995</v>
      </c>
      <c r="Q1168">
        <f t="shared" ca="1" si="541"/>
        <v>2593.180031648662</v>
      </c>
      <c r="R1168">
        <f t="shared" ca="1" si="542"/>
        <v>482.07306851378365</v>
      </c>
      <c r="S1168">
        <f t="shared" ca="1" si="543"/>
        <v>280.07692026646265</v>
      </c>
      <c r="T1168">
        <f t="shared" ca="1" si="544"/>
        <v>1019.7665564573041</v>
      </c>
      <c r="U1168">
        <f t="shared" ca="1" si="565"/>
        <v>-482.25887083179032</v>
      </c>
      <c r="V1168">
        <f t="shared" ca="1" si="566"/>
        <v>0</v>
      </c>
      <c r="W1168">
        <f t="shared" ca="1" si="545"/>
        <v>0.05</v>
      </c>
      <c r="X1168">
        <f t="shared" ca="1" si="546"/>
        <v>0.26</v>
      </c>
      <c r="Y1168">
        <f t="shared" ca="1" si="547"/>
        <v>4.9056603773584909E-2</v>
      </c>
      <c r="Z1168">
        <f t="shared" ca="1" si="548"/>
        <v>196.15384615384616</v>
      </c>
      <c r="AA1168">
        <f t="shared" ca="1" si="549"/>
        <v>632.10299999999995</v>
      </c>
      <c r="AB1168">
        <f t="shared" ca="1" si="550"/>
        <v>2593.180031648662</v>
      </c>
      <c r="AC1168">
        <f t="shared" ca="1" si="551"/>
        <v>482.07306851378365</v>
      </c>
      <c r="AD1168">
        <f t="shared" ca="1" si="552"/>
        <v>280.07692026646265</v>
      </c>
      <c r="AE1168">
        <f t="shared" ca="1" si="553"/>
        <v>1019.7665564573041</v>
      </c>
      <c r="AF1168">
        <f t="shared" ca="1" si="554"/>
        <v>482.07256851378406</v>
      </c>
      <c r="AG1168">
        <f t="shared" ca="1" si="555"/>
        <v>0</v>
      </c>
      <c r="AH1168">
        <f ca="1">IF(V32="Supercritical",L1168,IF(V32="Subcritical",W1168,IF(AND(V1168=1,AG1168=1),IF(T1168&gt;=AE1168,L1168,W1168),IF(V1168=1,L1168,IF(AG1168=1,W1168,MAX($D$16,POWER((ABS(K1168)^2)/($I$5*MAX(F1168,0.1)^2),1/3)))))))</f>
        <v>2.1403668656741068</v>
      </c>
      <c r="AI1168">
        <f t="shared" ca="1" si="556"/>
        <v>634.19336686567408</v>
      </c>
      <c r="AJ1168">
        <f t="shared" ca="1" si="557"/>
        <v>635.26355029851118</v>
      </c>
      <c r="AM1168">
        <v>0</v>
      </c>
      <c r="AN1168">
        <v>0</v>
      </c>
      <c r="AO1168">
        <f t="shared" si="558"/>
        <v>0</v>
      </c>
      <c r="AP1168">
        <f t="shared" si="567"/>
        <v>0</v>
      </c>
      <c r="AQ1168">
        <f t="shared" ca="1" si="559"/>
        <v>0.99999999999999978</v>
      </c>
      <c r="AR1168" t="str">
        <f t="shared" ca="1" si="560"/>
        <v>Supercritical</v>
      </c>
      <c r="AS1168">
        <f t="shared" ca="1" si="561"/>
        <v>3.8148159832266538E-3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191</v>
      </c>
      <c r="I1169">
        <v>0</v>
      </c>
      <c r="J1169">
        <f t="shared" si="562"/>
        <v>1</v>
      </c>
      <c r="K1169">
        <f t="shared" si="563"/>
        <v>51</v>
      </c>
      <c r="L1169">
        <f t="shared" ca="1" si="564"/>
        <v>0.05</v>
      </c>
      <c r="M1169">
        <f t="shared" ca="1" si="537"/>
        <v>0.26</v>
      </c>
      <c r="N1169">
        <f t="shared" ca="1" si="538"/>
        <v>4.9056603773584909E-2</v>
      </c>
      <c r="O1169">
        <f t="shared" ca="1" si="539"/>
        <v>196.15384615384616</v>
      </c>
      <c r="P1169">
        <f t="shared" ca="1" si="540"/>
        <v>632.10249999999996</v>
      </c>
      <c r="Q1169">
        <f t="shared" ca="1" si="541"/>
        <v>2593.1795316486623</v>
      </c>
      <c r="R1169">
        <f t="shared" ca="1" si="542"/>
        <v>482.07306851378365</v>
      </c>
      <c r="S1169">
        <f t="shared" ca="1" si="543"/>
        <v>280.07692026646265</v>
      </c>
      <c r="T1169">
        <f t="shared" ca="1" si="544"/>
        <v>1019.7665564573041</v>
      </c>
      <c r="U1169">
        <f t="shared" ca="1" si="565"/>
        <v>-482.07256851378406</v>
      </c>
      <c r="V1169">
        <f t="shared" ca="1" si="566"/>
        <v>0</v>
      </c>
      <c r="W1169">
        <f t="shared" ca="1" si="545"/>
        <v>0.05</v>
      </c>
      <c r="X1169">
        <f t="shared" ca="1" si="546"/>
        <v>0.26</v>
      </c>
      <c r="Y1169">
        <f t="shared" ca="1" si="547"/>
        <v>4.9056603773584909E-2</v>
      </c>
      <c r="Z1169">
        <f t="shared" ca="1" si="548"/>
        <v>196.15384615384616</v>
      </c>
      <c r="AA1169">
        <f t="shared" ca="1" si="549"/>
        <v>632.10249999999996</v>
      </c>
      <c r="AB1169">
        <f t="shared" ca="1" si="550"/>
        <v>2593.1795316486623</v>
      </c>
      <c r="AC1169">
        <f t="shared" ca="1" si="551"/>
        <v>482.07306851378365</v>
      </c>
      <c r="AD1169">
        <f t="shared" ca="1" si="552"/>
        <v>280.07692026646265</v>
      </c>
      <c r="AE1169">
        <f t="shared" ca="1" si="553"/>
        <v>1019.7665564573041</v>
      </c>
      <c r="AF1169">
        <f t="shared" ca="1" si="554"/>
        <v>482.07256851378361</v>
      </c>
      <c r="AG1169">
        <f t="shared" ca="1" si="555"/>
        <v>0</v>
      </c>
      <c r="AH1169">
        <f ca="1">IF(V32="Supercritical",L1169,IF(V32="Subcritical",W1169,IF(AND(V1169=1,AG1169=1),IF(T1169&gt;=AE1169,L1169,W1169),IF(V1169=1,L1169,IF(AG1169=1,W1169,MAX($D$16,POWER((ABS(K1169)^2)/($I$5*MAX(F1169,0.1)^2),1/3)))))))</f>
        <v>2.1403668656741068</v>
      </c>
      <c r="AI1169">
        <f t="shared" ca="1" si="556"/>
        <v>634.19286686567409</v>
      </c>
      <c r="AJ1169">
        <f t="shared" ca="1" si="557"/>
        <v>635.26305029851119</v>
      </c>
      <c r="AM1169">
        <v>0</v>
      </c>
      <c r="AN1169">
        <v>0</v>
      </c>
      <c r="AO1169">
        <f t="shared" si="558"/>
        <v>0</v>
      </c>
      <c r="AP1169">
        <f t="shared" si="567"/>
        <v>0</v>
      </c>
      <c r="AQ1169">
        <f t="shared" ca="1" si="559"/>
        <v>0.99999999999999978</v>
      </c>
      <c r="AR1169" t="str">
        <f t="shared" ca="1" si="560"/>
        <v>Supercritical</v>
      </c>
      <c r="AS1169">
        <f t="shared" ca="1" si="561"/>
        <v>3.8148159832266538E-3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191</v>
      </c>
      <c r="I1170">
        <v>0</v>
      </c>
      <c r="J1170">
        <f t="shared" si="562"/>
        <v>1</v>
      </c>
      <c r="K1170">
        <f t="shared" si="563"/>
        <v>51</v>
      </c>
      <c r="L1170">
        <f t="shared" ca="1" si="564"/>
        <v>0.05</v>
      </c>
      <c r="M1170">
        <f t="shared" ca="1" si="537"/>
        <v>0.26</v>
      </c>
      <c r="N1170">
        <f t="shared" ca="1" si="538"/>
        <v>4.9056603773584909E-2</v>
      </c>
      <c r="O1170">
        <f t="shared" ca="1" si="539"/>
        <v>196.15384615384616</v>
      </c>
      <c r="P1170">
        <f t="shared" ca="1" si="540"/>
        <v>632.10199999999998</v>
      </c>
      <c r="Q1170">
        <f t="shared" ca="1" si="541"/>
        <v>2593.1790316486622</v>
      </c>
      <c r="R1170">
        <f t="shared" ca="1" si="542"/>
        <v>482.07306851378365</v>
      </c>
      <c r="S1170">
        <f t="shared" ca="1" si="543"/>
        <v>280.07692026646265</v>
      </c>
      <c r="T1170">
        <f t="shared" ca="1" si="544"/>
        <v>1019.7665564573041</v>
      </c>
      <c r="U1170">
        <f t="shared" ca="1" si="565"/>
        <v>-482.07256851378361</v>
      </c>
      <c r="V1170">
        <f t="shared" ca="1" si="566"/>
        <v>0</v>
      </c>
      <c r="W1170">
        <f t="shared" ca="1" si="545"/>
        <v>0.05</v>
      </c>
      <c r="X1170">
        <f t="shared" ca="1" si="546"/>
        <v>0.26</v>
      </c>
      <c r="Y1170">
        <f t="shared" ca="1" si="547"/>
        <v>4.9056603773584909E-2</v>
      </c>
      <c r="Z1170">
        <f t="shared" ca="1" si="548"/>
        <v>196.15384615384616</v>
      </c>
      <c r="AA1170">
        <f t="shared" ca="1" si="549"/>
        <v>632.10199999999998</v>
      </c>
      <c r="AB1170">
        <f t="shared" ca="1" si="550"/>
        <v>2593.1790316486622</v>
      </c>
      <c r="AC1170">
        <f t="shared" ca="1" si="551"/>
        <v>482.07306851378365</v>
      </c>
      <c r="AD1170">
        <f t="shared" ca="1" si="552"/>
        <v>280.07692026646265</v>
      </c>
      <c r="AE1170">
        <f t="shared" ca="1" si="553"/>
        <v>1019.7665564573041</v>
      </c>
      <c r="AF1170">
        <f t="shared" ca="1" si="554"/>
        <v>482.25233390835137</v>
      </c>
      <c r="AG1170">
        <f t="shared" ca="1" si="555"/>
        <v>0</v>
      </c>
      <c r="AH1170">
        <f ca="1">IF(V32="Supercritical",L1170,IF(V32="Subcritical",W1170,IF(AND(V1170=1,AG1170=1),IF(T1170&gt;=AE1170,L1170,W1170),IF(V1170=1,L1170,IF(AG1170=1,W1170,MAX($D$16,POWER((ABS(K1170)^2)/($I$5*MAX(F1170,0.1)^2),1/3)))))))</f>
        <v>2.1403668656741068</v>
      </c>
      <c r="AI1170">
        <f t="shared" ca="1" si="556"/>
        <v>634.1923668656741</v>
      </c>
      <c r="AJ1170">
        <f t="shared" ca="1" si="557"/>
        <v>635.2625502985112</v>
      </c>
      <c r="AM1170">
        <v>0</v>
      </c>
      <c r="AN1170">
        <v>0</v>
      </c>
      <c r="AO1170">
        <f t="shared" si="558"/>
        <v>0</v>
      </c>
      <c r="AP1170">
        <f t="shared" si="567"/>
        <v>0</v>
      </c>
      <c r="AQ1170">
        <f t="shared" ca="1" si="559"/>
        <v>0.99999999999999978</v>
      </c>
      <c r="AR1170" t="str">
        <f t="shared" ca="1" si="560"/>
        <v>Supercritical</v>
      </c>
      <c r="AS1170">
        <f t="shared" ca="1" si="561"/>
        <v>3.8148159832266538E-3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191</v>
      </c>
      <c r="I1171">
        <v>5.5E-2</v>
      </c>
      <c r="J1171">
        <f t="shared" si="562"/>
        <v>1</v>
      </c>
      <c r="K1171">
        <f t="shared" si="563"/>
        <v>51</v>
      </c>
      <c r="L1171">
        <f t="shared" ca="1" si="564"/>
        <v>0.05</v>
      </c>
      <c r="M1171">
        <f t="shared" ca="1" si="537"/>
        <v>0.26</v>
      </c>
      <c r="N1171">
        <f t="shared" ca="1" si="538"/>
        <v>4.9056603773584909E-2</v>
      </c>
      <c r="O1171">
        <f t="shared" ca="1" si="539"/>
        <v>196.15384615384616</v>
      </c>
      <c r="P1171">
        <f t="shared" ca="1" si="540"/>
        <v>632.10149999999999</v>
      </c>
      <c r="Q1171">
        <f t="shared" ca="1" si="541"/>
        <v>2593.1785316486621</v>
      </c>
      <c r="R1171">
        <f t="shared" ca="1" si="542"/>
        <v>482.07306851378365</v>
      </c>
      <c r="S1171">
        <f t="shared" ca="1" si="543"/>
        <v>280.07692026646265</v>
      </c>
      <c r="T1171">
        <f t="shared" ca="1" si="544"/>
        <v>1019.7665564573041</v>
      </c>
      <c r="U1171">
        <f t="shared" ca="1" si="565"/>
        <v>-482.25233390835137</v>
      </c>
      <c r="V1171">
        <f t="shared" ca="1" si="566"/>
        <v>0</v>
      </c>
      <c r="W1171">
        <f t="shared" ca="1" si="545"/>
        <v>0.05</v>
      </c>
      <c r="X1171">
        <f t="shared" ca="1" si="546"/>
        <v>0.26</v>
      </c>
      <c r="Y1171">
        <f t="shared" ca="1" si="547"/>
        <v>4.9056603773584909E-2</v>
      </c>
      <c r="Z1171">
        <f t="shared" ca="1" si="548"/>
        <v>196.15384615384616</v>
      </c>
      <c r="AA1171">
        <f t="shared" ca="1" si="549"/>
        <v>632.10149999999999</v>
      </c>
      <c r="AB1171">
        <f t="shared" ca="1" si="550"/>
        <v>2593.1785316486621</v>
      </c>
      <c r="AC1171">
        <f t="shared" ca="1" si="551"/>
        <v>482.07306851378365</v>
      </c>
      <c r="AD1171">
        <f t="shared" ca="1" si="552"/>
        <v>280.07692026646265</v>
      </c>
      <c r="AE1171">
        <f t="shared" ca="1" si="553"/>
        <v>1019.7665564573041</v>
      </c>
      <c r="AF1171">
        <f t="shared" ca="1" si="554"/>
        <v>482.73440697685373</v>
      </c>
      <c r="AG1171">
        <f t="shared" ca="1" si="555"/>
        <v>0</v>
      </c>
      <c r="AH1171">
        <f ca="1">IF(V32="Supercritical",L1171,IF(V32="Subcritical",W1171,IF(AND(V1171=1,AG1171=1),IF(T1171&gt;=AE1171,L1171,W1171),IF(V1171=1,L1171,IF(AG1171=1,W1171,MAX($D$16,POWER((ABS(K1171)^2)/($I$5*MAX(F1171,0.1)^2),1/3)))))))</f>
        <v>2.1403668656741068</v>
      </c>
      <c r="AI1171">
        <f t="shared" ca="1" si="556"/>
        <v>634.19186686567411</v>
      </c>
      <c r="AJ1171">
        <f t="shared" ca="1" si="557"/>
        <v>635.26205029851121</v>
      </c>
      <c r="AM1171">
        <v>0</v>
      </c>
      <c r="AN1171">
        <v>0</v>
      </c>
      <c r="AO1171">
        <f t="shared" si="558"/>
        <v>0</v>
      </c>
      <c r="AP1171">
        <f t="shared" si="567"/>
        <v>0</v>
      </c>
      <c r="AQ1171">
        <f t="shared" ca="1" si="559"/>
        <v>0.99999999999999978</v>
      </c>
      <c r="AR1171" t="str">
        <f t="shared" ca="1" si="560"/>
        <v>Supercritical</v>
      </c>
      <c r="AS1171">
        <f t="shared" ca="1" si="561"/>
        <v>3.8148159832266538E-3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191</v>
      </c>
      <c r="I1172">
        <v>5.5E-2</v>
      </c>
      <c r="J1172">
        <f t="shared" si="562"/>
        <v>1.0009999999999764</v>
      </c>
      <c r="K1172">
        <f t="shared" si="563"/>
        <v>51</v>
      </c>
      <c r="L1172">
        <f t="shared" ca="1" si="564"/>
        <v>0.05</v>
      </c>
      <c r="M1172">
        <f t="shared" ca="1" si="537"/>
        <v>0.26</v>
      </c>
      <c r="N1172">
        <f t="shared" ca="1" si="538"/>
        <v>4.9056603773584909E-2</v>
      </c>
      <c r="O1172">
        <f t="shared" ca="1" si="539"/>
        <v>196.15384615384616</v>
      </c>
      <c r="P1172">
        <f t="shared" ca="1" si="540"/>
        <v>632.101</v>
      </c>
      <c r="Q1172">
        <f t="shared" ca="1" si="541"/>
        <v>2593.178031648662</v>
      </c>
      <c r="R1172">
        <f t="shared" ca="1" si="542"/>
        <v>482.07306851378365</v>
      </c>
      <c r="S1172">
        <f t="shared" ca="1" si="543"/>
        <v>280.07692026646265</v>
      </c>
      <c r="T1172">
        <f t="shared" ca="1" si="544"/>
        <v>1019.7665564573041</v>
      </c>
      <c r="U1172">
        <f t="shared" ca="1" si="565"/>
        <v>-482.73440697685373</v>
      </c>
      <c r="V1172">
        <f t="shared" ca="1" si="566"/>
        <v>0</v>
      </c>
      <c r="W1172">
        <f t="shared" ca="1" si="545"/>
        <v>0.05</v>
      </c>
      <c r="X1172">
        <f t="shared" ca="1" si="546"/>
        <v>0.26</v>
      </c>
      <c r="Y1172">
        <f t="shared" ca="1" si="547"/>
        <v>4.9056603773584909E-2</v>
      </c>
      <c r="Z1172">
        <f t="shared" ca="1" si="548"/>
        <v>196.15384615384616</v>
      </c>
      <c r="AA1172">
        <f t="shared" ca="1" si="549"/>
        <v>632.101</v>
      </c>
      <c r="AB1172">
        <f t="shared" ca="1" si="550"/>
        <v>2593.178031648662</v>
      </c>
      <c r="AC1172">
        <f t="shared" ca="1" si="551"/>
        <v>482.07306851378365</v>
      </c>
      <c r="AD1172">
        <f t="shared" ca="1" si="552"/>
        <v>280.07692026646265</v>
      </c>
      <c r="AE1172">
        <f t="shared" ca="1" si="553"/>
        <v>1019.7665564573041</v>
      </c>
      <c r="AF1172">
        <f t="shared" ca="1" si="554"/>
        <v>482.07256851378361</v>
      </c>
      <c r="AG1172">
        <f t="shared" ca="1" si="555"/>
        <v>0</v>
      </c>
      <c r="AH1172">
        <f ca="1">IF(V32="Supercritical",L1172,IF(V32="Subcritical",W1172,IF(AND(V1172=1,AG1172=1),IF(T1172&gt;=AE1172,L1172,W1172),IF(V1172=1,L1172,IF(AG1172=1,W1172,MAX($D$16,POWER((ABS(K1172)^2)/($I$5*MAX(F1172,0.1)^2),1/3)))))))</f>
        <v>2.1403668656741068</v>
      </c>
      <c r="AI1172">
        <f t="shared" ca="1" si="556"/>
        <v>634.19136686567413</v>
      </c>
      <c r="AJ1172">
        <f t="shared" ca="1" si="557"/>
        <v>635.26155029851122</v>
      </c>
      <c r="AM1172">
        <v>0</v>
      </c>
      <c r="AN1172">
        <v>0</v>
      </c>
      <c r="AO1172">
        <f t="shared" si="558"/>
        <v>0</v>
      </c>
      <c r="AP1172">
        <f t="shared" si="567"/>
        <v>0</v>
      </c>
      <c r="AQ1172">
        <f t="shared" ca="1" si="559"/>
        <v>0.99999999999999978</v>
      </c>
      <c r="AR1172" t="str">
        <f t="shared" ca="1" si="560"/>
        <v>Supercritical</v>
      </c>
      <c r="AS1172">
        <f t="shared" ca="1" si="561"/>
        <v>3.8148159832266538E-3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191</v>
      </c>
      <c r="I1173">
        <v>0</v>
      </c>
      <c r="J1173">
        <f t="shared" si="562"/>
        <v>1</v>
      </c>
      <c r="K1173">
        <f t="shared" si="563"/>
        <v>51</v>
      </c>
      <c r="L1173">
        <f t="shared" ca="1" si="564"/>
        <v>0.05</v>
      </c>
      <c r="M1173">
        <f t="shared" ca="1" si="537"/>
        <v>0.26</v>
      </c>
      <c r="N1173">
        <f t="shared" ca="1" si="538"/>
        <v>4.9056603773584909E-2</v>
      </c>
      <c r="O1173">
        <f t="shared" ca="1" si="539"/>
        <v>196.15384615384616</v>
      </c>
      <c r="P1173">
        <f t="shared" ca="1" si="540"/>
        <v>632.10050000000001</v>
      </c>
      <c r="Q1173">
        <f t="shared" ca="1" si="541"/>
        <v>2593.1775316486619</v>
      </c>
      <c r="R1173">
        <f t="shared" ca="1" si="542"/>
        <v>482.07306851378365</v>
      </c>
      <c r="S1173">
        <f t="shared" ca="1" si="543"/>
        <v>280.07692026646265</v>
      </c>
      <c r="T1173">
        <f t="shared" ca="1" si="544"/>
        <v>1019.7665564573041</v>
      </c>
      <c r="U1173">
        <f t="shared" ca="1" si="565"/>
        <v>-482.07256851378361</v>
      </c>
      <c r="V1173">
        <f t="shared" ca="1" si="566"/>
        <v>0</v>
      </c>
      <c r="W1173">
        <f t="shared" ca="1" si="545"/>
        <v>0.05</v>
      </c>
      <c r="X1173">
        <f t="shared" ca="1" si="546"/>
        <v>0.26</v>
      </c>
      <c r="Y1173">
        <f t="shared" ca="1" si="547"/>
        <v>4.9056603773584909E-2</v>
      </c>
      <c r="Z1173">
        <f t="shared" ca="1" si="548"/>
        <v>196.15384615384616</v>
      </c>
      <c r="AA1173">
        <f t="shared" ca="1" si="549"/>
        <v>632.10050000000001</v>
      </c>
      <c r="AB1173">
        <f t="shared" ca="1" si="550"/>
        <v>2593.1775316486619</v>
      </c>
      <c r="AC1173">
        <f t="shared" ca="1" si="551"/>
        <v>482.07306851378365</v>
      </c>
      <c r="AD1173">
        <f t="shared" ca="1" si="552"/>
        <v>280.07692026646265</v>
      </c>
      <c r="AE1173">
        <f t="shared" ca="1" si="553"/>
        <v>1019.7665564573041</v>
      </c>
      <c r="AF1173">
        <f t="shared" ca="1" si="554"/>
        <v>481.59049544528125</v>
      </c>
      <c r="AG1173">
        <f t="shared" ca="1" si="555"/>
        <v>0</v>
      </c>
      <c r="AH1173">
        <f ca="1">IF(V32="Supercritical",L1173,IF(V32="Subcritical",W1173,IF(AND(V1173=1,AG1173=1),IF(T1173&gt;=AE1173,L1173,W1173),IF(V1173=1,L1173,IF(AG1173=1,W1173,MAX($D$16,POWER((ABS(K1173)^2)/($I$5*MAX(F1173,0.1)^2),1/3)))))))</f>
        <v>2.1403668656741068</v>
      </c>
      <c r="AI1173">
        <f t="shared" ca="1" si="556"/>
        <v>634.19086686567414</v>
      </c>
      <c r="AJ1173">
        <f t="shared" ca="1" si="557"/>
        <v>635.26105029851124</v>
      </c>
      <c r="AM1173">
        <v>0</v>
      </c>
      <c r="AN1173">
        <v>0</v>
      </c>
      <c r="AO1173">
        <f t="shared" si="558"/>
        <v>0</v>
      </c>
      <c r="AP1173">
        <f t="shared" si="567"/>
        <v>0</v>
      </c>
      <c r="AQ1173">
        <f t="shared" ca="1" si="559"/>
        <v>0.99999999999999978</v>
      </c>
      <c r="AR1173" t="str">
        <f t="shared" ca="1" si="560"/>
        <v>Supercritical</v>
      </c>
      <c r="AS1173">
        <f t="shared" ca="1" si="561"/>
        <v>3.8148159832266538E-3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191</v>
      </c>
      <c r="I1174">
        <v>0</v>
      </c>
      <c r="J1174">
        <f t="shared" si="562"/>
        <v>0.99900000000002365</v>
      </c>
      <c r="K1174">
        <f t="shared" si="563"/>
        <v>51</v>
      </c>
      <c r="L1174">
        <f t="shared" ca="1" si="564"/>
        <v>0.05</v>
      </c>
      <c r="M1174">
        <f t="shared" ref="M1174:M1237" ca="1" si="568">((F1174)+(G1174)*(L1174))*(L1174)</f>
        <v>0.26</v>
      </c>
      <c r="N1174">
        <f t="shared" ref="N1174:N1237" ca="1" si="569">(((F1174)+(G1174)*(L1174))*(L1174))/MAX((F1174)+2*(L1174)*SQRT(1+(G1174)^2),0.000001)</f>
        <v>4.9056603773584909E-2</v>
      </c>
      <c r="O1174">
        <f t="shared" ref="O1174:O1237" ca="1" si="570">ABS(K1174)/MAX(((F1174)+(G1174)*(L1174))*(L1174),0.000001)</f>
        <v>196.15384615384616</v>
      </c>
      <c r="P1174">
        <f t="shared" ref="P1174:P1237" ca="1" si="571">E1174+L1174</f>
        <v>632.09999999999991</v>
      </c>
      <c r="Q1174">
        <f t="shared" ref="Q1174:Q1237" ca="1" si="572">P1174+((ABS(K1174)/MAX(((F1174)+(G1174)*(L1174))*(L1174),0.000001))^2)/(2*$I$5)</f>
        <v>2593.1770316486618</v>
      </c>
      <c r="R1174">
        <f t="shared" ref="R1174:R1237" ca="1" si="573">((ABS(K1174)*$D$6)/(MAX(((F1174)+(G1174)*(L1174))*(L1174),0.000001)*MAX(((((F1174)+(G1174)*(L1174))*(L1174))/MAX((F1174)+2*(L1174)*SQRT(1+(G1174)^2),0.000001))^(2/3),0.000001)))^2</f>
        <v>482.07306851378365</v>
      </c>
      <c r="S1174">
        <f t="shared" ref="S1174:S1237" ca="1" si="574">ABS(ABS(K1174)/MAX(((F1174)+(G1174)*(L1174))*(L1174),0.000001))/SQRT($I$5*MAX((((F1174)+(G1174)*(L1174))*(L1174))/MAX((F1174)+2*(G1174)*(L1174),0.000001),0.000001))</f>
        <v>280.07692026646265</v>
      </c>
      <c r="T1174">
        <f t="shared" ref="T1174:T1237" ca="1" si="575">((F1174)*(L1174)^2)/2+(G1174)*(L1174)^3/3+(ABS(K1174)^2)/($I$5*MAX(((F1174)+(G1174)*(L1174))*(L1174),0.000001))</f>
        <v>1019.7665564573041</v>
      </c>
      <c r="U1174">
        <f t="shared" ca="1" si="565"/>
        <v>-481.59049544528125</v>
      </c>
      <c r="V1174">
        <f t="shared" ca="1" si="566"/>
        <v>0</v>
      </c>
      <c r="W1174">
        <f t="shared" ref="W1174:W1237" ca="1" si="576">IF(OR($D$20=0,AG1175=0),W1175,IF(OR(W1174=0,AD1175&gt;1),MAX($D$16,POWER((ABS(K1174)^2)/($I$5*MAX(F1174,0.1)^2),1/3)),IF(AF1174&gt;0,MAX($D$16,W1174+((AF1174)*$D$18*IF((AD1174)&lt;1,1,-1))),IF(AF1174&lt;0,IF(ABS((MAX($D$16,POWER((ABS(K1174)^2)/($I$5*MAX(F1174,0.1)^2),1/3)))-W1174)&gt;$D$19,MAX($D$16,W1174+($D$18*((MAX($D$16,POWER((ABS(K1174)^2)/($I$5*MAX(F1174,0.1)^2),1/3)))-W1174))),MAX($D$16,POWER((ABS(K1174)^2)/($I$5*MAX(F1174,0.1)^2),1/3))),W1174))))</f>
        <v>0.05</v>
      </c>
      <c r="X1174">
        <f t="shared" ref="X1174:X1237" ca="1" si="577">((F1174)+(G1174)*(W1174))*(W1174)</f>
        <v>0.26</v>
      </c>
      <c r="Y1174">
        <f t="shared" ref="Y1174:Y1237" ca="1" si="578">(((F1174)+(G1174)*(W1174))*(W1174))/MAX((F1174)+2*(W1174)*SQRT(1+(G1174)^2),0.000001)</f>
        <v>4.9056603773584909E-2</v>
      </c>
      <c r="Z1174">
        <f t="shared" ref="Z1174:Z1237" ca="1" si="579">ABS(K1174)/MAX(((F1174)+(G1174)*(W1174))*(W1174),0.000001)</f>
        <v>196.15384615384616</v>
      </c>
      <c r="AA1174">
        <f t="shared" ref="AA1174:AA1237" ca="1" si="580">E1174+W1174</f>
        <v>632.09999999999991</v>
      </c>
      <c r="AB1174">
        <f t="shared" ref="AB1174:AB1237" ca="1" si="581">AA1174+((ABS(K1174)/MAX(((F1174)+(G1174)*(W1174))*(W1174),0.000001))^2)/(2*$I$5)</f>
        <v>2593.1770316486618</v>
      </c>
      <c r="AC1174">
        <f t="shared" ref="AC1174:AC1237" ca="1" si="582">((ABS(K1174)*$D$6)/(MAX(((F1174)+(G1174)*(W1174))*(W1174),0.000001)*MAX(((((F1174)+(G1174)*(W1174))*(W1174))/MAX((F1174)+2*(W1174)*SQRT(1+(G1174)^2),0.000001))^(2/3),0.000001)))^2</f>
        <v>482.07306851378365</v>
      </c>
      <c r="AD1174">
        <f t="shared" ref="AD1174:AD1237" ca="1" si="583">ABS(ABS(K1174)/MAX(((F1174)+(G1174)*(W1174))*(W1174),0.000001))/SQRT($I$5*MAX((((F1174)+(G1174)*(W1174))*(W1174))/MAX((F1174)+2*(G1174)*(W1174),0.000001),0.000001))</f>
        <v>280.07692026646265</v>
      </c>
      <c r="AE1174">
        <f t="shared" ref="AE1174:AE1237" ca="1" si="584">((F1174)*(W1174)^2)/2+(G1174)*(W1174)^3/3+(ABS(K1174)^2)/($I$5*MAX(((F1174)+(G1174)*(W1174))*(W1174),0.000001))</f>
        <v>1019.7665564573041</v>
      </c>
      <c r="AF1174">
        <f t="shared" ref="AF1174:AF1237" ca="1" si="585">AB1175+(((AC1174+AC1175)/2)*J1175)+(IF(Z1174&gt;Z1175,$D$8*((Z1174^2-Z1175^2)/(2*$I$5)),$D$9*((Z1175^2-Z1174^2)/(2*$I$5)))+($D$10*(ABS(I1175)/90)*(MAX(Z1174^2,Z1175^2)/(2*$I$5))))-AB1174</f>
        <v>482.25887083173575</v>
      </c>
      <c r="AG1174">
        <f t="shared" ref="AG1174:AG1237" ca="1" si="586">IF(ROUND(AD1174,3)=1,1,IF(AND(ABS(AF1174)&lt;$D$19,AD1174&lt;1),1,0))</f>
        <v>0</v>
      </c>
      <c r="AH1174">
        <f ca="1">IF(V32="Supercritical",L1174,IF(V32="Subcritical",W1174,IF(AND(V1174=1,AG1174=1),IF(T1174&gt;=AE1174,L1174,W1174),IF(V1174=1,L1174,IF(AG1174=1,W1174,MAX($D$16,POWER((ABS(K1174)^2)/($I$5*MAX(F1174,0.1)^2),1/3)))))))</f>
        <v>2.1403668656741068</v>
      </c>
      <c r="AI1174">
        <f t="shared" ref="AI1174:AI1237" ca="1" si="587">E1174+AH1174</f>
        <v>634.19036686567404</v>
      </c>
      <c r="AJ1174">
        <f t="shared" ref="AJ1174:AJ1237" ca="1" si="588">AI1174+((ABS(K1174)/MAX(((F1174)+(G1174)*(AH1174))*(AH1174),0.000001))^2)/(2*$I$5)</f>
        <v>635.26055029851113</v>
      </c>
      <c r="AM1174">
        <v>0</v>
      </c>
      <c r="AN1174">
        <v>0</v>
      </c>
      <c r="AO1174">
        <f t="shared" ref="AO1174:AO1237" si="589">AM1174+AN1174</f>
        <v>0</v>
      </c>
      <c r="AP1174">
        <f t="shared" si="567"/>
        <v>0</v>
      </c>
      <c r="AQ1174">
        <f t="shared" ref="AQ1174:AQ1237" ca="1" si="590">ABS(ABS(K1174)/MAX(((F1174)+(G1174)*(AH1174))*(AH1174),0.000001))/SQRT($I$5*MAX((((F1174)+(G1174)*(AH1174))*(AH1174))/MAX((F1174)+2*(G1174)*(AH1174),0.000001),0.000001))</f>
        <v>0.99999999999999978</v>
      </c>
      <c r="AR1174" t="str">
        <f t="shared" ref="AR1174:AR1237" ca="1" si="591">IF(AQ1174&lt;1,"Subcritical","Supercritical")</f>
        <v>Supercritical</v>
      </c>
      <c r="AS1174">
        <f t="shared" ref="AS1174:AS1237" ca="1" si="592">((ABS(K1174)*$D$6)/(MAX(((F1174)+(G1174)*(AH1174))*(AH1174),0.000001)*MAX(((((F1174)+(G1174)*(AH1174))*(AH1174))/MAX((F1174)+2*(AH1174)*SQRT(1+(G1174)^2),0.000001))^(2/3),0.000001)))^2</f>
        <v>3.8148159832266538E-3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191</v>
      </c>
      <c r="I1175">
        <v>5.7000000000000002E-2</v>
      </c>
      <c r="J1175">
        <f t="shared" ref="J1175:J1238" si="593">B1175-B1174</f>
        <v>0.99999999999988631</v>
      </c>
      <c r="K1175">
        <f t="shared" ref="K1175:K1238" si="594">MAX(0,K1174-AO1174)</f>
        <v>51</v>
      </c>
      <c r="L1175">
        <f t="shared" ref="L1175:L1238" ca="1" si="595">IF(OR($D$20=0,V1174=0),L1174,IF(OR(L1175=0,S1174&lt;1,S1175&lt;1),MAX($D$16,POWER((ABS(K1175)^2)/($I$5*MAX(F1175,0.1)^2),1/3)),IF(U1175&gt;0,MAX($D$16,L1175+((U1175)*$D$18*IF((S1175)&lt;1,1,-1))),IF(U1175&lt;0,IF(ABS((MAX($D$16,POWER((ABS(K1175)^2)/($I$5*MAX(F1175,0.1)^2),1/3)))-L1175)&gt;$D$19,MAX($D$16,L1175+($D$18*((MAX($D$16,POWER((ABS(K1175)^2)/($I$5*MAX(F1175,0.1)^2),1/3)))-L1175))),MAX($D$16,POWER((ABS(K1175)^2)/($I$5*MAX(F1175,0.1)^2),1/3))),L1175))))</f>
        <v>0.05</v>
      </c>
      <c r="M1175">
        <f t="shared" ca="1" si="568"/>
        <v>0.26</v>
      </c>
      <c r="N1175">
        <f t="shared" ca="1" si="569"/>
        <v>4.9056603773584909E-2</v>
      </c>
      <c r="O1175">
        <f t="shared" ca="1" si="570"/>
        <v>196.15384615384616</v>
      </c>
      <c r="P1175">
        <f t="shared" ca="1" si="571"/>
        <v>632.09949999999992</v>
      </c>
      <c r="Q1175">
        <f t="shared" ca="1" si="572"/>
        <v>2593.1765316486621</v>
      </c>
      <c r="R1175">
        <f t="shared" ca="1" si="573"/>
        <v>482.07306851378365</v>
      </c>
      <c r="S1175">
        <f t="shared" ca="1" si="574"/>
        <v>280.07692026646265</v>
      </c>
      <c r="T1175">
        <f t="shared" ca="1" si="575"/>
        <v>1019.7665564573041</v>
      </c>
      <c r="U1175">
        <f t="shared" ref="U1175:U1238" ca="1" si="596">Q1174-(((R1174+R1175)/2)*J1175)-(IF(O1174&gt;O1175,$D$8*((O1174^2-O1175^2)/(2*$I$5)),$D$9*((O1175^2-O1174^2)/(2*$I$5)))+($D$10*(ABS(I1175)/90)*(MAX(O1174^2,O1175^2)/(2*$I$5))))-Q1175</f>
        <v>-482.25887083173575</v>
      </c>
      <c r="V1175">
        <f t="shared" ref="V1175:V1238" ca="1" si="597">IF(ROUND(S1175,3)=1,1,IF(AND(ABS(U1175)&lt;$D$19,S1175&gt;1),1,0))</f>
        <v>0</v>
      </c>
      <c r="W1175">
        <f t="shared" ca="1" si="576"/>
        <v>0.05</v>
      </c>
      <c r="X1175">
        <f t="shared" ca="1" si="577"/>
        <v>0.26</v>
      </c>
      <c r="Y1175">
        <f t="shared" ca="1" si="578"/>
        <v>4.9056603773584909E-2</v>
      </c>
      <c r="Z1175">
        <f t="shared" ca="1" si="579"/>
        <v>196.15384615384616</v>
      </c>
      <c r="AA1175">
        <f t="shared" ca="1" si="580"/>
        <v>632.09949999999992</v>
      </c>
      <c r="AB1175">
        <f t="shared" ca="1" si="581"/>
        <v>2593.1765316486621</v>
      </c>
      <c r="AC1175">
        <f t="shared" ca="1" si="582"/>
        <v>482.07306851378365</v>
      </c>
      <c r="AD1175">
        <f t="shared" ca="1" si="583"/>
        <v>280.07692026646265</v>
      </c>
      <c r="AE1175">
        <f t="shared" ca="1" si="584"/>
        <v>1019.7665564573041</v>
      </c>
      <c r="AF1175">
        <f t="shared" ca="1" si="585"/>
        <v>482.25887083179032</v>
      </c>
      <c r="AG1175">
        <f t="shared" ca="1" si="586"/>
        <v>0</v>
      </c>
      <c r="AH1175">
        <f ca="1">IF(V32="Supercritical",L1175,IF(V32="Subcritical",W1175,IF(AND(V1175=1,AG1175=1),IF(T1175&gt;=AE1175,L1175,W1175),IF(V1175=1,L1175,IF(AG1175=1,W1175,MAX($D$16,POWER((ABS(K1175)^2)/($I$5*MAX(F1175,0.1)^2),1/3)))))))</f>
        <v>2.1403668656741068</v>
      </c>
      <c r="AI1175">
        <f t="shared" ca="1" si="587"/>
        <v>634.18986686567405</v>
      </c>
      <c r="AJ1175">
        <f t="shared" ca="1" si="588"/>
        <v>635.26005029851115</v>
      </c>
      <c r="AM1175">
        <v>0</v>
      </c>
      <c r="AN1175">
        <v>0</v>
      </c>
      <c r="AO1175">
        <f t="shared" si="589"/>
        <v>0</v>
      </c>
      <c r="AP1175">
        <f t="shared" ref="AP1175:AP1238" si="598">AP1174+AO1175</f>
        <v>0</v>
      </c>
      <c r="AQ1175">
        <f t="shared" ca="1" si="590"/>
        <v>0.99999999999999978</v>
      </c>
      <c r="AR1175" t="str">
        <f t="shared" ca="1" si="591"/>
        <v>Supercritical</v>
      </c>
      <c r="AS1175">
        <f t="shared" ca="1" si="592"/>
        <v>3.8148159832266538E-3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191</v>
      </c>
      <c r="I1176">
        <v>5.7000000000000002E-2</v>
      </c>
      <c r="J1176">
        <f t="shared" si="593"/>
        <v>1</v>
      </c>
      <c r="K1176">
        <f t="shared" si="594"/>
        <v>51</v>
      </c>
      <c r="L1176">
        <f t="shared" ca="1" si="595"/>
        <v>0.05</v>
      </c>
      <c r="M1176">
        <f t="shared" ca="1" si="568"/>
        <v>0.26</v>
      </c>
      <c r="N1176">
        <f t="shared" ca="1" si="569"/>
        <v>4.9056603773584909E-2</v>
      </c>
      <c r="O1176">
        <f t="shared" ca="1" si="570"/>
        <v>196.15384615384616</v>
      </c>
      <c r="P1176">
        <f t="shared" ca="1" si="571"/>
        <v>632.09899999999993</v>
      </c>
      <c r="Q1176">
        <f t="shared" ca="1" si="572"/>
        <v>2593.176031648662</v>
      </c>
      <c r="R1176">
        <f t="shared" ca="1" si="573"/>
        <v>482.07306851378365</v>
      </c>
      <c r="S1176">
        <f t="shared" ca="1" si="574"/>
        <v>280.07692026646265</v>
      </c>
      <c r="T1176">
        <f t="shared" ca="1" si="575"/>
        <v>1019.7665564573041</v>
      </c>
      <c r="U1176">
        <f t="shared" ca="1" si="596"/>
        <v>-482.25887083179032</v>
      </c>
      <c r="V1176">
        <f t="shared" ca="1" si="597"/>
        <v>0</v>
      </c>
      <c r="W1176">
        <f t="shared" ca="1" si="576"/>
        <v>0.05</v>
      </c>
      <c r="X1176">
        <f t="shared" ca="1" si="577"/>
        <v>0.26</v>
      </c>
      <c r="Y1176">
        <f t="shared" ca="1" si="578"/>
        <v>4.9056603773584909E-2</v>
      </c>
      <c r="Z1176">
        <f t="shared" ca="1" si="579"/>
        <v>196.15384615384616</v>
      </c>
      <c r="AA1176">
        <f t="shared" ca="1" si="580"/>
        <v>632.09899999999993</v>
      </c>
      <c r="AB1176">
        <f t="shared" ca="1" si="581"/>
        <v>2593.176031648662</v>
      </c>
      <c r="AC1176">
        <f t="shared" ca="1" si="582"/>
        <v>482.07306851378365</v>
      </c>
      <c r="AD1176">
        <f t="shared" ca="1" si="583"/>
        <v>280.07692026646265</v>
      </c>
      <c r="AE1176">
        <f t="shared" ca="1" si="584"/>
        <v>1019.7665564573041</v>
      </c>
      <c r="AF1176">
        <f t="shared" ca="1" si="585"/>
        <v>482.07256851378361</v>
      </c>
      <c r="AG1176">
        <f t="shared" ca="1" si="586"/>
        <v>0</v>
      </c>
      <c r="AH1176">
        <f ca="1">IF(V32="Supercritical",L1176,IF(V32="Subcritical",W1176,IF(AND(V1176=1,AG1176=1),IF(T1176&gt;=AE1176,L1176,W1176),IF(V1176=1,L1176,IF(AG1176=1,W1176,MAX($D$16,POWER((ABS(K1176)^2)/($I$5*MAX(F1176,0.1)^2),1/3)))))))</f>
        <v>2.1403668656741068</v>
      </c>
      <c r="AI1176">
        <f t="shared" ca="1" si="587"/>
        <v>634.18936686567406</v>
      </c>
      <c r="AJ1176">
        <f t="shared" ca="1" si="588"/>
        <v>635.25955029851116</v>
      </c>
      <c r="AM1176">
        <v>0</v>
      </c>
      <c r="AN1176">
        <v>0</v>
      </c>
      <c r="AO1176">
        <f t="shared" si="589"/>
        <v>0</v>
      </c>
      <c r="AP1176">
        <f t="shared" si="598"/>
        <v>0</v>
      </c>
      <c r="AQ1176">
        <f t="shared" ca="1" si="590"/>
        <v>0.99999999999999978</v>
      </c>
      <c r="AR1176" t="str">
        <f t="shared" ca="1" si="591"/>
        <v>Supercritical</v>
      </c>
      <c r="AS1176">
        <f t="shared" ca="1" si="592"/>
        <v>3.8148159832266538E-3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191</v>
      </c>
      <c r="I1177">
        <v>0</v>
      </c>
      <c r="J1177">
        <f t="shared" si="593"/>
        <v>1</v>
      </c>
      <c r="K1177">
        <f t="shared" si="594"/>
        <v>51</v>
      </c>
      <c r="L1177">
        <f t="shared" ca="1" si="595"/>
        <v>0.05</v>
      </c>
      <c r="M1177">
        <f t="shared" ca="1" si="568"/>
        <v>0.26</v>
      </c>
      <c r="N1177">
        <f t="shared" ca="1" si="569"/>
        <v>4.9056603773584909E-2</v>
      </c>
      <c r="O1177">
        <f t="shared" ca="1" si="570"/>
        <v>196.15384615384616</v>
      </c>
      <c r="P1177">
        <f t="shared" ca="1" si="571"/>
        <v>632.09849999999994</v>
      </c>
      <c r="Q1177">
        <f t="shared" ca="1" si="572"/>
        <v>2593.1755316486619</v>
      </c>
      <c r="R1177">
        <f t="shared" ca="1" si="573"/>
        <v>482.07306851378365</v>
      </c>
      <c r="S1177">
        <f t="shared" ca="1" si="574"/>
        <v>280.07692026646265</v>
      </c>
      <c r="T1177">
        <f t="shared" ca="1" si="575"/>
        <v>1019.7665564573041</v>
      </c>
      <c r="U1177">
        <f t="shared" ca="1" si="596"/>
        <v>-482.07256851378361</v>
      </c>
      <c r="V1177">
        <f t="shared" ca="1" si="597"/>
        <v>0</v>
      </c>
      <c r="W1177">
        <f t="shared" ca="1" si="576"/>
        <v>0.05</v>
      </c>
      <c r="X1177">
        <f t="shared" ca="1" si="577"/>
        <v>0.26</v>
      </c>
      <c r="Y1177">
        <f t="shared" ca="1" si="578"/>
        <v>4.9056603773584909E-2</v>
      </c>
      <c r="Z1177">
        <f t="shared" ca="1" si="579"/>
        <v>196.15384615384616</v>
      </c>
      <c r="AA1177">
        <f t="shared" ca="1" si="580"/>
        <v>632.09849999999994</v>
      </c>
      <c r="AB1177">
        <f t="shared" ca="1" si="581"/>
        <v>2593.1755316486619</v>
      </c>
      <c r="AC1177">
        <f t="shared" ca="1" si="582"/>
        <v>482.07306851378365</v>
      </c>
      <c r="AD1177">
        <f t="shared" ca="1" si="583"/>
        <v>280.07692026646265</v>
      </c>
      <c r="AE1177">
        <f t="shared" ca="1" si="584"/>
        <v>1019.7665564573041</v>
      </c>
      <c r="AF1177">
        <f t="shared" ca="1" si="585"/>
        <v>482.07256851378406</v>
      </c>
      <c r="AG1177">
        <f t="shared" ca="1" si="586"/>
        <v>0</v>
      </c>
      <c r="AH1177">
        <f ca="1">IF(V32="Supercritical",L1177,IF(V32="Subcritical",W1177,IF(AND(V1177=1,AG1177=1),IF(T1177&gt;=AE1177,L1177,W1177),IF(V1177=1,L1177,IF(AG1177=1,W1177,MAX($D$16,POWER((ABS(K1177)^2)/($I$5*MAX(F1177,0.1)^2),1/3)))))))</f>
        <v>2.1403668656741068</v>
      </c>
      <c r="AI1177">
        <f t="shared" ca="1" si="587"/>
        <v>634.18886686567407</v>
      </c>
      <c r="AJ1177">
        <f t="shared" ca="1" si="588"/>
        <v>635.25905029851117</v>
      </c>
      <c r="AM1177">
        <v>0</v>
      </c>
      <c r="AN1177">
        <v>0</v>
      </c>
      <c r="AO1177">
        <f t="shared" si="589"/>
        <v>0</v>
      </c>
      <c r="AP1177">
        <f t="shared" si="598"/>
        <v>0</v>
      </c>
      <c r="AQ1177">
        <f t="shared" ca="1" si="590"/>
        <v>0.99999999999999978</v>
      </c>
      <c r="AR1177" t="str">
        <f t="shared" ca="1" si="591"/>
        <v>Supercritical</v>
      </c>
      <c r="AS1177">
        <f t="shared" ca="1" si="592"/>
        <v>3.8148159832266538E-3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191</v>
      </c>
      <c r="I1178">
        <v>0</v>
      </c>
      <c r="J1178">
        <f t="shared" si="593"/>
        <v>1</v>
      </c>
      <c r="K1178">
        <f t="shared" si="594"/>
        <v>51</v>
      </c>
      <c r="L1178">
        <f t="shared" ca="1" si="595"/>
        <v>0.05</v>
      </c>
      <c r="M1178">
        <f t="shared" ca="1" si="568"/>
        <v>0.26</v>
      </c>
      <c r="N1178">
        <f t="shared" ca="1" si="569"/>
        <v>4.9056603773584909E-2</v>
      </c>
      <c r="O1178">
        <f t="shared" ca="1" si="570"/>
        <v>196.15384615384616</v>
      </c>
      <c r="P1178">
        <f t="shared" ca="1" si="571"/>
        <v>632.09799999999996</v>
      </c>
      <c r="Q1178">
        <f t="shared" ca="1" si="572"/>
        <v>2593.1750316486623</v>
      </c>
      <c r="R1178">
        <f t="shared" ca="1" si="573"/>
        <v>482.07306851378365</v>
      </c>
      <c r="S1178">
        <f t="shared" ca="1" si="574"/>
        <v>280.07692026646265</v>
      </c>
      <c r="T1178">
        <f t="shared" ca="1" si="575"/>
        <v>1019.7665564573041</v>
      </c>
      <c r="U1178">
        <f t="shared" ca="1" si="596"/>
        <v>-482.07256851378406</v>
      </c>
      <c r="V1178">
        <f t="shared" ca="1" si="597"/>
        <v>0</v>
      </c>
      <c r="W1178">
        <f t="shared" ca="1" si="576"/>
        <v>0.05</v>
      </c>
      <c r="X1178">
        <f t="shared" ca="1" si="577"/>
        <v>0.26</v>
      </c>
      <c r="Y1178">
        <f t="shared" ca="1" si="578"/>
        <v>4.9056603773584909E-2</v>
      </c>
      <c r="Z1178">
        <f t="shared" ca="1" si="579"/>
        <v>196.15384615384616</v>
      </c>
      <c r="AA1178">
        <f t="shared" ca="1" si="580"/>
        <v>632.09799999999996</v>
      </c>
      <c r="AB1178">
        <f t="shared" ca="1" si="581"/>
        <v>2593.1750316486623</v>
      </c>
      <c r="AC1178">
        <f t="shared" ca="1" si="582"/>
        <v>482.07306851378365</v>
      </c>
      <c r="AD1178">
        <f t="shared" ca="1" si="583"/>
        <v>280.07692026646265</v>
      </c>
      <c r="AE1178">
        <f t="shared" ca="1" si="584"/>
        <v>1019.7665564573041</v>
      </c>
      <c r="AF1178">
        <f t="shared" ca="1" si="585"/>
        <v>482.25887083179032</v>
      </c>
      <c r="AG1178">
        <f t="shared" ca="1" si="586"/>
        <v>0</v>
      </c>
      <c r="AH1178">
        <f ca="1">IF(V32="Supercritical",L1178,IF(V32="Subcritical",W1178,IF(AND(V1178=1,AG1178=1),IF(T1178&gt;=AE1178,L1178,W1178),IF(V1178=1,L1178,IF(AG1178=1,W1178,MAX($D$16,POWER((ABS(K1178)^2)/($I$5*MAX(F1178,0.1)^2),1/3)))))))</f>
        <v>2.1403668656741068</v>
      </c>
      <c r="AI1178">
        <f t="shared" ca="1" si="587"/>
        <v>634.18836686567408</v>
      </c>
      <c r="AJ1178">
        <f t="shared" ca="1" si="588"/>
        <v>635.25855029851118</v>
      </c>
      <c r="AM1178">
        <v>0</v>
      </c>
      <c r="AN1178">
        <v>0</v>
      </c>
      <c r="AO1178">
        <f t="shared" si="589"/>
        <v>0</v>
      </c>
      <c r="AP1178">
        <f t="shared" si="598"/>
        <v>0</v>
      </c>
      <c r="AQ1178">
        <f t="shared" ca="1" si="590"/>
        <v>0.99999999999999978</v>
      </c>
      <c r="AR1178" t="str">
        <f t="shared" ca="1" si="591"/>
        <v>Supercritical</v>
      </c>
      <c r="AS1178">
        <f t="shared" ca="1" si="592"/>
        <v>3.8148159832266538E-3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191</v>
      </c>
      <c r="I1179">
        <v>5.7000000000000002E-2</v>
      </c>
      <c r="J1179">
        <f t="shared" si="593"/>
        <v>1</v>
      </c>
      <c r="K1179">
        <f t="shared" si="594"/>
        <v>51</v>
      </c>
      <c r="L1179">
        <f t="shared" ca="1" si="595"/>
        <v>0.05</v>
      </c>
      <c r="M1179">
        <f t="shared" ca="1" si="568"/>
        <v>0.26</v>
      </c>
      <c r="N1179">
        <f t="shared" ca="1" si="569"/>
        <v>4.9056603773584909E-2</v>
      </c>
      <c r="O1179">
        <f t="shared" ca="1" si="570"/>
        <v>196.15384615384616</v>
      </c>
      <c r="P1179">
        <f t="shared" ca="1" si="571"/>
        <v>632.09749999999997</v>
      </c>
      <c r="Q1179">
        <f t="shared" ca="1" si="572"/>
        <v>2593.1745316486622</v>
      </c>
      <c r="R1179">
        <f t="shared" ca="1" si="573"/>
        <v>482.07306851378365</v>
      </c>
      <c r="S1179">
        <f t="shared" ca="1" si="574"/>
        <v>280.07692026646265</v>
      </c>
      <c r="T1179">
        <f t="shared" ca="1" si="575"/>
        <v>1019.7665564573041</v>
      </c>
      <c r="U1179">
        <f t="shared" ca="1" si="596"/>
        <v>-482.25887083179032</v>
      </c>
      <c r="V1179">
        <f t="shared" ca="1" si="597"/>
        <v>0</v>
      </c>
      <c r="W1179">
        <f t="shared" ca="1" si="576"/>
        <v>0.05</v>
      </c>
      <c r="X1179">
        <f t="shared" ca="1" si="577"/>
        <v>0.26</v>
      </c>
      <c r="Y1179">
        <f t="shared" ca="1" si="578"/>
        <v>4.9056603773584909E-2</v>
      </c>
      <c r="Z1179">
        <f t="shared" ca="1" si="579"/>
        <v>196.15384615384616</v>
      </c>
      <c r="AA1179">
        <f t="shared" ca="1" si="580"/>
        <v>632.09749999999997</v>
      </c>
      <c r="AB1179">
        <f t="shared" ca="1" si="581"/>
        <v>2593.1745316486622</v>
      </c>
      <c r="AC1179">
        <f t="shared" ca="1" si="582"/>
        <v>482.07306851378365</v>
      </c>
      <c r="AD1179">
        <f t="shared" ca="1" si="583"/>
        <v>280.07692026646265</v>
      </c>
      <c r="AE1179">
        <f t="shared" ca="1" si="584"/>
        <v>1019.7665564573041</v>
      </c>
      <c r="AF1179">
        <f t="shared" ca="1" si="585"/>
        <v>482.26867621694828</v>
      </c>
      <c r="AG1179">
        <f t="shared" ca="1" si="586"/>
        <v>0</v>
      </c>
      <c r="AH1179">
        <f ca="1">IF(V32="Supercritical",L1179,IF(V32="Subcritical",W1179,IF(AND(V1179=1,AG1179=1),IF(T1179&gt;=AE1179,L1179,W1179),IF(V1179=1,L1179,IF(AG1179=1,W1179,MAX($D$16,POWER((ABS(K1179)^2)/($I$5*MAX(F1179,0.1)^2),1/3)))))))</f>
        <v>2.1403668656741068</v>
      </c>
      <c r="AI1179">
        <f t="shared" ca="1" si="587"/>
        <v>634.1878668656741</v>
      </c>
      <c r="AJ1179">
        <f t="shared" ca="1" si="588"/>
        <v>635.25805029851119</v>
      </c>
      <c r="AM1179">
        <v>0</v>
      </c>
      <c r="AN1179">
        <v>0</v>
      </c>
      <c r="AO1179">
        <f t="shared" si="589"/>
        <v>0</v>
      </c>
      <c r="AP1179">
        <f t="shared" si="598"/>
        <v>0</v>
      </c>
      <c r="AQ1179">
        <f t="shared" ca="1" si="590"/>
        <v>0.99999999999999978</v>
      </c>
      <c r="AR1179" t="str">
        <f t="shared" ca="1" si="591"/>
        <v>Supercritical</v>
      </c>
      <c r="AS1179">
        <f t="shared" ca="1" si="592"/>
        <v>3.8148159832266538E-3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191</v>
      </c>
      <c r="I1180">
        <v>0.06</v>
      </c>
      <c r="J1180">
        <f t="shared" si="593"/>
        <v>1</v>
      </c>
      <c r="K1180">
        <f t="shared" si="594"/>
        <v>51</v>
      </c>
      <c r="L1180">
        <f t="shared" ca="1" si="595"/>
        <v>0.05</v>
      </c>
      <c r="M1180">
        <f t="shared" ca="1" si="568"/>
        <v>0.26</v>
      </c>
      <c r="N1180">
        <f t="shared" ca="1" si="569"/>
        <v>4.9056603773584909E-2</v>
      </c>
      <c r="O1180">
        <f t="shared" ca="1" si="570"/>
        <v>196.15384615384616</v>
      </c>
      <c r="P1180">
        <f t="shared" ca="1" si="571"/>
        <v>632.09699999999998</v>
      </c>
      <c r="Q1180">
        <f t="shared" ca="1" si="572"/>
        <v>2593.1740316486621</v>
      </c>
      <c r="R1180">
        <f t="shared" ca="1" si="573"/>
        <v>482.07306851378365</v>
      </c>
      <c r="S1180">
        <f t="shared" ca="1" si="574"/>
        <v>280.07692026646265</v>
      </c>
      <c r="T1180">
        <f t="shared" ca="1" si="575"/>
        <v>1019.7665564573041</v>
      </c>
      <c r="U1180">
        <f t="shared" ca="1" si="596"/>
        <v>-482.26867621694828</v>
      </c>
      <c r="V1180">
        <f t="shared" ca="1" si="597"/>
        <v>0</v>
      </c>
      <c r="W1180">
        <f t="shared" ca="1" si="576"/>
        <v>0.05</v>
      </c>
      <c r="X1180">
        <f t="shared" ca="1" si="577"/>
        <v>0.26</v>
      </c>
      <c r="Y1180">
        <f t="shared" ca="1" si="578"/>
        <v>4.9056603773584909E-2</v>
      </c>
      <c r="Z1180">
        <f t="shared" ca="1" si="579"/>
        <v>196.15384615384616</v>
      </c>
      <c r="AA1180">
        <f t="shared" ca="1" si="580"/>
        <v>632.09699999999998</v>
      </c>
      <c r="AB1180">
        <f t="shared" ca="1" si="581"/>
        <v>2593.1740316486621</v>
      </c>
      <c r="AC1180">
        <f t="shared" ca="1" si="582"/>
        <v>482.07306851378365</v>
      </c>
      <c r="AD1180">
        <f t="shared" ca="1" si="583"/>
        <v>280.07692026646265</v>
      </c>
      <c r="AE1180">
        <f t="shared" ca="1" si="584"/>
        <v>1019.7665564573041</v>
      </c>
      <c r="AF1180">
        <f t="shared" ca="1" si="585"/>
        <v>482.5611785058345</v>
      </c>
      <c r="AG1180">
        <f t="shared" ca="1" si="586"/>
        <v>0</v>
      </c>
      <c r="AH1180">
        <f ca="1">IF(V32="Supercritical",L1180,IF(V32="Subcritical",W1180,IF(AND(V1180=1,AG1180=1),IF(T1180&gt;=AE1180,L1180,W1180),IF(V1180=1,L1180,IF(AG1180=1,W1180,MAX($D$16,POWER((ABS(K1180)^2)/($I$5*MAX(F1180,0.1)^2),1/3)))))))</f>
        <v>2.1403668656741068</v>
      </c>
      <c r="AI1180">
        <f t="shared" ca="1" si="587"/>
        <v>634.18736686567411</v>
      </c>
      <c r="AJ1180">
        <f t="shared" ca="1" si="588"/>
        <v>635.25755029851121</v>
      </c>
      <c r="AM1180">
        <v>0</v>
      </c>
      <c r="AN1180">
        <v>0</v>
      </c>
      <c r="AO1180">
        <f t="shared" si="589"/>
        <v>0</v>
      </c>
      <c r="AP1180">
        <f t="shared" si="598"/>
        <v>0</v>
      </c>
      <c r="AQ1180">
        <f t="shared" ca="1" si="590"/>
        <v>0.99999999999999978</v>
      </c>
      <c r="AR1180" t="str">
        <f t="shared" ca="1" si="591"/>
        <v>Supercritical</v>
      </c>
      <c r="AS1180">
        <f t="shared" ca="1" si="592"/>
        <v>3.8148159832266538E-3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191</v>
      </c>
      <c r="I1181">
        <v>2E-3</v>
      </c>
      <c r="J1181">
        <f t="shared" si="593"/>
        <v>1.0010000000002037</v>
      </c>
      <c r="K1181">
        <f t="shared" si="594"/>
        <v>51</v>
      </c>
      <c r="L1181">
        <f t="shared" ca="1" si="595"/>
        <v>0.05</v>
      </c>
      <c r="M1181">
        <f t="shared" ca="1" si="568"/>
        <v>0.26</v>
      </c>
      <c r="N1181">
        <f t="shared" ca="1" si="569"/>
        <v>4.9056603773584909E-2</v>
      </c>
      <c r="O1181">
        <f t="shared" ca="1" si="570"/>
        <v>196.15384615384616</v>
      </c>
      <c r="P1181">
        <f t="shared" ca="1" si="571"/>
        <v>632.09649999999999</v>
      </c>
      <c r="Q1181">
        <f t="shared" ca="1" si="572"/>
        <v>2593.173531648662</v>
      </c>
      <c r="R1181">
        <f t="shared" ca="1" si="573"/>
        <v>482.07306851378365</v>
      </c>
      <c r="S1181">
        <f t="shared" ca="1" si="574"/>
        <v>280.07692026646265</v>
      </c>
      <c r="T1181">
        <f t="shared" ca="1" si="575"/>
        <v>1019.7665564573041</v>
      </c>
      <c r="U1181">
        <f t="shared" ca="1" si="596"/>
        <v>-482.5611785058345</v>
      </c>
      <c r="V1181">
        <f t="shared" ca="1" si="597"/>
        <v>0</v>
      </c>
      <c r="W1181">
        <f t="shared" ca="1" si="576"/>
        <v>0.05</v>
      </c>
      <c r="X1181">
        <f t="shared" ca="1" si="577"/>
        <v>0.26</v>
      </c>
      <c r="Y1181">
        <f t="shared" ca="1" si="578"/>
        <v>4.9056603773584909E-2</v>
      </c>
      <c r="Z1181">
        <f t="shared" ca="1" si="579"/>
        <v>196.15384615384616</v>
      </c>
      <c r="AA1181">
        <f t="shared" ca="1" si="580"/>
        <v>632.09649999999999</v>
      </c>
      <c r="AB1181">
        <f t="shared" ca="1" si="581"/>
        <v>2593.173531648662</v>
      </c>
      <c r="AC1181">
        <f t="shared" ca="1" si="582"/>
        <v>482.07306851378365</v>
      </c>
      <c r="AD1181">
        <f t="shared" ca="1" si="583"/>
        <v>280.07692026646265</v>
      </c>
      <c r="AE1181">
        <f t="shared" ca="1" si="584"/>
        <v>1019.7665564573041</v>
      </c>
      <c r="AF1181">
        <f t="shared" ca="1" si="585"/>
        <v>482.25887083179032</v>
      </c>
      <c r="AG1181">
        <f t="shared" ca="1" si="586"/>
        <v>0</v>
      </c>
      <c r="AH1181">
        <f ca="1">IF(V32="Supercritical",L1181,IF(V32="Subcritical",W1181,IF(AND(V1181=1,AG1181=1),IF(T1181&gt;=AE1181,L1181,W1181),IF(V1181=1,L1181,IF(AG1181=1,W1181,MAX($D$16,POWER((ABS(K1181)^2)/($I$5*MAX(F1181,0.1)^2),1/3)))))))</f>
        <v>2.1403668656741068</v>
      </c>
      <c r="AI1181">
        <f t="shared" ca="1" si="587"/>
        <v>634.18686686567412</v>
      </c>
      <c r="AJ1181">
        <f t="shared" ca="1" si="588"/>
        <v>635.25705029851122</v>
      </c>
      <c r="AM1181">
        <v>0</v>
      </c>
      <c r="AN1181">
        <v>0</v>
      </c>
      <c r="AO1181">
        <f t="shared" si="589"/>
        <v>0</v>
      </c>
      <c r="AP1181">
        <f t="shared" si="598"/>
        <v>0</v>
      </c>
      <c r="AQ1181">
        <f t="shared" ca="1" si="590"/>
        <v>0.99999999999999978</v>
      </c>
      <c r="AR1181" t="str">
        <f t="shared" ca="1" si="591"/>
        <v>Supercritical</v>
      </c>
      <c r="AS1181">
        <f t="shared" ca="1" si="592"/>
        <v>3.8148159832266538E-3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191</v>
      </c>
      <c r="I1182">
        <v>5.7000000000000002E-2</v>
      </c>
      <c r="J1182">
        <f t="shared" si="593"/>
        <v>1</v>
      </c>
      <c r="K1182">
        <f t="shared" si="594"/>
        <v>51</v>
      </c>
      <c r="L1182">
        <f t="shared" ca="1" si="595"/>
        <v>0.05</v>
      </c>
      <c r="M1182">
        <f t="shared" ca="1" si="568"/>
        <v>0.26</v>
      </c>
      <c r="N1182">
        <f t="shared" ca="1" si="569"/>
        <v>4.9056603773584909E-2</v>
      </c>
      <c r="O1182">
        <f t="shared" ca="1" si="570"/>
        <v>196.15384615384616</v>
      </c>
      <c r="P1182">
        <f t="shared" ca="1" si="571"/>
        <v>632.096</v>
      </c>
      <c r="Q1182">
        <f t="shared" ca="1" si="572"/>
        <v>2593.1730316486619</v>
      </c>
      <c r="R1182">
        <f t="shared" ca="1" si="573"/>
        <v>482.07306851378365</v>
      </c>
      <c r="S1182">
        <f t="shared" ca="1" si="574"/>
        <v>280.07692026646265</v>
      </c>
      <c r="T1182">
        <f t="shared" ca="1" si="575"/>
        <v>1019.7665564573041</v>
      </c>
      <c r="U1182">
        <f t="shared" ca="1" si="596"/>
        <v>-482.25887083179032</v>
      </c>
      <c r="V1182">
        <f t="shared" ca="1" si="597"/>
        <v>0</v>
      </c>
      <c r="W1182">
        <f t="shared" ca="1" si="576"/>
        <v>0.05</v>
      </c>
      <c r="X1182">
        <f t="shared" ca="1" si="577"/>
        <v>0.26</v>
      </c>
      <c r="Y1182">
        <f t="shared" ca="1" si="578"/>
        <v>4.9056603773584909E-2</v>
      </c>
      <c r="Z1182">
        <f t="shared" ca="1" si="579"/>
        <v>196.15384615384616</v>
      </c>
      <c r="AA1182">
        <f t="shared" ca="1" si="580"/>
        <v>632.096</v>
      </c>
      <c r="AB1182">
        <f t="shared" ca="1" si="581"/>
        <v>2593.1730316486619</v>
      </c>
      <c r="AC1182">
        <f t="shared" ca="1" si="582"/>
        <v>482.07306851378365</v>
      </c>
      <c r="AD1182">
        <f t="shared" ca="1" si="583"/>
        <v>280.07692026646265</v>
      </c>
      <c r="AE1182">
        <f t="shared" ca="1" si="584"/>
        <v>1019.7665564573041</v>
      </c>
      <c r="AF1182">
        <f t="shared" ca="1" si="585"/>
        <v>482.25887083179032</v>
      </c>
      <c r="AG1182">
        <f t="shared" ca="1" si="586"/>
        <v>0</v>
      </c>
      <c r="AH1182">
        <f ca="1">IF(V32="Supercritical",L1182,IF(V32="Subcritical",W1182,IF(AND(V1182=1,AG1182=1),IF(T1182&gt;=AE1182,L1182,W1182),IF(V1182=1,L1182,IF(AG1182=1,W1182,MAX($D$16,POWER((ABS(K1182)^2)/($I$5*MAX(F1182,0.1)^2),1/3)))))))</f>
        <v>2.1403668656741068</v>
      </c>
      <c r="AI1182">
        <f t="shared" ca="1" si="587"/>
        <v>634.18636686567413</v>
      </c>
      <c r="AJ1182">
        <f t="shared" ca="1" si="588"/>
        <v>635.25655029851123</v>
      </c>
      <c r="AM1182">
        <v>0</v>
      </c>
      <c r="AN1182">
        <v>0</v>
      </c>
      <c r="AO1182">
        <f t="shared" si="589"/>
        <v>0</v>
      </c>
      <c r="AP1182">
        <f t="shared" si="598"/>
        <v>0</v>
      </c>
      <c r="AQ1182">
        <f t="shared" ca="1" si="590"/>
        <v>0.99999999999999978</v>
      </c>
      <c r="AR1182" t="str">
        <f t="shared" ca="1" si="591"/>
        <v>Supercritical</v>
      </c>
      <c r="AS1182">
        <f t="shared" ca="1" si="592"/>
        <v>3.8148159832266538E-3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191</v>
      </c>
      <c r="I1183">
        <v>5.7000000000000002E-2</v>
      </c>
      <c r="J1183">
        <f t="shared" si="593"/>
        <v>1</v>
      </c>
      <c r="K1183">
        <f t="shared" si="594"/>
        <v>51</v>
      </c>
      <c r="L1183">
        <f t="shared" ca="1" si="595"/>
        <v>0.05</v>
      </c>
      <c r="M1183">
        <f t="shared" ca="1" si="568"/>
        <v>0.26</v>
      </c>
      <c r="N1183">
        <f t="shared" ca="1" si="569"/>
        <v>4.9056603773584909E-2</v>
      </c>
      <c r="O1183">
        <f t="shared" ca="1" si="570"/>
        <v>196.15384615384616</v>
      </c>
      <c r="P1183">
        <f t="shared" ca="1" si="571"/>
        <v>632.0954999999999</v>
      </c>
      <c r="Q1183">
        <f t="shared" ca="1" si="572"/>
        <v>2593.1725316486618</v>
      </c>
      <c r="R1183">
        <f t="shared" ca="1" si="573"/>
        <v>482.07306851378365</v>
      </c>
      <c r="S1183">
        <f t="shared" ca="1" si="574"/>
        <v>280.07692026646265</v>
      </c>
      <c r="T1183">
        <f t="shared" ca="1" si="575"/>
        <v>1019.7665564573041</v>
      </c>
      <c r="U1183">
        <f t="shared" ca="1" si="596"/>
        <v>-482.25887083179032</v>
      </c>
      <c r="V1183">
        <f t="shared" ca="1" si="597"/>
        <v>0</v>
      </c>
      <c r="W1183">
        <f t="shared" ca="1" si="576"/>
        <v>0.05</v>
      </c>
      <c r="X1183">
        <f t="shared" ca="1" si="577"/>
        <v>0.26</v>
      </c>
      <c r="Y1183">
        <f t="shared" ca="1" si="578"/>
        <v>4.9056603773584909E-2</v>
      </c>
      <c r="Z1183">
        <f t="shared" ca="1" si="579"/>
        <v>196.15384615384616</v>
      </c>
      <c r="AA1183">
        <f t="shared" ca="1" si="580"/>
        <v>632.0954999999999</v>
      </c>
      <c r="AB1183">
        <f t="shared" ca="1" si="581"/>
        <v>2593.1725316486618</v>
      </c>
      <c r="AC1183">
        <f t="shared" ca="1" si="582"/>
        <v>482.07306851378365</v>
      </c>
      <c r="AD1183">
        <f t="shared" ca="1" si="583"/>
        <v>280.07692026646265</v>
      </c>
      <c r="AE1183">
        <f t="shared" ca="1" si="584"/>
        <v>1019.7665564573041</v>
      </c>
      <c r="AF1183">
        <f t="shared" ca="1" si="585"/>
        <v>481.59049544517211</v>
      </c>
      <c r="AG1183">
        <f t="shared" ca="1" si="586"/>
        <v>0</v>
      </c>
      <c r="AH1183">
        <f ca="1">IF(V32="Supercritical",L1183,IF(V32="Subcritical",W1183,IF(AND(V1183=1,AG1183=1),IF(T1183&gt;=AE1183,L1183,W1183),IF(V1183=1,L1183,IF(AG1183=1,W1183,MAX($D$16,POWER((ABS(K1183)^2)/($I$5*MAX(F1183,0.1)^2),1/3)))))))</f>
        <v>2.1403668656741068</v>
      </c>
      <c r="AI1183">
        <f t="shared" ca="1" si="587"/>
        <v>634.18586686567403</v>
      </c>
      <c r="AJ1183">
        <f t="shared" ca="1" si="588"/>
        <v>635.25605029851113</v>
      </c>
      <c r="AM1183">
        <v>0</v>
      </c>
      <c r="AN1183">
        <v>0</v>
      </c>
      <c r="AO1183">
        <f t="shared" si="589"/>
        <v>0</v>
      </c>
      <c r="AP1183">
        <f t="shared" si="598"/>
        <v>0</v>
      </c>
      <c r="AQ1183">
        <f t="shared" ca="1" si="590"/>
        <v>0.99999999999999978</v>
      </c>
      <c r="AR1183" t="str">
        <f t="shared" ca="1" si="591"/>
        <v>Supercritical</v>
      </c>
      <c r="AS1183">
        <f t="shared" ca="1" si="592"/>
        <v>3.8148159832266538E-3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191</v>
      </c>
      <c r="I1184">
        <v>0</v>
      </c>
      <c r="J1184">
        <f t="shared" si="593"/>
        <v>0.99899999999979627</v>
      </c>
      <c r="K1184">
        <f t="shared" si="594"/>
        <v>51</v>
      </c>
      <c r="L1184">
        <f t="shared" ca="1" si="595"/>
        <v>0.05</v>
      </c>
      <c r="M1184">
        <f t="shared" ca="1" si="568"/>
        <v>0.26</v>
      </c>
      <c r="N1184">
        <f t="shared" ca="1" si="569"/>
        <v>4.9056603773584909E-2</v>
      </c>
      <c r="O1184">
        <f t="shared" ca="1" si="570"/>
        <v>196.15384615384616</v>
      </c>
      <c r="P1184">
        <f t="shared" ca="1" si="571"/>
        <v>632.09499999999991</v>
      </c>
      <c r="Q1184">
        <f t="shared" ca="1" si="572"/>
        <v>2593.1720316486621</v>
      </c>
      <c r="R1184">
        <f t="shared" ca="1" si="573"/>
        <v>482.07306851378365</v>
      </c>
      <c r="S1184">
        <f t="shared" ca="1" si="574"/>
        <v>280.07692026646265</v>
      </c>
      <c r="T1184">
        <f t="shared" ca="1" si="575"/>
        <v>1019.7665564573041</v>
      </c>
      <c r="U1184">
        <f t="shared" ca="1" si="596"/>
        <v>-481.59049544517211</v>
      </c>
      <c r="V1184">
        <f t="shared" ca="1" si="597"/>
        <v>0</v>
      </c>
      <c r="W1184">
        <f t="shared" ca="1" si="576"/>
        <v>0.05</v>
      </c>
      <c r="X1184">
        <f t="shared" ca="1" si="577"/>
        <v>0.26</v>
      </c>
      <c r="Y1184">
        <f t="shared" ca="1" si="578"/>
        <v>4.9056603773584909E-2</v>
      </c>
      <c r="Z1184">
        <f t="shared" ca="1" si="579"/>
        <v>196.15384615384616</v>
      </c>
      <c r="AA1184">
        <f t="shared" ca="1" si="580"/>
        <v>632.09499999999991</v>
      </c>
      <c r="AB1184">
        <f t="shared" ca="1" si="581"/>
        <v>2593.1720316486621</v>
      </c>
      <c r="AC1184">
        <f t="shared" ca="1" si="582"/>
        <v>482.07306851378365</v>
      </c>
      <c r="AD1184">
        <f t="shared" ca="1" si="583"/>
        <v>280.07692026646265</v>
      </c>
      <c r="AE1184">
        <f t="shared" ca="1" si="584"/>
        <v>1019.7665564573041</v>
      </c>
      <c r="AF1184">
        <f t="shared" ca="1" si="585"/>
        <v>482.07256851378361</v>
      </c>
      <c r="AG1184">
        <f t="shared" ca="1" si="586"/>
        <v>0</v>
      </c>
      <c r="AH1184">
        <f ca="1">IF(V32="Supercritical",L1184,IF(V32="Subcritical",W1184,IF(AND(V1184=1,AG1184=1),IF(T1184&gt;=AE1184,L1184,W1184),IF(V1184=1,L1184,IF(AG1184=1,W1184,MAX($D$16,POWER((ABS(K1184)^2)/($I$5*MAX(F1184,0.1)^2),1/3)))))))</f>
        <v>2.1403668656741068</v>
      </c>
      <c r="AI1184">
        <f t="shared" ca="1" si="587"/>
        <v>634.18536686567404</v>
      </c>
      <c r="AJ1184">
        <f t="shared" ca="1" si="588"/>
        <v>635.25555029851114</v>
      </c>
      <c r="AM1184">
        <v>0</v>
      </c>
      <c r="AN1184">
        <v>0</v>
      </c>
      <c r="AO1184">
        <f t="shared" si="589"/>
        <v>0</v>
      </c>
      <c r="AP1184">
        <f t="shared" si="598"/>
        <v>0</v>
      </c>
      <c r="AQ1184">
        <f t="shared" ca="1" si="590"/>
        <v>0.99999999999999978</v>
      </c>
      <c r="AR1184" t="str">
        <f t="shared" ca="1" si="591"/>
        <v>Supercritical</v>
      </c>
      <c r="AS1184">
        <f t="shared" ca="1" si="592"/>
        <v>3.8148159832266538E-3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191</v>
      </c>
      <c r="I1185">
        <v>0</v>
      </c>
      <c r="J1185">
        <f t="shared" si="593"/>
        <v>1</v>
      </c>
      <c r="K1185">
        <f t="shared" si="594"/>
        <v>51</v>
      </c>
      <c r="L1185">
        <f t="shared" ca="1" si="595"/>
        <v>0.05</v>
      </c>
      <c r="M1185">
        <f t="shared" ca="1" si="568"/>
        <v>0.26</v>
      </c>
      <c r="N1185">
        <f t="shared" ca="1" si="569"/>
        <v>4.9056603773584909E-2</v>
      </c>
      <c r="O1185">
        <f t="shared" ca="1" si="570"/>
        <v>196.15384615384616</v>
      </c>
      <c r="P1185">
        <f t="shared" ca="1" si="571"/>
        <v>632.09449999999993</v>
      </c>
      <c r="Q1185">
        <f t="shared" ca="1" si="572"/>
        <v>2593.171531648662</v>
      </c>
      <c r="R1185">
        <f t="shared" ca="1" si="573"/>
        <v>482.07306851378365</v>
      </c>
      <c r="S1185">
        <f t="shared" ca="1" si="574"/>
        <v>280.07692026646265</v>
      </c>
      <c r="T1185">
        <f t="shared" ca="1" si="575"/>
        <v>1019.7665564573041</v>
      </c>
      <c r="U1185">
        <f t="shared" ca="1" si="596"/>
        <v>-482.07256851378361</v>
      </c>
      <c r="V1185">
        <f t="shared" ca="1" si="597"/>
        <v>0</v>
      </c>
      <c r="W1185">
        <f t="shared" ca="1" si="576"/>
        <v>0.05</v>
      </c>
      <c r="X1185">
        <f t="shared" ca="1" si="577"/>
        <v>0.26</v>
      </c>
      <c r="Y1185">
        <f t="shared" ca="1" si="578"/>
        <v>4.9056603773584909E-2</v>
      </c>
      <c r="Z1185">
        <f t="shared" ca="1" si="579"/>
        <v>196.15384615384616</v>
      </c>
      <c r="AA1185">
        <f t="shared" ca="1" si="580"/>
        <v>632.09449999999993</v>
      </c>
      <c r="AB1185">
        <f t="shared" ca="1" si="581"/>
        <v>2593.171531648662</v>
      </c>
      <c r="AC1185">
        <f t="shared" ca="1" si="582"/>
        <v>482.07306851378365</v>
      </c>
      <c r="AD1185">
        <f t="shared" ca="1" si="583"/>
        <v>280.07692026646265</v>
      </c>
      <c r="AE1185">
        <f t="shared" ca="1" si="584"/>
        <v>1019.7665564573041</v>
      </c>
      <c r="AF1185">
        <f t="shared" ca="1" si="585"/>
        <v>482.25887083179032</v>
      </c>
      <c r="AG1185">
        <f t="shared" ca="1" si="586"/>
        <v>0</v>
      </c>
      <c r="AH1185">
        <f ca="1">IF(V32="Supercritical",L1185,IF(V32="Subcritical",W1185,IF(AND(V1185=1,AG1185=1),IF(T1185&gt;=AE1185,L1185,W1185),IF(V1185=1,L1185,IF(AG1185=1,W1185,MAX($D$16,POWER((ABS(K1185)^2)/($I$5*MAX(F1185,0.1)^2),1/3)))))))</f>
        <v>2.1403668656741068</v>
      </c>
      <c r="AI1185">
        <f t="shared" ca="1" si="587"/>
        <v>634.18486686567405</v>
      </c>
      <c r="AJ1185">
        <f t="shared" ca="1" si="588"/>
        <v>635.25505029851115</v>
      </c>
      <c r="AM1185">
        <v>0</v>
      </c>
      <c r="AN1185">
        <v>0</v>
      </c>
      <c r="AO1185">
        <f t="shared" si="589"/>
        <v>0</v>
      </c>
      <c r="AP1185">
        <f t="shared" si="598"/>
        <v>0</v>
      </c>
      <c r="AQ1185">
        <f t="shared" ca="1" si="590"/>
        <v>0.99999999999999978</v>
      </c>
      <c r="AR1185" t="str">
        <f t="shared" ca="1" si="591"/>
        <v>Supercritical</v>
      </c>
      <c r="AS1185">
        <f t="shared" ca="1" si="592"/>
        <v>3.8148159832266538E-3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191</v>
      </c>
      <c r="I1186">
        <v>5.7000000000000002E-2</v>
      </c>
      <c r="J1186">
        <f t="shared" si="593"/>
        <v>1</v>
      </c>
      <c r="K1186">
        <f t="shared" si="594"/>
        <v>51</v>
      </c>
      <c r="L1186">
        <f t="shared" ca="1" si="595"/>
        <v>0.05</v>
      </c>
      <c r="M1186">
        <f t="shared" ca="1" si="568"/>
        <v>0.26</v>
      </c>
      <c r="N1186">
        <f t="shared" ca="1" si="569"/>
        <v>4.9056603773584909E-2</v>
      </c>
      <c r="O1186">
        <f t="shared" ca="1" si="570"/>
        <v>196.15384615384616</v>
      </c>
      <c r="P1186">
        <f t="shared" ca="1" si="571"/>
        <v>632.09399999999994</v>
      </c>
      <c r="Q1186">
        <f t="shared" ca="1" si="572"/>
        <v>2593.1710316486619</v>
      </c>
      <c r="R1186">
        <f t="shared" ca="1" si="573"/>
        <v>482.07306851378365</v>
      </c>
      <c r="S1186">
        <f t="shared" ca="1" si="574"/>
        <v>280.07692026646265</v>
      </c>
      <c r="T1186">
        <f t="shared" ca="1" si="575"/>
        <v>1019.7665564573041</v>
      </c>
      <c r="U1186">
        <f t="shared" ca="1" si="596"/>
        <v>-482.25887083179032</v>
      </c>
      <c r="V1186">
        <f t="shared" ca="1" si="597"/>
        <v>0</v>
      </c>
      <c r="W1186">
        <f t="shared" ca="1" si="576"/>
        <v>0.05</v>
      </c>
      <c r="X1186">
        <f t="shared" ca="1" si="577"/>
        <v>0.26</v>
      </c>
      <c r="Y1186">
        <f t="shared" ca="1" si="578"/>
        <v>4.9056603773584909E-2</v>
      </c>
      <c r="Z1186">
        <f t="shared" ca="1" si="579"/>
        <v>196.15384615384616</v>
      </c>
      <c r="AA1186">
        <f t="shared" ca="1" si="580"/>
        <v>632.09399999999994</v>
      </c>
      <c r="AB1186">
        <f t="shared" ca="1" si="581"/>
        <v>2593.1710316486619</v>
      </c>
      <c r="AC1186">
        <f t="shared" ca="1" si="582"/>
        <v>482.07306851378365</v>
      </c>
      <c r="AD1186">
        <f t="shared" ca="1" si="583"/>
        <v>280.07692026646265</v>
      </c>
      <c r="AE1186">
        <f t="shared" ca="1" si="584"/>
        <v>1019.7665564573041</v>
      </c>
      <c r="AF1186">
        <f t="shared" ca="1" si="585"/>
        <v>482.25887083179077</v>
      </c>
      <c r="AG1186">
        <f t="shared" ca="1" si="586"/>
        <v>0</v>
      </c>
      <c r="AH1186">
        <f ca="1">IF(V32="Supercritical",L1186,IF(V32="Subcritical",W1186,IF(AND(V1186=1,AG1186=1),IF(T1186&gt;=AE1186,L1186,W1186),IF(V1186=1,L1186,IF(AG1186=1,W1186,MAX($D$16,POWER((ABS(K1186)^2)/($I$5*MAX(F1186,0.1)^2),1/3)))))))</f>
        <v>2.1403668656741068</v>
      </c>
      <c r="AI1186">
        <f t="shared" ca="1" si="587"/>
        <v>634.18436686567406</v>
      </c>
      <c r="AJ1186">
        <f t="shared" ca="1" si="588"/>
        <v>635.25455029851116</v>
      </c>
      <c r="AM1186">
        <v>0</v>
      </c>
      <c r="AN1186">
        <v>0</v>
      </c>
      <c r="AO1186">
        <f t="shared" si="589"/>
        <v>0</v>
      </c>
      <c r="AP1186">
        <f t="shared" si="598"/>
        <v>0</v>
      </c>
      <c r="AQ1186">
        <f t="shared" ca="1" si="590"/>
        <v>0.99999999999999978</v>
      </c>
      <c r="AR1186" t="str">
        <f t="shared" ca="1" si="591"/>
        <v>Supercritical</v>
      </c>
      <c r="AS1186">
        <f t="shared" ca="1" si="592"/>
        <v>3.8148159832266538E-3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191</v>
      </c>
      <c r="I1187">
        <v>5.7000000000000002E-2</v>
      </c>
      <c r="J1187">
        <f t="shared" si="593"/>
        <v>1</v>
      </c>
      <c r="K1187">
        <f t="shared" si="594"/>
        <v>51</v>
      </c>
      <c r="L1187">
        <f t="shared" ca="1" si="595"/>
        <v>0.05</v>
      </c>
      <c r="M1187">
        <f t="shared" ca="1" si="568"/>
        <v>0.26</v>
      </c>
      <c r="N1187">
        <f t="shared" ca="1" si="569"/>
        <v>4.9056603773584909E-2</v>
      </c>
      <c r="O1187">
        <f t="shared" ca="1" si="570"/>
        <v>196.15384615384616</v>
      </c>
      <c r="P1187">
        <f t="shared" ca="1" si="571"/>
        <v>632.09349999999995</v>
      </c>
      <c r="Q1187">
        <f t="shared" ca="1" si="572"/>
        <v>2593.1705316486623</v>
      </c>
      <c r="R1187">
        <f t="shared" ca="1" si="573"/>
        <v>482.07306851378365</v>
      </c>
      <c r="S1187">
        <f t="shared" ca="1" si="574"/>
        <v>280.07692026646265</v>
      </c>
      <c r="T1187">
        <f t="shared" ca="1" si="575"/>
        <v>1019.7665564573041</v>
      </c>
      <c r="U1187">
        <f t="shared" ca="1" si="596"/>
        <v>-482.25887083179077</v>
      </c>
      <c r="V1187">
        <f t="shared" ca="1" si="597"/>
        <v>0</v>
      </c>
      <c r="W1187">
        <f t="shared" ca="1" si="576"/>
        <v>0.05</v>
      </c>
      <c r="X1187">
        <f t="shared" ca="1" si="577"/>
        <v>0.26</v>
      </c>
      <c r="Y1187">
        <f t="shared" ca="1" si="578"/>
        <v>4.9056603773584909E-2</v>
      </c>
      <c r="Z1187">
        <f t="shared" ca="1" si="579"/>
        <v>196.15384615384616</v>
      </c>
      <c r="AA1187">
        <f t="shared" ca="1" si="580"/>
        <v>632.09349999999995</v>
      </c>
      <c r="AB1187">
        <f t="shared" ca="1" si="581"/>
        <v>2593.1705316486623</v>
      </c>
      <c r="AC1187">
        <f t="shared" ca="1" si="582"/>
        <v>482.07306851378365</v>
      </c>
      <c r="AD1187">
        <f t="shared" ca="1" si="583"/>
        <v>280.07692026646265</v>
      </c>
      <c r="AE1187">
        <f t="shared" ca="1" si="584"/>
        <v>1019.7665564573041</v>
      </c>
      <c r="AF1187">
        <f t="shared" ca="1" si="585"/>
        <v>482.07256851378361</v>
      </c>
      <c r="AG1187">
        <f t="shared" ca="1" si="586"/>
        <v>0</v>
      </c>
      <c r="AH1187">
        <f ca="1">IF(V32="Supercritical",L1187,IF(V32="Subcritical",W1187,IF(AND(V1187=1,AG1187=1),IF(T1187&gt;=AE1187,L1187,W1187),IF(V1187=1,L1187,IF(AG1187=1,W1187,MAX($D$16,POWER((ABS(K1187)^2)/($I$5*MAX(F1187,0.1)^2),1/3)))))))</f>
        <v>2.1403668656741068</v>
      </c>
      <c r="AI1187">
        <f t="shared" ca="1" si="587"/>
        <v>634.18386686567408</v>
      </c>
      <c r="AJ1187">
        <f t="shared" ca="1" si="588"/>
        <v>635.25405029851117</v>
      </c>
      <c r="AM1187">
        <v>0</v>
      </c>
      <c r="AN1187">
        <v>0</v>
      </c>
      <c r="AO1187">
        <f t="shared" si="589"/>
        <v>0</v>
      </c>
      <c r="AP1187">
        <f t="shared" si="598"/>
        <v>0</v>
      </c>
      <c r="AQ1187">
        <f t="shared" ca="1" si="590"/>
        <v>0.99999999999999978</v>
      </c>
      <c r="AR1187" t="str">
        <f t="shared" ca="1" si="591"/>
        <v>Supercritical</v>
      </c>
      <c r="AS1187">
        <f t="shared" ca="1" si="592"/>
        <v>3.8148159832266538E-3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191</v>
      </c>
      <c r="I1188">
        <v>0</v>
      </c>
      <c r="J1188">
        <f t="shared" si="593"/>
        <v>1</v>
      </c>
      <c r="K1188">
        <f t="shared" si="594"/>
        <v>51</v>
      </c>
      <c r="L1188">
        <f t="shared" ca="1" si="595"/>
        <v>0.05</v>
      </c>
      <c r="M1188">
        <f t="shared" ca="1" si="568"/>
        <v>0.26</v>
      </c>
      <c r="N1188">
        <f t="shared" ca="1" si="569"/>
        <v>4.9056603773584909E-2</v>
      </c>
      <c r="O1188">
        <f t="shared" ca="1" si="570"/>
        <v>196.15384615384616</v>
      </c>
      <c r="P1188">
        <f t="shared" ca="1" si="571"/>
        <v>632.09299999999996</v>
      </c>
      <c r="Q1188">
        <f t="shared" ca="1" si="572"/>
        <v>2593.1700316486622</v>
      </c>
      <c r="R1188">
        <f t="shared" ca="1" si="573"/>
        <v>482.07306851378365</v>
      </c>
      <c r="S1188">
        <f t="shared" ca="1" si="574"/>
        <v>280.07692026646265</v>
      </c>
      <c r="T1188">
        <f t="shared" ca="1" si="575"/>
        <v>1019.7665564573041</v>
      </c>
      <c r="U1188">
        <f t="shared" ca="1" si="596"/>
        <v>-482.07256851378361</v>
      </c>
      <c r="V1188">
        <f t="shared" ca="1" si="597"/>
        <v>0</v>
      </c>
      <c r="W1188">
        <f t="shared" ca="1" si="576"/>
        <v>0.05</v>
      </c>
      <c r="X1188">
        <f t="shared" ca="1" si="577"/>
        <v>0.26</v>
      </c>
      <c r="Y1188">
        <f t="shared" ca="1" si="578"/>
        <v>4.9056603773584909E-2</v>
      </c>
      <c r="Z1188">
        <f t="shared" ca="1" si="579"/>
        <v>196.15384615384616</v>
      </c>
      <c r="AA1188">
        <f t="shared" ca="1" si="580"/>
        <v>632.09299999999996</v>
      </c>
      <c r="AB1188">
        <f t="shared" ca="1" si="581"/>
        <v>2593.1700316486622</v>
      </c>
      <c r="AC1188">
        <f t="shared" ca="1" si="582"/>
        <v>482.07306851378365</v>
      </c>
      <c r="AD1188">
        <f t="shared" ca="1" si="583"/>
        <v>280.07692026646265</v>
      </c>
      <c r="AE1188">
        <f t="shared" ca="1" si="584"/>
        <v>1019.7665564573041</v>
      </c>
      <c r="AF1188">
        <f t="shared" ca="1" si="585"/>
        <v>482.07910543722255</v>
      </c>
      <c r="AG1188">
        <f t="shared" ca="1" si="586"/>
        <v>0</v>
      </c>
      <c r="AH1188">
        <f ca="1">IF(V32="Supercritical",L1188,IF(V32="Subcritical",W1188,IF(AND(V1188=1,AG1188=1),IF(T1188&gt;=AE1188,L1188,W1188),IF(V1188=1,L1188,IF(AG1188=1,W1188,MAX($D$16,POWER((ABS(K1188)^2)/($I$5*MAX(F1188,0.1)^2),1/3)))))))</f>
        <v>2.1403668656741068</v>
      </c>
      <c r="AI1188">
        <f t="shared" ca="1" si="587"/>
        <v>634.18336686567409</v>
      </c>
      <c r="AJ1188">
        <f t="shared" ca="1" si="588"/>
        <v>635.25355029851119</v>
      </c>
      <c r="AM1188">
        <v>0</v>
      </c>
      <c r="AN1188">
        <v>0</v>
      </c>
      <c r="AO1188">
        <f t="shared" si="589"/>
        <v>0</v>
      </c>
      <c r="AP1188">
        <f t="shared" si="598"/>
        <v>0</v>
      </c>
      <c r="AQ1188">
        <f t="shared" ca="1" si="590"/>
        <v>0.99999999999999978</v>
      </c>
      <c r="AR1188" t="str">
        <f t="shared" ca="1" si="591"/>
        <v>Supercritical</v>
      </c>
      <c r="AS1188">
        <f t="shared" ca="1" si="592"/>
        <v>3.8148159832266538E-3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191</v>
      </c>
      <c r="I1189">
        <v>2E-3</v>
      </c>
      <c r="J1189">
        <f t="shared" si="593"/>
        <v>1</v>
      </c>
      <c r="K1189">
        <f t="shared" si="594"/>
        <v>51</v>
      </c>
      <c r="L1189">
        <f t="shared" ca="1" si="595"/>
        <v>0.05</v>
      </c>
      <c r="M1189">
        <f t="shared" ca="1" si="568"/>
        <v>0.26</v>
      </c>
      <c r="N1189">
        <f t="shared" ca="1" si="569"/>
        <v>4.9056603773584909E-2</v>
      </c>
      <c r="O1189">
        <f t="shared" ca="1" si="570"/>
        <v>196.15384615384616</v>
      </c>
      <c r="P1189">
        <f t="shared" ca="1" si="571"/>
        <v>632.09249999999997</v>
      </c>
      <c r="Q1189">
        <f t="shared" ca="1" si="572"/>
        <v>2593.1695316486621</v>
      </c>
      <c r="R1189">
        <f t="shared" ca="1" si="573"/>
        <v>482.07306851378365</v>
      </c>
      <c r="S1189">
        <f t="shared" ca="1" si="574"/>
        <v>280.07692026646265</v>
      </c>
      <c r="T1189">
        <f t="shared" ca="1" si="575"/>
        <v>1019.7665564573041</v>
      </c>
      <c r="U1189">
        <f t="shared" ca="1" si="596"/>
        <v>-482.07910543722255</v>
      </c>
      <c r="V1189">
        <f t="shared" ca="1" si="597"/>
        <v>0</v>
      </c>
      <c r="W1189">
        <f t="shared" ca="1" si="576"/>
        <v>0.05</v>
      </c>
      <c r="X1189">
        <f t="shared" ca="1" si="577"/>
        <v>0.26</v>
      </c>
      <c r="Y1189">
        <f t="shared" ca="1" si="578"/>
        <v>4.9056603773584909E-2</v>
      </c>
      <c r="Z1189">
        <f t="shared" ca="1" si="579"/>
        <v>196.15384615384616</v>
      </c>
      <c r="AA1189">
        <f t="shared" ca="1" si="580"/>
        <v>632.09249999999997</v>
      </c>
      <c r="AB1189">
        <f t="shared" ca="1" si="581"/>
        <v>2593.1695316486621</v>
      </c>
      <c r="AC1189">
        <f t="shared" ca="1" si="582"/>
        <v>482.07306851378365</v>
      </c>
      <c r="AD1189">
        <f t="shared" ca="1" si="583"/>
        <v>280.07692026646265</v>
      </c>
      <c r="AE1189">
        <f t="shared" ca="1" si="584"/>
        <v>1019.7665564573041</v>
      </c>
      <c r="AF1189">
        <f t="shared" ca="1" si="585"/>
        <v>482.75074928556023</v>
      </c>
      <c r="AG1189">
        <f t="shared" ca="1" si="586"/>
        <v>0</v>
      </c>
      <c r="AH1189">
        <f ca="1">IF(V32="Supercritical",L1189,IF(V32="Subcritical",W1189,IF(AND(V1189=1,AG1189=1),IF(T1189&gt;=AE1189,L1189,W1189),IF(V1189=1,L1189,IF(AG1189=1,W1189,MAX($D$16,POWER((ABS(K1189)^2)/($I$5*MAX(F1189,0.1)^2),1/3)))))))</f>
        <v>2.1403668656741068</v>
      </c>
      <c r="AI1189">
        <f t="shared" ca="1" si="587"/>
        <v>634.1828668656741</v>
      </c>
      <c r="AJ1189">
        <f t="shared" ca="1" si="588"/>
        <v>635.2530502985112</v>
      </c>
      <c r="AM1189">
        <v>0</v>
      </c>
      <c r="AN1189">
        <v>0</v>
      </c>
      <c r="AO1189">
        <f t="shared" si="589"/>
        <v>0</v>
      </c>
      <c r="AP1189">
        <f t="shared" si="598"/>
        <v>0</v>
      </c>
      <c r="AQ1189">
        <f t="shared" ca="1" si="590"/>
        <v>0.99999999999999978</v>
      </c>
      <c r="AR1189" t="str">
        <f t="shared" ca="1" si="591"/>
        <v>Supercritical</v>
      </c>
      <c r="AS1189">
        <f t="shared" ca="1" si="592"/>
        <v>3.8148159832266538E-3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191</v>
      </c>
      <c r="I1190">
        <v>0.06</v>
      </c>
      <c r="J1190">
        <f t="shared" si="593"/>
        <v>1.0010000000002037</v>
      </c>
      <c r="K1190">
        <f t="shared" si="594"/>
        <v>51</v>
      </c>
      <c r="L1190">
        <f t="shared" ca="1" si="595"/>
        <v>0.05</v>
      </c>
      <c r="M1190">
        <f t="shared" ca="1" si="568"/>
        <v>0.26</v>
      </c>
      <c r="N1190">
        <f t="shared" ca="1" si="569"/>
        <v>4.9056603773584909E-2</v>
      </c>
      <c r="O1190">
        <f t="shared" ca="1" si="570"/>
        <v>196.15384615384616</v>
      </c>
      <c r="P1190">
        <f t="shared" ca="1" si="571"/>
        <v>632.09199999999998</v>
      </c>
      <c r="Q1190">
        <f t="shared" ca="1" si="572"/>
        <v>2593.169031648662</v>
      </c>
      <c r="R1190">
        <f t="shared" ca="1" si="573"/>
        <v>482.07306851378365</v>
      </c>
      <c r="S1190">
        <f t="shared" ca="1" si="574"/>
        <v>280.07692026646265</v>
      </c>
      <c r="T1190">
        <f t="shared" ca="1" si="575"/>
        <v>1019.7665564573041</v>
      </c>
      <c r="U1190">
        <f t="shared" ca="1" si="596"/>
        <v>-482.75074928556023</v>
      </c>
      <c r="V1190">
        <f t="shared" ca="1" si="597"/>
        <v>0</v>
      </c>
      <c r="W1190">
        <f t="shared" ca="1" si="576"/>
        <v>0.05</v>
      </c>
      <c r="X1190">
        <f t="shared" ca="1" si="577"/>
        <v>0.26</v>
      </c>
      <c r="Y1190">
        <f t="shared" ca="1" si="578"/>
        <v>4.9056603773584909E-2</v>
      </c>
      <c r="Z1190">
        <f t="shared" ca="1" si="579"/>
        <v>196.15384615384616</v>
      </c>
      <c r="AA1190">
        <f t="shared" ca="1" si="580"/>
        <v>632.09199999999998</v>
      </c>
      <c r="AB1190">
        <f t="shared" ca="1" si="581"/>
        <v>2593.169031648662</v>
      </c>
      <c r="AC1190">
        <f t="shared" ca="1" si="582"/>
        <v>482.07306851378365</v>
      </c>
      <c r="AD1190">
        <f t="shared" ca="1" si="583"/>
        <v>280.07692026646265</v>
      </c>
      <c r="AE1190">
        <f t="shared" ca="1" si="584"/>
        <v>1019.7665564573041</v>
      </c>
      <c r="AF1190">
        <f t="shared" ca="1" si="585"/>
        <v>482.25887083179032</v>
      </c>
      <c r="AG1190">
        <f t="shared" ca="1" si="586"/>
        <v>0</v>
      </c>
      <c r="AH1190">
        <f ca="1">IF(V32="Supercritical",L1190,IF(V32="Subcritical",W1190,IF(AND(V1190=1,AG1190=1),IF(T1190&gt;=AE1190,L1190,W1190),IF(V1190=1,L1190,IF(AG1190=1,W1190,MAX($D$16,POWER((ABS(K1190)^2)/($I$5*MAX(F1190,0.1)^2),1/3)))))))</f>
        <v>2.1403668656741068</v>
      </c>
      <c r="AI1190">
        <f t="shared" ca="1" si="587"/>
        <v>634.18236686567411</v>
      </c>
      <c r="AJ1190">
        <f t="shared" ca="1" si="588"/>
        <v>635.25255029851121</v>
      </c>
      <c r="AM1190">
        <v>0</v>
      </c>
      <c r="AN1190">
        <v>0</v>
      </c>
      <c r="AO1190">
        <f t="shared" si="589"/>
        <v>0</v>
      </c>
      <c r="AP1190">
        <f t="shared" si="598"/>
        <v>0</v>
      </c>
      <c r="AQ1190">
        <f t="shared" ca="1" si="590"/>
        <v>0.99999999999999978</v>
      </c>
      <c r="AR1190" t="str">
        <f t="shared" ca="1" si="591"/>
        <v>Supercritical</v>
      </c>
      <c r="AS1190">
        <f t="shared" ca="1" si="592"/>
        <v>3.8148159832266538E-3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191</v>
      </c>
      <c r="I1191">
        <v>5.7000000000000002E-2</v>
      </c>
      <c r="J1191">
        <f t="shared" si="593"/>
        <v>1</v>
      </c>
      <c r="K1191">
        <f t="shared" si="594"/>
        <v>51</v>
      </c>
      <c r="L1191">
        <f t="shared" ca="1" si="595"/>
        <v>0.05</v>
      </c>
      <c r="M1191">
        <f t="shared" ca="1" si="568"/>
        <v>0.26</v>
      </c>
      <c r="N1191">
        <f t="shared" ca="1" si="569"/>
        <v>4.9056603773584909E-2</v>
      </c>
      <c r="O1191">
        <f t="shared" ca="1" si="570"/>
        <v>196.15384615384616</v>
      </c>
      <c r="P1191">
        <f t="shared" ca="1" si="571"/>
        <v>632.0915</v>
      </c>
      <c r="Q1191">
        <f t="shared" ca="1" si="572"/>
        <v>2593.1685316486619</v>
      </c>
      <c r="R1191">
        <f t="shared" ca="1" si="573"/>
        <v>482.07306851378365</v>
      </c>
      <c r="S1191">
        <f t="shared" ca="1" si="574"/>
        <v>280.07692026646265</v>
      </c>
      <c r="T1191">
        <f t="shared" ca="1" si="575"/>
        <v>1019.7665564573041</v>
      </c>
      <c r="U1191">
        <f t="shared" ca="1" si="596"/>
        <v>-482.25887083179032</v>
      </c>
      <c r="V1191">
        <f t="shared" ca="1" si="597"/>
        <v>0</v>
      </c>
      <c r="W1191">
        <f t="shared" ca="1" si="576"/>
        <v>0.05</v>
      </c>
      <c r="X1191">
        <f t="shared" ca="1" si="577"/>
        <v>0.26</v>
      </c>
      <c r="Y1191">
        <f t="shared" ca="1" si="578"/>
        <v>4.9056603773584909E-2</v>
      </c>
      <c r="Z1191">
        <f t="shared" ca="1" si="579"/>
        <v>196.15384615384616</v>
      </c>
      <c r="AA1191">
        <f t="shared" ca="1" si="580"/>
        <v>632.0915</v>
      </c>
      <c r="AB1191">
        <f t="shared" ca="1" si="581"/>
        <v>2593.1685316486619</v>
      </c>
      <c r="AC1191">
        <f t="shared" ca="1" si="582"/>
        <v>482.07306851378365</v>
      </c>
      <c r="AD1191">
        <f t="shared" ca="1" si="583"/>
        <v>280.07692026646265</v>
      </c>
      <c r="AE1191">
        <f t="shared" ca="1" si="584"/>
        <v>1019.7665564573041</v>
      </c>
      <c r="AF1191">
        <f t="shared" ca="1" si="585"/>
        <v>482.07256851378406</v>
      </c>
      <c r="AG1191">
        <f t="shared" ca="1" si="586"/>
        <v>0</v>
      </c>
      <c r="AH1191">
        <f ca="1">IF(V32="Supercritical",L1191,IF(V32="Subcritical",W1191,IF(AND(V1191=1,AG1191=1),IF(T1191&gt;=AE1191,L1191,W1191),IF(V1191=1,L1191,IF(AG1191=1,W1191,MAX($D$16,POWER((ABS(K1191)^2)/($I$5*MAX(F1191,0.1)^2),1/3)))))))</f>
        <v>2.1403668656741068</v>
      </c>
      <c r="AI1191">
        <f t="shared" ca="1" si="587"/>
        <v>634.18186686567412</v>
      </c>
      <c r="AJ1191">
        <f t="shared" ca="1" si="588"/>
        <v>635.25205029851122</v>
      </c>
      <c r="AM1191">
        <v>0</v>
      </c>
      <c r="AN1191">
        <v>0</v>
      </c>
      <c r="AO1191">
        <f t="shared" si="589"/>
        <v>0</v>
      </c>
      <c r="AP1191">
        <f t="shared" si="598"/>
        <v>0</v>
      </c>
      <c r="AQ1191">
        <f t="shared" ca="1" si="590"/>
        <v>0.99999999999999978</v>
      </c>
      <c r="AR1191" t="str">
        <f t="shared" ca="1" si="591"/>
        <v>Supercritical</v>
      </c>
      <c r="AS1191">
        <f t="shared" ca="1" si="592"/>
        <v>3.8148159832266538E-3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191</v>
      </c>
      <c r="I1192">
        <v>0</v>
      </c>
      <c r="J1192">
        <f t="shared" si="593"/>
        <v>1</v>
      </c>
      <c r="K1192">
        <f t="shared" si="594"/>
        <v>51</v>
      </c>
      <c r="L1192">
        <f t="shared" ca="1" si="595"/>
        <v>0.05</v>
      </c>
      <c r="M1192">
        <f t="shared" ca="1" si="568"/>
        <v>0.26</v>
      </c>
      <c r="N1192">
        <f t="shared" ca="1" si="569"/>
        <v>4.9056603773584909E-2</v>
      </c>
      <c r="O1192">
        <f t="shared" ca="1" si="570"/>
        <v>196.15384615384616</v>
      </c>
      <c r="P1192">
        <f t="shared" ca="1" si="571"/>
        <v>632.09100000000001</v>
      </c>
      <c r="Q1192">
        <f t="shared" ca="1" si="572"/>
        <v>2593.1680316486622</v>
      </c>
      <c r="R1192">
        <f t="shared" ca="1" si="573"/>
        <v>482.07306851378365</v>
      </c>
      <c r="S1192">
        <f t="shared" ca="1" si="574"/>
        <v>280.07692026646265</v>
      </c>
      <c r="T1192">
        <f t="shared" ca="1" si="575"/>
        <v>1019.7665564573041</v>
      </c>
      <c r="U1192">
        <f t="shared" ca="1" si="596"/>
        <v>-482.07256851378406</v>
      </c>
      <c r="V1192">
        <f t="shared" ca="1" si="597"/>
        <v>0</v>
      </c>
      <c r="W1192">
        <f t="shared" ca="1" si="576"/>
        <v>0.05</v>
      </c>
      <c r="X1192">
        <f t="shared" ca="1" si="577"/>
        <v>0.26</v>
      </c>
      <c r="Y1192">
        <f t="shared" ca="1" si="578"/>
        <v>4.9056603773584909E-2</v>
      </c>
      <c r="Z1192">
        <f t="shared" ca="1" si="579"/>
        <v>196.15384615384616</v>
      </c>
      <c r="AA1192">
        <f t="shared" ca="1" si="580"/>
        <v>632.09100000000001</v>
      </c>
      <c r="AB1192">
        <f t="shared" ca="1" si="581"/>
        <v>2593.1680316486622</v>
      </c>
      <c r="AC1192">
        <f t="shared" ca="1" si="582"/>
        <v>482.07306851378365</v>
      </c>
      <c r="AD1192">
        <f t="shared" ca="1" si="583"/>
        <v>280.07692026646265</v>
      </c>
      <c r="AE1192">
        <f t="shared" ca="1" si="584"/>
        <v>1019.7665564573041</v>
      </c>
      <c r="AF1192">
        <f t="shared" ca="1" si="585"/>
        <v>481.59049544517165</v>
      </c>
      <c r="AG1192">
        <f t="shared" ca="1" si="586"/>
        <v>0</v>
      </c>
      <c r="AH1192">
        <f ca="1">IF(V32="Supercritical",L1192,IF(V32="Subcritical",W1192,IF(AND(V1192=1,AG1192=1),IF(T1192&gt;=AE1192,L1192,W1192),IF(V1192=1,L1192,IF(AG1192=1,W1192,MAX($D$16,POWER((ABS(K1192)^2)/($I$5*MAX(F1192,0.1)^2),1/3)))))))</f>
        <v>2.1403668656741068</v>
      </c>
      <c r="AI1192">
        <f t="shared" ca="1" si="587"/>
        <v>634.18136686567414</v>
      </c>
      <c r="AJ1192">
        <f t="shared" ca="1" si="588"/>
        <v>635.25155029851123</v>
      </c>
      <c r="AM1192">
        <v>0</v>
      </c>
      <c r="AN1192">
        <v>0</v>
      </c>
      <c r="AO1192">
        <f t="shared" si="589"/>
        <v>0</v>
      </c>
      <c r="AP1192">
        <f t="shared" si="598"/>
        <v>0</v>
      </c>
      <c r="AQ1192">
        <f t="shared" ca="1" si="590"/>
        <v>0.99999999999999978</v>
      </c>
      <c r="AR1192" t="str">
        <f t="shared" ca="1" si="591"/>
        <v>Supercritical</v>
      </c>
      <c r="AS1192">
        <f t="shared" ca="1" si="592"/>
        <v>3.8148159832266538E-3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191</v>
      </c>
      <c r="I1193">
        <v>0</v>
      </c>
      <c r="J1193">
        <f t="shared" si="593"/>
        <v>0.99899999999979627</v>
      </c>
      <c r="K1193">
        <f t="shared" si="594"/>
        <v>51</v>
      </c>
      <c r="L1193">
        <f t="shared" ca="1" si="595"/>
        <v>0.05</v>
      </c>
      <c r="M1193">
        <f t="shared" ca="1" si="568"/>
        <v>0.26</v>
      </c>
      <c r="N1193">
        <f t="shared" ca="1" si="569"/>
        <v>4.9056603773584909E-2</v>
      </c>
      <c r="O1193">
        <f t="shared" ca="1" si="570"/>
        <v>196.15384615384616</v>
      </c>
      <c r="P1193">
        <f t="shared" ca="1" si="571"/>
        <v>632.09049999999991</v>
      </c>
      <c r="Q1193">
        <f t="shared" ca="1" si="572"/>
        <v>2593.1675316486621</v>
      </c>
      <c r="R1193">
        <f t="shared" ca="1" si="573"/>
        <v>482.07306851378365</v>
      </c>
      <c r="S1193">
        <f t="shared" ca="1" si="574"/>
        <v>280.07692026646265</v>
      </c>
      <c r="T1193">
        <f t="shared" ca="1" si="575"/>
        <v>1019.7665564573041</v>
      </c>
      <c r="U1193">
        <f t="shared" ca="1" si="596"/>
        <v>-481.59049544517165</v>
      </c>
      <c r="V1193">
        <f t="shared" ca="1" si="597"/>
        <v>0</v>
      </c>
      <c r="W1193">
        <f t="shared" ca="1" si="576"/>
        <v>0.05</v>
      </c>
      <c r="X1193">
        <f t="shared" ca="1" si="577"/>
        <v>0.26</v>
      </c>
      <c r="Y1193">
        <f t="shared" ca="1" si="578"/>
        <v>4.9056603773584909E-2</v>
      </c>
      <c r="Z1193">
        <f t="shared" ca="1" si="579"/>
        <v>196.15384615384616</v>
      </c>
      <c r="AA1193">
        <f t="shared" ca="1" si="580"/>
        <v>632.09049999999991</v>
      </c>
      <c r="AB1193">
        <f t="shared" ca="1" si="581"/>
        <v>2593.1675316486621</v>
      </c>
      <c r="AC1193">
        <f t="shared" ca="1" si="582"/>
        <v>482.07306851378365</v>
      </c>
      <c r="AD1193">
        <f t="shared" ca="1" si="583"/>
        <v>280.07692026646265</v>
      </c>
      <c r="AE1193">
        <f t="shared" ca="1" si="584"/>
        <v>1019.7665564573041</v>
      </c>
      <c r="AF1193">
        <f t="shared" ca="1" si="585"/>
        <v>482.25887083179032</v>
      </c>
      <c r="AG1193">
        <f t="shared" ca="1" si="586"/>
        <v>0</v>
      </c>
      <c r="AH1193">
        <f ca="1">IF(V32="Supercritical",L1193,IF(V32="Subcritical",W1193,IF(AND(V1193=1,AG1193=1),IF(T1193&gt;=AE1193,L1193,W1193),IF(V1193=1,L1193,IF(AG1193=1,W1193,MAX($D$16,POWER((ABS(K1193)^2)/($I$5*MAX(F1193,0.1)^2),1/3)))))))</f>
        <v>2.1403668656741068</v>
      </c>
      <c r="AI1193">
        <f t="shared" ca="1" si="587"/>
        <v>634.18086686567403</v>
      </c>
      <c r="AJ1193">
        <f t="shared" ca="1" si="588"/>
        <v>635.25105029851113</v>
      </c>
      <c r="AM1193">
        <v>0</v>
      </c>
      <c r="AN1193">
        <v>0</v>
      </c>
      <c r="AO1193">
        <f t="shared" si="589"/>
        <v>0</v>
      </c>
      <c r="AP1193">
        <f t="shared" si="598"/>
        <v>0</v>
      </c>
      <c r="AQ1193">
        <f t="shared" ca="1" si="590"/>
        <v>0.99999999999999978</v>
      </c>
      <c r="AR1193" t="str">
        <f t="shared" ca="1" si="591"/>
        <v>Supercritical</v>
      </c>
      <c r="AS1193">
        <f t="shared" ca="1" si="592"/>
        <v>3.8148159832266538E-3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191</v>
      </c>
      <c r="I1194">
        <v>5.7000000000000002E-2</v>
      </c>
      <c r="J1194">
        <f t="shared" si="593"/>
        <v>1</v>
      </c>
      <c r="K1194">
        <f t="shared" si="594"/>
        <v>51</v>
      </c>
      <c r="L1194">
        <f t="shared" ca="1" si="595"/>
        <v>0.05</v>
      </c>
      <c r="M1194">
        <f t="shared" ca="1" si="568"/>
        <v>0.26</v>
      </c>
      <c r="N1194">
        <f t="shared" ca="1" si="569"/>
        <v>4.9056603773584909E-2</v>
      </c>
      <c r="O1194">
        <f t="shared" ca="1" si="570"/>
        <v>196.15384615384616</v>
      </c>
      <c r="P1194">
        <f t="shared" ca="1" si="571"/>
        <v>632.08999999999992</v>
      </c>
      <c r="Q1194">
        <f t="shared" ca="1" si="572"/>
        <v>2593.167031648662</v>
      </c>
      <c r="R1194">
        <f t="shared" ca="1" si="573"/>
        <v>482.07306851378365</v>
      </c>
      <c r="S1194">
        <f t="shared" ca="1" si="574"/>
        <v>280.07692026646265</v>
      </c>
      <c r="T1194">
        <f t="shared" ca="1" si="575"/>
        <v>1019.7665564573041</v>
      </c>
      <c r="U1194">
        <f t="shared" ca="1" si="596"/>
        <v>-482.25887083179032</v>
      </c>
      <c r="V1194">
        <f t="shared" ca="1" si="597"/>
        <v>0</v>
      </c>
      <c r="W1194">
        <f t="shared" ca="1" si="576"/>
        <v>0.05</v>
      </c>
      <c r="X1194">
        <f t="shared" ca="1" si="577"/>
        <v>0.26</v>
      </c>
      <c r="Y1194">
        <f t="shared" ca="1" si="578"/>
        <v>4.9056603773584909E-2</v>
      </c>
      <c r="Z1194">
        <f t="shared" ca="1" si="579"/>
        <v>196.15384615384616</v>
      </c>
      <c r="AA1194">
        <f t="shared" ca="1" si="580"/>
        <v>632.08999999999992</v>
      </c>
      <c r="AB1194">
        <f t="shared" ca="1" si="581"/>
        <v>2593.167031648662</v>
      </c>
      <c r="AC1194">
        <f t="shared" ca="1" si="582"/>
        <v>482.07306851378365</v>
      </c>
      <c r="AD1194">
        <f t="shared" ca="1" si="583"/>
        <v>280.07692026646265</v>
      </c>
      <c r="AE1194">
        <f t="shared" ca="1" si="584"/>
        <v>1019.7665564573041</v>
      </c>
      <c r="AF1194">
        <f t="shared" ca="1" si="585"/>
        <v>482.25887083179032</v>
      </c>
      <c r="AG1194">
        <f t="shared" ca="1" si="586"/>
        <v>0</v>
      </c>
      <c r="AH1194">
        <f ca="1">IF(V32="Supercritical",L1194,IF(V32="Subcritical",W1194,IF(AND(V1194=1,AG1194=1),IF(T1194&gt;=AE1194,L1194,W1194),IF(V1194=1,L1194,IF(AG1194=1,W1194,MAX($D$16,POWER((ABS(K1194)^2)/($I$5*MAX(F1194,0.1)^2),1/3)))))))</f>
        <v>2.1403668656741068</v>
      </c>
      <c r="AI1194">
        <f t="shared" ca="1" si="587"/>
        <v>634.18036686567405</v>
      </c>
      <c r="AJ1194">
        <f t="shared" ca="1" si="588"/>
        <v>635.25055029851114</v>
      </c>
      <c r="AM1194">
        <v>0</v>
      </c>
      <c r="AN1194">
        <v>0</v>
      </c>
      <c r="AO1194">
        <f t="shared" si="589"/>
        <v>0</v>
      </c>
      <c r="AP1194">
        <f t="shared" si="598"/>
        <v>0</v>
      </c>
      <c r="AQ1194">
        <f t="shared" ca="1" si="590"/>
        <v>0.99999999999999978</v>
      </c>
      <c r="AR1194" t="str">
        <f t="shared" ca="1" si="591"/>
        <v>Supercritical</v>
      </c>
      <c r="AS1194">
        <f t="shared" ca="1" si="592"/>
        <v>3.8148159832266538E-3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191</v>
      </c>
      <c r="I1195">
        <v>5.7000000000000002E-2</v>
      </c>
      <c r="J1195">
        <f t="shared" si="593"/>
        <v>1</v>
      </c>
      <c r="K1195">
        <f t="shared" si="594"/>
        <v>51</v>
      </c>
      <c r="L1195">
        <f t="shared" ca="1" si="595"/>
        <v>0.05</v>
      </c>
      <c r="M1195">
        <f t="shared" ca="1" si="568"/>
        <v>0.26</v>
      </c>
      <c r="N1195">
        <f t="shared" ca="1" si="569"/>
        <v>4.9056603773584909E-2</v>
      </c>
      <c r="O1195">
        <f t="shared" ca="1" si="570"/>
        <v>196.15384615384616</v>
      </c>
      <c r="P1195">
        <f t="shared" ca="1" si="571"/>
        <v>632.08949999999993</v>
      </c>
      <c r="Q1195">
        <f t="shared" ca="1" si="572"/>
        <v>2593.1665316486619</v>
      </c>
      <c r="R1195">
        <f t="shared" ca="1" si="573"/>
        <v>482.07306851378365</v>
      </c>
      <c r="S1195">
        <f t="shared" ca="1" si="574"/>
        <v>280.07692026646265</v>
      </c>
      <c r="T1195">
        <f t="shared" ca="1" si="575"/>
        <v>1019.7665564573041</v>
      </c>
      <c r="U1195">
        <f t="shared" ca="1" si="596"/>
        <v>-482.25887083179032</v>
      </c>
      <c r="V1195">
        <f t="shared" ca="1" si="597"/>
        <v>0</v>
      </c>
      <c r="W1195">
        <f t="shared" ca="1" si="576"/>
        <v>0.05</v>
      </c>
      <c r="X1195">
        <f t="shared" ca="1" si="577"/>
        <v>0.26</v>
      </c>
      <c r="Y1195">
        <f t="shared" ca="1" si="578"/>
        <v>4.9056603773584909E-2</v>
      </c>
      <c r="Z1195">
        <f t="shared" ca="1" si="579"/>
        <v>196.15384615384616</v>
      </c>
      <c r="AA1195">
        <f t="shared" ca="1" si="580"/>
        <v>632.08949999999993</v>
      </c>
      <c r="AB1195">
        <f t="shared" ca="1" si="581"/>
        <v>2593.1665316486619</v>
      </c>
      <c r="AC1195">
        <f t="shared" ca="1" si="582"/>
        <v>482.07306851378365</v>
      </c>
      <c r="AD1195">
        <f t="shared" ca="1" si="583"/>
        <v>280.07692026646265</v>
      </c>
      <c r="AE1195">
        <f t="shared" ca="1" si="584"/>
        <v>1019.7665564573041</v>
      </c>
      <c r="AF1195">
        <f t="shared" ca="1" si="585"/>
        <v>482.07256851378406</v>
      </c>
      <c r="AG1195">
        <f t="shared" ca="1" si="586"/>
        <v>0</v>
      </c>
      <c r="AH1195">
        <f ca="1">IF(V32="Supercritical",L1195,IF(V32="Subcritical",W1195,IF(AND(V1195=1,AG1195=1),IF(T1195&gt;=AE1195,L1195,W1195),IF(V1195=1,L1195,IF(AG1195=1,W1195,MAX($D$16,POWER((ABS(K1195)^2)/($I$5*MAX(F1195,0.1)^2),1/3)))))))</f>
        <v>2.1403668656741068</v>
      </c>
      <c r="AI1195">
        <f t="shared" ca="1" si="587"/>
        <v>634.17986686567406</v>
      </c>
      <c r="AJ1195">
        <f t="shared" ca="1" si="588"/>
        <v>635.25005029851116</v>
      </c>
      <c r="AM1195">
        <v>0</v>
      </c>
      <c r="AN1195">
        <v>0</v>
      </c>
      <c r="AO1195">
        <f t="shared" si="589"/>
        <v>0</v>
      </c>
      <c r="AP1195">
        <f t="shared" si="598"/>
        <v>0</v>
      </c>
      <c r="AQ1195">
        <f t="shared" ca="1" si="590"/>
        <v>0.99999999999999978</v>
      </c>
      <c r="AR1195" t="str">
        <f t="shared" ca="1" si="591"/>
        <v>Supercritical</v>
      </c>
      <c r="AS1195">
        <f t="shared" ca="1" si="592"/>
        <v>3.8148159832266538E-3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191</v>
      </c>
      <c r="I1196">
        <v>0</v>
      </c>
      <c r="J1196">
        <f t="shared" si="593"/>
        <v>1</v>
      </c>
      <c r="K1196">
        <f t="shared" si="594"/>
        <v>51</v>
      </c>
      <c r="L1196">
        <f t="shared" ca="1" si="595"/>
        <v>0.05</v>
      </c>
      <c r="M1196">
        <f t="shared" ca="1" si="568"/>
        <v>0.26</v>
      </c>
      <c r="N1196">
        <f t="shared" ca="1" si="569"/>
        <v>4.9056603773584909E-2</v>
      </c>
      <c r="O1196">
        <f t="shared" ca="1" si="570"/>
        <v>196.15384615384616</v>
      </c>
      <c r="P1196">
        <f t="shared" ca="1" si="571"/>
        <v>632.08899999999994</v>
      </c>
      <c r="Q1196">
        <f t="shared" ca="1" si="572"/>
        <v>2593.1660316486623</v>
      </c>
      <c r="R1196">
        <f t="shared" ca="1" si="573"/>
        <v>482.07306851378365</v>
      </c>
      <c r="S1196">
        <f t="shared" ca="1" si="574"/>
        <v>280.07692026646265</v>
      </c>
      <c r="T1196">
        <f t="shared" ca="1" si="575"/>
        <v>1019.7665564573041</v>
      </c>
      <c r="U1196">
        <f t="shared" ca="1" si="596"/>
        <v>-482.07256851378406</v>
      </c>
      <c r="V1196">
        <f t="shared" ca="1" si="597"/>
        <v>0</v>
      </c>
      <c r="W1196">
        <f t="shared" ca="1" si="576"/>
        <v>0.05</v>
      </c>
      <c r="X1196">
        <f t="shared" ca="1" si="577"/>
        <v>0.26</v>
      </c>
      <c r="Y1196">
        <f t="shared" ca="1" si="578"/>
        <v>4.9056603773584909E-2</v>
      </c>
      <c r="Z1196">
        <f t="shared" ca="1" si="579"/>
        <v>196.15384615384616</v>
      </c>
      <c r="AA1196">
        <f t="shared" ca="1" si="580"/>
        <v>632.08899999999994</v>
      </c>
      <c r="AB1196">
        <f t="shared" ca="1" si="581"/>
        <v>2593.1660316486623</v>
      </c>
      <c r="AC1196">
        <f t="shared" ca="1" si="582"/>
        <v>482.07306851378365</v>
      </c>
      <c r="AD1196">
        <f t="shared" ca="1" si="583"/>
        <v>280.07692026646265</v>
      </c>
      <c r="AE1196">
        <f t="shared" ca="1" si="584"/>
        <v>1019.7665564573041</v>
      </c>
      <c r="AF1196">
        <f t="shared" ca="1" si="585"/>
        <v>482.07256851378361</v>
      </c>
      <c r="AG1196">
        <f t="shared" ca="1" si="586"/>
        <v>0</v>
      </c>
      <c r="AH1196">
        <f ca="1">IF(V32="Supercritical",L1196,IF(V32="Subcritical",W1196,IF(AND(V1196=1,AG1196=1),IF(T1196&gt;=AE1196,L1196,W1196),IF(V1196=1,L1196,IF(AG1196=1,W1196,MAX($D$16,POWER((ABS(K1196)^2)/($I$5*MAX(F1196,0.1)^2),1/3)))))))</f>
        <v>2.1403668656741068</v>
      </c>
      <c r="AI1196">
        <f t="shared" ca="1" si="587"/>
        <v>634.17936686567407</v>
      </c>
      <c r="AJ1196">
        <f t="shared" ca="1" si="588"/>
        <v>635.24955029851117</v>
      </c>
      <c r="AM1196">
        <v>0</v>
      </c>
      <c r="AN1196">
        <v>0</v>
      </c>
      <c r="AO1196">
        <f t="shared" si="589"/>
        <v>0</v>
      </c>
      <c r="AP1196">
        <f t="shared" si="598"/>
        <v>0</v>
      </c>
      <c r="AQ1196">
        <f t="shared" ca="1" si="590"/>
        <v>0.99999999999999978</v>
      </c>
      <c r="AR1196" t="str">
        <f t="shared" ca="1" si="591"/>
        <v>Supercritical</v>
      </c>
      <c r="AS1196">
        <f t="shared" ca="1" si="592"/>
        <v>3.8148159832266538E-3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191</v>
      </c>
      <c r="I1197">
        <v>0</v>
      </c>
      <c r="J1197">
        <f t="shared" si="593"/>
        <v>1</v>
      </c>
      <c r="K1197">
        <f t="shared" si="594"/>
        <v>51</v>
      </c>
      <c r="L1197">
        <f t="shared" ca="1" si="595"/>
        <v>0.05</v>
      </c>
      <c r="M1197">
        <f t="shared" ca="1" si="568"/>
        <v>0.26</v>
      </c>
      <c r="N1197">
        <f t="shared" ca="1" si="569"/>
        <v>4.9056603773584909E-2</v>
      </c>
      <c r="O1197">
        <f t="shared" ca="1" si="570"/>
        <v>196.15384615384616</v>
      </c>
      <c r="P1197">
        <f t="shared" ca="1" si="571"/>
        <v>632.08849999999995</v>
      </c>
      <c r="Q1197">
        <f t="shared" ca="1" si="572"/>
        <v>2593.1655316486622</v>
      </c>
      <c r="R1197">
        <f t="shared" ca="1" si="573"/>
        <v>482.07306851378365</v>
      </c>
      <c r="S1197">
        <f t="shared" ca="1" si="574"/>
        <v>280.07692026646265</v>
      </c>
      <c r="T1197">
        <f t="shared" ca="1" si="575"/>
        <v>1019.7665564573041</v>
      </c>
      <c r="U1197">
        <f t="shared" ca="1" si="596"/>
        <v>-482.07256851378361</v>
      </c>
      <c r="V1197">
        <f t="shared" ca="1" si="597"/>
        <v>0</v>
      </c>
      <c r="W1197">
        <f t="shared" ca="1" si="576"/>
        <v>0.05</v>
      </c>
      <c r="X1197">
        <f t="shared" ca="1" si="577"/>
        <v>0.26</v>
      </c>
      <c r="Y1197">
        <f t="shared" ca="1" si="578"/>
        <v>4.9056603773584909E-2</v>
      </c>
      <c r="Z1197">
        <f t="shared" ca="1" si="579"/>
        <v>196.15384615384616</v>
      </c>
      <c r="AA1197">
        <f t="shared" ca="1" si="580"/>
        <v>632.08849999999995</v>
      </c>
      <c r="AB1197">
        <f t="shared" ca="1" si="581"/>
        <v>2593.1655316486622</v>
      </c>
      <c r="AC1197">
        <f t="shared" ca="1" si="582"/>
        <v>482.07306851378365</v>
      </c>
      <c r="AD1197">
        <f t="shared" ca="1" si="583"/>
        <v>280.07692026646265</v>
      </c>
      <c r="AE1197">
        <f t="shared" ca="1" si="584"/>
        <v>1019.7665564573041</v>
      </c>
      <c r="AF1197">
        <f t="shared" ca="1" si="585"/>
        <v>482.25887083179032</v>
      </c>
      <c r="AG1197">
        <f t="shared" ca="1" si="586"/>
        <v>0</v>
      </c>
      <c r="AH1197">
        <f ca="1">IF(V32="Supercritical",L1197,IF(V32="Subcritical",W1197,IF(AND(V1197=1,AG1197=1),IF(T1197&gt;=AE1197,L1197,W1197),IF(V1197=1,L1197,IF(AG1197=1,W1197,MAX($D$16,POWER((ABS(K1197)^2)/($I$5*MAX(F1197,0.1)^2),1/3)))))))</f>
        <v>2.1403668656741068</v>
      </c>
      <c r="AI1197">
        <f t="shared" ca="1" si="587"/>
        <v>634.17886686567408</v>
      </c>
      <c r="AJ1197">
        <f t="shared" ca="1" si="588"/>
        <v>635.24905029851118</v>
      </c>
      <c r="AM1197">
        <v>0</v>
      </c>
      <c r="AN1197">
        <v>0</v>
      </c>
      <c r="AO1197">
        <f t="shared" si="589"/>
        <v>0</v>
      </c>
      <c r="AP1197">
        <f t="shared" si="598"/>
        <v>0</v>
      </c>
      <c r="AQ1197">
        <f t="shared" ca="1" si="590"/>
        <v>0.99999999999999978</v>
      </c>
      <c r="AR1197" t="str">
        <f t="shared" ca="1" si="591"/>
        <v>Supercritical</v>
      </c>
      <c r="AS1197">
        <f t="shared" ca="1" si="592"/>
        <v>3.8148159832266538E-3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191</v>
      </c>
      <c r="I1198">
        <v>5.7000000000000002E-2</v>
      </c>
      <c r="J1198">
        <f t="shared" si="593"/>
        <v>1</v>
      </c>
      <c r="K1198">
        <f t="shared" si="594"/>
        <v>51</v>
      </c>
      <c r="L1198">
        <f t="shared" ca="1" si="595"/>
        <v>0.05</v>
      </c>
      <c r="M1198">
        <f t="shared" ca="1" si="568"/>
        <v>0.26</v>
      </c>
      <c r="N1198">
        <f t="shared" ca="1" si="569"/>
        <v>4.9056603773584909E-2</v>
      </c>
      <c r="O1198">
        <f t="shared" ca="1" si="570"/>
        <v>196.15384615384616</v>
      </c>
      <c r="P1198">
        <f t="shared" ca="1" si="571"/>
        <v>632.08799999999997</v>
      </c>
      <c r="Q1198">
        <f t="shared" ca="1" si="572"/>
        <v>2593.1650316486621</v>
      </c>
      <c r="R1198">
        <f t="shared" ca="1" si="573"/>
        <v>482.07306851378365</v>
      </c>
      <c r="S1198">
        <f t="shared" ca="1" si="574"/>
        <v>280.07692026646265</v>
      </c>
      <c r="T1198">
        <f t="shared" ca="1" si="575"/>
        <v>1019.7665564573041</v>
      </c>
      <c r="U1198">
        <f t="shared" ca="1" si="596"/>
        <v>-482.25887083179032</v>
      </c>
      <c r="V1198">
        <f t="shared" ca="1" si="597"/>
        <v>0</v>
      </c>
      <c r="W1198">
        <f t="shared" ca="1" si="576"/>
        <v>0.05</v>
      </c>
      <c r="X1198">
        <f t="shared" ca="1" si="577"/>
        <v>0.26</v>
      </c>
      <c r="Y1198">
        <f t="shared" ca="1" si="578"/>
        <v>4.9056603773584909E-2</v>
      </c>
      <c r="Z1198">
        <f t="shared" ca="1" si="579"/>
        <v>196.15384615384616</v>
      </c>
      <c r="AA1198">
        <f t="shared" ca="1" si="580"/>
        <v>632.08799999999997</v>
      </c>
      <c r="AB1198">
        <f t="shared" ca="1" si="581"/>
        <v>2593.1650316486621</v>
      </c>
      <c r="AC1198">
        <f t="shared" ca="1" si="582"/>
        <v>482.07306851378365</v>
      </c>
      <c r="AD1198">
        <f t="shared" ca="1" si="583"/>
        <v>280.07692026646265</v>
      </c>
      <c r="AE1198">
        <f t="shared" ca="1" si="584"/>
        <v>1019.7665564573041</v>
      </c>
      <c r="AF1198">
        <f t="shared" ca="1" si="585"/>
        <v>482.26867621694828</v>
      </c>
      <c r="AG1198">
        <f t="shared" ca="1" si="586"/>
        <v>0</v>
      </c>
      <c r="AH1198">
        <f ca="1">IF(V32="Supercritical",L1198,IF(V32="Subcritical",W1198,IF(AND(V1198=1,AG1198=1),IF(T1198&gt;=AE1198,L1198,W1198),IF(V1198=1,L1198,IF(AG1198=1,W1198,MAX($D$16,POWER((ABS(K1198)^2)/($I$5*MAX(F1198,0.1)^2),1/3)))))))</f>
        <v>2.1403668656741068</v>
      </c>
      <c r="AI1198">
        <f t="shared" ca="1" si="587"/>
        <v>634.17836686567409</v>
      </c>
      <c r="AJ1198">
        <f t="shared" ca="1" si="588"/>
        <v>635.24855029851119</v>
      </c>
      <c r="AM1198">
        <v>0</v>
      </c>
      <c r="AN1198">
        <v>0</v>
      </c>
      <c r="AO1198">
        <f t="shared" si="589"/>
        <v>0</v>
      </c>
      <c r="AP1198">
        <f t="shared" si="598"/>
        <v>0</v>
      </c>
      <c r="AQ1198">
        <f t="shared" ca="1" si="590"/>
        <v>0.99999999999999978</v>
      </c>
      <c r="AR1198" t="str">
        <f t="shared" ca="1" si="591"/>
        <v>Supercritical</v>
      </c>
      <c r="AS1198">
        <f t="shared" ca="1" si="592"/>
        <v>3.8148159832266538E-3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191</v>
      </c>
      <c r="I1199">
        <v>0.06</v>
      </c>
      <c r="J1199">
        <f t="shared" si="593"/>
        <v>1</v>
      </c>
      <c r="K1199">
        <f t="shared" si="594"/>
        <v>51</v>
      </c>
      <c r="L1199">
        <f t="shared" ca="1" si="595"/>
        <v>0.05</v>
      </c>
      <c r="M1199">
        <f t="shared" ca="1" si="568"/>
        <v>0.26</v>
      </c>
      <c r="N1199">
        <f t="shared" ca="1" si="569"/>
        <v>4.9056603773584909E-2</v>
      </c>
      <c r="O1199">
        <f t="shared" ca="1" si="570"/>
        <v>196.15384615384616</v>
      </c>
      <c r="P1199">
        <f t="shared" ca="1" si="571"/>
        <v>632.08749999999998</v>
      </c>
      <c r="Q1199">
        <f t="shared" ca="1" si="572"/>
        <v>2593.164531648662</v>
      </c>
      <c r="R1199">
        <f t="shared" ca="1" si="573"/>
        <v>482.07306851378365</v>
      </c>
      <c r="S1199">
        <f t="shared" ca="1" si="574"/>
        <v>280.07692026646265</v>
      </c>
      <c r="T1199">
        <f t="shared" ca="1" si="575"/>
        <v>1019.7665564573041</v>
      </c>
      <c r="U1199">
        <f t="shared" ca="1" si="596"/>
        <v>-482.26867621694828</v>
      </c>
      <c r="V1199">
        <f t="shared" ca="1" si="597"/>
        <v>0</v>
      </c>
      <c r="W1199">
        <f t="shared" ca="1" si="576"/>
        <v>0.05</v>
      </c>
      <c r="X1199">
        <f t="shared" ca="1" si="577"/>
        <v>0.26</v>
      </c>
      <c r="Y1199">
        <f t="shared" ca="1" si="578"/>
        <v>4.9056603773584909E-2</v>
      </c>
      <c r="Z1199">
        <f t="shared" ca="1" si="579"/>
        <v>196.15384615384616</v>
      </c>
      <c r="AA1199">
        <f t="shared" ca="1" si="580"/>
        <v>632.08749999999998</v>
      </c>
      <c r="AB1199">
        <f t="shared" ca="1" si="581"/>
        <v>2593.164531648662</v>
      </c>
      <c r="AC1199">
        <f t="shared" ca="1" si="582"/>
        <v>482.07306851378365</v>
      </c>
      <c r="AD1199">
        <f t="shared" ca="1" si="583"/>
        <v>280.07692026646265</v>
      </c>
      <c r="AE1199">
        <f t="shared" ca="1" si="584"/>
        <v>1019.7665564573041</v>
      </c>
      <c r="AF1199">
        <f t="shared" ca="1" si="585"/>
        <v>482.5611785058345</v>
      </c>
      <c r="AG1199">
        <f t="shared" ca="1" si="586"/>
        <v>0</v>
      </c>
      <c r="AH1199">
        <f ca="1">IF(V32="Supercritical",L1199,IF(V32="Subcritical",W1199,IF(AND(V1199=1,AG1199=1),IF(T1199&gt;=AE1199,L1199,W1199),IF(V1199=1,L1199,IF(AG1199=1,W1199,MAX($D$16,POWER((ABS(K1199)^2)/($I$5*MAX(F1199,0.1)^2),1/3)))))))</f>
        <v>2.1403668656741068</v>
      </c>
      <c r="AI1199">
        <f t="shared" ca="1" si="587"/>
        <v>634.1778668656741</v>
      </c>
      <c r="AJ1199">
        <f t="shared" ca="1" si="588"/>
        <v>635.2480502985112</v>
      </c>
      <c r="AM1199">
        <v>0</v>
      </c>
      <c r="AN1199">
        <v>0</v>
      </c>
      <c r="AO1199">
        <f t="shared" si="589"/>
        <v>0</v>
      </c>
      <c r="AP1199">
        <f t="shared" si="598"/>
        <v>0</v>
      </c>
      <c r="AQ1199">
        <f t="shared" ca="1" si="590"/>
        <v>0.99999999999999978</v>
      </c>
      <c r="AR1199" t="str">
        <f t="shared" ca="1" si="591"/>
        <v>Supercritical</v>
      </c>
      <c r="AS1199">
        <f t="shared" ca="1" si="592"/>
        <v>3.8148159832266538E-3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191</v>
      </c>
      <c r="I1200">
        <v>2E-3</v>
      </c>
      <c r="J1200">
        <f t="shared" si="593"/>
        <v>1.0010000000002037</v>
      </c>
      <c r="K1200">
        <f t="shared" si="594"/>
        <v>51</v>
      </c>
      <c r="L1200">
        <f t="shared" ca="1" si="595"/>
        <v>0.05</v>
      </c>
      <c r="M1200">
        <f t="shared" ca="1" si="568"/>
        <v>0.26</v>
      </c>
      <c r="N1200">
        <f t="shared" ca="1" si="569"/>
        <v>4.9056603773584909E-2</v>
      </c>
      <c r="O1200">
        <f t="shared" ca="1" si="570"/>
        <v>196.15384615384616</v>
      </c>
      <c r="P1200">
        <f t="shared" ca="1" si="571"/>
        <v>632.08699999999999</v>
      </c>
      <c r="Q1200">
        <f t="shared" ca="1" si="572"/>
        <v>2593.1640316486619</v>
      </c>
      <c r="R1200">
        <f t="shared" ca="1" si="573"/>
        <v>482.07306851378365</v>
      </c>
      <c r="S1200">
        <f t="shared" ca="1" si="574"/>
        <v>280.07692026646265</v>
      </c>
      <c r="T1200">
        <f t="shared" ca="1" si="575"/>
        <v>1019.7665564573041</v>
      </c>
      <c r="U1200">
        <f t="shared" ca="1" si="596"/>
        <v>-482.5611785058345</v>
      </c>
      <c r="V1200">
        <f t="shared" ca="1" si="597"/>
        <v>0</v>
      </c>
      <c r="W1200">
        <f t="shared" ca="1" si="576"/>
        <v>0.05</v>
      </c>
      <c r="X1200">
        <f t="shared" ca="1" si="577"/>
        <v>0.26</v>
      </c>
      <c r="Y1200">
        <f t="shared" ca="1" si="578"/>
        <v>4.9056603773584909E-2</v>
      </c>
      <c r="Z1200">
        <f t="shared" ca="1" si="579"/>
        <v>196.15384615384616</v>
      </c>
      <c r="AA1200">
        <f t="shared" ca="1" si="580"/>
        <v>632.08699999999999</v>
      </c>
      <c r="AB1200">
        <f t="shared" ca="1" si="581"/>
        <v>2593.1640316486619</v>
      </c>
      <c r="AC1200">
        <f t="shared" ca="1" si="582"/>
        <v>482.07306851378365</v>
      </c>
      <c r="AD1200">
        <f t="shared" ca="1" si="583"/>
        <v>280.07692026646265</v>
      </c>
      <c r="AE1200">
        <f t="shared" ca="1" si="584"/>
        <v>1019.7665564573041</v>
      </c>
      <c r="AF1200">
        <f t="shared" ca="1" si="585"/>
        <v>482.07256851378406</v>
      </c>
      <c r="AG1200">
        <f t="shared" ca="1" si="586"/>
        <v>0</v>
      </c>
      <c r="AH1200">
        <f ca="1">IF(V32="Supercritical",L1200,IF(V32="Subcritical",W1200,IF(AND(V1200=1,AG1200=1),IF(T1200&gt;=AE1200,L1200,W1200),IF(V1200=1,L1200,IF(AG1200=1,W1200,MAX($D$16,POWER((ABS(K1200)^2)/($I$5*MAX(F1200,0.1)^2),1/3)))))))</f>
        <v>2.1403668656741068</v>
      </c>
      <c r="AI1200">
        <f t="shared" ca="1" si="587"/>
        <v>634.17736686567412</v>
      </c>
      <c r="AJ1200">
        <f t="shared" ca="1" si="588"/>
        <v>635.24755029851121</v>
      </c>
      <c r="AM1200">
        <v>0</v>
      </c>
      <c r="AN1200">
        <v>0</v>
      </c>
      <c r="AO1200">
        <f t="shared" si="589"/>
        <v>0</v>
      </c>
      <c r="AP1200">
        <f t="shared" si="598"/>
        <v>0</v>
      </c>
      <c r="AQ1200">
        <f t="shared" ca="1" si="590"/>
        <v>0.99999999999999978</v>
      </c>
      <c r="AR1200" t="str">
        <f t="shared" ca="1" si="591"/>
        <v>Supercritical</v>
      </c>
      <c r="AS1200">
        <f t="shared" ca="1" si="592"/>
        <v>3.8148159832266538E-3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191</v>
      </c>
      <c r="I1201">
        <v>0</v>
      </c>
      <c r="J1201">
        <f t="shared" si="593"/>
        <v>1</v>
      </c>
      <c r="K1201">
        <f t="shared" si="594"/>
        <v>51</v>
      </c>
      <c r="L1201">
        <f t="shared" ca="1" si="595"/>
        <v>0.05</v>
      </c>
      <c r="M1201">
        <f t="shared" ca="1" si="568"/>
        <v>0.26</v>
      </c>
      <c r="N1201">
        <f t="shared" ca="1" si="569"/>
        <v>4.9056603773584909E-2</v>
      </c>
      <c r="O1201">
        <f t="shared" ca="1" si="570"/>
        <v>196.15384615384616</v>
      </c>
      <c r="P1201">
        <f t="shared" ca="1" si="571"/>
        <v>632.0865</v>
      </c>
      <c r="Q1201">
        <f t="shared" ca="1" si="572"/>
        <v>2593.1635316486622</v>
      </c>
      <c r="R1201">
        <f t="shared" ca="1" si="573"/>
        <v>482.07306851378365</v>
      </c>
      <c r="S1201">
        <f t="shared" ca="1" si="574"/>
        <v>280.07692026646265</v>
      </c>
      <c r="T1201">
        <f t="shared" ca="1" si="575"/>
        <v>1019.7665564573041</v>
      </c>
      <c r="U1201">
        <f t="shared" ca="1" si="596"/>
        <v>-482.07256851378406</v>
      </c>
      <c r="V1201">
        <f t="shared" ca="1" si="597"/>
        <v>0</v>
      </c>
      <c r="W1201">
        <f t="shared" ca="1" si="576"/>
        <v>0.05</v>
      </c>
      <c r="X1201">
        <f t="shared" ca="1" si="577"/>
        <v>0.26</v>
      </c>
      <c r="Y1201">
        <f t="shared" ca="1" si="578"/>
        <v>4.9056603773584909E-2</v>
      </c>
      <c r="Z1201">
        <f t="shared" ca="1" si="579"/>
        <v>196.15384615384616</v>
      </c>
      <c r="AA1201">
        <f t="shared" ca="1" si="580"/>
        <v>632.0865</v>
      </c>
      <c r="AB1201">
        <f t="shared" ca="1" si="581"/>
        <v>2593.1635316486622</v>
      </c>
      <c r="AC1201">
        <f t="shared" ca="1" si="582"/>
        <v>482.07306851378365</v>
      </c>
      <c r="AD1201">
        <f t="shared" ca="1" si="583"/>
        <v>280.07692026646265</v>
      </c>
      <c r="AE1201">
        <f t="shared" ca="1" si="584"/>
        <v>1019.7665564573041</v>
      </c>
      <c r="AF1201">
        <f t="shared" ca="1" si="585"/>
        <v>481.77679776317837</v>
      </c>
      <c r="AG1201">
        <f t="shared" ca="1" si="586"/>
        <v>0</v>
      </c>
      <c r="AH1201">
        <f ca="1">IF(V32="Supercritical",L1201,IF(V32="Subcritical",W1201,IF(AND(V1201=1,AG1201=1),IF(T1201&gt;=AE1201,L1201,W1201),IF(V1201=1,L1201,IF(AG1201=1,W1201,MAX($D$16,POWER((ABS(K1201)^2)/($I$5*MAX(F1201,0.1)^2),1/3)))))))</f>
        <v>2.1403668656741068</v>
      </c>
      <c r="AI1201">
        <f t="shared" ca="1" si="587"/>
        <v>634.17686686567413</v>
      </c>
      <c r="AJ1201">
        <f t="shared" ca="1" si="588"/>
        <v>635.24705029851123</v>
      </c>
      <c r="AM1201">
        <v>0</v>
      </c>
      <c r="AN1201">
        <v>0</v>
      </c>
      <c r="AO1201">
        <f t="shared" si="589"/>
        <v>0</v>
      </c>
      <c r="AP1201">
        <f t="shared" si="598"/>
        <v>0</v>
      </c>
      <c r="AQ1201">
        <f t="shared" ca="1" si="590"/>
        <v>0.99999999999999978</v>
      </c>
      <c r="AR1201" t="str">
        <f t="shared" ca="1" si="591"/>
        <v>Supercritical</v>
      </c>
      <c r="AS1201">
        <f t="shared" ca="1" si="592"/>
        <v>3.8148159832266538E-3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191</v>
      </c>
      <c r="I1202">
        <v>5.7000000000000002E-2</v>
      </c>
      <c r="J1202">
        <f t="shared" si="593"/>
        <v>0.99899999999979627</v>
      </c>
      <c r="K1202">
        <f t="shared" si="594"/>
        <v>51</v>
      </c>
      <c r="L1202">
        <f t="shared" ca="1" si="595"/>
        <v>0.05</v>
      </c>
      <c r="M1202">
        <f t="shared" ca="1" si="568"/>
        <v>0.26</v>
      </c>
      <c r="N1202">
        <f t="shared" ca="1" si="569"/>
        <v>4.9056603773584909E-2</v>
      </c>
      <c r="O1202">
        <f t="shared" ca="1" si="570"/>
        <v>196.15384615384616</v>
      </c>
      <c r="P1202">
        <f t="shared" ca="1" si="571"/>
        <v>632.0859999999999</v>
      </c>
      <c r="Q1202">
        <f t="shared" ca="1" si="572"/>
        <v>2593.1630316486621</v>
      </c>
      <c r="R1202">
        <f t="shared" ca="1" si="573"/>
        <v>482.07306851378365</v>
      </c>
      <c r="S1202">
        <f t="shared" ca="1" si="574"/>
        <v>280.07692026646265</v>
      </c>
      <c r="T1202">
        <f t="shared" ca="1" si="575"/>
        <v>1019.7665564573041</v>
      </c>
      <c r="U1202">
        <f t="shared" ca="1" si="596"/>
        <v>-481.77679776317837</v>
      </c>
      <c r="V1202">
        <f t="shared" ca="1" si="597"/>
        <v>0</v>
      </c>
      <c r="W1202">
        <f t="shared" ca="1" si="576"/>
        <v>0.05</v>
      </c>
      <c r="X1202">
        <f t="shared" ca="1" si="577"/>
        <v>0.26</v>
      </c>
      <c r="Y1202">
        <f t="shared" ca="1" si="578"/>
        <v>4.9056603773584909E-2</v>
      </c>
      <c r="Z1202">
        <f t="shared" ca="1" si="579"/>
        <v>196.15384615384616</v>
      </c>
      <c r="AA1202">
        <f t="shared" ca="1" si="580"/>
        <v>632.0859999999999</v>
      </c>
      <c r="AB1202">
        <f t="shared" ca="1" si="581"/>
        <v>2593.1630316486621</v>
      </c>
      <c r="AC1202">
        <f t="shared" ca="1" si="582"/>
        <v>482.07306851378365</v>
      </c>
      <c r="AD1202">
        <f t="shared" ca="1" si="583"/>
        <v>280.07692026646265</v>
      </c>
      <c r="AE1202">
        <f t="shared" ca="1" si="584"/>
        <v>1019.7665564573041</v>
      </c>
      <c r="AF1202">
        <f t="shared" ca="1" si="585"/>
        <v>482.25887083179032</v>
      </c>
      <c r="AG1202">
        <f t="shared" ca="1" si="586"/>
        <v>0</v>
      </c>
      <c r="AH1202">
        <f ca="1">IF(V32="Supercritical",L1202,IF(V32="Subcritical",W1202,IF(AND(V1202=1,AG1202=1),IF(T1202&gt;=AE1202,L1202,W1202),IF(V1202=1,L1202,IF(AG1202=1,W1202,MAX($D$16,POWER((ABS(K1202)^2)/($I$5*MAX(F1202,0.1)^2),1/3)))))))</f>
        <v>2.1403668656741068</v>
      </c>
      <c r="AI1202">
        <f t="shared" ca="1" si="587"/>
        <v>634.17636686567403</v>
      </c>
      <c r="AJ1202">
        <f t="shared" ca="1" si="588"/>
        <v>635.24655029851112</v>
      </c>
      <c r="AM1202">
        <v>0</v>
      </c>
      <c r="AN1202">
        <v>0</v>
      </c>
      <c r="AO1202">
        <f t="shared" si="589"/>
        <v>0</v>
      </c>
      <c r="AP1202">
        <f t="shared" si="598"/>
        <v>0</v>
      </c>
      <c r="AQ1202">
        <f t="shared" ca="1" si="590"/>
        <v>0.99999999999999978</v>
      </c>
      <c r="AR1202" t="str">
        <f t="shared" ca="1" si="591"/>
        <v>Supercritical</v>
      </c>
      <c r="AS1202">
        <f t="shared" ca="1" si="592"/>
        <v>3.8148159832266538E-3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191</v>
      </c>
      <c r="I1203">
        <v>5.7000000000000002E-2</v>
      </c>
      <c r="J1203">
        <f t="shared" si="593"/>
        <v>1</v>
      </c>
      <c r="K1203">
        <f t="shared" si="594"/>
        <v>51</v>
      </c>
      <c r="L1203">
        <f t="shared" ca="1" si="595"/>
        <v>0.05</v>
      </c>
      <c r="M1203">
        <f t="shared" ca="1" si="568"/>
        <v>0.26</v>
      </c>
      <c r="N1203">
        <f t="shared" ca="1" si="569"/>
        <v>4.9056603773584909E-2</v>
      </c>
      <c r="O1203">
        <f t="shared" ca="1" si="570"/>
        <v>196.15384615384616</v>
      </c>
      <c r="P1203">
        <f t="shared" ca="1" si="571"/>
        <v>632.08549999999991</v>
      </c>
      <c r="Q1203">
        <f t="shared" ca="1" si="572"/>
        <v>2593.162531648662</v>
      </c>
      <c r="R1203">
        <f t="shared" ca="1" si="573"/>
        <v>482.07306851378365</v>
      </c>
      <c r="S1203">
        <f t="shared" ca="1" si="574"/>
        <v>280.07692026646265</v>
      </c>
      <c r="T1203">
        <f t="shared" ca="1" si="575"/>
        <v>1019.7665564573041</v>
      </c>
      <c r="U1203">
        <f t="shared" ca="1" si="596"/>
        <v>-482.25887083179032</v>
      </c>
      <c r="V1203">
        <f t="shared" ca="1" si="597"/>
        <v>0</v>
      </c>
      <c r="W1203">
        <f t="shared" ca="1" si="576"/>
        <v>0.05</v>
      </c>
      <c r="X1203">
        <f t="shared" ca="1" si="577"/>
        <v>0.26</v>
      </c>
      <c r="Y1203">
        <f t="shared" ca="1" si="578"/>
        <v>4.9056603773584909E-2</v>
      </c>
      <c r="Z1203">
        <f t="shared" ca="1" si="579"/>
        <v>196.15384615384616</v>
      </c>
      <c r="AA1203">
        <f t="shared" ca="1" si="580"/>
        <v>632.08549999999991</v>
      </c>
      <c r="AB1203">
        <f t="shared" ca="1" si="581"/>
        <v>2593.162531648662</v>
      </c>
      <c r="AC1203">
        <f t="shared" ca="1" si="582"/>
        <v>482.07306851378365</v>
      </c>
      <c r="AD1203">
        <f t="shared" ca="1" si="583"/>
        <v>280.07692026646265</v>
      </c>
      <c r="AE1203">
        <f t="shared" ca="1" si="584"/>
        <v>1019.7665564573041</v>
      </c>
      <c r="AF1203">
        <f t="shared" ca="1" si="585"/>
        <v>482.07256851378361</v>
      </c>
      <c r="AG1203">
        <f t="shared" ca="1" si="586"/>
        <v>0</v>
      </c>
      <c r="AH1203">
        <f ca="1">IF(V32="Supercritical",L1203,IF(V32="Subcritical",W1203,IF(AND(V1203=1,AG1203=1),IF(T1203&gt;=AE1203,L1203,W1203),IF(V1203=1,L1203,IF(AG1203=1,W1203,MAX($D$16,POWER((ABS(K1203)^2)/($I$5*MAX(F1203,0.1)^2),1/3)))))))</f>
        <v>2.1403668656741068</v>
      </c>
      <c r="AI1203">
        <f t="shared" ca="1" si="587"/>
        <v>634.17586686567404</v>
      </c>
      <c r="AJ1203">
        <f t="shared" ca="1" si="588"/>
        <v>635.24605029851114</v>
      </c>
      <c r="AM1203">
        <v>0</v>
      </c>
      <c r="AN1203">
        <v>0</v>
      </c>
      <c r="AO1203">
        <f t="shared" si="589"/>
        <v>0</v>
      </c>
      <c r="AP1203">
        <f t="shared" si="598"/>
        <v>0</v>
      </c>
      <c r="AQ1203">
        <f t="shared" ca="1" si="590"/>
        <v>0.99999999999999978</v>
      </c>
      <c r="AR1203" t="str">
        <f t="shared" ca="1" si="591"/>
        <v>Supercritical</v>
      </c>
      <c r="AS1203">
        <f t="shared" ca="1" si="592"/>
        <v>3.8148159832266538E-3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191</v>
      </c>
      <c r="I1204">
        <v>0</v>
      </c>
      <c r="J1204">
        <f t="shared" si="593"/>
        <v>1</v>
      </c>
      <c r="K1204">
        <f t="shared" si="594"/>
        <v>51</v>
      </c>
      <c r="L1204">
        <f t="shared" ca="1" si="595"/>
        <v>0.05</v>
      </c>
      <c r="M1204">
        <f t="shared" ca="1" si="568"/>
        <v>0.26</v>
      </c>
      <c r="N1204">
        <f t="shared" ca="1" si="569"/>
        <v>4.9056603773584909E-2</v>
      </c>
      <c r="O1204">
        <f t="shared" ca="1" si="570"/>
        <v>196.15384615384616</v>
      </c>
      <c r="P1204">
        <f t="shared" ca="1" si="571"/>
        <v>632.08499999999992</v>
      </c>
      <c r="Q1204">
        <f t="shared" ca="1" si="572"/>
        <v>2593.1620316486619</v>
      </c>
      <c r="R1204">
        <f t="shared" ca="1" si="573"/>
        <v>482.07306851378365</v>
      </c>
      <c r="S1204">
        <f t="shared" ca="1" si="574"/>
        <v>280.07692026646265</v>
      </c>
      <c r="T1204">
        <f t="shared" ca="1" si="575"/>
        <v>1019.7665564573041</v>
      </c>
      <c r="U1204">
        <f t="shared" ca="1" si="596"/>
        <v>-482.07256851378361</v>
      </c>
      <c r="V1204">
        <f t="shared" ca="1" si="597"/>
        <v>0</v>
      </c>
      <c r="W1204">
        <f t="shared" ca="1" si="576"/>
        <v>0.05</v>
      </c>
      <c r="X1204">
        <f t="shared" ca="1" si="577"/>
        <v>0.26</v>
      </c>
      <c r="Y1204">
        <f t="shared" ca="1" si="578"/>
        <v>4.9056603773584909E-2</v>
      </c>
      <c r="Z1204">
        <f t="shared" ca="1" si="579"/>
        <v>196.15384615384616</v>
      </c>
      <c r="AA1204">
        <f t="shared" ca="1" si="580"/>
        <v>632.08499999999992</v>
      </c>
      <c r="AB1204">
        <f t="shared" ca="1" si="581"/>
        <v>2593.1620316486619</v>
      </c>
      <c r="AC1204">
        <f t="shared" ca="1" si="582"/>
        <v>482.07306851378365</v>
      </c>
      <c r="AD1204">
        <f t="shared" ca="1" si="583"/>
        <v>280.07692026646265</v>
      </c>
      <c r="AE1204">
        <f t="shared" ca="1" si="584"/>
        <v>1019.7665564573041</v>
      </c>
      <c r="AF1204">
        <f t="shared" ca="1" si="585"/>
        <v>482.07256851378406</v>
      </c>
      <c r="AG1204">
        <f t="shared" ca="1" si="586"/>
        <v>0</v>
      </c>
      <c r="AH1204">
        <f ca="1">IF(V32="Supercritical",L1204,IF(V32="Subcritical",W1204,IF(AND(V1204=1,AG1204=1),IF(T1204&gt;=AE1204,L1204,W1204),IF(V1204=1,L1204,IF(AG1204=1,W1204,MAX($D$16,POWER((ABS(K1204)^2)/($I$5*MAX(F1204,0.1)^2),1/3)))))))</f>
        <v>2.1403668656741068</v>
      </c>
      <c r="AI1204">
        <f t="shared" ca="1" si="587"/>
        <v>634.17536686567405</v>
      </c>
      <c r="AJ1204">
        <f t="shared" ca="1" si="588"/>
        <v>635.24555029851115</v>
      </c>
      <c r="AM1204">
        <v>0</v>
      </c>
      <c r="AN1204">
        <v>0</v>
      </c>
      <c r="AO1204">
        <f t="shared" si="589"/>
        <v>0</v>
      </c>
      <c r="AP1204">
        <f t="shared" si="598"/>
        <v>0</v>
      </c>
      <c r="AQ1204">
        <f t="shared" ca="1" si="590"/>
        <v>0.99999999999999978</v>
      </c>
      <c r="AR1204" t="str">
        <f t="shared" ca="1" si="591"/>
        <v>Supercritical</v>
      </c>
      <c r="AS1204">
        <f t="shared" ca="1" si="592"/>
        <v>3.8148159832266538E-3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191</v>
      </c>
      <c r="I1205">
        <v>0</v>
      </c>
      <c r="J1205">
        <f t="shared" si="593"/>
        <v>1</v>
      </c>
      <c r="K1205">
        <f t="shared" si="594"/>
        <v>51</v>
      </c>
      <c r="L1205">
        <f t="shared" ca="1" si="595"/>
        <v>0.05</v>
      </c>
      <c r="M1205">
        <f t="shared" ca="1" si="568"/>
        <v>0.26</v>
      </c>
      <c r="N1205">
        <f t="shared" ca="1" si="569"/>
        <v>4.9056603773584909E-2</v>
      </c>
      <c r="O1205">
        <f t="shared" ca="1" si="570"/>
        <v>196.15384615384616</v>
      </c>
      <c r="P1205">
        <f t="shared" ca="1" si="571"/>
        <v>632.08449999999993</v>
      </c>
      <c r="Q1205">
        <f t="shared" ca="1" si="572"/>
        <v>2593.1615316486623</v>
      </c>
      <c r="R1205">
        <f t="shared" ca="1" si="573"/>
        <v>482.07306851378365</v>
      </c>
      <c r="S1205">
        <f t="shared" ca="1" si="574"/>
        <v>280.07692026646265</v>
      </c>
      <c r="T1205">
        <f t="shared" ca="1" si="575"/>
        <v>1019.7665564573041</v>
      </c>
      <c r="U1205">
        <f t="shared" ca="1" si="596"/>
        <v>-482.07256851378406</v>
      </c>
      <c r="V1205">
        <f t="shared" ca="1" si="597"/>
        <v>0</v>
      </c>
      <c r="W1205">
        <f t="shared" ca="1" si="576"/>
        <v>0.05</v>
      </c>
      <c r="X1205">
        <f t="shared" ca="1" si="577"/>
        <v>0.26</v>
      </c>
      <c r="Y1205">
        <f t="shared" ca="1" si="578"/>
        <v>4.9056603773584909E-2</v>
      </c>
      <c r="Z1205">
        <f t="shared" ca="1" si="579"/>
        <v>196.15384615384616</v>
      </c>
      <c r="AA1205">
        <f t="shared" ca="1" si="580"/>
        <v>632.08449999999993</v>
      </c>
      <c r="AB1205">
        <f t="shared" ca="1" si="581"/>
        <v>2593.1615316486623</v>
      </c>
      <c r="AC1205">
        <f t="shared" ca="1" si="582"/>
        <v>482.07306851378365</v>
      </c>
      <c r="AD1205">
        <f t="shared" ca="1" si="583"/>
        <v>280.07692026646265</v>
      </c>
      <c r="AE1205">
        <f t="shared" ca="1" si="584"/>
        <v>1019.7665564573041</v>
      </c>
      <c r="AF1205">
        <f t="shared" ca="1" si="585"/>
        <v>482.25887083179032</v>
      </c>
      <c r="AG1205">
        <f t="shared" ca="1" si="586"/>
        <v>0</v>
      </c>
      <c r="AH1205">
        <f ca="1">IF(V32="Supercritical",L1205,IF(V32="Subcritical",W1205,IF(AND(V1205=1,AG1205=1),IF(T1205&gt;=AE1205,L1205,W1205),IF(V1205=1,L1205,IF(AG1205=1,W1205,MAX($D$16,POWER((ABS(K1205)^2)/($I$5*MAX(F1205,0.1)^2),1/3)))))))</f>
        <v>2.1403668656741068</v>
      </c>
      <c r="AI1205">
        <f t="shared" ca="1" si="587"/>
        <v>634.17486686567406</v>
      </c>
      <c r="AJ1205">
        <f t="shared" ca="1" si="588"/>
        <v>635.24505029851116</v>
      </c>
      <c r="AM1205">
        <v>0</v>
      </c>
      <c r="AN1205">
        <v>0</v>
      </c>
      <c r="AO1205">
        <f t="shared" si="589"/>
        <v>0</v>
      </c>
      <c r="AP1205">
        <f t="shared" si="598"/>
        <v>0</v>
      </c>
      <c r="AQ1205">
        <f t="shared" ca="1" si="590"/>
        <v>0.99999999999999978</v>
      </c>
      <c r="AR1205" t="str">
        <f t="shared" ca="1" si="591"/>
        <v>Supercritical</v>
      </c>
      <c r="AS1205">
        <f t="shared" ca="1" si="592"/>
        <v>3.8148159832266538E-3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191</v>
      </c>
      <c r="I1206">
        <v>5.7000000000000002E-2</v>
      </c>
      <c r="J1206">
        <f t="shared" si="593"/>
        <v>1</v>
      </c>
      <c r="K1206">
        <f t="shared" si="594"/>
        <v>51</v>
      </c>
      <c r="L1206">
        <f t="shared" ca="1" si="595"/>
        <v>0.05</v>
      </c>
      <c r="M1206">
        <f t="shared" ca="1" si="568"/>
        <v>0.26</v>
      </c>
      <c r="N1206">
        <f t="shared" ca="1" si="569"/>
        <v>4.9056603773584909E-2</v>
      </c>
      <c r="O1206">
        <f t="shared" ca="1" si="570"/>
        <v>196.15384615384616</v>
      </c>
      <c r="P1206">
        <f t="shared" ca="1" si="571"/>
        <v>632.08399999999995</v>
      </c>
      <c r="Q1206">
        <f t="shared" ca="1" si="572"/>
        <v>2593.1610316486622</v>
      </c>
      <c r="R1206">
        <f t="shared" ca="1" si="573"/>
        <v>482.07306851378365</v>
      </c>
      <c r="S1206">
        <f t="shared" ca="1" si="574"/>
        <v>280.07692026646265</v>
      </c>
      <c r="T1206">
        <f t="shared" ca="1" si="575"/>
        <v>1019.7665564573041</v>
      </c>
      <c r="U1206">
        <f t="shared" ca="1" si="596"/>
        <v>-482.25887083179032</v>
      </c>
      <c r="V1206">
        <f t="shared" ca="1" si="597"/>
        <v>0</v>
      </c>
      <c r="W1206">
        <f t="shared" ca="1" si="576"/>
        <v>0.05</v>
      </c>
      <c r="X1206">
        <f t="shared" ca="1" si="577"/>
        <v>0.26</v>
      </c>
      <c r="Y1206">
        <f t="shared" ca="1" si="578"/>
        <v>4.9056603773584909E-2</v>
      </c>
      <c r="Z1206">
        <f t="shared" ca="1" si="579"/>
        <v>196.15384615384616</v>
      </c>
      <c r="AA1206">
        <f t="shared" ca="1" si="580"/>
        <v>632.08399999999995</v>
      </c>
      <c r="AB1206">
        <f t="shared" ca="1" si="581"/>
        <v>2593.1610316486622</v>
      </c>
      <c r="AC1206">
        <f t="shared" ca="1" si="582"/>
        <v>482.07306851378365</v>
      </c>
      <c r="AD1206">
        <f t="shared" ca="1" si="583"/>
        <v>280.07692026646265</v>
      </c>
      <c r="AE1206">
        <f t="shared" ca="1" si="584"/>
        <v>1019.7665564573041</v>
      </c>
      <c r="AF1206">
        <f t="shared" ca="1" si="585"/>
        <v>482.25887083179032</v>
      </c>
      <c r="AG1206">
        <f t="shared" ca="1" si="586"/>
        <v>0</v>
      </c>
      <c r="AH1206">
        <f ca="1">IF(V32="Supercritical",L1206,IF(V32="Subcritical",W1206,IF(AND(V1206=1,AG1206=1),IF(T1206&gt;=AE1206,L1206,W1206),IF(V1206=1,L1206,IF(AG1206=1,W1206,MAX($D$16,POWER((ABS(K1206)^2)/($I$5*MAX(F1206,0.1)^2),1/3)))))))</f>
        <v>2.1403668656741068</v>
      </c>
      <c r="AI1206">
        <f t="shared" ca="1" si="587"/>
        <v>634.17436686567407</v>
      </c>
      <c r="AJ1206">
        <f t="shared" ca="1" si="588"/>
        <v>635.24455029851117</v>
      </c>
      <c r="AM1206">
        <v>0</v>
      </c>
      <c r="AN1206">
        <v>0</v>
      </c>
      <c r="AO1206">
        <f t="shared" si="589"/>
        <v>0</v>
      </c>
      <c r="AP1206">
        <f t="shared" si="598"/>
        <v>0</v>
      </c>
      <c r="AQ1206">
        <f t="shared" ca="1" si="590"/>
        <v>0.99999999999999978</v>
      </c>
      <c r="AR1206" t="str">
        <f t="shared" ca="1" si="591"/>
        <v>Supercritical</v>
      </c>
      <c r="AS1206">
        <f t="shared" ca="1" si="592"/>
        <v>3.8148159832266538E-3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191</v>
      </c>
      <c r="I1207">
        <v>5.7000000000000002E-2</v>
      </c>
      <c r="J1207">
        <f t="shared" si="593"/>
        <v>1</v>
      </c>
      <c r="K1207">
        <f t="shared" si="594"/>
        <v>51</v>
      </c>
      <c r="L1207">
        <f t="shared" ca="1" si="595"/>
        <v>0.05</v>
      </c>
      <c r="M1207">
        <f t="shared" ca="1" si="568"/>
        <v>0.26</v>
      </c>
      <c r="N1207">
        <f t="shared" ca="1" si="569"/>
        <v>4.9056603773584909E-2</v>
      </c>
      <c r="O1207">
        <f t="shared" ca="1" si="570"/>
        <v>196.15384615384616</v>
      </c>
      <c r="P1207">
        <f t="shared" ca="1" si="571"/>
        <v>632.08349999999996</v>
      </c>
      <c r="Q1207">
        <f t="shared" ca="1" si="572"/>
        <v>2593.1605316486621</v>
      </c>
      <c r="R1207">
        <f t="shared" ca="1" si="573"/>
        <v>482.07306851378365</v>
      </c>
      <c r="S1207">
        <f t="shared" ca="1" si="574"/>
        <v>280.07692026646265</v>
      </c>
      <c r="T1207">
        <f t="shared" ca="1" si="575"/>
        <v>1019.7665564573041</v>
      </c>
      <c r="U1207">
        <f t="shared" ca="1" si="596"/>
        <v>-482.25887083179032</v>
      </c>
      <c r="V1207">
        <f t="shared" ca="1" si="597"/>
        <v>0</v>
      </c>
      <c r="W1207">
        <f t="shared" ca="1" si="576"/>
        <v>0.05</v>
      </c>
      <c r="X1207">
        <f t="shared" ca="1" si="577"/>
        <v>0.26</v>
      </c>
      <c r="Y1207">
        <f t="shared" ca="1" si="578"/>
        <v>4.9056603773584909E-2</v>
      </c>
      <c r="Z1207">
        <f t="shared" ca="1" si="579"/>
        <v>196.15384615384616</v>
      </c>
      <c r="AA1207">
        <f t="shared" ca="1" si="580"/>
        <v>632.08349999999996</v>
      </c>
      <c r="AB1207">
        <f t="shared" ca="1" si="581"/>
        <v>2593.1605316486621</v>
      </c>
      <c r="AC1207">
        <f t="shared" ca="1" si="582"/>
        <v>482.07306851378365</v>
      </c>
      <c r="AD1207">
        <f t="shared" ca="1" si="583"/>
        <v>280.07692026646265</v>
      </c>
      <c r="AE1207">
        <f t="shared" ca="1" si="584"/>
        <v>1019.7665564573041</v>
      </c>
      <c r="AF1207">
        <f t="shared" ca="1" si="585"/>
        <v>482.07910543722255</v>
      </c>
      <c r="AG1207">
        <f t="shared" ca="1" si="586"/>
        <v>0</v>
      </c>
      <c r="AH1207">
        <f ca="1">IF(V32="Supercritical",L1207,IF(V32="Subcritical",W1207,IF(AND(V1207=1,AG1207=1),IF(T1207&gt;=AE1207,L1207,W1207),IF(V1207=1,L1207,IF(AG1207=1,W1207,MAX($D$16,POWER((ABS(K1207)^2)/($I$5*MAX(F1207,0.1)^2),1/3)))))))</f>
        <v>2.1403668656741068</v>
      </c>
      <c r="AI1207">
        <f t="shared" ca="1" si="587"/>
        <v>634.17386686567409</v>
      </c>
      <c r="AJ1207">
        <f t="shared" ca="1" si="588"/>
        <v>635.24405029851118</v>
      </c>
      <c r="AM1207">
        <v>0</v>
      </c>
      <c r="AN1207">
        <v>0</v>
      </c>
      <c r="AO1207">
        <f t="shared" si="589"/>
        <v>0</v>
      </c>
      <c r="AP1207">
        <f t="shared" si="598"/>
        <v>0</v>
      </c>
      <c r="AQ1207">
        <f t="shared" ca="1" si="590"/>
        <v>0.99999999999999978</v>
      </c>
      <c r="AR1207" t="str">
        <f t="shared" ca="1" si="591"/>
        <v>Supercritical</v>
      </c>
      <c r="AS1207">
        <f t="shared" ca="1" si="592"/>
        <v>3.8148159832266538E-3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191</v>
      </c>
      <c r="I1208">
        <v>2E-3</v>
      </c>
      <c r="J1208">
        <f t="shared" si="593"/>
        <v>1</v>
      </c>
      <c r="K1208">
        <f t="shared" si="594"/>
        <v>51</v>
      </c>
      <c r="L1208">
        <f t="shared" ca="1" si="595"/>
        <v>0.05</v>
      </c>
      <c r="M1208">
        <f t="shared" ca="1" si="568"/>
        <v>0.26</v>
      </c>
      <c r="N1208">
        <f t="shared" ca="1" si="569"/>
        <v>4.9056603773584909E-2</v>
      </c>
      <c r="O1208">
        <f t="shared" ca="1" si="570"/>
        <v>196.15384615384616</v>
      </c>
      <c r="P1208">
        <f t="shared" ca="1" si="571"/>
        <v>632.08299999999997</v>
      </c>
      <c r="Q1208">
        <f t="shared" ca="1" si="572"/>
        <v>2593.160031648662</v>
      </c>
      <c r="R1208">
        <f t="shared" ca="1" si="573"/>
        <v>482.07306851378365</v>
      </c>
      <c r="S1208">
        <f t="shared" ca="1" si="574"/>
        <v>280.07692026646265</v>
      </c>
      <c r="T1208">
        <f t="shared" ca="1" si="575"/>
        <v>1019.7665564573041</v>
      </c>
      <c r="U1208">
        <f t="shared" ca="1" si="596"/>
        <v>-482.07910543722255</v>
      </c>
      <c r="V1208">
        <f t="shared" ca="1" si="597"/>
        <v>0</v>
      </c>
      <c r="W1208">
        <f t="shared" ca="1" si="576"/>
        <v>0.05</v>
      </c>
      <c r="X1208">
        <f t="shared" ca="1" si="577"/>
        <v>0.26</v>
      </c>
      <c r="Y1208">
        <f t="shared" ca="1" si="578"/>
        <v>4.9056603773584909E-2</v>
      </c>
      <c r="Z1208">
        <f t="shared" ca="1" si="579"/>
        <v>196.15384615384616</v>
      </c>
      <c r="AA1208">
        <f t="shared" ca="1" si="580"/>
        <v>632.08299999999997</v>
      </c>
      <c r="AB1208">
        <f t="shared" ca="1" si="581"/>
        <v>2593.160031648662</v>
      </c>
      <c r="AC1208">
        <f t="shared" ca="1" si="582"/>
        <v>482.07306851378365</v>
      </c>
      <c r="AD1208">
        <f t="shared" ca="1" si="583"/>
        <v>280.07692026646265</v>
      </c>
      <c r="AE1208">
        <f t="shared" ca="1" si="584"/>
        <v>1019.7665564573041</v>
      </c>
      <c r="AF1208">
        <f t="shared" ca="1" si="585"/>
        <v>482.75074928556023</v>
      </c>
      <c r="AG1208">
        <f t="shared" ca="1" si="586"/>
        <v>0</v>
      </c>
      <c r="AH1208">
        <f ca="1">IF(V32="Supercritical",L1208,IF(V32="Subcritical",W1208,IF(AND(V1208=1,AG1208=1),IF(T1208&gt;=AE1208,L1208,W1208),IF(V1208=1,L1208,IF(AG1208=1,W1208,MAX($D$16,POWER((ABS(K1208)^2)/($I$5*MAX(F1208,0.1)^2),1/3)))))))</f>
        <v>2.1403668656741068</v>
      </c>
      <c r="AI1208">
        <f t="shared" ca="1" si="587"/>
        <v>634.1733668656741</v>
      </c>
      <c r="AJ1208">
        <f t="shared" ca="1" si="588"/>
        <v>635.2435502985112</v>
      </c>
      <c r="AM1208">
        <v>0</v>
      </c>
      <c r="AN1208">
        <v>0</v>
      </c>
      <c r="AO1208">
        <f t="shared" si="589"/>
        <v>0</v>
      </c>
      <c r="AP1208">
        <f t="shared" si="598"/>
        <v>0</v>
      </c>
      <c r="AQ1208">
        <f t="shared" ca="1" si="590"/>
        <v>0.99999999999999978</v>
      </c>
      <c r="AR1208" t="str">
        <f t="shared" ca="1" si="591"/>
        <v>Supercritical</v>
      </c>
      <c r="AS1208">
        <f t="shared" ca="1" si="592"/>
        <v>3.8148159832266538E-3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191</v>
      </c>
      <c r="I1209">
        <v>0.06</v>
      </c>
      <c r="J1209">
        <f t="shared" si="593"/>
        <v>1.0010000000002037</v>
      </c>
      <c r="K1209">
        <f t="shared" si="594"/>
        <v>51</v>
      </c>
      <c r="L1209">
        <f t="shared" ca="1" si="595"/>
        <v>0.05</v>
      </c>
      <c r="M1209">
        <f t="shared" ca="1" si="568"/>
        <v>0.26</v>
      </c>
      <c r="N1209">
        <f t="shared" ca="1" si="569"/>
        <v>4.9056603773584909E-2</v>
      </c>
      <c r="O1209">
        <f t="shared" ca="1" si="570"/>
        <v>196.15384615384616</v>
      </c>
      <c r="P1209">
        <f t="shared" ca="1" si="571"/>
        <v>632.08249999999998</v>
      </c>
      <c r="Q1209">
        <f t="shared" ca="1" si="572"/>
        <v>2593.1595316486619</v>
      </c>
      <c r="R1209">
        <f t="shared" ca="1" si="573"/>
        <v>482.07306851378365</v>
      </c>
      <c r="S1209">
        <f t="shared" ca="1" si="574"/>
        <v>280.07692026646265</v>
      </c>
      <c r="T1209">
        <f t="shared" ca="1" si="575"/>
        <v>1019.7665564573041</v>
      </c>
      <c r="U1209">
        <f t="shared" ca="1" si="596"/>
        <v>-482.75074928556023</v>
      </c>
      <c r="V1209">
        <f t="shared" ca="1" si="597"/>
        <v>0</v>
      </c>
      <c r="W1209">
        <f t="shared" ca="1" si="576"/>
        <v>0.05</v>
      </c>
      <c r="X1209">
        <f t="shared" ca="1" si="577"/>
        <v>0.26</v>
      </c>
      <c r="Y1209">
        <f t="shared" ca="1" si="578"/>
        <v>4.9056603773584909E-2</v>
      </c>
      <c r="Z1209">
        <f t="shared" ca="1" si="579"/>
        <v>196.15384615384616</v>
      </c>
      <c r="AA1209">
        <f t="shared" ca="1" si="580"/>
        <v>632.08249999999998</v>
      </c>
      <c r="AB1209">
        <f t="shared" ca="1" si="581"/>
        <v>2593.1595316486619</v>
      </c>
      <c r="AC1209">
        <f t="shared" ca="1" si="582"/>
        <v>482.07306851378365</v>
      </c>
      <c r="AD1209">
        <f t="shared" ca="1" si="583"/>
        <v>280.07692026646265</v>
      </c>
      <c r="AE1209">
        <f t="shared" ca="1" si="584"/>
        <v>1019.7665564573041</v>
      </c>
      <c r="AF1209">
        <f t="shared" ca="1" si="585"/>
        <v>482.25887083179077</v>
      </c>
      <c r="AG1209">
        <f t="shared" ca="1" si="586"/>
        <v>0</v>
      </c>
      <c r="AH1209">
        <f ca="1">IF(V32="Supercritical",L1209,IF(V32="Subcritical",W1209,IF(AND(V1209=1,AG1209=1),IF(T1209&gt;=AE1209,L1209,W1209),IF(V1209=1,L1209,IF(AG1209=1,W1209,MAX($D$16,POWER((ABS(K1209)^2)/($I$5*MAX(F1209,0.1)^2),1/3)))))))</f>
        <v>2.1403668656741068</v>
      </c>
      <c r="AI1209">
        <f t="shared" ca="1" si="587"/>
        <v>634.17286686567411</v>
      </c>
      <c r="AJ1209">
        <f t="shared" ca="1" si="588"/>
        <v>635.24305029851121</v>
      </c>
      <c r="AM1209">
        <v>0</v>
      </c>
      <c r="AN1209">
        <v>0</v>
      </c>
      <c r="AO1209">
        <f t="shared" si="589"/>
        <v>0</v>
      </c>
      <c r="AP1209">
        <f t="shared" si="598"/>
        <v>0</v>
      </c>
      <c r="AQ1209">
        <f t="shared" ca="1" si="590"/>
        <v>0.99999999999999978</v>
      </c>
      <c r="AR1209" t="str">
        <f t="shared" ca="1" si="591"/>
        <v>Supercritical</v>
      </c>
      <c r="AS1209">
        <f t="shared" ca="1" si="592"/>
        <v>3.8148159832266538E-3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191</v>
      </c>
      <c r="I1210">
        <v>5.7000000000000002E-2</v>
      </c>
      <c r="J1210">
        <f t="shared" si="593"/>
        <v>1</v>
      </c>
      <c r="K1210">
        <f t="shared" si="594"/>
        <v>51</v>
      </c>
      <c r="L1210">
        <f t="shared" ca="1" si="595"/>
        <v>0.05</v>
      </c>
      <c r="M1210">
        <f t="shared" ca="1" si="568"/>
        <v>0.26</v>
      </c>
      <c r="N1210">
        <f t="shared" ca="1" si="569"/>
        <v>4.9056603773584909E-2</v>
      </c>
      <c r="O1210">
        <f t="shared" ca="1" si="570"/>
        <v>196.15384615384616</v>
      </c>
      <c r="P1210">
        <f t="shared" ca="1" si="571"/>
        <v>632.08199999999999</v>
      </c>
      <c r="Q1210">
        <f t="shared" ca="1" si="572"/>
        <v>2593.1590316486622</v>
      </c>
      <c r="R1210">
        <f t="shared" ca="1" si="573"/>
        <v>482.07306851378365</v>
      </c>
      <c r="S1210">
        <f t="shared" ca="1" si="574"/>
        <v>280.07692026646265</v>
      </c>
      <c r="T1210">
        <f t="shared" ca="1" si="575"/>
        <v>1019.7665564573041</v>
      </c>
      <c r="U1210">
        <f t="shared" ca="1" si="596"/>
        <v>-482.25887083179077</v>
      </c>
      <c r="V1210">
        <f t="shared" ca="1" si="597"/>
        <v>0</v>
      </c>
      <c r="W1210">
        <f t="shared" ca="1" si="576"/>
        <v>0.05</v>
      </c>
      <c r="X1210">
        <f t="shared" ca="1" si="577"/>
        <v>0.26</v>
      </c>
      <c r="Y1210">
        <f t="shared" ca="1" si="578"/>
        <v>4.9056603773584909E-2</v>
      </c>
      <c r="Z1210">
        <f t="shared" ca="1" si="579"/>
        <v>196.15384615384616</v>
      </c>
      <c r="AA1210">
        <f t="shared" ca="1" si="580"/>
        <v>632.08199999999999</v>
      </c>
      <c r="AB1210">
        <f t="shared" ca="1" si="581"/>
        <v>2593.1590316486622</v>
      </c>
      <c r="AC1210">
        <f t="shared" ca="1" si="582"/>
        <v>482.07306851378365</v>
      </c>
      <c r="AD1210">
        <f t="shared" ca="1" si="583"/>
        <v>280.07692026646265</v>
      </c>
      <c r="AE1210">
        <f t="shared" ca="1" si="584"/>
        <v>1019.7665564573041</v>
      </c>
      <c r="AF1210">
        <f t="shared" ca="1" si="585"/>
        <v>482.07256851378361</v>
      </c>
      <c r="AG1210">
        <f t="shared" ca="1" si="586"/>
        <v>0</v>
      </c>
      <c r="AH1210">
        <f ca="1">IF(V32="Supercritical",L1210,IF(V32="Subcritical",W1210,IF(AND(V1210=1,AG1210=1),IF(T1210&gt;=AE1210,L1210,W1210),IF(V1210=1,L1210,IF(AG1210=1,W1210,MAX($D$16,POWER((ABS(K1210)^2)/($I$5*MAX(F1210,0.1)^2),1/3)))))))</f>
        <v>2.1403668656741068</v>
      </c>
      <c r="AI1210">
        <f t="shared" ca="1" si="587"/>
        <v>634.17236686567412</v>
      </c>
      <c r="AJ1210">
        <f t="shared" ca="1" si="588"/>
        <v>635.24255029851122</v>
      </c>
      <c r="AM1210">
        <v>0</v>
      </c>
      <c r="AN1210">
        <v>0</v>
      </c>
      <c r="AO1210">
        <f t="shared" si="589"/>
        <v>0</v>
      </c>
      <c r="AP1210">
        <f t="shared" si="598"/>
        <v>0</v>
      </c>
      <c r="AQ1210">
        <f t="shared" ca="1" si="590"/>
        <v>0.99999999999999978</v>
      </c>
      <c r="AR1210" t="str">
        <f t="shared" ca="1" si="591"/>
        <v>Supercritical</v>
      </c>
      <c r="AS1210">
        <f t="shared" ca="1" si="592"/>
        <v>3.8148159832266538E-3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191</v>
      </c>
      <c r="I1211">
        <v>0</v>
      </c>
      <c r="J1211">
        <f t="shared" si="593"/>
        <v>1</v>
      </c>
      <c r="K1211">
        <f t="shared" si="594"/>
        <v>51</v>
      </c>
      <c r="L1211">
        <f t="shared" ca="1" si="595"/>
        <v>0.05</v>
      </c>
      <c r="M1211">
        <f t="shared" ca="1" si="568"/>
        <v>0.26</v>
      </c>
      <c r="N1211">
        <f t="shared" ca="1" si="569"/>
        <v>4.9056603773584909E-2</v>
      </c>
      <c r="O1211">
        <f t="shared" ca="1" si="570"/>
        <v>196.15384615384616</v>
      </c>
      <c r="P1211">
        <f t="shared" ca="1" si="571"/>
        <v>632.08150000000001</v>
      </c>
      <c r="Q1211">
        <f t="shared" ca="1" si="572"/>
        <v>2593.1585316486621</v>
      </c>
      <c r="R1211">
        <f t="shared" ca="1" si="573"/>
        <v>482.07306851378365</v>
      </c>
      <c r="S1211">
        <f t="shared" ca="1" si="574"/>
        <v>280.07692026646265</v>
      </c>
      <c r="T1211">
        <f t="shared" ca="1" si="575"/>
        <v>1019.7665564573041</v>
      </c>
      <c r="U1211">
        <f t="shared" ca="1" si="596"/>
        <v>-482.07256851378361</v>
      </c>
      <c r="V1211">
        <f t="shared" ca="1" si="597"/>
        <v>0</v>
      </c>
      <c r="W1211">
        <f t="shared" ca="1" si="576"/>
        <v>0.05</v>
      </c>
      <c r="X1211">
        <f t="shared" ca="1" si="577"/>
        <v>0.26</v>
      </c>
      <c r="Y1211">
        <f t="shared" ca="1" si="578"/>
        <v>4.9056603773584909E-2</v>
      </c>
      <c r="Z1211">
        <f t="shared" ca="1" si="579"/>
        <v>196.15384615384616</v>
      </c>
      <c r="AA1211">
        <f t="shared" ca="1" si="580"/>
        <v>632.08150000000001</v>
      </c>
      <c r="AB1211">
        <f t="shared" ca="1" si="581"/>
        <v>2593.1585316486621</v>
      </c>
      <c r="AC1211">
        <f t="shared" ca="1" si="582"/>
        <v>482.07306851378365</v>
      </c>
      <c r="AD1211">
        <f t="shared" ca="1" si="583"/>
        <v>280.07692026646265</v>
      </c>
      <c r="AE1211">
        <f t="shared" ca="1" si="584"/>
        <v>1019.7665564573041</v>
      </c>
      <c r="AF1211">
        <f t="shared" ca="1" si="585"/>
        <v>481.59049544517165</v>
      </c>
      <c r="AG1211">
        <f t="shared" ca="1" si="586"/>
        <v>0</v>
      </c>
      <c r="AH1211">
        <f ca="1">IF(V32="Supercritical",L1211,IF(V32="Subcritical",W1211,IF(AND(V1211=1,AG1211=1),IF(T1211&gt;=AE1211,L1211,W1211),IF(V1211=1,L1211,IF(AG1211=1,W1211,MAX($D$16,POWER((ABS(K1211)^2)/($I$5*MAX(F1211,0.1)^2),1/3)))))))</f>
        <v>2.1403668656741068</v>
      </c>
      <c r="AI1211">
        <f t="shared" ca="1" si="587"/>
        <v>634.17186686567413</v>
      </c>
      <c r="AJ1211">
        <f t="shared" ca="1" si="588"/>
        <v>635.24205029851123</v>
      </c>
      <c r="AM1211">
        <v>0</v>
      </c>
      <c r="AN1211">
        <v>0</v>
      </c>
      <c r="AO1211">
        <f t="shared" si="589"/>
        <v>0</v>
      </c>
      <c r="AP1211">
        <f t="shared" si="598"/>
        <v>0</v>
      </c>
      <c r="AQ1211">
        <f t="shared" ca="1" si="590"/>
        <v>0.99999999999999978</v>
      </c>
      <c r="AR1211" t="str">
        <f t="shared" ca="1" si="591"/>
        <v>Supercritical</v>
      </c>
      <c r="AS1211">
        <f t="shared" ca="1" si="592"/>
        <v>3.8148159832266538E-3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191</v>
      </c>
      <c r="I1212">
        <v>0</v>
      </c>
      <c r="J1212">
        <f t="shared" si="593"/>
        <v>0.99899999999979627</v>
      </c>
      <c r="K1212">
        <f t="shared" si="594"/>
        <v>51</v>
      </c>
      <c r="L1212">
        <f t="shared" ca="1" si="595"/>
        <v>0.05</v>
      </c>
      <c r="M1212">
        <f t="shared" ca="1" si="568"/>
        <v>0.26</v>
      </c>
      <c r="N1212">
        <f t="shared" ca="1" si="569"/>
        <v>4.9056603773584909E-2</v>
      </c>
      <c r="O1212">
        <f t="shared" ca="1" si="570"/>
        <v>196.15384615384616</v>
      </c>
      <c r="P1212">
        <f t="shared" ca="1" si="571"/>
        <v>632.0809999999999</v>
      </c>
      <c r="Q1212">
        <f t="shared" ca="1" si="572"/>
        <v>2593.158031648662</v>
      </c>
      <c r="R1212">
        <f t="shared" ca="1" si="573"/>
        <v>482.07306851378365</v>
      </c>
      <c r="S1212">
        <f t="shared" ca="1" si="574"/>
        <v>280.07692026646265</v>
      </c>
      <c r="T1212">
        <f t="shared" ca="1" si="575"/>
        <v>1019.7665564573041</v>
      </c>
      <c r="U1212">
        <f t="shared" ca="1" si="596"/>
        <v>-481.59049544517165</v>
      </c>
      <c r="V1212">
        <f t="shared" ca="1" si="597"/>
        <v>0</v>
      </c>
      <c r="W1212">
        <f t="shared" ca="1" si="576"/>
        <v>0.05</v>
      </c>
      <c r="X1212">
        <f t="shared" ca="1" si="577"/>
        <v>0.26</v>
      </c>
      <c r="Y1212">
        <f t="shared" ca="1" si="578"/>
        <v>4.9056603773584909E-2</v>
      </c>
      <c r="Z1212">
        <f t="shared" ca="1" si="579"/>
        <v>196.15384615384616</v>
      </c>
      <c r="AA1212">
        <f t="shared" ca="1" si="580"/>
        <v>632.0809999999999</v>
      </c>
      <c r="AB1212">
        <f t="shared" ca="1" si="581"/>
        <v>2593.158031648662</v>
      </c>
      <c r="AC1212">
        <f t="shared" ca="1" si="582"/>
        <v>482.07306851378365</v>
      </c>
      <c r="AD1212">
        <f t="shared" ca="1" si="583"/>
        <v>280.07692026646265</v>
      </c>
      <c r="AE1212">
        <f t="shared" ca="1" si="584"/>
        <v>1019.7665564573041</v>
      </c>
      <c r="AF1212">
        <f t="shared" ca="1" si="585"/>
        <v>482.25887083179032</v>
      </c>
      <c r="AG1212">
        <f t="shared" ca="1" si="586"/>
        <v>0</v>
      </c>
      <c r="AH1212">
        <f ca="1">IF(V32="Supercritical",L1212,IF(V32="Subcritical",W1212,IF(AND(V1212=1,AG1212=1),IF(T1212&gt;=AE1212,L1212,W1212),IF(V1212=1,L1212,IF(AG1212=1,W1212,MAX($D$16,POWER((ABS(K1212)^2)/($I$5*MAX(F1212,0.1)^2),1/3)))))))</f>
        <v>2.1403668656741068</v>
      </c>
      <c r="AI1212">
        <f t="shared" ca="1" si="587"/>
        <v>634.17136686567403</v>
      </c>
      <c r="AJ1212">
        <f t="shared" ca="1" si="588"/>
        <v>635.24155029851113</v>
      </c>
      <c r="AM1212">
        <v>0</v>
      </c>
      <c r="AN1212">
        <v>0</v>
      </c>
      <c r="AO1212">
        <f t="shared" si="589"/>
        <v>0</v>
      </c>
      <c r="AP1212">
        <f t="shared" si="598"/>
        <v>0</v>
      </c>
      <c r="AQ1212">
        <f t="shared" ca="1" si="590"/>
        <v>0.99999999999999978</v>
      </c>
      <c r="AR1212" t="str">
        <f t="shared" ca="1" si="591"/>
        <v>Supercritical</v>
      </c>
      <c r="AS1212">
        <f t="shared" ca="1" si="592"/>
        <v>3.8148159832266538E-3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191</v>
      </c>
      <c r="I1213">
        <v>5.7000000000000002E-2</v>
      </c>
      <c r="J1213">
        <f t="shared" si="593"/>
        <v>1</v>
      </c>
      <c r="K1213">
        <f t="shared" si="594"/>
        <v>51</v>
      </c>
      <c r="L1213">
        <f t="shared" ca="1" si="595"/>
        <v>0.05</v>
      </c>
      <c r="M1213">
        <f t="shared" ca="1" si="568"/>
        <v>0.26</v>
      </c>
      <c r="N1213">
        <f t="shared" ca="1" si="569"/>
        <v>4.9056603773584909E-2</v>
      </c>
      <c r="O1213">
        <f t="shared" ca="1" si="570"/>
        <v>196.15384615384616</v>
      </c>
      <c r="P1213">
        <f t="shared" ca="1" si="571"/>
        <v>632.08049999999992</v>
      </c>
      <c r="Q1213">
        <f t="shared" ca="1" si="572"/>
        <v>2593.1575316486619</v>
      </c>
      <c r="R1213">
        <f t="shared" ca="1" si="573"/>
        <v>482.07306851378365</v>
      </c>
      <c r="S1213">
        <f t="shared" ca="1" si="574"/>
        <v>280.07692026646265</v>
      </c>
      <c r="T1213">
        <f t="shared" ca="1" si="575"/>
        <v>1019.7665564573041</v>
      </c>
      <c r="U1213">
        <f t="shared" ca="1" si="596"/>
        <v>-482.25887083179032</v>
      </c>
      <c r="V1213">
        <f t="shared" ca="1" si="597"/>
        <v>0</v>
      </c>
      <c r="W1213">
        <f t="shared" ca="1" si="576"/>
        <v>0.05</v>
      </c>
      <c r="X1213">
        <f t="shared" ca="1" si="577"/>
        <v>0.26</v>
      </c>
      <c r="Y1213">
        <f t="shared" ca="1" si="578"/>
        <v>4.9056603773584909E-2</v>
      </c>
      <c r="Z1213">
        <f t="shared" ca="1" si="579"/>
        <v>196.15384615384616</v>
      </c>
      <c r="AA1213">
        <f t="shared" ca="1" si="580"/>
        <v>632.08049999999992</v>
      </c>
      <c r="AB1213">
        <f t="shared" ca="1" si="581"/>
        <v>2593.1575316486619</v>
      </c>
      <c r="AC1213">
        <f t="shared" ca="1" si="582"/>
        <v>482.07306851378365</v>
      </c>
      <c r="AD1213">
        <f t="shared" ca="1" si="583"/>
        <v>280.07692026646265</v>
      </c>
      <c r="AE1213">
        <f t="shared" ca="1" si="584"/>
        <v>1019.7665564573041</v>
      </c>
      <c r="AF1213">
        <f t="shared" ca="1" si="585"/>
        <v>482.25887083179077</v>
      </c>
      <c r="AG1213">
        <f t="shared" ca="1" si="586"/>
        <v>0</v>
      </c>
      <c r="AH1213">
        <f ca="1">IF(V32="Supercritical",L1213,IF(V32="Subcritical",W1213,IF(AND(V1213=1,AG1213=1),IF(T1213&gt;=AE1213,L1213,W1213),IF(V1213=1,L1213,IF(AG1213=1,W1213,MAX($D$16,POWER((ABS(K1213)^2)/($I$5*MAX(F1213,0.1)^2),1/3)))))))</f>
        <v>2.1403668656741068</v>
      </c>
      <c r="AI1213">
        <f t="shared" ca="1" si="587"/>
        <v>634.17086686567404</v>
      </c>
      <c r="AJ1213">
        <f t="shared" ca="1" si="588"/>
        <v>635.24105029851114</v>
      </c>
      <c r="AM1213">
        <v>0</v>
      </c>
      <c r="AN1213">
        <v>0</v>
      </c>
      <c r="AO1213">
        <f t="shared" si="589"/>
        <v>0</v>
      </c>
      <c r="AP1213">
        <f t="shared" si="598"/>
        <v>0</v>
      </c>
      <c r="AQ1213">
        <f t="shared" ca="1" si="590"/>
        <v>0.99999999999999978</v>
      </c>
      <c r="AR1213" t="str">
        <f t="shared" ca="1" si="591"/>
        <v>Supercritical</v>
      </c>
      <c r="AS1213">
        <f t="shared" ca="1" si="592"/>
        <v>3.8148159832266538E-3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191</v>
      </c>
      <c r="I1214">
        <v>5.7000000000000002E-2</v>
      </c>
      <c r="J1214">
        <f t="shared" si="593"/>
        <v>1</v>
      </c>
      <c r="K1214">
        <f t="shared" si="594"/>
        <v>51</v>
      </c>
      <c r="L1214">
        <f t="shared" ca="1" si="595"/>
        <v>0.05</v>
      </c>
      <c r="M1214">
        <f t="shared" ca="1" si="568"/>
        <v>0.26</v>
      </c>
      <c r="N1214">
        <f t="shared" ca="1" si="569"/>
        <v>4.9056603773584909E-2</v>
      </c>
      <c r="O1214">
        <f t="shared" ca="1" si="570"/>
        <v>196.15384615384616</v>
      </c>
      <c r="P1214">
        <f t="shared" ca="1" si="571"/>
        <v>632.07999999999993</v>
      </c>
      <c r="Q1214">
        <f t="shared" ca="1" si="572"/>
        <v>2593.1570316486623</v>
      </c>
      <c r="R1214">
        <f t="shared" ca="1" si="573"/>
        <v>482.07306851378365</v>
      </c>
      <c r="S1214">
        <f t="shared" ca="1" si="574"/>
        <v>280.07692026646265</v>
      </c>
      <c r="T1214">
        <f t="shared" ca="1" si="575"/>
        <v>1019.7665564573041</v>
      </c>
      <c r="U1214">
        <f t="shared" ca="1" si="596"/>
        <v>-482.25887083179077</v>
      </c>
      <c r="V1214">
        <f t="shared" ca="1" si="597"/>
        <v>0</v>
      </c>
      <c r="W1214">
        <f t="shared" ca="1" si="576"/>
        <v>0.05</v>
      </c>
      <c r="X1214">
        <f t="shared" ca="1" si="577"/>
        <v>0.26</v>
      </c>
      <c r="Y1214">
        <f t="shared" ca="1" si="578"/>
        <v>4.9056603773584909E-2</v>
      </c>
      <c r="Z1214">
        <f t="shared" ca="1" si="579"/>
        <v>196.15384615384616</v>
      </c>
      <c r="AA1214">
        <f t="shared" ca="1" si="580"/>
        <v>632.07999999999993</v>
      </c>
      <c r="AB1214">
        <f t="shared" ca="1" si="581"/>
        <v>2593.1570316486623</v>
      </c>
      <c r="AC1214">
        <f t="shared" ca="1" si="582"/>
        <v>482.07306851378365</v>
      </c>
      <c r="AD1214">
        <f t="shared" ca="1" si="583"/>
        <v>280.07692026646265</v>
      </c>
      <c r="AE1214">
        <f t="shared" ca="1" si="584"/>
        <v>1019.7665564573041</v>
      </c>
      <c r="AF1214">
        <f t="shared" ca="1" si="585"/>
        <v>482.07256851378361</v>
      </c>
      <c r="AG1214">
        <f t="shared" ca="1" si="586"/>
        <v>0</v>
      </c>
      <c r="AH1214">
        <f ca="1">IF(V32="Supercritical",L1214,IF(V32="Subcritical",W1214,IF(AND(V1214=1,AG1214=1),IF(T1214&gt;=AE1214,L1214,W1214),IF(V1214=1,L1214,IF(AG1214=1,W1214,MAX($D$16,POWER((ABS(K1214)^2)/($I$5*MAX(F1214,0.1)^2),1/3)))))))</f>
        <v>2.1403668656741068</v>
      </c>
      <c r="AI1214">
        <f t="shared" ca="1" si="587"/>
        <v>634.17036686567405</v>
      </c>
      <c r="AJ1214">
        <f t="shared" ca="1" si="588"/>
        <v>635.24055029851115</v>
      </c>
      <c r="AM1214">
        <v>0</v>
      </c>
      <c r="AN1214">
        <v>0</v>
      </c>
      <c r="AO1214">
        <f t="shared" si="589"/>
        <v>0</v>
      </c>
      <c r="AP1214">
        <f t="shared" si="598"/>
        <v>0</v>
      </c>
      <c r="AQ1214">
        <f t="shared" ca="1" si="590"/>
        <v>0.99999999999999978</v>
      </c>
      <c r="AR1214" t="str">
        <f t="shared" ca="1" si="591"/>
        <v>Supercritical</v>
      </c>
      <c r="AS1214">
        <f t="shared" ca="1" si="592"/>
        <v>3.8148159832266538E-3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191</v>
      </c>
      <c r="I1215">
        <v>0</v>
      </c>
      <c r="J1215">
        <f t="shared" si="593"/>
        <v>1</v>
      </c>
      <c r="K1215">
        <f t="shared" si="594"/>
        <v>51</v>
      </c>
      <c r="L1215">
        <f t="shared" ca="1" si="595"/>
        <v>0.05</v>
      </c>
      <c r="M1215">
        <f t="shared" ca="1" si="568"/>
        <v>0.26</v>
      </c>
      <c r="N1215">
        <f t="shared" ca="1" si="569"/>
        <v>4.9056603773584909E-2</v>
      </c>
      <c r="O1215">
        <f t="shared" ca="1" si="570"/>
        <v>196.15384615384616</v>
      </c>
      <c r="P1215">
        <f t="shared" ca="1" si="571"/>
        <v>632.07949999999994</v>
      </c>
      <c r="Q1215">
        <f t="shared" ca="1" si="572"/>
        <v>2593.1565316486622</v>
      </c>
      <c r="R1215">
        <f t="shared" ca="1" si="573"/>
        <v>482.07306851378365</v>
      </c>
      <c r="S1215">
        <f t="shared" ca="1" si="574"/>
        <v>280.07692026646265</v>
      </c>
      <c r="T1215">
        <f t="shared" ca="1" si="575"/>
        <v>1019.7665564573041</v>
      </c>
      <c r="U1215">
        <f t="shared" ca="1" si="596"/>
        <v>-482.07256851378361</v>
      </c>
      <c r="V1215">
        <f t="shared" ca="1" si="597"/>
        <v>0</v>
      </c>
      <c r="W1215">
        <f t="shared" ca="1" si="576"/>
        <v>0.05</v>
      </c>
      <c r="X1215">
        <f t="shared" ca="1" si="577"/>
        <v>0.26</v>
      </c>
      <c r="Y1215">
        <f t="shared" ca="1" si="578"/>
        <v>4.9056603773584909E-2</v>
      </c>
      <c r="Z1215">
        <f t="shared" ca="1" si="579"/>
        <v>196.15384615384616</v>
      </c>
      <c r="AA1215">
        <f t="shared" ca="1" si="580"/>
        <v>632.07949999999994</v>
      </c>
      <c r="AB1215">
        <f t="shared" ca="1" si="581"/>
        <v>2593.1565316486622</v>
      </c>
      <c r="AC1215">
        <f t="shared" ca="1" si="582"/>
        <v>482.07306851378365</v>
      </c>
      <c r="AD1215">
        <f t="shared" ca="1" si="583"/>
        <v>280.07692026646265</v>
      </c>
      <c r="AE1215">
        <f t="shared" ca="1" si="584"/>
        <v>1019.7665564573041</v>
      </c>
      <c r="AF1215">
        <f t="shared" ca="1" si="585"/>
        <v>482.07256851378361</v>
      </c>
      <c r="AG1215">
        <f t="shared" ca="1" si="586"/>
        <v>0</v>
      </c>
      <c r="AH1215">
        <f ca="1">IF(V32="Supercritical",L1215,IF(V32="Subcritical",W1215,IF(AND(V1215=1,AG1215=1),IF(T1215&gt;=AE1215,L1215,W1215),IF(V1215=1,L1215,IF(AG1215=1,W1215,MAX($D$16,POWER((ABS(K1215)^2)/($I$5*MAX(F1215,0.1)^2),1/3)))))))</f>
        <v>2.1403668656741068</v>
      </c>
      <c r="AI1215">
        <f t="shared" ca="1" si="587"/>
        <v>634.16986686567407</v>
      </c>
      <c r="AJ1215">
        <f t="shared" ca="1" si="588"/>
        <v>635.24005029851116</v>
      </c>
      <c r="AM1215">
        <v>0</v>
      </c>
      <c r="AN1215">
        <v>0</v>
      </c>
      <c r="AO1215">
        <f t="shared" si="589"/>
        <v>0</v>
      </c>
      <c r="AP1215">
        <f t="shared" si="598"/>
        <v>0</v>
      </c>
      <c r="AQ1215">
        <f t="shared" ca="1" si="590"/>
        <v>0.99999999999999978</v>
      </c>
      <c r="AR1215" t="str">
        <f t="shared" ca="1" si="591"/>
        <v>Supercritical</v>
      </c>
      <c r="AS1215">
        <f t="shared" ca="1" si="592"/>
        <v>3.8148159832266538E-3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191</v>
      </c>
      <c r="I1216">
        <v>0</v>
      </c>
      <c r="J1216">
        <f t="shared" si="593"/>
        <v>1</v>
      </c>
      <c r="K1216">
        <f t="shared" si="594"/>
        <v>51</v>
      </c>
      <c r="L1216">
        <f t="shared" ca="1" si="595"/>
        <v>0.05</v>
      </c>
      <c r="M1216">
        <f t="shared" ca="1" si="568"/>
        <v>0.26</v>
      </c>
      <c r="N1216">
        <f t="shared" ca="1" si="569"/>
        <v>4.9056603773584909E-2</v>
      </c>
      <c r="O1216">
        <f t="shared" ca="1" si="570"/>
        <v>196.15384615384616</v>
      </c>
      <c r="P1216">
        <f t="shared" ca="1" si="571"/>
        <v>632.07899999999995</v>
      </c>
      <c r="Q1216">
        <f t="shared" ca="1" si="572"/>
        <v>2593.1560316486621</v>
      </c>
      <c r="R1216">
        <f t="shared" ca="1" si="573"/>
        <v>482.07306851378365</v>
      </c>
      <c r="S1216">
        <f t="shared" ca="1" si="574"/>
        <v>280.07692026646265</v>
      </c>
      <c r="T1216">
        <f t="shared" ca="1" si="575"/>
        <v>1019.7665564573041</v>
      </c>
      <c r="U1216">
        <f t="shared" ca="1" si="596"/>
        <v>-482.07256851378361</v>
      </c>
      <c r="V1216">
        <f t="shared" ca="1" si="597"/>
        <v>0</v>
      </c>
      <c r="W1216">
        <f t="shared" ca="1" si="576"/>
        <v>0.05</v>
      </c>
      <c r="X1216">
        <f t="shared" ca="1" si="577"/>
        <v>0.26</v>
      </c>
      <c r="Y1216">
        <f t="shared" ca="1" si="578"/>
        <v>4.9056603773584909E-2</v>
      </c>
      <c r="Z1216">
        <f t="shared" ca="1" si="579"/>
        <v>196.15384615384616</v>
      </c>
      <c r="AA1216">
        <f t="shared" ca="1" si="580"/>
        <v>632.07899999999995</v>
      </c>
      <c r="AB1216">
        <f t="shared" ca="1" si="581"/>
        <v>2593.1560316486621</v>
      </c>
      <c r="AC1216">
        <f t="shared" ca="1" si="582"/>
        <v>482.07306851378365</v>
      </c>
      <c r="AD1216">
        <f t="shared" ca="1" si="583"/>
        <v>280.07692026646265</v>
      </c>
      <c r="AE1216">
        <f t="shared" ca="1" si="584"/>
        <v>1019.7665564573041</v>
      </c>
      <c r="AF1216">
        <f t="shared" ca="1" si="585"/>
        <v>482.25233390835137</v>
      </c>
      <c r="AG1216">
        <f t="shared" ca="1" si="586"/>
        <v>0</v>
      </c>
      <c r="AH1216">
        <f ca="1">IF(V32="Supercritical",L1216,IF(V32="Subcritical",W1216,IF(AND(V1216=1,AG1216=1),IF(T1216&gt;=AE1216,L1216,W1216),IF(V1216=1,L1216,IF(AG1216=1,W1216,MAX($D$16,POWER((ABS(K1216)^2)/($I$5*MAX(F1216,0.1)^2),1/3)))))))</f>
        <v>2.1403668656741068</v>
      </c>
      <c r="AI1216">
        <f t="shared" ca="1" si="587"/>
        <v>634.16936686567408</v>
      </c>
      <c r="AJ1216">
        <f t="shared" ca="1" si="588"/>
        <v>635.23955029851118</v>
      </c>
      <c r="AM1216">
        <v>0</v>
      </c>
      <c r="AN1216">
        <v>0</v>
      </c>
      <c r="AO1216">
        <f t="shared" si="589"/>
        <v>0</v>
      </c>
      <c r="AP1216">
        <f t="shared" si="598"/>
        <v>0</v>
      </c>
      <c r="AQ1216">
        <f t="shared" ca="1" si="590"/>
        <v>0.99999999999999978</v>
      </c>
      <c r="AR1216" t="str">
        <f t="shared" ca="1" si="591"/>
        <v>Supercritical</v>
      </c>
      <c r="AS1216">
        <f t="shared" ca="1" si="592"/>
        <v>3.8148159832266538E-3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191</v>
      </c>
      <c r="I1217">
        <v>5.5E-2</v>
      </c>
      <c r="J1217">
        <f t="shared" si="593"/>
        <v>1</v>
      </c>
      <c r="K1217">
        <f t="shared" si="594"/>
        <v>51</v>
      </c>
      <c r="L1217">
        <f t="shared" ca="1" si="595"/>
        <v>0.05</v>
      </c>
      <c r="M1217">
        <f t="shared" ca="1" si="568"/>
        <v>0.26</v>
      </c>
      <c r="N1217">
        <f t="shared" ca="1" si="569"/>
        <v>4.9056603773584909E-2</v>
      </c>
      <c r="O1217">
        <f t="shared" ca="1" si="570"/>
        <v>196.15384615384616</v>
      </c>
      <c r="P1217">
        <f t="shared" ca="1" si="571"/>
        <v>632.07849999999996</v>
      </c>
      <c r="Q1217">
        <f t="shared" ca="1" si="572"/>
        <v>2593.155531648662</v>
      </c>
      <c r="R1217">
        <f t="shared" ca="1" si="573"/>
        <v>482.07306851378365</v>
      </c>
      <c r="S1217">
        <f t="shared" ca="1" si="574"/>
        <v>280.07692026646265</v>
      </c>
      <c r="T1217">
        <f t="shared" ca="1" si="575"/>
        <v>1019.7665564573041</v>
      </c>
      <c r="U1217">
        <f t="shared" ca="1" si="596"/>
        <v>-482.25233390835137</v>
      </c>
      <c r="V1217">
        <f t="shared" ca="1" si="597"/>
        <v>0</v>
      </c>
      <c r="W1217">
        <f t="shared" ca="1" si="576"/>
        <v>0.05</v>
      </c>
      <c r="X1217">
        <f t="shared" ca="1" si="577"/>
        <v>0.26</v>
      </c>
      <c r="Y1217">
        <f t="shared" ca="1" si="578"/>
        <v>4.9056603773584909E-2</v>
      </c>
      <c r="Z1217">
        <f t="shared" ca="1" si="579"/>
        <v>196.15384615384616</v>
      </c>
      <c r="AA1217">
        <f t="shared" ca="1" si="580"/>
        <v>632.07849999999996</v>
      </c>
      <c r="AB1217">
        <f t="shared" ca="1" si="581"/>
        <v>2593.155531648662</v>
      </c>
      <c r="AC1217">
        <f t="shared" ca="1" si="582"/>
        <v>482.07306851378365</v>
      </c>
      <c r="AD1217">
        <f t="shared" ca="1" si="583"/>
        <v>280.07692026646265</v>
      </c>
      <c r="AE1217">
        <f t="shared" ca="1" si="584"/>
        <v>1019.7665564573041</v>
      </c>
      <c r="AF1217">
        <f t="shared" ca="1" si="585"/>
        <v>482.73440697696333</v>
      </c>
      <c r="AG1217">
        <f t="shared" ca="1" si="586"/>
        <v>0</v>
      </c>
      <c r="AH1217">
        <f ca="1">IF(V32="Supercritical",L1217,IF(V32="Subcritical",W1217,IF(AND(V1217=1,AG1217=1),IF(T1217&gt;=AE1217,L1217,W1217),IF(V1217=1,L1217,IF(AG1217=1,W1217,MAX($D$16,POWER((ABS(K1217)^2)/($I$5*MAX(F1217,0.1)^2),1/3)))))))</f>
        <v>2.1403668656741068</v>
      </c>
      <c r="AI1217">
        <f t="shared" ca="1" si="587"/>
        <v>634.16886686567409</v>
      </c>
      <c r="AJ1217">
        <f t="shared" ca="1" si="588"/>
        <v>635.23905029851119</v>
      </c>
      <c r="AM1217">
        <v>0</v>
      </c>
      <c r="AN1217">
        <v>0</v>
      </c>
      <c r="AO1217">
        <f t="shared" si="589"/>
        <v>0</v>
      </c>
      <c r="AP1217">
        <f t="shared" si="598"/>
        <v>0</v>
      </c>
      <c r="AQ1217">
        <f t="shared" ca="1" si="590"/>
        <v>0.99999999999999978</v>
      </c>
      <c r="AR1217" t="str">
        <f t="shared" ca="1" si="591"/>
        <v>Supercritical</v>
      </c>
      <c r="AS1217">
        <f t="shared" ca="1" si="592"/>
        <v>3.8148159832266538E-3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191</v>
      </c>
      <c r="I1218">
        <v>5.5E-2</v>
      </c>
      <c r="J1218">
        <f t="shared" si="593"/>
        <v>1.0010000000002037</v>
      </c>
      <c r="K1218">
        <f t="shared" si="594"/>
        <v>51</v>
      </c>
      <c r="L1218">
        <f t="shared" ca="1" si="595"/>
        <v>0.05</v>
      </c>
      <c r="M1218">
        <f t="shared" ca="1" si="568"/>
        <v>0.26</v>
      </c>
      <c r="N1218">
        <f t="shared" ca="1" si="569"/>
        <v>4.9056603773584909E-2</v>
      </c>
      <c r="O1218">
        <f t="shared" ca="1" si="570"/>
        <v>196.15384615384616</v>
      </c>
      <c r="P1218">
        <f t="shared" ca="1" si="571"/>
        <v>632.07799999999997</v>
      </c>
      <c r="Q1218">
        <f t="shared" ca="1" si="572"/>
        <v>2593.1550316486619</v>
      </c>
      <c r="R1218">
        <f t="shared" ca="1" si="573"/>
        <v>482.07306851378365</v>
      </c>
      <c r="S1218">
        <f t="shared" ca="1" si="574"/>
        <v>280.07692026646265</v>
      </c>
      <c r="T1218">
        <f t="shared" ca="1" si="575"/>
        <v>1019.7665564573041</v>
      </c>
      <c r="U1218">
        <f t="shared" ca="1" si="596"/>
        <v>-482.73440697696333</v>
      </c>
      <c r="V1218">
        <f t="shared" ca="1" si="597"/>
        <v>0</v>
      </c>
      <c r="W1218">
        <f t="shared" ca="1" si="576"/>
        <v>0.05</v>
      </c>
      <c r="X1218">
        <f t="shared" ca="1" si="577"/>
        <v>0.26</v>
      </c>
      <c r="Y1218">
        <f t="shared" ca="1" si="578"/>
        <v>4.9056603773584909E-2</v>
      </c>
      <c r="Z1218">
        <f t="shared" ca="1" si="579"/>
        <v>196.15384615384616</v>
      </c>
      <c r="AA1218">
        <f t="shared" ca="1" si="580"/>
        <v>632.07799999999997</v>
      </c>
      <c r="AB1218">
        <f t="shared" ca="1" si="581"/>
        <v>2593.1550316486619</v>
      </c>
      <c r="AC1218">
        <f t="shared" ca="1" si="582"/>
        <v>482.07306851378365</v>
      </c>
      <c r="AD1218">
        <f t="shared" ca="1" si="583"/>
        <v>280.07692026646265</v>
      </c>
      <c r="AE1218">
        <f t="shared" ca="1" si="584"/>
        <v>1019.7665564573041</v>
      </c>
      <c r="AF1218">
        <f t="shared" ca="1" si="585"/>
        <v>482.07256851378406</v>
      </c>
      <c r="AG1218">
        <f t="shared" ca="1" si="586"/>
        <v>0</v>
      </c>
      <c r="AH1218">
        <f ca="1">IF(V32="Supercritical",L1218,IF(V32="Subcritical",W1218,IF(AND(V1218=1,AG1218=1),IF(T1218&gt;=AE1218,L1218,W1218),IF(V1218=1,L1218,IF(AG1218=1,W1218,MAX($D$16,POWER((ABS(K1218)^2)/($I$5*MAX(F1218,0.1)^2),1/3)))))))</f>
        <v>2.1403668656741068</v>
      </c>
      <c r="AI1218">
        <f t="shared" ca="1" si="587"/>
        <v>634.1683668656741</v>
      </c>
      <c r="AJ1218">
        <f t="shared" ca="1" si="588"/>
        <v>635.2385502985112</v>
      </c>
      <c r="AM1218">
        <v>0</v>
      </c>
      <c r="AN1218">
        <v>0</v>
      </c>
      <c r="AO1218">
        <f t="shared" si="589"/>
        <v>0</v>
      </c>
      <c r="AP1218">
        <f t="shared" si="598"/>
        <v>0</v>
      </c>
      <c r="AQ1218">
        <f t="shared" ca="1" si="590"/>
        <v>0.99999999999999978</v>
      </c>
      <c r="AR1218" t="str">
        <f t="shared" ca="1" si="591"/>
        <v>Supercritical</v>
      </c>
      <c r="AS1218">
        <f t="shared" ca="1" si="592"/>
        <v>3.8148159832266538E-3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191</v>
      </c>
      <c r="I1219">
        <v>0</v>
      </c>
      <c r="J1219">
        <f t="shared" si="593"/>
        <v>1</v>
      </c>
      <c r="K1219">
        <f t="shared" si="594"/>
        <v>51</v>
      </c>
      <c r="L1219">
        <f t="shared" ca="1" si="595"/>
        <v>0.05</v>
      </c>
      <c r="M1219">
        <f t="shared" ca="1" si="568"/>
        <v>0.26</v>
      </c>
      <c r="N1219">
        <f t="shared" ca="1" si="569"/>
        <v>4.9056603773584909E-2</v>
      </c>
      <c r="O1219">
        <f t="shared" ca="1" si="570"/>
        <v>196.15384615384616</v>
      </c>
      <c r="P1219">
        <f t="shared" ca="1" si="571"/>
        <v>632.07749999999999</v>
      </c>
      <c r="Q1219">
        <f t="shared" ca="1" si="572"/>
        <v>2593.1545316486622</v>
      </c>
      <c r="R1219">
        <f t="shared" ca="1" si="573"/>
        <v>482.07306851378365</v>
      </c>
      <c r="S1219">
        <f t="shared" ca="1" si="574"/>
        <v>280.07692026646265</v>
      </c>
      <c r="T1219">
        <f t="shared" ca="1" si="575"/>
        <v>1019.7665564573041</v>
      </c>
      <c r="U1219">
        <f t="shared" ca="1" si="596"/>
        <v>-482.07256851378406</v>
      </c>
      <c r="V1219">
        <f t="shared" ca="1" si="597"/>
        <v>0</v>
      </c>
      <c r="W1219">
        <f t="shared" ca="1" si="576"/>
        <v>0.05</v>
      </c>
      <c r="X1219">
        <f t="shared" ca="1" si="577"/>
        <v>0.26</v>
      </c>
      <c r="Y1219">
        <f t="shared" ca="1" si="578"/>
        <v>4.9056603773584909E-2</v>
      </c>
      <c r="Z1219">
        <f t="shared" ca="1" si="579"/>
        <v>196.15384615384616</v>
      </c>
      <c r="AA1219">
        <f t="shared" ca="1" si="580"/>
        <v>632.07749999999999</v>
      </c>
      <c r="AB1219">
        <f t="shared" ca="1" si="581"/>
        <v>2593.1545316486622</v>
      </c>
      <c r="AC1219">
        <f t="shared" ca="1" si="582"/>
        <v>482.07306851378365</v>
      </c>
      <c r="AD1219">
        <f t="shared" ca="1" si="583"/>
        <v>280.07692026646265</v>
      </c>
      <c r="AE1219">
        <f t="shared" ca="1" si="584"/>
        <v>1019.7665564573041</v>
      </c>
      <c r="AF1219">
        <f t="shared" ca="1" si="585"/>
        <v>482.07256851378361</v>
      </c>
      <c r="AG1219">
        <f t="shared" ca="1" si="586"/>
        <v>0</v>
      </c>
      <c r="AH1219">
        <f ca="1">IF(V32="Supercritical",L1219,IF(V32="Subcritical",W1219,IF(AND(V1219=1,AG1219=1),IF(T1219&gt;=AE1219,L1219,W1219),IF(V1219=1,L1219,IF(AG1219=1,W1219,MAX($D$16,POWER((ABS(K1219)^2)/($I$5*MAX(F1219,0.1)^2),1/3)))))))</f>
        <v>2.1403668656741068</v>
      </c>
      <c r="AI1219">
        <f t="shared" ca="1" si="587"/>
        <v>634.16786686567411</v>
      </c>
      <c r="AJ1219">
        <f t="shared" ca="1" si="588"/>
        <v>635.23805029851121</v>
      </c>
      <c r="AM1219">
        <v>0</v>
      </c>
      <c r="AN1219">
        <v>0</v>
      </c>
      <c r="AO1219">
        <f t="shared" si="589"/>
        <v>0</v>
      </c>
      <c r="AP1219">
        <f t="shared" si="598"/>
        <v>0</v>
      </c>
      <c r="AQ1219">
        <f t="shared" ca="1" si="590"/>
        <v>0.99999999999999978</v>
      </c>
      <c r="AR1219" t="str">
        <f t="shared" ca="1" si="591"/>
        <v>Supercritical</v>
      </c>
      <c r="AS1219">
        <f t="shared" ca="1" si="592"/>
        <v>3.8148159832266538E-3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191</v>
      </c>
      <c r="I1220">
        <v>0</v>
      </c>
      <c r="J1220">
        <f t="shared" si="593"/>
        <v>1</v>
      </c>
      <c r="K1220">
        <f t="shared" si="594"/>
        <v>51</v>
      </c>
      <c r="L1220">
        <f t="shared" ca="1" si="595"/>
        <v>0.05</v>
      </c>
      <c r="M1220">
        <f t="shared" ca="1" si="568"/>
        <v>0.26</v>
      </c>
      <c r="N1220">
        <f t="shared" ca="1" si="569"/>
        <v>4.9056603773584909E-2</v>
      </c>
      <c r="O1220">
        <f t="shared" ca="1" si="570"/>
        <v>196.15384615384616</v>
      </c>
      <c r="P1220">
        <f t="shared" ca="1" si="571"/>
        <v>632.077</v>
      </c>
      <c r="Q1220">
        <f t="shared" ca="1" si="572"/>
        <v>2593.1540316486621</v>
      </c>
      <c r="R1220">
        <f t="shared" ca="1" si="573"/>
        <v>482.07306851378365</v>
      </c>
      <c r="S1220">
        <f t="shared" ca="1" si="574"/>
        <v>280.07692026646265</v>
      </c>
      <c r="T1220">
        <f t="shared" ca="1" si="575"/>
        <v>1019.7665564573041</v>
      </c>
      <c r="U1220">
        <f t="shared" ca="1" si="596"/>
        <v>-482.07256851378361</v>
      </c>
      <c r="V1220">
        <f t="shared" ca="1" si="597"/>
        <v>0</v>
      </c>
      <c r="W1220">
        <f t="shared" ca="1" si="576"/>
        <v>0.05</v>
      </c>
      <c r="X1220">
        <f t="shared" ca="1" si="577"/>
        <v>0.26</v>
      </c>
      <c r="Y1220">
        <f t="shared" ca="1" si="578"/>
        <v>4.9056603773584909E-2</v>
      </c>
      <c r="Z1220">
        <f t="shared" ca="1" si="579"/>
        <v>196.15384615384616</v>
      </c>
      <c r="AA1220">
        <f t="shared" ca="1" si="580"/>
        <v>632.077</v>
      </c>
      <c r="AB1220">
        <f t="shared" ca="1" si="581"/>
        <v>2593.1540316486621</v>
      </c>
      <c r="AC1220">
        <f t="shared" ca="1" si="582"/>
        <v>482.07306851378365</v>
      </c>
      <c r="AD1220">
        <f t="shared" ca="1" si="583"/>
        <v>280.07692026646265</v>
      </c>
      <c r="AE1220">
        <f t="shared" ca="1" si="584"/>
        <v>1019.7665564573041</v>
      </c>
      <c r="AF1220">
        <f t="shared" ca="1" si="585"/>
        <v>481.77679776317837</v>
      </c>
      <c r="AG1220">
        <f t="shared" ca="1" si="586"/>
        <v>0</v>
      </c>
      <c r="AH1220">
        <f ca="1">IF(V32="Supercritical",L1220,IF(V32="Subcritical",W1220,IF(AND(V1220=1,AG1220=1),IF(T1220&gt;=AE1220,L1220,W1220),IF(V1220=1,L1220,IF(AG1220=1,W1220,MAX($D$16,POWER((ABS(K1220)^2)/($I$5*MAX(F1220,0.1)^2),1/3)))))))</f>
        <v>2.1403668656741068</v>
      </c>
      <c r="AI1220">
        <f t="shared" ca="1" si="587"/>
        <v>634.16736686567413</v>
      </c>
      <c r="AJ1220">
        <f t="shared" ca="1" si="588"/>
        <v>635.23755029851122</v>
      </c>
      <c r="AM1220">
        <v>0</v>
      </c>
      <c r="AN1220">
        <v>0</v>
      </c>
      <c r="AO1220">
        <f t="shared" si="589"/>
        <v>0</v>
      </c>
      <c r="AP1220">
        <f t="shared" si="598"/>
        <v>0</v>
      </c>
      <c r="AQ1220">
        <f t="shared" ca="1" si="590"/>
        <v>0.99999999999999978</v>
      </c>
      <c r="AR1220" t="str">
        <f t="shared" ca="1" si="591"/>
        <v>Supercritical</v>
      </c>
      <c r="AS1220">
        <f t="shared" ca="1" si="592"/>
        <v>3.8148159832266538E-3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191</v>
      </c>
      <c r="I1221">
        <v>5.7000000000000002E-2</v>
      </c>
      <c r="J1221">
        <f t="shared" si="593"/>
        <v>0.99899999999979627</v>
      </c>
      <c r="K1221">
        <f t="shared" si="594"/>
        <v>51</v>
      </c>
      <c r="L1221">
        <f t="shared" ca="1" si="595"/>
        <v>0.05</v>
      </c>
      <c r="M1221">
        <f t="shared" ca="1" si="568"/>
        <v>0.26</v>
      </c>
      <c r="N1221">
        <f t="shared" ca="1" si="569"/>
        <v>4.9056603773584909E-2</v>
      </c>
      <c r="O1221">
        <f t="shared" ca="1" si="570"/>
        <v>196.15384615384616</v>
      </c>
      <c r="P1221">
        <f t="shared" ca="1" si="571"/>
        <v>632.07650000000001</v>
      </c>
      <c r="Q1221">
        <f t="shared" ca="1" si="572"/>
        <v>2593.153531648662</v>
      </c>
      <c r="R1221">
        <f t="shared" ca="1" si="573"/>
        <v>482.07306851378365</v>
      </c>
      <c r="S1221">
        <f t="shared" ca="1" si="574"/>
        <v>280.07692026646265</v>
      </c>
      <c r="T1221">
        <f t="shared" ca="1" si="575"/>
        <v>1019.7665564573041</v>
      </c>
      <c r="U1221">
        <f t="shared" ca="1" si="596"/>
        <v>-481.77679776317837</v>
      </c>
      <c r="V1221">
        <f t="shared" ca="1" si="597"/>
        <v>0</v>
      </c>
      <c r="W1221">
        <f t="shared" ca="1" si="576"/>
        <v>0.05</v>
      </c>
      <c r="X1221">
        <f t="shared" ca="1" si="577"/>
        <v>0.26</v>
      </c>
      <c r="Y1221">
        <f t="shared" ca="1" si="578"/>
        <v>4.9056603773584909E-2</v>
      </c>
      <c r="Z1221">
        <f t="shared" ca="1" si="579"/>
        <v>196.15384615384616</v>
      </c>
      <c r="AA1221">
        <f t="shared" ca="1" si="580"/>
        <v>632.07650000000001</v>
      </c>
      <c r="AB1221">
        <f t="shared" ca="1" si="581"/>
        <v>2593.153531648662</v>
      </c>
      <c r="AC1221">
        <f t="shared" ca="1" si="582"/>
        <v>482.07306851378365</v>
      </c>
      <c r="AD1221">
        <f t="shared" ca="1" si="583"/>
        <v>280.07692026646265</v>
      </c>
      <c r="AE1221">
        <f t="shared" ca="1" si="584"/>
        <v>1019.7665564573041</v>
      </c>
      <c r="AF1221">
        <f t="shared" ca="1" si="585"/>
        <v>482.25887083179032</v>
      </c>
      <c r="AG1221">
        <f t="shared" ca="1" si="586"/>
        <v>0</v>
      </c>
      <c r="AH1221">
        <f ca="1">IF(V32="Supercritical",L1221,IF(V32="Subcritical",W1221,IF(AND(V1221=1,AG1221=1),IF(T1221&gt;=AE1221,L1221,W1221),IF(V1221=1,L1221,IF(AG1221=1,W1221,MAX($D$16,POWER((ABS(K1221)^2)/($I$5*MAX(F1221,0.1)^2),1/3)))))))</f>
        <v>2.1403668656741068</v>
      </c>
      <c r="AI1221">
        <f t="shared" ca="1" si="587"/>
        <v>634.16686686567414</v>
      </c>
      <c r="AJ1221">
        <f t="shared" ca="1" si="588"/>
        <v>635.23705029851124</v>
      </c>
      <c r="AM1221">
        <v>0</v>
      </c>
      <c r="AN1221">
        <v>0</v>
      </c>
      <c r="AO1221">
        <f t="shared" si="589"/>
        <v>0</v>
      </c>
      <c r="AP1221">
        <f t="shared" si="598"/>
        <v>0</v>
      </c>
      <c r="AQ1221">
        <f t="shared" ca="1" si="590"/>
        <v>0.99999999999999978</v>
      </c>
      <c r="AR1221" t="str">
        <f t="shared" ca="1" si="591"/>
        <v>Supercritical</v>
      </c>
      <c r="AS1221">
        <f t="shared" ca="1" si="592"/>
        <v>3.8148159832266538E-3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191</v>
      </c>
      <c r="I1222">
        <v>5.7000000000000002E-2</v>
      </c>
      <c r="J1222">
        <f t="shared" si="593"/>
        <v>1</v>
      </c>
      <c r="K1222">
        <f t="shared" si="594"/>
        <v>51</v>
      </c>
      <c r="L1222">
        <f t="shared" ca="1" si="595"/>
        <v>0.05</v>
      </c>
      <c r="M1222">
        <f t="shared" ca="1" si="568"/>
        <v>0.26</v>
      </c>
      <c r="N1222">
        <f t="shared" ca="1" si="569"/>
        <v>4.9056603773584909E-2</v>
      </c>
      <c r="O1222">
        <f t="shared" ca="1" si="570"/>
        <v>196.15384615384616</v>
      </c>
      <c r="P1222">
        <f t="shared" ca="1" si="571"/>
        <v>632.07599999999991</v>
      </c>
      <c r="Q1222">
        <f t="shared" ca="1" si="572"/>
        <v>2593.1530316486619</v>
      </c>
      <c r="R1222">
        <f t="shared" ca="1" si="573"/>
        <v>482.07306851378365</v>
      </c>
      <c r="S1222">
        <f t="shared" ca="1" si="574"/>
        <v>280.07692026646265</v>
      </c>
      <c r="T1222">
        <f t="shared" ca="1" si="575"/>
        <v>1019.7665564573041</v>
      </c>
      <c r="U1222">
        <f t="shared" ca="1" si="596"/>
        <v>-482.25887083179032</v>
      </c>
      <c r="V1222">
        <f t="shared" ca="1" si="597"/>
        <v>0</v>
      </c>
      <c r="W1222">
        <f t="shared" ca="1" si="576"/>
        <v>0.05</v>
      </c>
      <c r="X1222">
        <f t="shared" ca="1" si="577"/>
        <v>0.26</v>
      </c>
      <c r="Y1222">
        <f t="shared" ca="1" si="578"/>
        <v>4.9056603773584909E-2</v>
      </c>
      <c r="Z1222">
        <f t="shared" ca="1" si="579"/>
        <v>196.15384615384616</v>
      </c>
      <c r="AA1222">
        <f t="shared" ca="1" si="580"/>
        <v>632.07599999999991</v>
      </c>
      <c r="AB1222">
        <f t="shared" ca="1" si="581"/>
        <v>2593.1530316486619</v>
      </c>
      <c r="AC1222">
        <f t="shared" ca="1" si="582"/>
        <v>482.07306851378365</v>
      </c>
      <c r="AD1222">
        <f t="shared" ca="1" si="583"/>
        <v>280.07692026646265</v>
      </c>
      <c r="AE1222">
        <f t="shared" ca="1" si="584"/>
        <v>1019.7665564573041</v>
      </c>
      <c r="AF1222">
        <f t="shared" ca="1" si="585"/>
        <v>482.07256851378406</v>
      </c>
      <c r="AG1222">
        <f t="shared" ca="1" si="586"/>
        <v>0</v>
      </c>
      <c r="AH1222">
        <f ca="1">IF(V32="Supercritical",L1222,IF(V32="Subcritical",W1222,IF(AND(V1222=1,AG1222=1),IF(T1222&gt;=AE1222,L1222,W1222),IF(V1222=1,L1222,IF(AG1222=1,W1222,MAX($D$16,POWER((ABS(K1222)^2)/($I$5*MAX(F1222,0.1)^2),1/3)))))))</f>
        <v>2.1403668656741068</v>
      </c>
      <c r="AI1222">
        <f t="shared" ca="1" si="587"/>
        <v>634.16636686567404</v>
      </c>
      <c r="AJ1222">
        <f t="shared" ca="1" si="588"/>
        <v>635.23655029851113</v>
      </c>
      <c r="AM1222">
        <v>0</v>
      </c>
      <c r="AN1222">
        <v>0</v>
      </c>
      <c r="AO1222">
        <f t="shared" si="589"/>
        <v>0</v>
      </c>
      <c r="AP1222">
        <f t="shared" si="598"/>
        <v>0</v>
      </c>
      <c r="AQ1222">
        <f t="shared" ca="1" si="590"/>
        <v>0.99999999999999978</v>
      </c>
      <c r="AR1222" t="str">
        <f t="shared" ca="1" si="591"/>
        <v>Supercritical</v>
      </c>
      <c r="AS1222">
        <f t="shared" ca="1" si="592"/>
        <v>3.8148159832266538E-3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191</v>
      </c>
      <c r="I1223">
        <v>0</v>
      </c>
      <c r="J1223">
        <f t="shared" si="593"/>
        <v>1</v>
      </c>
      <c r="K1223">
        <f t="shared" si="594"/>
        <v>51</v>
      </c>
      <c r="L1223">
        <f t="shared" ca="1" si="595"/>
        <v>0.05</v>
      </c>
      <c r="M1223">
        <f t="shared" ca="1" si="568"/>
        <v>0.26</v>
      </c>
      <c r="N1223">
        <f t="shared" ca="1" si="569"/>
        <v>4.9056603773584909E-2</v>
      </c>
      <c r="O1223">
        <f t="shared" ca="1" si="570"/>
        <v>196.15384615384616</v>
      </c>
      <c r="P1223">
        <f t="shared" ca="1" si="571"/>
        <v>632.07549999999992</v>
      </c>
      <c r="Q1223">
        <f t="shared" ca="1" si="572"/>
        <v>2593.1525316486623</v>
      </c>
      <c r="R1223">
        <f t="shared" ca="1" si="573"/>
        <v>482.07306851378365</v>
      </c>
      <c r="S1223">
        <f t="shared" ca="1" si="574"/>
        <v>280.07692026646265</v>
      </c>
      <c r="T1223">
        <f t="shared" ca="1" si="575"/>
        <v>1019.7665564573041</v>
      </c>
      <c r="U1223">
        <f t="shared" ca="1" si="596"/>
        <v>-482.07256851378406</v>
      </c>
      <c r="V1223">
        <f t="shared" ca="1" si="597"/>
        <v>0</v>
      </c>
      <c r="W1223">
        <f t="shared" ca="1" si="576"/>
        <v>0.05</v>
      </c>
      <c r="X1223">
        <f t="shared" ca="1" si="577"/>
        <v>0.26</v>
      </c>
      <c r="Y1223">
        <f t="shared" ca="1" si="578"/>
        <v>4.9056603773584909E-2</v>
      </c>
      <c r="Z1223">
        <f t="shared" ca="1" si="579"/>
        <v>196.15384615384616</v>
      </c>
      <c r="AA1223">
        <f t="shared" ca="1" si="580"/>
        <v>632.07549999999992</v>
      </c>
      <c r="AB1223">
        <f t="shared" ca="1" si="581"/>
        <v>2593.1525316486623</v>
      </c>
      <c r="AC1223">
        <f t="shared" ca="1" si="582"/>
        <v>482.07306851378365</v>
      </c>
      <c r="AD1223">
        <f t="shared" ca="1" si="583"/>
        <v>280.07692026646265</v>
      </c>
      <c r="AE1223">
        <f t="shared" ca="1" si="584"/>
        <v>1019.7665564573041</v>
      </c>
      <c r="AF1223">
        <f t="shared" ca="1" si="585"/>
        <v>482.07256851378361</v>
      </c>
      <c r="AG1223">
        <f t="shared" ca="1" si="586"/>
        <v>0</v>
      </c>
      <c r="AH1223">
        <f ca="1">IF(V32="Supercritical",L1223,IF(V32="Subcritical",W1223,IF(AND(V1223=1,AG1223=1),IF(T1223&gt;=AE1223,L1223,W1223),IF(V1223=1,L1223,IF(AG1223=1,W1223,MAX($D$16,POWER((ABS(K1223)^2)/($I$5*MAX(F1223,0.1)^2),1/3)))))))</f>
        <v>2.1403668656741068</v>
      </c>
      <c r="AI1223">
        <f t="shared" ca="1" si="587"/>
        <v>634.16586686567405</v>
      </c>
      <c r="AJ1223">
        <f t="shared" ca="1" si="588"/>
        <v>635.23605029851115</v>
      </c>
      <c r="AM1223">
        <v>0</v>
      </c>
      <c r="AN1223">
        <v>0</v>
      </c>
      <c r="AO1223">
        <f t="shared" si="589"/>
        <v>0</v>
      </c>
      <c r="AP1223">
        <f t="shared" si="598"/>
        <v>0</v>
      </c>
      <c r="AQ1223">
        <f t="shared" ca="1" si="590"/>
        <v>0.99999999999999978</v>
      </c>
      <c r="AR1223" t="str">
        <f t="shared" ca="1" si="591"/>
        <v>Supercritical</v>
      </c>
      <c r="AS1223">
        <f t="shared" ca="1" si="592"/>
        <v>3.8148159832266538E-3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191</v>
      </c>
      <c r="I1224">
        <v>0</v>
      </c>
      <c r="J1224">
        <f t="shared" si="593"/>
        <v>1</v>
      </c>
      <c r="K1224">
        <f t="shared" si="594"/>
        <v>51</v>
      </c>
      <c r="L1224">
        <f t="shared" ca="1" si="595"/>
        <v>0.05</v>
      </c>
      <c r="M1224">
        <f t="shared" ca="1" si="568"/>
        <v>0.26</v>
      </c>
      <c r="N1224">
        <f t="shared" ca="1" si="569"/>
        <v>4.9056603773584909E-2</v>
      </c>
      <c r="O1224">
        <f t="shared" ca="1" si="570"/>
        <v>196.15384615384616</v>
      </c>
      <c r="P1224">
        <f t="shared" ca="1" si="571"/>
        <v>632.07499999999993</v>
      </c>
      <c r="Q1224">
        <f t="shared" ca="1" si="572"/>
        <v>2593.1520316486622</v>
      </c>
      <c r="R1224">
        <f t="shared" ca="1" si="573"/>
        <v>482.07306851378365</v>
      </c>
      <c r="S1224">
        <f t="shared" ca="1" si="574"/>
        <v>280.07692026646265</v>
      </c>
      <c r="T1224">
        <f t="shared" ca="1" si="575"/>
        <v>1019.7665564573041</v>
      </c>
      <c r="U1224">
        <f t="shared" ca="1" si="596"/>
        <v>-482.07256851378361</v>
      </c>
      <c r="V1224">
        <f t="shared" ca="1" si="597"/>
        <v>0</v>
      </c>
      <c r="W1224">
        <f t="shared" ca="1" si="576"/>
        <v>0.05</v>
      </c>
      <c r="X1224">
        <f t="shared" ca="1" si="577"/>
        <v>0.26</v>
      </c>
      <c r="Y1224">
        <f t="shared" ca="1" si="578"/>
        <v>4.9056603773584909E-2</v>
      </c>
      <c r="Z1224">
        <f t="shared" ca="1" si="579"/>
        <v>196.15384615384616</v>
      </c>
      <c r="AA1224">
        <f t="shared" ca="1" si="580"/>
        <v>632.07499999999993</v>
      </c>
      <c r="AB1224">
        <f t="shared" ca="1" si="581"/>
        <v>2593.1520316486622</v>
      </c>
      <c r="AC1224">
        <f t="shared" ca="1" si="582"/>
        <v>482.07306851378365</v>
      </c>
      <c r="AD1224">
        <f t="shared" ca="1" si="583"/>
        <v>280.07692026646265</v>
      </c>
      <c r="AE1224">
        <f t="shared" ca="1" si="584"/>
        <v>1019.7665564573041</v>
      </c>
      <c r="AF1224">
        <f t="shared" ca="1" si="585"/>
        <v>482.25887083179032</v>
      </c>
      <c r="AG1224">
        <f t="shared" ca="1" si="586"/>
        <v>0</v>
      </c>
      <c r="AH1224">
        <f ca="1">IF(V32="Supercritical",L1224,IF(V32="Subcritical",W1224,IF(AND(V1224=1,AG1224=1),IF(T1224&gt;=AE1224,L1224,W1224),IF(V1224=1,L1224,IF(AG1224=1,W1224,MAX($D$16,POWER((ABS(K1224)^2)/($I$5*MAX(F1224,0.1)^2),1/3)))))))</f>
        <v>2.1403668656741068</v>
      </c>
      <c r="AI1224">
        <f t="shared" ca="1" si="587"/>
        <v>634.16536686567406</v>
      </c>
      <c r="AJ1224">
        <f t="shared" ca="1" si="588"/>
        <v>635.23555029851116</v>
      </c>
      <c r="AM1224">
        <v>0</v>
      </c>
      <c r="AN1224">
        <v>0</v>
      </c>
      <c r="AO1224">
        <f t="shared" si="589"/>
        <v>0</v>
      </c>
      <c r="AP1224">
        <f t="shared" si="598"/>
        <v>0</v>
      </c>
      <c r="AQ1224">
        <f t="shared" ca="1" si="590"/>
        <v>0.99999999999999978</v>
      </c>
      <c r="AR1224" t="str">
        <f t="shared" ca="1" si="591"/>
        <v>Supercritical</v>
      </c>
      <c r="AS1224">
        <f t="shared" ca="1" si="592"/>
        <v>3.8148159832266538E-3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191</v>
      </c>
      <c r="I1225">
        <v>5.7000000000000002E-2</v>
      </c>
      <c r="J1225">
        <f t="shared" si="593"/>
        <v>1</v>
      </c>
      <c r="K1225">
        <f t="shared" si="594"/>
        <v>51</v>
      </c>
      <c r="L1225">
        <f t="shared" ca="1" si="595"/>
        <v>0.05</v>
      </c>
      <c r="M1225">
        <f t="shared" ca="1" si="568"/>
        <v>0.26</v>
      </c>
      <c r="N1225">
        <f t="shared" ca="1" si="569"/>
        <v>4.9056603773584909E-2</v>
      </c>
      <c r="O1225">
        <f t="shared" ca="1" si="570"/>
        <v>196.15384615384616</v>
      </c>
      <c r="P1225">
        <f t="shared" ca="1" si="571"/>
        <v>632.07449999999994</v>
      </c>
      <c r="Q1225">
        <f t="shared" ca="1" si="572"/>
        <v>2593.1515316486621</v>
      </c>
      <c r="R1225">
        <f t="shared" ca="1" si="573"/>
        <v>482.07306851378365</v>
      </c>
      <c r="S1225">
        <f t="shared" ca="1" si="574"/>
        <v>280.07692026646265</v>
      </c>
      <c r="T1225">
        <f t="shared" ca="1" si="575"/>
        <v>1019.7665564573041</v>
      </c>
      <c r="U1225">
        <f t="shared" ca="1" si="596"/>
        <v>-482.25887083179032</v>
      </c>
      <c r="V1225">
        <f t="shared" ca="1" si="597"/>
        <v>0</v>
      </c>
      <c r="W1225">
        <f t="shared" ca="1" si="576"/>
        <v>0.05</v>
      </c>
      <c r="X1225">
        <f t="shared" ca="1" si="577"/>
        <v>0.26</v>
      </c>
      <c r="Y1225">
        <f t="shared" ca="1" si="578"/>
        <v>4.9056603773584909E-2</v>
      </c>
      <c r="Z1225">
        <f t="shared" ca="1" si="579"/>
        <v>196.15384615384616</v>
      </c>
      <c r="AA1225">
        <f t="shared" ca="1" si="580"/>
        <v>632.07449999999994</v>
      </c>
      <c r="AB1225">
        <f t="shared" ca="1" si="581"/>
        <v>2593.1515316486621</v>
      </c>
      <c r="AC1225">
        <f t="shared" ca="1" si="582"/>
        <v>482.07306851378365</v>
      </c>
      <c r="AD1225">
        <f t="shared" ca="1" si="583"/>
        <v>280.07692026646265</v>
      </c>
      <c r="AE1225">
        <f t="shared" ca="1" si="584"/>
        <v>1019.7665564573041</v>
      </c>
      <c r="AF1225">
        <f t="shared" ca="1" si="585"/>
        <v>482.25887083179032</v>
      </c>
      <c r="AG1225">
        <f t="shared" ca="1" si="586"/>
        <v>0</v>
      </c>
      <c r="AH1225">
        <f ca="1">IF(V32="Supercritical",L1225,IF(V32="Subcritical",W1225,IF(AND(V1225=1,AG1225=1),IF(T1225&gt;=AE1225,L1225,W1225),IF(V1225=1,L1225,IF(AG1225=1,W1225,MAX($D$16,POWER((ABS(K1225)^2)/($I$5*MAX(F1225,0.1)^2),1/3)))))))</f>
        <v>2.1403668656741068</v>
      </c>
      <c r="AI1225">
        <f t="shared" ca="1" si="587"/>
        <v>634.16486686567407</v>
      </c>
      <c r="AJ1225">
        <f t="shared" ca="1" si="588"/>
        <v>635.23505029851117</v>
      </c>
      <c r="AM1225">
        <v>0</v>
      </c>
      <c r="AN1225">
        <v>0</v>
      </c>
      <c r="AO1225">
        <f t="shared" si="589"/>
        <v>0</v>
      </c>
      <c r="AP1225">
        <f t="shared" si="598"/>
        <v>0</v>
      </c>
      <c r="AQ1225">
        <f t="shared" ca="1" si="590"/>
        <v>0.99999999999999978</v>
      </c>
      <c r="AR1225" t="str">
        <f t="shared" ca="1" si="591"/>
        <v>Supercritical</v>
      </c>
      <c r="AS1225">
        <f t="shared" ca="1" si="592"/>
        <v>3.8148159832266538E-3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191</v>
      </c>
      <c r="I1226">
        <v>5.7000000000000002E-2</v>
      </c>
      <c r="J1226">
        <f t="shared" si="593"/>
        <v>1</v>
      </c>
      <c r="K1226">
        <f t="shared" si="594"/>
        <v>51</v>
      </c>
      <c r="L1226">
        <f t="shared" ca="1" si="595"/>
        <v>0.05</v>
      </c>
      <c r="M1226">
        <f t="shared" ca="1" si="568"/>
        <v>0.26</v>
      </c>
      <c r="N1226">
        <f t="shared" ca="1" si="569"/>
        <v>4.9056603773584909E-2</v>
      </c>
      <c r="O1226">
        <f t="shared" ca="1" si="570"/>
        <v>196.15384615384616</v>
      </c>
      <c r="P1226">
        <f t="shared" ca="1" si="571"/>
        <v>632.07399999999996</v>
      </c>
      <c r="Q1226">
        <f t="shared" ca="1" si="572"/>
        <v>2593.151031648662</v>
      </c>
      <c r="R1226">
        <f t="shared" ca="1" si="573"/>
        <v>482.07306851378365</v>
      </c>
      <c r="S1226">
        <f t="shared" ca="1" si="574"/>
        <v>280.07692026646265</v>
      </c>
      <c r="T1226">
        <f t="shared" ca="1" si="575"/>
        <v>1019.7665564573041</v>
      </c>
      <c r="U1226">
        <f t="shared" ca="1" si="596"/>
        <v>-482.25887083179032</v>
      </c>
      <c r="V1226">
        <f t="shared" ca="1" si="597"/>
        <v>0</v>
      </c>
      <c r="W1226">
        <f t="shared" ca="1" si="576"/>
        <v>0.05</v>
      </c>
      <c r="X1226">
        <f t="shared" ca="1" si="577"/>
        <v>0.26</v>
      </c>
      <c r="Y1226">
        <f t="shared" ca="1" si="578"/>
        <v>4.9056603773584909E-2</v>
      </c>
      <c r="Z1226">
        <f t="shared" ca="1" si="579"/>
        <v>196.15384615384616</v>
      </c>
      <c r="AA1226">
        <f t="shared" ca="1" si="580"/>
        <v>632.07399999999996</v>
      </c>
      <c r="AB1226">
        <f t="shared" ca="1" si="581"/>
        <v>2593.151031648662</v>
      </c>
      <c r="AC1226">
        <f t="shared" ca="1" si="582"/>
        <v>482.07306851378365</v>
      </c>
      <c r="AD1226">
        <f t="shared" ca="1" si="583"/>
        <v>280.07692026646265</v>
      </c>
      <c r="AE1226">
        <f t="shared" ca="1" si="584"/>
        <v>1019.7665564573041</v>
      </c>
      <c r="AF1226">
        <f t="shared" ca="1" si="585"/>
        <v>482.07910543722255</v>
      </c>
      <c r="AG1226">
        <f t="shared" ca="1" si="586"/>
        <v>0</v>
      </c>
      <c r="AH1226">
        <f ca="1">IF(V32="Supercritical",L1226,IF(V32="Subcritical",W1226,IF(AND(V1226=1,AG1226=1),IF(T1226&gt;=AE1226,L1226,W1226),IF(V1226=1,L1226,IF(AG1226=1,W1226,MAX($D$16,POWER((ABS(K1226)^2)/($I$5*MAX(F1226,0.1)^2),1/3)))))))</f>
        <v>2.1403668656741068</v>
      </c>
      <c r="AI1226">
        <f t="shared" ca="1" si="587"/>
        <v>634.16436686567408</v>
      </c>
      <c r="AJ1226">
        <f t="shared" ca="1" si="588"/>
        <v>635.23455029851118</v>
      </c>
      <c r="AM1226">
        <v>0</v>
      </c>
      <c r="AN1226">
        <v>0</v>
      </c>
      <c r="AO1226">
        <f t="shared" si="589"/>
        <v>0</v>
      </c>
      <c r="AP1226">
        <f t="shared" si="598"/>
        <v>0</v>
      </c>
      <c r="AQ1226">
        <f t="shared" ca="1" si="590"/>
        <v>0.99999999999999978</v>
      </c>
      <c r="AR1226" t="str">
        <f t="shared" ca="1" si="591"/>
        <v>Supercritical</v>
      </c>
      <c r="AS1226">
        <f t="shared" ca="1" si="592"/>
        <v>3.8148159832266538E-3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191</v>
      </c>
      <c r="I1227">
        <v>2E-3</v>
      </c>
      <c r="J1227">
        <f t="shared" si="593"/>
        <v>1</v>
      </c>
      <c r="K1227">
        <f t="shared" si="594"/>
        <v>51</v>
      </c>
      <c r="L1227">
        <f t="shared" ca="1" si="595"/>
        <v>0.05</v>
      </c>
      <c r="M1227">
        <f t="shared" ca="1" si="568"/>
        <v>0.26</v>
      </c>
      <c r="N1227">
        <f t="shared" ca="1" si="569"/>
        <v>4.9056603773584909E-2</v>
      </c>
      <c r="O1227">
        <f t="shared" ca="1" si="570"/>
        <v>196.15384615384616</v>
      </c>
      <c r="P1227">
        <f t="shared" ca="1" si="571"/>
        <v>632.07349999999997</v>
      </c>
      <c r="Q1227">
        <f t="shared" ca="1" si="572"/>
        <v>2593.1505316486619</v>
      </c>
      <c r="R1227">
        <f t="shared" ca="1" si="573"/>
        <v>482.07306851378365</v>
      </c>
      <c r="S1227">
        <f t="shared" ca="1" si="574"/>
        <v>280.07692026646265</v>
      </c>
      <c r="T1227">
        <f t="shared" ca="1" si="575"/>
        <v>1019.7665564573041</v>
      </c>
      <c r="U1227">
        <f t="shared" ca="1" si="596"/>
        <v>-482.07910543722255</v>
      </c>
      <c r="V1227">
        <f t="shared" ca="1" si="597"/>
        <v>0</v>
      </c>
      <c r="W1227">
        <f t="shared" ca="1" si="576"/>
        <v>0.05</v>
      </c>
      <c r="X1227">
        <f t="shared" ca="1" si="577"/>
        <v>0.26</v>
      </c>
      <c r="Y1227">
        <f t="shared" ca="1" si="578"/>
        <v>4.9056603773584909E-2</v>
      </c>
      <c r="Z1227">
        <f t="shared" ca="1" si="579"/>
        <v>196.15384615384616</v>
      </c>
      <c r="AA1227">
        <f t="shared" ca="1" si="580"/>
        <v>632.07349999999997</v>
      </c>
      <c r="AB1227">
        <f t="shared" ca="1" si="581"/>
        <v>2593.1505316486619</v>
      </c>
      <c r="AC1227">
        <f t="shared" ca="1" si="582"/>
        <v>482.07306851378365</v>
      </c>
      <c r="AD1227">
        <f t="shared" ca="1" si="583"/>
        <v>280.07692026646265</v>
      </c>
      <c r="AE1227">
        <f t="shared" ca="1" si="584"/>
        <v>1019.7665564573041</v>
      </c>
      <c r="AF1227">
        <f t="shared" ca="1" si="585"/>
        <v>482.56117850583496</v>
      </c>
      <c r="AG1227">
        <f t="shared" ca="1" si="586"/>
        <v>0</v>
      </c>
      <c r="AH1227">
        <f ca="1">IF(V32="Supercritical",L1227,IF(V32="Subcritical",W1227,IF(AND(V1227=1,AG1227=1),IF(T1227&gt;=AE1227,L1227,W1227),IF(V1227=1,L1227,IF(AG1227=1,W1227,MAX($D$16,POWER((ABS(K1227)^2)/($I$5*MAX(F1227,0.1)^2),1/3)))))))</f>
        <v>2.1403668656741068</v>
      </c>
      <c r="AI1227">
        <f t="shared" ca="1" si="587"/>
        <v>634.16386686567409</v>
      </c>
      <c r="AJ1227">
        <f t="shared" ca="1" si="588"/>
        <v>635.23405029851119</v>
      </c>
      <c r="AM1227">
        <v>0</v>
      </c>
      <c r="AN1227">
        <v>0</v>
      </c>
      <c r="AO1227">
        <f t="shared" si="589"/>
        <v>0</v>
      </c>
      <c r="AP1227">
        <f t="shared" si="598"/>
        <v>0</v>
      </c>
      <c r="AQ1227">
        <f t="shared" ca="1" si="590"/>
        <v>0.99999999999999978</v>
      </c>
      <c r="AR1227" t="str">
        <f t="shared" ca="1" si="591"/>
        <v>Supercritical</v>
      </c>
      <c r="AS1227">
        <f t="shared" ca="1" si="592"/>
        <v>3.8148159832266538E-3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191</v>
      </c>
      <c r="I1228">
        <v>2E-3</v>
      </c>
      <c r="J1228">
        <f t="shared" si="593"/>
        <v>1.0010000000002037</v>
      </c>
      <c r="K1228">
        <f t="shared" si="594"/>
        <v>51</v>
      </c>
      <c r="L1228">
        <f t="shared" ca="1" si="595"/>
        <v>0.05</v>
      </c>
      <c r="M1228">
        <f t="shared" ca="1" si="568"/>
        <v>0.26</v>
      </c>
      <c r="N1228">
        <f t="shared" ca="1" si="569"/>
        <v>4.9056603773584909E-2</v>
      </c>
      <c r="O1228">
        <f t="shared" ca="1" si="570"/>
        <v>196.15384615384616</v>
      </c>
      <c r="P1228">
        <f t="shared" ca="1" si="571"/>
        <v>632.07299999999998</v>
      </c>
      <c r="Q1228">
        <f t="shared" ca="1" si="572"/>
        <v>2593.1500316486622</v>
      </c>
      <c r="R1228">
        <f t="shared" ca="1" si="573"/>
        <v>482.07306851378365</v>
      </c>
      <c r="S1228">
        <f t="shared" ca="1" si="574"/>
        <v>280.07692026646265</v>
      </c>
      <c r="T1228">
        <f t="shared" ca="1" si="575"/>
        <v>1019.7665564573041</v>
      </c>
      <c r="U1228">
        <f t="shared" ca="1" si="596"/>
        <v>-482.56117850583496</v>
      </c>
      <c r="V1228">
        <f t="shared" ca="1" si="597"/>
        <v>0</v>
      </c>
      <c r="W1228">
        <f t="shared" ca="1" si="576"/>
        <v>0.05</v>
      </c>
      <c r="X1228">
        <f t="shared" ca="1" si="577"/>
        <v>0.26</v>
      </c>
      <c r="Y1228">
        <f t="shared" ca="1" si="578"/>
        <v>4.9056603773584909E-2</v>
      </c>
      <c r="Z1228">
        <f t="shared" ca="1" si="579"/>
        <v>196.15384615384616</v>
      </c>
      <c r="AA1228">
        <f t="shared" ca="1" si="580"/>
        <v>632.07299999999998</v>
      </c>
      <c r="AB1228">
        <f t="shared" ca="1" si="581"/>
        <v>2593.1500316486622</v>
      </c>
      <c r="AC1228">
        <f t="shared" ca="1" si="582"/>
        <v>482.07306851378365</v>
      </c>
      <c r="AD1228">
        <f t="shared" ca="1" si="583"/>
        <v>280.07692026646265</v>
      </c>
      <c r="AE1228">
        <f t="shared" ca="1" si="584"/>
        <v>1019.7665564573041</v>
      </c>
      <c r="AF1228">
        <f t="shared" ca="1" si="585"/>
        <v>482.25887083179032</v>
      </c>
      <c r="AG1228">
        <f t="shared" ca="1" si="586"/>
        <v>0</v>
      </c>
      <c r="AH1228">
        <f ca="1">IF(V32="Supercritical",L1228,IF(V32="Subcritical",W1228,IF(AND(V1228=1,AG1228=1),IF(T1228&gt;=AE1228,L1228,W1228),IF(V1228=1,L1228,IF(AG1228=1,W1228,MAX($D$16,POWER((ABS(K1228)^2)/($I$5*MAX(F1228,0.1)^2),1/3)))))))</f>
        <v>2.1403668656741068</v>
      </c>
      <c r="AI1228">
        <f t="shared" ca="1" si="587"/>
        <v>634.16336686567411</v>
      </c>
      <c r="AJ1228">
        <f t="shared" ca="1" si="588"/>
        <v>635.2335502985112</v>
      </c>
      <c r="AM1228">
        <v>0</v>
      </c>
      <c r="AN1228">
        <v>0</v>
      </c>
      <c r="AO1228">
        <f t="shared" si="589"/>
        <v>0</v>
      </c>
      <c r="AP1228">
        <f t="shared" si="598"/>
        <v>0</v>
      </c>
      <c r="AQ1228">
        <f t="shared" ca="1" si="590"/>
        <v>0.99999999999999978</v>
      </c>
      <c r="AR1228" t="str">
        <f t="shared" ca="1" si="591"/>
        <v>Supercritical</v>
      </c>
      <c r="AS1228">
        <f t="shared" ca="1" si="592"/>
        <v>3.8148159832266538E-3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191</v>
      </c>
      <c r="I1229">
        <v>5.7000000000000002E-2</v>
      </c>
      <c r="J1229">
        <f t="shared" si="593"/>
        <v>1</v>
      </c>
      <c r="K1229">
        <f t="shared" si="594"/>
        <v>51</v>
      </c>
      <c r="L1229">
        <f t="shared" ca="1" si="595"/>
        <v>0.05</v>
      </c>
      <c r="M1229">
        <f t="shared" ca="1" si="568"/>
        <v>0.26</v>
      </c>
      <c r="N1229">
        <f t="shared" ca="1" si="569"/>
        <v>4.9056603773584909E-2</v>
      </c>
      <c r="O1229">
        <f t="shared" ca="1" si="570"/>
        <v>196.15384615384616</v>
      </c>
      <c r="P1229">
        <f t="shared" ca="1" si="571"/>
        <v>632.07249999999999</v>
      </c>
      <c r="Q1229">
        <f t="shared" ca="1" si="572"/>
        <v>2593.1495316486621</v>
      </c>
      <c r="R1229">
        <f t="shared" ca="1" si="573"/>
        <v>482.07306851378365</v>
      </c>
      <c r="S1229">
        <f t="shared" ca="1" si="574"/>
        <v>280.07692026646265</v>
      </c>
      <c r="T1229">
        <f t="shared" ca="1" si="575"/>
        <v>1019.7665564573041</v>
      </c>
      <c r="U1229">
        <f t="shared" ca="1" si="596"/>
        <v>-482.25887083179032</v>
      </c>
      <c r="V1229">
        <f t="shared" ca="1" si="597"/>
        <v>0</v>
      </c>
      <c r="W1229">
        <f t="shared" ca="1" si="576"/>
        <v>0.05</v>
      </c>
      <c r="X1229">
        <f t="shared" ca="1" si="577"/>
        <v>0.26</v>
      </c>
      <c r="Y1229">
        <f t="shared" ca="1" si="578"/>
        <v>4.9056603773584909E-2</v>
      </c>
      <c r="Z1229">
        <f t="shared" ca="1" si="579"/>
        <v>196.15384615384616</v>
      </c>
      <c r="AA1229">
        <f t="shared" ca="1" si="580"/>
        <v>632.07249999999999</v>
      </c>
      <c r="AB1229">
        <f t="shared" ca="1" si="581"/>
        <v>2593.1495316486621</v>
      </c>
      <c r="AC1229">
        <f t="shared" ca="1" si="582"/>
        <v>482.07306851378365</v>
      </c>
      <c r="AD1229">
        <f t="shared" ca="1" si="583"/>
        <v>280.07692026646265</v>
      </c>
      <c r="AE1229">
        <f t="shared" ca="1" si="584"/>
        <v>1019.7665564573041</v>
      </c>
      <c r="AF1229">
        <f t="shared" ca="1" si="585"/>
        <v>481.77679776317837</v>
      </c>
      <c r="AG1229">
        <f t="shared" ca="1" si="586"/>
        <v>0</v>
      </c>
      <c r="AH1229">
        <f ca="1">IF(V32="Supercritical",L1229,IF(V32="Subcritical",W1229,IF(AND(V1229=1,AG1229=1),IF(T1229&gt;=AE1229,L1229,W1229),IF(V1229=1,L1229,IF(AG1229=1,W1229,MAX($D$16,POWER((ABS(K1229)^2)/($I$5*MAX(F1229,0.1)^2),1/3)))))))</f>
        <v>2.1403668656741068</v>
      </c>
      <c r="AI1229">
        <f t="shared" ca="1" si="587"/>
        <v>634.16286686567412</v>
      </c>
      <c r="AJ1229">
        <f t="shared" ca="1" si="588"/>
        <v>635.23305029851122</v>
      </c>
      <c r="AM1229">
        <v>0</v>
      </c>
      <c r="AN1229">
        <v>0</v>
      </c>
      <c r="AO1229">
        <f t="shared" si="589"/>
        <v>0</v>
      </c>
      <c r="AP1229">
        <f t="shared" si="598"/>
        <v>0</v>
      </c>
      <c r="AQ1229">
        <f t="shared" ca="1" si="590"/>
        <v>0.99999999999999978</v>
      </c>
      <c r="AR1229" t="str">
        <f t="shared" ca="1" si="591"/>
        <v>Supercritical</v>
      </c>
      <c r="AS1229">
        <f t="shared" ca="1" si="592"/>
        <v>3.8148159832266538E-3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191</v>
      </c>
      <c r="I1230">
        <v>5.7000000000000002E-2</v>
      </c>
      <c r="J1230">
        <f t="shared" si="593"/>
        <v>0.99899999999979627</v>
      </c>
      <c r="K1230">
        <f t="shared" si="594"/>
        <v>51</v>
      </c>
      <c r="L1230">
        <f t="shared" ca="1" si="595"/>
        <v>0.05</v>
      </c>
      <c r="M1230">
        <f t="shared" ca="1" si="568"/>
        <v>0.26</v>
      </c>
      <c r="N1230">
        <f t="shared" ca="1" si="569"/>
        <v>4.9056603773584909E-2</v>
      </c>
      <c r="O1230">
        <f t="shared" ca="1" si="570"/>
        <v>196.15384615384616</v>
      </c>
      <c r="P1230">
        <f t="shared" ca="1" si="571"/>
        <v>632.072</v>
      </c>
      <c r="Q1230">
        <f t="shared" ca="1" si="572"/>
        <v>2593.149031648662</v>
      </c>
      <c r="R1230">
        <f t="shared" ca="1" si="573"/>
        <v>482.07306851378365</v>
      </c>
      <c r="S1230">
        <f t="shared" ca="1" si="574"/>
        <v>280.07692026646265</v>
      </c>
      <c r="T1230">
        <f t="shared" ca="1" si="575"/>
        <v>1019.7665564573041</v>
      </c>
      <c r="U1230">
        <f t="shared" ca="1" si="596"/>
        <v>-481.77679776317837</v>
      </c>
      <c r="V1230">
        <f t="shared" ca="1" si="597"/>
        <v>0</v>
      </c>
      <c r="W1230">
        <f t="shared" ca="1" si="576"/>
        <v>0.05</v>
      </c>
      <c r="X1230">
        <f t="shared" ca="1" si="577"/>
        <v>0.26</v>
      </c>
      <c r="Y1230">
        <f t="shared" ca="1" si="578"/>
        <v>4.9056603773584909E-2</v>
      </c>
      <c r="Z1230">
        <f t="shared" ca="1" si="579"/>
        <v>196.15384615384616</v>
      </c>
      <c r="AA1230">
        <f t="shared" ca="1" si="580"/>
        <v>632.072</v>
      </c>
      <c r="AB1230">
        <f t="shared" ca="1" si="581"/>
        <v>2593.149031648662</v>
      </c>
      <c r="AC1230">
        <f t="shared" ca="1" si="582"/>
        <v>482.07306851378365</v>
      </c>
      <c r="AD1230">
        <f t="shared" ca="1" si="583"/>
        <v>280.07692026646265</v>
      </c>
      <c r="AE1230">
        <f t="shared" ca="1" si="584"/>
        <v>1019.7665564573041</v>
      </c>
      <c r="AF1230">
        <f t="shared" ca="1" si="585"/>
        <v>482.07256851378361</v>
      </c>
      <c r="AG1230">
        <f t="shared" ca="1" si="586"/>
        <v>0</v>
      </c>
      <c r="AH1230">
        <f ca="1">IF(V32="Supercritical",L1230,IF(V32="Subcritical",W1230,IF(AND(V1230=1,AG1230=1),IF(T1230&gt;=AE1230,L1230,W1230),IF(V1230=1,L1230,IF(AG1230=1,W1230,MAX($D$16,POWER((ABS(K1230)^2)/($I$5*MAX(F1230,0.1)^2),1/3)))))))</f>
        <v>2.1403668656741068</v>
      </c>
      <c r="AI1230">
        <f t="shared" ca="1" si="587"/>
        <v>634.16236686567413</v>
      </c>
      <c r="AJ1230">
        <f t="shared" ca="1" si="588"/>
        <v>635.23255029851123</v>
      </c>
      <c r="AM1230">
        <v>0</v>
      </c>
      <c r="AN1230">
        <v>0</v>
      </c>
      <c r="AO1230">
        <f t="shared" si="589"/>
        <v>0</v>
      </c>
      <c r="AP1230">
        <f t="shared" si="598"/>
        <v>0</v>
      </c>
      <c r="AQ1230">
        <f t="shared" ca="1" si="590"/>
        <v>0.99999999999999978</v>
      </c>
      <c r="AR1230" t="str">
        <f t="shared" ca="1" si="591"/>
        <v>Supercritical</v>
      </c>
      <c r="AS1230">
        <f t="shared" ca="1" si="592"/>
        <v>3.8148159832266538E-3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191</v>
      </c>
      <c r="I1231">
        <v>0</v>
      </c>
      <c r="J1231">
        <f t="shared" si="593"/>
        <v>1</v>
      </c>
      <c r="K1231">
        <f t="shared" si="594"/>
        <v>51</v>
      </c>
      <c r="L1231">
        <f t="shared" ca="1" si="595"/>
        <v>0.05</v>
      </c>
      <c r="M1231">
        <f t="shared" ca="1" si="568"/>
        <v>0.26</v>
      </c>
      <c r="N1231">
        <f t="shared" ca="1" si="569"/>
        <v>4.9056603773584909E-2</v>
      </c>
      <c r="O1231">
        <f t="shared" ca="1" si="570"/>
        <v>196.15384615384616</v>
      </c>
      <c r="P1231">
        <f t="shared" ca="1" si="571"/>
        <v>632.0714999999999</v>
      </c>
      <c r="Q1231">
        <f t="shared" ca="1" si="572"/>
        <v>2593.1485316486619</v>
      </c>
      <c r="R1231">
        <f t="shared" ca="1" si="573"/>
        <v>482.07306851378365</v>
      </c>
      <c r="S1231">
        <f t="shared" ca="1" si="574"/>
        <v>280.07692026646265</v>
      </c>
      <c r="T1231">
        <f t="shared" ca="1" si="575"/>
        <v>1019.7665564573041</v>
      </c>
      <c r="U1231">
        <f t="shared" ca="1" si="596"/>
        <v>-482.07256851378361</v>
      </c>
      <c r="V1231">
        <f t="shared" ca="1" si="597"/>
        <v>0</v>
      </c>
      <c r="W1231">
        <f t="shared" ca="1" si="576"/>
        <v>0.05</v>
      </c>
      <c r="X1231">
        <f t="shared" ca="1" si="577"/>
        <v>0.26</v>
      </c>
      <c r="Y1231">
        <f t="shared" ca="1" si="578"/>
        <v>4.9056603773584909E-2</v>
      </c>
      <c r="Z1231">
        <f t="shared" ca="1" si="579"/>
        <v>196.15384615384616</v>
      </c>
      <c r="AA1231">
        <f t="shared" ca="1" si="580"/>
        <v>632.0714999999999</v>
      </c>
      <c r="AB1231">
        <f t="shared" ca="1" si="581"/>
        <v>2593.1485316486619</v>
      </c>
      <c r="AC1231">
        <f t="shared" ca="1" si="582"/>
        <v>482.07306851378365</v>
      </c>
      <c r="AD1231">
        <f t="shared" ca="1" si="583"/>
        <v>280.07692026646265</v>
      </c>
      <c r="AE1231">
        <f t="shared" ca="1" si="584"/>
        <v>1019.7665564573041</v>
      </c>
      <c r="AF1231">
        <f t="shared" ca="1" si="585"/>
        <v>482.07256851378406</v>
      </c>
      <c r="AG1231">
        <f t="shared" ca="1" si="586"/>
        <v>0</v>
      </c>
      <c r="AH1231">
        <f ca="1">IF(V32="Supercritical",L1231,IF(V32="Subcritical",W1231,IF(AND(V1231=1,AG1231=1),IF(T1231&gt;=AE1231,L1231,W1231),IF(V1231=1,L1231,IF(AG1231=1,W1231,MAX($D$16,POWER((ABS(K1231)^2)/($I$5*MAX(F1231,0.1)^2),1/3)))))))</f>
        <v>2.1403668656741068</v>
      </c>
      <c r="AI1231">
        <f t="shared" ca="1" si="587"/>
        <v>634.16186686567403</v>
      </c>
      <c r="AJ1231">
        <f t="shared" ca="1" si="588"/>
        <v>635.23205029851113</v>
      </c>
      <c r="AM1231">
        <v>0</v>
      </c>
      <c r="AN1231">
        <v>0</v>
      </c>
      <c r="AO1231">
        <f t="shared" si="589"/>
        <v>0</v>
      </c>
      <c r="AP1231">
        <f t="shared" si="598"/>
        <v>0</v>
      </c>
      <c r="AQ1231">
        <f t="shared" ca="1" si="590"/>
        <v>0.99999999999999978</v>
      </c>
      <c r="AR1231" t="str">
        <f t="shared" ca="1" si="591"/>
        <v>Supercritical</v>
      </c>
      <c r="AS1231">
        <f t="shared" ca="1" si="592"/>
        <v>3.8148159832266538E-3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191</v>
      </c>
      <c r="I1232">
        <v>0</v>
      </c>
      <c r="J1232">
        <f t="shared" si="593"/>
        <v>1</v>
      </c>
      <c r="K1232">
        <f t="shared" si="594"/>
        <v>51</v>
      </c>
      <c r="L1232">
        <f t="shared" ca="1" si="595"/>
        <v>0.05</v>
      </c>
      <c r="M1232">
        <f t="shared" ca="1" si="568"/>
        <v>0.26</v>
      </c>
      <c r="N1232">
        <f t="shared" ca="1" si="569"/>
        <v>4.9056603773584909E-2</v>
      </c>
      <c r="O1232">
        <f t="shared" ca="1" si="570"/>
        <v>196.15384615384616</v>
      </c>
      <c r="P1232">
        <f t="shared" ca="1" si="571"/>
        <v>632.07099999999991</v>
      </c>
      <c r="Q1232">
        <f t="shared" ca="1" si="572"/>
        <v>2593.1480316486623</v>
      </c>
      <c r="R1232">
        <f t="shared" ca="1" si="573"/>
        <v>482.07306851378365</v>
      </c>
      <c r="S1232">
        <f t="shared" ca="1" si="574"/>
        <v>280.07692026646265</v>
      </c>
      <c r="T1232">
        <f t="shared" ca="1" si="575"/>
        <v>1019.7665564573041</v>
      </c>
      <c r="U1232">
        <f t="shared" ca="1" si="596"/>
        <v>-482.07256851378406</v>
      </c>
      <c r="V1232">
        <f t="shared" ca="1" si="597"/>
        <v>0</v>
      </c>
      <c r="W1232">
        <f t="shared" ca="1" si="576"/>
        <v>0.05</v>
      </c>
      <c r="X1232">
        <f t="shared" ca="1" si="577"/>
        <v>0.26</v>
      </c>
      <c r="Y1232">
        <f t="shared" ca="1" si="578"/>
        <v>4.9056603773584909E-2</v>
      </c>
      <c r="Z1232">
        <f t="shared" ca="1" si="579"/>
        <v>196.15384615384616</v>
      </c>
      <c r="AA1232">
        <f t="shared" ca="1" si="580"/>
        <v>632.07099999999991</v>
      </c>
      <c r="AB1232">
        <f t="shared" ca="1" si="581"/>
        <v>2593.1480316486623</v>
      </c>
      <c r="AC1232">
        <f t="shared" ca="1" si="582"/>
        <v>482.07306851378365</v>
      </c>
      <c r="AD1232">
        <f t="shared" ca="1" si="583"/>
        <v>280.07692026646265</v>
      </c>
      <c r="AE1232">
        <f t="shared" ca="1" si="584"/>
        <v>1019.7665564573041</v>
      </c>
      <c r="AF1232">
        <f t="shared" ca="1" si="585"/>
        <v>482.25887083179032</v>
      </c>
      <c r="AG1232">
        <f t="shared" ca="1" si="586"/>
        <v>0</v>
      </c>
      <c r="AH1232">
        <f ca="1">IF(V32="Supercritical",L1232,IF(V32="Subcritical",W1232,IF(AND(V1232=1,AG1232=1),IF(T1232&gt;=AE1232,L1232,W1232),IF(V1232=1,L1232,IF(AG1232=1,W1232,MAX($D$16,POWER((ABS(K1232)^2)/($I$5*MAX(F1232,0.1)^2),1/3)))))))</f>
        <v>2.1403668656741068</v>
      </c>
      <c r="AI1232">
        <f t="shared" ca="1" si="587"/>
        <v>634.16136686567404</v>
      </c>
      <c r="AJ1232">
        <f t="shared" ca="1" si="588"/>
        <v>635.23155029851114</v>
      </c>
      <c r="AM1232">
        <v>0</v>
      </c>
      <c r="AN1232">
        <v>0</v>
      </c>
      <c r="AO1232">
        <f t="shared" si="589"/>
        <v>0</v>
      </c>
      <c r="AP1232">
        <f t="shared" si="598"/>
        <v>0</v>
      </c>
      <c r="AQ1232">
        <f t="shared" ca="1" si="590"/>
        <v>0.99999999999999978</v>
      </c>
      <c r="AR1232" t="str">
        <f t="shared" ca="1" si="591"/>
        <v>Supercritical</v>
      </c>
      <c r="AS1232">
        <f t="shared" ca="1" si="592"/>
        <v>3.8148159832266538E-3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191</v>
      </c>
      <c r="I1233">
        <v>5.7000000000000002E-2</v>
      </c>
      <c r="J1233">
        <f t="shared" si="593"/>
        <v>1</v>
      </c>
      <c r="K1233">
        <f t="shared" si="594"/>
        <v>51</v>
      </c>
      <c r="L1233">
        <f t="shared" ca="1" si="595"/>
        <v>0.05</v>
      </c>
      <c r="M1233">
        <f t="shared" ca="1" si="568"/>
        <v>0.26</v>
      </c>
      <c r="N1233">
        <f t="shared" ca="1" si="569"/>
        <v>4.9056603773584909E-2</v>
      </c>
      <c r="O1233">
        <f t="shared" ca="1" si="570"/>
        <v>196.15384615384616</v>
      </c>
      <c r="P1233">
        <f t="shared" ca="1" si="571"/>
        <v>632.07049999999992</v>
      </c>
      <c r="Q1233">
        <f t="shared" ca="1" si="572"/>
        <v>2593.1475316486622</v>
      </c>
      <c r="R1233">
        <f t="shared" ca="1" si="573"/>
        <v>482.07306851378365</v>
      </c>
      <c r="S1233">
        <f t="shared" ca="1" si="574"/>
        <v>280.07692026646265</v>
      </c>
      <c r="T1233">
        <f t="shared" ca="1" si="575"/>
        <v>1019.7665564573041</v>
      </c>
      <c r="U1233">
        <f t="shared" ca="1" si="596"/>
        <v>-482.25887083179032</v>
      </c>
      <c r="V1233">
        <f t="shared" ca="1" si="597"/>
        <v>0</v>
      </c>
      <c r="W1233">
        <f t="shared" ca="1" si="576"/>
        <v>0.05</v>
      </c>
      <c r="X1233">
        <f t="shared" ca="1" si="577"/>
        <v>0.26</v>
      </c>
      <c r="Y1233">
        <f t="shared" ca="1" si="578"/>
        <v>4.9056603773584909E-2</v>
      </c>
      <c r="Z1233">
        <f t="shared" ca="1" si="579"/>
        <v>196.15384615384616</v>
      </c>
      <c r="AA1233">
        <f t="shared" ca="1" si="580"/>
        <v>632.07049999999992</v>
      </c>
      <c r="AB1233">
        <f t="shared" ca="1" si="581"/>
        <v>2593.1475316486622</v>
      </c>
      <c r="AC1233">
        <f t="shared" ca="1" si="582"/>
        <v>482.07306851378365</v>
      </c>
      <c r="AD1233">
        <f t="shared" ca="1" si="583"/>
        <v>280.07692026646265</v>
      </c>
      <c r="AE1233">
        <f t="shared" ca="1" si="584"/>
        <v>1019.7665564573041</v>
      </c>
      <c r="AF1233">
        <f t="shared" ca="1" si="585"/>
        <v>482.25887083179032</v>
      </c>
      <c r="AG1233">
        <f t="shared" ca="1" si="586"/>
        <v>0</v>
      </c>
      <c r="AH1233">
        <f ca="1">IF(V32="Supercritical",L1233,IF(V32="Subcritical",W1233,IF(AND(V1233=1,AG1233=1),IF(T1233&gt;=AE1233,L1233,W1233),IF(V1233=1,L1233,IF(AG1233=1,W1233,MAX($D$16,POWER((ABS(K1233)^2)/($I$5*MAX(F1233,0.1)^2),1/3)))))))</f>
        <v>2.1403668656741068</v>
      </c>
      <c r="AI1233">
        <f t="shared" ca="1" si="587"/>
        <v>634.16086686567405</v>
      </c>
      <c r="AJ1233">
        <f t="shared" ca="1" si="588"/>
        <v>635.23105029851115</v>
      </c>
      <c r="AM1233">
        <v>0</v>
      </c>
      <c r="AN1233">
        <v>0</v>
      </c>
      <c r="AO1233">
        <f t="shared" si="589"/>
        <v>0</v>
      </c>
      <c r="AP1233">
        <f t="shared" si="598"/>
        <v>0</v>
      </c>
      <c r="AQ1233">
        <f t="shared" ca="1" si="590"/>
        <v>0.99999999999999978</v>
      </c>
      <c r="AR1233" t="str">
        <f t="shared" ca="1" si="591"/>
        <v>Supercritical</v>
      </c>
      <c r="AS1233">
        <f t="shared" ca="1" si="592"/>
        <v>3.8148159832266538E-3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191</v>
      </c>
      <c r="I1234">
        <v>5.7000000000000002E-2</v>
      </c>
      <c r="J1234">
        <f t="shared" si="593"/>
        <v>1</v>
      </c>
      <c r="K1234">
        <f t="shared" si="594"/>
        <v>51</v>
      </c>
      <c r="L1234">
        <f t="shared" ca="1" si="595"/>
        <v>0.05</v>
      </c>
      <c r="M1234">
        <f t="shared" ca="1" si="568"/>
        <v>0.26</v>
      </c>
      <c r="N1234">
        <f t="shared" ca="1" si="569"/>
        <v>4.9056603773584909E-2</v>
      </c>
      <c r="O1234">
        <f t="shared" ca="1" si="570"/>
        <v>196.15384615384616</v>
      </c>
      <c r="P1234">
        <f t="shared" ca="1" si="571"/>
        <v>632.06999999999994</v>
      </c>
      <c r="Q1234">
        <f t="shared" ca="1" si="572"/>
        <v>2593.1470316486621</v>
      </c>
      <c r="R1234">
        <f t="shared" ca="1" si="573"/>
        <v>482.07306851378365</v>
      </c>
      <c r="S1234">
        <f t="shared" ca="1" si="574"/>
        <v>280.07692026646265</v>
      </c>
      <c r="T1234">
        <f t="shared" ca="1" si="575"/>
        <v>1019.7665564573041</v>
      </c>
      <c r="U1234">
        <f t="shared" ca="1" si="596"/>
        <v>-482.25887083179032</v>
      </c>
      <c r="V1234">
        <f t="shared" ca="1" si="597"/>
        <v>0</v>
      </c>
      <c r="W1234">
        <f t="shared" ca="1" si="576"/>
        <v>0.05</v>
      </c>
      <c r="X1234">
        <f t="shared" ca="1" si="577"/>
        <v>0.26</v>
      </c>
      <c r="Y1234">
        <f t="shared" ca="1" si="578"/>
        <v>4.9056603773584909E-2</v>
      </c>
      <c r="Z1234">
        <f t="shared" ca="1" si="579"/>
        <v>196.15384615384616</v>
      </c>
      <c r="AA1234">
        <f t="shared" ca="1" si="580"/>
        <v>632.06999999999994</v>
      </c>
      <c r="AB1234">
        <f t="shared" ca="1" si="581"/>
        <v>2593.1470316486621</v>
      </c>
      <c r="AC1234">
        <f t="shared" ca="1" si="582"/>
        <v>482.07306851378365</v>
      </c>
      <c r="AD1234">
        <f t="shared" ca="1" si="583"/>
        <v>280.07692026646265</v>
      </c>
      <c r="AE1234">
        <f t="shared" ca="1" si="584"/>
        <v>1019.7665564573041</v>
      </c>
      <c r="AF1234">
        <f t="shared" ca="1" si="585"/>
        <v>482.07256851378361</v>
      </c>
      <c r="AG1234">
        <f t="shared" ca="1" si="586"/>
        <v>0</v>
      </c>
      <c r="AH1234">
        <f ca="1">IF(V32="Supercritical",L1234,IF(V32="Subcritical",W1234,IF(AND(V1234=1,AG1234=1),IF(T1234&gt;=AE1234,L1234,W1234),IF(V1234=1,L1234,IF(AG1234=1,W1234,MAX($D$16,POWER((ABS(K1234)^2)/($I$5*MAX(F1234,0.1)^2),1/3)))))))</f>
        <v>2.1403668656741068</v>
      </c>
      <c r="AI1234">
        <f t="shared" ca="1" si="587"/>
        <v>634.16036686567406</v>
      </c>
      <c r="AJ1234">
        <f t="shared" ca="1" si="588"/>
        <v>635.23055029851116</v>
      </c>
      <c r="AM1234">
        <v>0</v>
      </c>
      <c r="AN1234">
        <v>0</v>
      </c>
      <c r="AO1234">
        <f t="shared" si="589"/>
        <v>0</v>
      </c>
      <c r="AP1234">
        <f t="shared" si="598"/>
        <v>0</v>
      </c>
      <c r="AQ1234">
        <f t="shared" ca="1" si="590"/>
        <v>0.99999999999999978</v>
      </c>
      <c r="AR1234" t="str">
        <f t="shared" ca="1" si="591"/>
        <v>Supercritical</v>
      </c>
      <c r="AS1234">
        <f t="shared" ca="1" si="592"/>
        <v>3.8148159832266538E-3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191</v>
      </c>
      <c r="I1235">
        <v>0</v>
      </c>
      <c r="J1235">
        <f t="shared" si="593"/>
        <v>1</v>
      </c>
      <c r="K1235">
        <f t="shared" si="594"/>
        <v>51</v>
      </c>
      <c r="L1235">
        <f t="shared" ca="1" si="595"/>
        <v>0.05</v>
      </c>
      <c r="M1235">
        <f t="shared" ca="1" si="568"/>
        <v>0.26</v>
      </c>
      <c r="N1235">
        <f t="shared" ca="1" si="569"/>
        <v>4.9056603773584909E-2</v>
      </c>
      <c r="O1235">
        <f t="shared" ca="1" si="570"/>
        <v>196.15384615384616</v>
      </c>
      <c r="P1235">
        <f t="shared" ca="1" si="571"/>
        <v>632.06949999999995</v>
      </c>
      <c r="Q1235">
        <f t="shared" ca="1" si="572"/>
        <v>2593.1465316486619</v>
      </c>
      <c r="R1235">
        <f t="shared" ca="1" si="573"/>
        <v>482.07306851378365</v>
      </c>
      <c r="S1235">
        <f t="shared" ca="1" si="574"/>
        <v>280.07692026646265</v>
      </c>
      <c r="T1235">
        <f t="shared" ca="1" si="575"/>
        <v>1019.7665564573041</v>
      </c>
      <c r="U1235">
        <f t="shared" ca="1" si="596"/>
        <v>-482.07256851378361</v>
      </c>
      <c r="V1235">
        <f t="shared" ca="1" si="597"/>
        <v>0</v>
      </c>
      <c r="W1235">
        <f t="shared" ca="1" si="576"/>
        <v>0.05</v>
      </c>
      <c r="X1235">
        <f t="shared" ca="1" si="577"/>
        <v>0.26</v>
      </c>
      <c r="Y1235">
        <f t="shared" ca="1" si="578"/>
        <v>4.9056603773584909E-2</v>
      </c>
      <c r="Z1235">
        <f t="shared" ca="1" si="579"/>
        <v>196.15384615384616</v>
      </c>
      <c r="AA1235">
        <f t="shared" ca="1" si="580"/>
        <v>632.06949999999995</v>
      </c>
      <c r="AB1235">
        <f t="shared" ca="1" si="581"/>
        <v>2593.1465316486619</v>
      </c>
      <c r="AC1235">
        <f t="shared" ca="1" si="582"/>
        <v>482.07306851378365</v>
      </c>
      <c r="AD1235">
        <f t="shared" ca="1" si="583"/>
        <v>280.07692026646265</v>
      </c>
      <c r="AE1235">
        <f t="shared" ca="1" si="584"/>
        <v>1019.7665564573041</v>
      </c>
      <c r="AF1235">
        <f t="shared" ca="1" si="585"/>
        <v>482.25233390835137</v>
      </c>
      <c r="AG1235">
        <f t="shared" ca="1" si="586"/>
        <v>0</v>
      </c>
      <c r="AH1235">
        <f ca="1">IF(V32="Supercritical",L1235,IF(V32="Subcritical",W1235,IF(AND(V1235=1,AG1235=1),IF(T1235&gt;=AE1235,L1235,W1235),IF(V1235=1,L1235,IF(AG1235=1,W1235,MAX($D$16,POWER((ABS(K1235)^2)/($I$5*MAX(F1235,0.1)^2),1/3)))))))</f>
        <v>2.1403668656741068</v>
      </c>
      <c r="AI1235">
        <f t="shared" ca="1" si="587"/>
        <v>634.15986686567408</v>
      </c>
      <c r="AJ1235">
        <f t="shared" ca="1" si="588"/>
        <v>635.23005029851117</v>
      </c>
      <c r="AM1235">
        <v>0</v>
      </c>
      <c r="AN1235">
        <v>0</v>
      </c>
      <c r="AO1235">
        <f t="shared" si="589"/>
        <v>0</v>
      </c>
      <c r="AP1235">
        <f t="shared" si="598"/>
        <v>0</v>
      </c>
      <c r="AQ1235">
        <f t="shared" ca="1" si="590"/>
        <v>0.99999999999999978</v>
      </c>
      <c r="AR1235" t="str">
        <f t="shared" ca="1" si="591"/>
        <v>Supercritical</v>
      </c>
      <c r="AS1235">
        <f t="shared" ca="1" si="592"/>
        <v>3.8148159832266538E-3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191</v>
      </c>
      <c r="I1236">
        <v>5.5E-2</v>
      </c>
      <c r="J1236">
        <f t="shared" si="593"/>
        <v>1</v>
      </c>
      <c r="K1236">
        <f t="shared" si="594"/>
        <v>51</v>
      </c>
      <c r="L1236">
        <f t="shared" ca="1" si="595"/>
        <v>0.05</v>
      </c>
      <c r="M1236">
        <f t="shared" ca="1" si="568"/>
        <v>0.26</v>
      </c>
      <c r="N1236">
        <f t="shared" ca="1" si="569"/>
        <v>4.9056603773584909E-2</v>
      </c>
      <c r="O1236">
        <f t="shared" ca="1" si="570"/>
        <v>196.15384615384616</v>
      </c>
      <c r="P1236">
        <f t="shared" ca="1" si="571"/>
        <v>632.06899999999996</v>
      </c>
      <c r="Q1236">
        <f t="shared" ca="1" si="572"/>
        <v>2593.1460316486618</v>
      </c>
      <c r="R1236">
        <f t="shared" ca="1" si="573"/>
        <v>482.07306851378365</v>
      </c>
      <c r="S1236">
        <f t="shared" ca="1" si="574"/>
        <v>280.07692026646265</v>
      </c>
      <c r="T1236">
        <f t="shared" ca="1" si="575"/>
        <v>1019.7665564573041</v>
      </c>
      <c r="U1236">
        <f t="shared" ca="1" si="596"/>
        <v>-482.25233390835137</v>
      </c>
      <c r="V1236">
        <f t="shared" ca="1" si="597"/>
        <v>0</v>
      </c>
      <c r="W1236">
        <f t="shared" ca="1" si="576"/>
        <v>0.05</v>
      </c>
      <c r="X1236">
        <f t="shared" ca="1" si="577"/>
        <v>0.26</v>
      </c>
      <c r="Y1236">
        <f t="shared" ca="1" si="578"/>
        <v>4.9056603773584909E-2</v>
      </c>
      <c r="Z1236">
        <f t="shared" ca="1" si="579"/>
        <v>196.15384615384616</v>
      </c>
      <c r="AA1236">
        <f t="shared" ca="1" si="580"/>
        <v>632.06899999999996</v>
      </c>
      <c r="AB1236">
        <f t="shared" ca="1" si="581"/>
        <v>2593.1460316486618</v>
      </c>
      <c r="AC1236">
        <f t="shared" ca="1" si="582"/>
        <v>482.07306851378365</v>
      </c>
      <c r="AD1236">
        <f t="shared" ca="1" si="583"/>
        <v>280.07692026646265</v>
      </c>
      <c r="AE1236">
        <f t="shared" ca="1" si="584"/>
        <v>1019.7665564573041</v>
      </c>
      <c r="AF1236">
        <f t="shared" ca="1" si="585"/>
        <v>482.73440697696378</v>
      </c>
      <c r="AG1236">
        <f t="shared" ca="1" si="586"/>
        <v>0</v>
      </c>
      <c r="AH1236">
        <f ca="1">IF(V32="Supercritical",L1236,IF(V32="Subcritical",W1236,IF(AND(V1236=1,AG1236=1),IF(T1236&gt;=AE1236,L1236,W1236),IF(V1236=1,L1236,IF(AG1236=1,W1236,MAX($D$16,POWER((ABS(K1236)^2)/($I$5*MAX(F1236,0.1)^2),1/3)))))))</f>
        <v>2.1403668656741068</v>
      </c>
      <c r="AI1236">
        <f t="shared" ca="1" si="587"/>
        <v>634.15936686567409</v>
      </c>
      <c r="AJ1236">
        <f t="shared" ca="1" si="588"/>
        <v>635.22955029851119</v>
      </c>
      <c r="AM1236">
        <v>0</v>
      </c>
      <c r="AN1236">
        <v>0</v>
      </c>
      <c r="AO1236">
        <f t="shared" si="589"/>
        <v>0</v>
      </c>
      <c r="AP1236">
        <f t="shared" si="598"/>
        <v>0</v>
      </c>
      <c r="AQ1236">
        <f t="shared" ca="1" si="590"/>
        <v>0.99999999999999978</v>
      </c>
      <c r="AR1236" t="str">
        <f t="shared" ca="1" si="591"/>
        <v>Supercritical</v>
      </c>
      <c r="AS1236">
        <f t="shared" ca="1" si="592"/>
        <v>3.8148159832266538E-3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191</v>
      </c>
      <c r="I1237">
        <v>5.5E-2</v>
      </c>
      <c r="J1237">
        <f t="shared" si="593"/>
        <v>1.0010000000002037</v>
      </c>
      <c r="K1237">
        <f t="shared" si="594"/>
        <v>51</v>
      </c>
      <c r="L1237">
        <f t="shared" ca="1" si="595"/>
        <v>0.05</v>
      </c>
      <c r="M1237">
        <f t="shared" ca="1" si="568"/>
        <v>0.26</v>
      </c>
      <c r="N1237">
        <f t="shared" ca="1" si="569"/>
        <v>4.9056603773584909E-2</v>
      </c>
      <c r="O1237">
        <f t="shared" ca="1" si="570"/>
        <v>196.15384615384616</v>
      </c>
      <c r="P1237">
        <f t="shared" ca="1" si="571"/>
        <v>632.06849999999997</v>
      </c>
      <c r="Q1237">
        <f t="shared" ca="1" si="572"/>
        <v>2593.1455316486622</v>
      </c>
      <c r="R1237">
        <f t="shared" ca="1" si="573"/>
        <v>482.07306851378365</v>
      </c>
      <c r="S1237">
        <f t="shared" ca="1" si="574"/>
        <v>280.07692026646265</v>
      </c>
      <c r="T1237">
        <f t="shared" ca="1" si="575"/>
        <v>1019.7665564573041</v>
      </c>
      <c r="U1237">
        <f t="shared" ca="1" si="596"/>
        <v>-482.73440697696378</v>
      </c>
      <c r="V1237">
        <f t="shared" ca="1" si="597"/>
        <v>0</v>
      </c>
      <c r="W1237">
        <f t="shared" ca="1" si="576"/>
        <v>0.05</v>
      </c>
      <c r="X1237">
        <f t="shared" ca="1" si="577"/>
        <v>0.26</v>
      </c>
      <c r="Y1237">
        <f t="shared" ca="1" si="578"/>
        <v>4.9056603773584909E-2</v>
      </c>
      <c r="Z1237">
        <f t="shared" ca="1" si="579"/>
        <v>196.15384615384616</v>
      </c>
      <c r="AA1237">
        <f t="shared" ca="1" si="580"/>
        <v>632.06849999999997</v>
      </c>
      <c r="AB1237">
        <f t="shared" ca="1" si="581"/>
        <v>2593.1455316486622</v>
      </c>
      <c r="AC1237">
        <f t="shared" ca="1" si="582"/>
        <v>482.07306851378365</v>
      </c>
      <c r="AD1237">
        <f t="shared" ca="1" si="583"/>
        <v>280.07692026646265</v>
      </c>
      <c r="AE1237">
        <f t="shared" ca="1" si="584"/>
        <v>1019.7665564573041</v>
      </c>
      <c r="AF1237">
        <f t="shared" ca="1" si="585"/>
        <v>482.07256851378361</v>
      </c>
      <c r="AG1237">
        <f t="shared" ca="1" si="586"/>
        <v>0</v>
      </c>
      <c r="AH1237">
        <f ca="1">IF(V32="Supercritical",L1237,IF(V32="Subcritical",W1237,IF(AND(V1237=1,AG1237=1),IF(T1237&gt;=AE1237,L1237,W1237),IF(V1237=1,L1237,IF(AG1237=1,W1237,MAX($D$16,POWER((ABS(K1237)^2)/($I$5*MAX(F1237,0.1)^2),1/3)))))))</f>
        <v>2.1403668656741068</v>
      </c>
      <c r="AI1237">
        <f t="shared" ca="1" si="587"/>
        <v>634.1588668656741</v>
      </c>
      <c r="AJ1237">
        <f t="shared" ca="1" si="588"/>
        <v>635.2290502985112</v>
      </c>
      <c r="AM1237">
        <v>0</v>
      </c>
      <c r="AN1237">
        <v>0</v>
      </c>
      <c r="AO1237">
        <f t="shared" si="589"/>
        <v>0</v>
      </c>
      <c r="AP1237">
        <f t="shared" si="598"/>
        <v>0</v>
      </c>
      <c r="AQ1237">
        <f t="shared" ca="1" si="590"/>
        <v>0.99999999999999978</v>
      </c>
      <c r="AR1237" t="str">
        <f t="shared" ca="1" si="591"/>
        <v>Supercritical</v>
      </c>
      <c r="AS1237">
        <f t="shared" ca="1" si="592"/>
        <v>3.8148159832266538E-3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191</v>
      </c>
      <c r="I1238">
        <v>0</v>
      </c>
      <c r="J1238">
        <f t="shared" si="593"/>
        <v>1</v>
      </c>
      <c r="K1238">
        <f t="shared" si="594"/>
        <v>51</v>
      </c>
      <c r="L1238">
        <f t="shared" ca="1" si="595"/>
        <v>0.05</v>
      </c>
      <c r="M1238">
        <f t="shared" ref="M1238:M1301" ca="1" si="599">((F1238)+(G1238)*(L1238))*(L1238)</f>
        <v>0.26</v>
      </c>
      <c r="N1238">
        <f t="shared" ref="N1238:N1301" ca="1" si="600">(((F1238)+(G1238)*(L1238))*(L1238))/MAX((F1238)+2*(L1238)*SQRT(1+(G1238)^2),0.000001)</f>
        <v>4.9056603773584909E-2</v>
      </c>
      <c r="O1238">
        <f t="shared" ref="O1238:O1301" ca="1" si="601">ABS(K1238)/MAX(((F1238)+(G1238)*(L1238))*(L1238),0.000001)</f>
        <v>196.15384615384616</v>
      </c>
      <c r="P1238">
        <f t="shared" ref="P1238:P1301" ca="1" si="602">E1238+L1238</f>
        <v>632.06799999999998</v>
      </c>
      <c r="Q1238">
        <f t="shared" ref="Q1238:Q1301" ca="1" si="603">P1238+((ABS(K1238)/MAX(((F1238)+(G1238)*(L1238))*(L1238),0.000001))^2)/(2*$I$5)</f>
        <v>2593.1450316486621</v>
      </c>
      <c r="R1238">
        <f t="shared" ref="R1238:R1301" ca="1" si="604">((ABS(K1238)*$D$6)/(MAX(((F1238)+(G1238)*(L1238))*(L1238),0.000001)*MAX(((((F1238)+(G1238)*(L1238))*(L1238))/MAX((F1238)+2*(L1238)*SQRT(1+(G1238)^2),0.000001))^(2/3),0.000001)))^2</f>
        <v>482.07306851378365</v>
      </c>
      <c r="S1238">
        <f t="shared" ref="S1238:S1301" ca="1" si="605">ABS(ABS(K1238)/MAX(((F1238)+(G1238)*(L1238))*(L1238),0.000001))/SQRT($I$5*MAX((((F1238)+(G1238)*(L1238))*(L1238))/MAX((F1238)+2*(G1238)*(L1238),0.000001),0.000001))</f>
        <v>280.07692026646265</v>
      </c>
      <c r="T1238">
        <f t="shared" ref="T1238:T1301" ca="1" si="606">((F1238)*(L1238)^2)/2+(G1238)*(L1238)^3/3+(ABS(K1238)^2)/($I$5*MAX(((F1238)+(G1238)*(L1238))*(L1238),0.000001))</f>
        <v>1019.7665564573041</v>
      </c>
      <c r="U1238">
        <f t="shared" ca="1" si="596"/>
        <v>-482.07256851378361</v>
      </c>
      <c r="V1238">
        <f t="shared" ca="1" si="597"/>
        <v>0</v>
      </c>
      <c r="W1238">
        <f t="shared" ref="W1238:W1301" ca="1" si="607">IF(OR($D$20=0,AG1239=0),W1239,IF(OR(W1238=0,AD1239&gt;1),MAX($D$16,POWER((ABS(K1238)^2)/($I$5*MAX(F1238,0.1)^2),1/3)),IF(AF1238&gt;0,MAX($D$16,W1238+((AF1238)*$D$18*IF((AD1238)&lt;1,1,-1))),IF(AF1238&lt;0,IF(ABS((MAX($D$16,POWER((ABS(K1238)^2)/($I$5*MAX(F1238,0.1)^2),1/3)))-W1238)&gt;$D$19,MAX($D$16,W1238+($D$18*((MAX($D$16,POWER((ABS(K1238)^2)/($I$5*MAX(F1238,0.1)^2),1/3)))-W1238))),MAX($D$16,POWER((ABS(K1238)^2)/($I$5*MAX(F1238,0.1)^2),1/3))),W1238))))</f>
        <v>0.05</v>
      </c>
      <c r="X1238">
        <f t="shared" ref="X1238:X1301" ca="1" si="608">((F1238)+(G1238)*(W1238))*(W1238)</f>
        <v>0.26</v>
      </c>
      <c r="Y1238">
        <f t="shared" ref="Y1238:Y1301" ca="1" si="609">(((F1238)+(G1238)*(W1238))*(W1238))/MAX((F1238)+2*(W1238)*SQRT(1+(G1238)^2),0.000001)</f>
        <v>4.9056603773584909E-2</v>
      </c>
      <c r="Z1238">
        <f t="shared" ref="Z1238:Z1301" ca="1" si="610">ABS(K1238)/MAX(((F1238)+(G1238)*(W1238))*(W1238),0.000001)</f>
        <v>196.15384615384616</v>
      </c>
      <c r="AA1238">
        <f t="shared" ref="AA1238:AA1301" ca="1" si="611">E1238+W1238</f>
        <v>632.06799999999998</v>
      </c>
      <c r="AB1238">
        <f t="shared" ref="AB1238:AB1301" ca="1" si="612">AA1238+((ABS(K1238)/MAX(((F1238)+(G1238)*(W1238))*(W1238),0.000001))^2)/(2*$I$5)</f>
        <v>2593.1450316486621</v>
      </c>
      <c r="AC1238">
        <f t="shared" ref="AC1238:AC1301" ca="1" si="613">((ABS(K1238)*$D$6)/(MAX(((F1238)+(G1238)*(W1238))*(W1238),0.000001)*MAX(((((F1238)+(G1238)*(W1238))*(W1238))/MAX((F1238)+2*(W1238)*SQRT(1+(G1238)^2),0.000001))^(2/3),0.000001)))^2</f>
        <v>482.07306851378365</v>
      </c>
      <c r="AD1238">
        <f t="shared" ref="AD1238:AD1301" ca="1" si="614">ABS(ABS(K1238)/MAX(((F1238)+(G1238)*(W1238))*(W1238),0.000001))/SQRT($I$5*MAX((((F1238)+(G1238)*(W1238))*(W1238))/MAX((F1238)+2*(G1238)*(W1238),0.000001),0.000001))</f>
        <v>280.07692026646265</v>
      </c>
      <c r="AE1238">
        <f t="shared" ref="AE1238:AE1301" ca="1" si="615">((F1238)*(W1238)^2)/2+(G1238)*(W1238)^3/3+(ABS(K1238)^2)/($I$5*MAX(((F1238)+(G1238)*(W1238))*(W1238),0.000001))</f>
        <v>1019.7665564573041</v>
      </c>
      <c r="AF1238">
        <f t="shared" ref="AF1238:AF1301" ca="1" si="616">AB1239+(((AC1238+AC1239)/2)*J1239)+(IF(Z1238&gt;Z1239,$D$8*((Z1238^2-Z1239^2)/(2*$I$5)),$D$9*((Z1239^2-Z1238^2)/(2*$I$5)))+($D$10*(ABS(I1239)/90)*(MAX(Z1238^2,Z1239^2)/(2*$I$5))))-AB1238</f>
        <v>482.07256851378361</v>
      </c>
      <c r="AG1238">
        <f t="shared" ref="AG1238:AG1301" ca="1" si="617">IF(ROUND(AD1238,3)=1,1,IF(AND(ABS(AF1238)&lt;$D$19,AD1238&lt;1),1,0))</f>
        <v>0</v>
      </c>
      <c r="AH1238">
        <f ca="1">IF(V32="Supercritical",L1238,IF(V32="Subcritical",W1238,IF(AND(V1238=1,AG1238=1),IF(T1238&gt;=AE1238,L1238,W1238),IF(V1238=1,L1238,IF(AG1238=1,W1238,MAX($D$16,POWER((ABS(K1238)^2)/($I$5*MAX(F1238,0.1)^2),1/3)))))))</f>
        <v>2.1403668656741068</v>
      </c>
      <c r="AI1238">
        <f t="shared" ref="AI1238:AI1301" ca="1" si="618">E1238+AH1238</f>
        <v>634.15836686567411</v>
      </c>
      <c r="AJ1238">
        <f t="shared" ref="AJ1238:AJ1301" ca="1" si="619">AI1238+((ABS(K1238)/MAX(((F1238)+(G1238)*(AH1238))*(AH1238),0.000001))^2)/(2*$I$5)</f>
        <v>635.22855029851121</v>
      </c>
      <c r="AM1238">
        <v>0</v>
      </c>
      <c r="AN1238">
        <v>0</v>
      </c>
      <c r="AO1238">
        <f t="shared" ref="AO1238:AO1301" si="620">AM1238+AN1238</f>
        <v>0</v>
      </c>
      <c r="AP1238">
        <f t="shared" si="598"/>
        <v>0</v>
      </c>
      <c r="AQ1238">
        <f t="shared" ref="AQ1238:AQ1301" ca="1" si="621">ABS(ABS(K1238)/MAX(((F1238)+(G1238)*(AH1238))*(AH1238),0.000001))/SQRT($I$5*MAX((((F1238)+(G1238)*(AH1238))*(AH1238))/MAX((F1238)+2*(G1238)*(AH1238),0.000001),0.000001))</f>
        <v>0.99999999999999978</v>
      </c>
      <c r="AR1238" t="str">
        <f t="shared" ref="AR1238:AR1301" ca="1" si="622">IF(AQ1238&lt;1,"Subcritical","Supercritical")</f>
        <v>Supercritical</v>
      </c>
      <c r="AS1238">
        <f t="shared" ref="AS1238:AS1301" ca="1" si="623">((ABS(K1238)*$D$6)/(MAX(((F1238)+(G1238)*(AH1238))*(AH1238),0.000001)*MAX(((((F1238)+(G1238)*(AH1238))*(AH1238))/MAX((F1238)+2*(AH1238)*SQRT(1+(G1238)^2),0.000001))^(2/3),0.000001)))^2</f>
        <v>3.8148159832266538E-3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191</v>
      </c>
      <c r="I1239">
        <v>0</v>
      </c>
      <c r="J1239">
        <f t="shared" ref="J1239:J1302" si="624">B1239-B1238</f>
        <v>1</v>
      </c>
      <c r="K1239">
        <f t="shared" ref="K1239:K1302" si="625">MAX(0,K1238-AO1238)</f>
        <v>51</v>
      </c>
      <c r="L1239">
        <f t="shared" ref="L1239:L1302" ca="1" si="626">IF(OR($D$20=0,V1238=0),L1238,IF(OR(L1239=0,S1238&lt;1,S1239&lt;1),MAX($D$16,POWER((ABS(K1239)^2)/($I$5*MAX(F1239,0.1)^2),1/3)),IF(U1239&gt;0,MAX($D$16,L1239+((U1239)*$D$18*IF((S1239)&lt;1,1,-1))),IF(U1239&lt;0,IF(ABS((MAX($D$16,POWER((ABS(K1239)^2)/($I$5*MAX(F1239,0.1)^2),1/3)))-L1239)&gt;$D$19,MAX($D$16,L1239+($D$18*((MAX($D$16,POWER((ABS(K1239)^2)/($I$5*MAX(F1239,0.1)^2),1/3)))-L1239))),MAX($D$16,POWER((ABS(K1239)^2)/($I$5*MAX(F1239,0.1)^2),1/3))),L1239))))</f>
        <v>0.05</v>
      </c>
      <c r="M1239">
        <f t="shared" ca="1" si="599"/>
        <v>0.26</v>
      </c>
      <c r="N1239">
        <f t="shared" ca="1" si="600"/>
        <v>4.9056603773584909E-2</v>
      </c>
      <c r="O1239">
        <f t="shared" ca="1" si="601"/>
        <v>196.15384615384616</v>
      </c>
      <c r="P1239">
        <f t="shared" ca="1" si="602"/>
        <v>632.0675</v>
      </c>
      <c r="Q1239">
        <f t="shared" ca="1" si="603"/>
        <v>2593.144531648662</v>
      </c>
      <c r="R1239">
        <f t="shared" ca="1" si="604"/>
        <v>482.07306851378365</v>
      </c>
      <c r="S1239">
        <f t="shared" ca="1" si="605"/>
        <v>280.07692026646265</v>
      </c>
      <c r="T1239">
        <f t="shared" ca="1" si="606"/>
        <v>1019.7665564573041</v>
      </c>
      <c r="U1239">
        <f t="shared" ref="U1239:U1302" ca="1" si="627">Q1238-(((R1238+R1239)/2)*J1239)-(IF(O1238&gt;O1239,$D$8*((O1238^2-O1239^2)/(2*$I$5)),$D$9*((O1239^2-O1238^2)/(2*$I$5)))+($D$10*(ABS(I1239)/90)*(MAX(O1238^2,O1239^2)/(2*$I$5))))-Q1239</f>
        <v>-482.07256851378361</v>
      </c>
      <c r="V1239">
        <f t="shared" ref="V1239:V1302" ca="1" si="628">IF(ROUND(S1239,3)=1,1,IF(AND(ABS(U1239)&lt;$D$19,S1239&gt;1),1,0))</f>
        <v>0</v>
      </c>
      <c r="W1239">
        <f t="shared" ca="1" si="607"/>
        <v>0.05</v>
      </c>
      <c r="X1239">
        <f t="shared" ca="1" si="608"/>
        <v>0.26</v>
      </c>
      <c r="Y1239">
        <f t="shared" ca="1" si="609"/>
        <v>4.9056603773584909E-2</v>
      </c>
      <c r="Z1239">
        <f t="shared" ca="1" si="610"/>
        <v>196.15384615384616</v>
      </c>
      <c r="AA1239">
        <f t="shared" ca="1" si="611"/>
        <v>632.0675</v>
      </c>
      <c r="AB1239">
        <f t="shared" ca="1" si="612"/>
        <v>2593.144531648662</v>
      </c>
      <c r="AC1239">
        <f t="shared" ca="1" si="613"/>
        <v>482.07306851378365</v>
      </c>
      <c r="AD1239">
        <f t="shared" ca="1" si="614"/>
        <v>280.07692026646265</v>
      </c>
      <c r="AE1239">
        <f t="shared" ca="1" si="615"/>
        <v>1019.7665564573041</v>
      </c>
      <c r="AF1239">
        <f t="shared" ca="1" si="616"/>
        <v>481.77679776317882</v>
      </c>
      <c r="AG1239">
        <f t="shared" ca="1" si="617"/>
        <v>0</v>
      </c>
      <c r="AH1239">
        <f ca="1">IF(V32="Supercritical",L1239,IF(V32="Subcritical",W1239,IF(AND(V1239=1,AG1239=1),IF(T1239&gt;=AE1239,L1239,W1239),IF(V1239=1,L1239,IF(AG1239=1,W1239,MAX($D$16,POWER((ABS(K1239)^2)/($I$5*MAX(F1239,0.1)^2),1/3)))))))</f>
        <v>2.1403668656741068</v>
      </c>
      <c r="AI1239">
        <f t="shared" ca="1" si="618"/>
        <v>634.15786686567412</v>
      </c>
      <c r="AJ1239">
        <f t="shared" ca="1" si="619"/>
        <v>635.22805029851122</v>
      </c>
      <c r="AM1239">
        <v>0</v>
      </c>
      <c r="AN1239">
        <v>0</v>
      </c>
      <c r="AO1239">
        <f t="shared" si="620"/>
        <v>0</v>
      </c>
      <c r="AP1239">
        <f t="shared" ref="AP1239:AP1302" si="629">AP1238+AO1239</f>
        <v>0</v>
      </c>
      <c r="AQ1239">
        <f t="shared" ca="1" si="621"/>
        <v>0.99999999999999978</v>
      </c>
      <c r="AR1239" t="str">
        <f t="shared" ca="1" si="622"/>
        <v>Supercritical</v>
      </c>
      <c r="AS1239">
        <f t="shared" ca="1" si="623"/>
        <v>3.8148159832266538E-3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191</v>
      </c>
      <c r="I1240">
        <v>5.7000000000000002E-2</v>
      </c>
      <c r="J1240">
        <f t="shared" si="624"/>
        <v>0.99899999999979627</v>
      </c>
      <c r="K1240">
        <f t="shared" si="625"/>
        <v>51</v>
      </c>
      <c r="L1240">
        <f t="shared" ca="1" si="626"/>
        <v>0.05</v>
      </c>
      <c r="M1240">
        <f t="shared" ca="1" si="599"/>
        <v>0.26</v>
      </c>
      <c r="N1240">
        <f t="shared" ca="1" si="600"/>
        <v>4.9056603773584909E-2</v>
      </c>
      <c r="O1240">
        <f t="shared" ca="1" si="601"/>
        <v>196.15384615384616</v>
      </c>
      <c r="P1240">
        <f t="shared" ca="1" si="602"/>
        <v>632.06700000000001</v>
      </c>
      <c r="Q1240">
        <f t="shared" ca="1" si="603"/>
        <v>2593.1440316486623</v>
      </c>
      <c r="R1240">
        <f t="shared" ca="1" si="604"/>
        <v>482.07306851378365</v>
      </c>
      <c r="S1240">
        <f t="shared" ca="1" si="605"/>
        <v>280.07692026646265</v>
      </c>
      <c r="T1240">
        <f t="shared" ca="1" si="606"/>
        <v>1019.7665564573041</v>
      </c>
      <c r="U1240">
        <f t="shared" ca="1" si="627"/>
        <v>-481.77679776317882</v>
      </c>
      <c r="V1240">
        <f t="shared" ca="1" si="628"/>
        <v>0</v>
      </c>
      <c r="W1240">
        <f t="shared" ca="1" si="607"/>
        <v>0.05</v>
      </c>
      <c r="X1240">
        <f t="shared" ca="1" si="608"/>
        <v>0.26</v>
      </c>
      <c r="Y1240">
        <f t="shared" ca="1" si="609"/>
        <v>4.9056603773584909E-2</v>
      </c>
      <c r="Z1240">
        <f t="shared" ca="1" si="610"/>
        <v>196.15384615384616</v>
      </c>
      <c r="AA1240">
        <f t="shared" ca="1" si="611"/>
        <v>632.06700000000001</v>
      </c>
      <c r="AB1240">
        <f t="shared" ca="1" si="612"/>
        <v>2593.1440316486623</v>
      </c>
      <c r="AC1240">
        <f t="shared" ca="1" si="613"/>
        <v>482.07306851378365</v>
      </c>
      <c r="AD1240">
        <f t="shared" ca="1" si="614"/>
        <v>280.07692026646265</v>
      </c>
      <c r="AE1240">
        <f t="shared" ca="1" si="615"/>
        <v>1019.7665564573041</v>
      </c>
      <c r="AF1240">
        <f t="shared" ca="1" si="616"/>
        <v>482.25887083179032</v>
      </c>
      <c r="AG1240">
        <f t="shared" ca="1" si="617"/>
        <v>0</v>
      </c>
      <c r="AH1240">
        <f ca="1">IF(V32="Supercritical",L1240,IF(V32="Subcritical",W1240,IF(AND(V1240=1,AG1240=1),IF(T1240&gt;=AE1240,L1240,W1240),IF(V1240=1,L1240,IF(AG1240=1,W1240,MAX($D$16,POWER((ABS(K1240)^2)/($I$5*MAX(F1240,0.1)^2),1/3)))))))</f>
        <v>2.1403668656741068</v>
      </c>
      <c r="AI1240">
        <f t="shared" ca="1" si="618"/>
        <v>634.15736686567413</v>
      </c>
      <c r="AJ1240">
        <f t="shared" ca="1" si="619"/>
        <v>635.22755029851123</v>
      </c>
      <c r="AM1240">
        <v>0</v>
      </c>
      <c r="AN1240">
        <v>0</v>
      </c>
      <c r="AO1240">
        <f t="shared" si="620"/>
        <v>0</v>
      </c>
      <c r="AP1240">
        <f t="shared" si="629"/>
        <v>0</v>
      </c>
      <c r="AQ1240">
        <f t="shared" ca="1" si="621"/>
        <v>0.99999999999999978</v>
      </c>
      <c r="AR1240" t="str">
        <f t="shared" ca="1" si="622"/>
        <v>Supercritical</v>
      </c>
      <c r="AS1240">
        <f t="shared" ca="1" si="623"/>
        <v>3.8148159832266538E-3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191</v>
      </c>
      <c r="I1241">
        <v>5.7000000000000002E-2</v>
      </c>
      <c r="J1241">
        <f t="shared" si="624"/>
        <v>1</v>
      </c>
      <c r="K1241">
        <f t="shared" si="625"/>
        <v>51</v>
      </c>
      <c r="L1241">
        <f t="shared" ca="1" si="626"/>
        <v>0.05</v>
      </c>
      <c r="M1241">
        <f t="shared" ca="1" si="599"/>
        <v>0.26</v>
      </c>
      <c r="N1241">
        <f t="shared" ca="1" si="600"/>
        <v>4.9056603773584909E-2</v>
      </c>
      <c r="O1241">
        <f t="shared" ca="1" si="601"/>
        <v>196.15384615384616</v>
      </c>
      <c r="P1241">
        <f t="shared" ca="1" si="602"/>
        <v>632.06649999999991</v>
      </c>
      <c r="Q1241">
        <f t="shared" ca="1" si="603"/>
        <v>2593.1435316486622</v>
      </c>
      <c r="R1241">
        <f t="shared" ca="1" si="604"/>
        <v>482.07306851378365</v>
      </c>
      <c r="S1241">
        <f t="shared" ca="1" si="605"/>
        <v>280.07692026646265</v>
      </c>
      <c r="T1241">
        <f t="shared" ca="1" si="606"/>
        <v>1019.7665564573041</v>
      </c>
      <c r="U1241">
        <f t="shared" ca="1" si="627"/>
        <v>-482.25887083179032</v>
      </c>
      <c r="V1241">
        <f t="shared" ca="1" si="628"/>
        <v>0</v>
      </c>
      <c r="W1241">
        <f t="shared" ca="1" si="607"/>
        <v>0.05</v>
      </c>
      <c r="X1241">
        <f t="shared" ca="1" si="608"/>
        <v>0.26</v>
      </c>
      <c r="Y1241">
        <f t="shared" ca="1" si="609"/>
        <v>4.9056603773584909E-2</v>
      </c>
      <c r="Z1241">
        <f t="shared" ca="1" si="610"/>
        <v>196.15384615384616</v>
      </c>
      <c r="AA1241">
        <f t="shared" ca="1" si="611"/>
        <v>632.06649999999991</v>
      </c>
      <c r="AB1241">
        <f t="shared" ca="1" si="612"/>
        <v>2593.1435316486622</v>
      </c>
      <c r="AC1241">
        <f t="shared" ca="1" si="613"/>
        <v>482.07306851378365</v>
      </c>
      <c r="AD1241">
        <f t="shared" ca="1" si="614"/>
        <v>280.07692026646265</v>
      </c>
      <c r="AE1241">
        <f t="shared" ca="1" si="615"/>
        <v>1019.7665564573041</v>
      </c>
      <c r="AF1241">
        <f t="shared" ca="1" si="616"/>
        <v>482.07256851378361</v>
      </c>
      <c r="AG1241">
        <f t="shared" ca="1" si="617"/>
        <v>0</v>
      </c>
      <c r="AH1241">
        <f ca="1">IF(V32="Supercritical",L1241,IF(V32="Subcritical",W1241,IF(AND(V1241=1,AG1241=1),IF(T1241&gt;=AE1241,L1241,W1241),IF(V1241=1,L1241,IF(AG1241=1,W1241,MAX($D$16,POWER((ABS(K1241)^2)/($I$5*MAX(F1241,0.1)^2),1/3)))))))</f>
        <v>2.1403668656741068</v>
      </c>
      <c r="AI1241">
        <f t="shared" ca="1" si="618"/>
        <v>634.15686686567403</v>
      </c>
      <c r="AJ1241">
        <f t="shared" ca="1" si="619"/>
        <v>635.22705029851113</v>
      </c>
      <c r="AM1241">
        <v>0</v>
      </c>
      <c r="AN1241">
        <v>0</v>
      </c>
      <c r="AO1241">
        <f t="shared" si="620"/>
        <v>0</v>
      </c>
      <c r="AP1241">
        <f t="shared" si="629"/>
        <v>0</v>
      </c>
      <c r="AQ1241">
        <f t="shared" ca="1" si="621"/>
        <v>0.99999999999999978</v>
      </c>
      <c r="AR1241" t="str">
        <f t="shared" ca="1" si="622"/>
        <v>Supercritical</v>
      </c>
      <c r="AS1241">
        <f t="shared" ca="1" si="623"/>
        <v>3.8148159832266538E-3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191</v>
      </c>
      <c r="I1242">
        <v>0</v>
      </c>
      <c r="J1242">
        <f t="shared" si="624"/>
        <v>1</v>
      </c>
      <c r="K1242">
        <f t="shared" si="625"/>
        <v>51</v>
      </c>
      <c r="L1242">
        <f t="shared" ca="1" si="626"/>
        <v>0.05</v>
      </c>
      <c r="M1242">
        <f t="shared" ca="1" si="599"/>
        <v>0.26</v>
      </c>
      <c r="N1242">
        <f t="shared" ca="1" si="600"/>
        <v>4.9056603773584909E-2</v>
      </c>
      <c r="O1242">
        <f t="shared" ca="1" si="601"/>
        <v>196.15384615384616</v>
      </c>
      <c r="P1242">
        <f t="shared" ca="1" si="602"/>
        <v>632.06599999999992</v>
      </c>
      <c r="Q1242">
        <f t="shared" ca="1" si="603"/>
        <v>2593.1430316486621</v>
      </c>
      <c r="R1242">
        <f t="shared" ca="1" si="604"/>
        <v>482.07306851378365</v>
      </c>
      <c r="S1242">
        <f t="shared" ca="1" si="605"/>
        <v>280.07692026646265</v>
      </c>
      <c r="T1242">
        <f t="shared" ca="1" si="606"/>
        <v>1019.7665564573041</v>
      </c>
      <c r="U1242">
        <f t="shared" ca="1" si="627"/>
        <v>-482.07256851378361</v>
      </c>
      <c r="V1242">
        <f t="shared" ca="1" si="628"/>
        <v>0</v>
      </c>
      <c r="W1242">
        <f t="shared" ca="1" si="607"/>
        <v>0.05</v>
      </c>
      <c r="X1242">
        <f t="shared" ca="1" si="608"/>
        <v>0.26</v>
      </c>
      <c r="Y1242">
        <f t="shared" ca="1" si="609"/>
        <v>4.9056603773584909E-2</v>
      </c>
      <c r="Z1242">
        <f t="shared" ca="1" si="610"/>
        <v>196.15384615384616</v>
      </c>
      <c r="AA1242">
        <f t="shared" ca="1" si="611"/>
        <v>632.06599999999992</v>
      </c>
      <c r="AB1242">
        <f t="shared" ca="1" si="612"/>
        <v>2593.1430316486621</v>
      </c>
      <c r="AC1242">
        <f t="shared" ca="1" si="613"/>
        <v>482.07306851378365</v>
      </c>
      <c r="AD1242">
        <f t="shared" ca="1" si="614"/>
        <v>280.07692026646265</v>
      </c>
      <c r="AE1242">
        <f t="shared" ca="1" si="615"/>
        <v>1019.7665564573041</v>
      </c>
      <c r="AF1242">
        <f t="shared" ca="1" si="616"/>
        <v>482.07256851378361</v>
      </c>
      <c r="AG1242">
        <f t="shared" ca="1" si="617"/>
        <v>0</v>
      </c>
      <c r="AH1242">
        <f ca="1">IF(V32="Supercritical",L1242,IF(V32="Subcritical",W1242,IF(AND(V1242=1,AG1242=1),IF(T1242&gt;=AE1242,L1242,W1242),IF(V1242=1,L1242,IF(AG1242=1,W1242,MAX($D$16,POWER((ABS(K1242)^2)/($I$5*MAX(F1242,0.1)^2),1/3)))))))</f>
        <v>2.1403668656741068</v>
      </c>
      <c r="AI1242">
        <f t="shared" ca="1" si="618"/>
        <v>634.15636686567404</v>
      </c>
      <c r="AJ1242">
        <f t="shared" ca="1" si="619"/>
        <v>635.22655029851114</v>
      </c>
      <c r="AM1242">
        <v>0</v>
      </c>
      <c r="AN1242">
        <v>0</v>
      </c>
      <c r="AO1242">
        <f t="shared" si="620"/>
        <v>0</v>
      </c>
      <c r="AP1242">
        <f t="shared" si="629"/>
        <v>0</v>
      </c>
      <c r="AQ1242">
        <f t="shared" ca="1" si="621"/>
        <v>0.99999999999999978</v>
      </c>
      <c r="AR1242" t="str">
        <f t="shared" ca="1" si="622"/>
        <v>Supercritical</v>
      </c>
      <c r="AS1242">
        <f t="shared" ca="1" si="623"/>
        <v>3.8148159832266538E-3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191</v>
      </c>
      <c r="I1243">
        <v>0</v>
      </c>
      <c r="J1243">
        <f t="shared" si="624"/>
        <v>1</v>
      </c>
      <c r="K1243">
        <f t="shared" si="625"/>
        <v>51</v>
      </c>
      <c r="L1243">
        <f t="shared" ca="1" si="626"/>
        <v>0.05</v>
      </c>
      <c r="M1243">
        <f t="shared" ca="1" si="599"/>
        <v>0.26</v>
      </c>
      <c r="N1243">
        <f t="shared" ca="1" si="600"/>
        <v>4.9056603773584909E-2</v>
      </c>
      <c r="O1243">
        <f t="shared" ca="1" si="601"/>
        <v>196.15384615384616</v>
      </c>
      <c r="P1243">
        <f t="shared" ca="1" si="602"/>
        <v>632.06549999999993</v>
      </c>
      <c r="Q1243">
        <f t="shared" ca="1" si="603"/>
        <v>2593.142531648662</v>
      </c>
      <c r="R1243">
        <f t="shared" ca="1" si="604"/>
        <v>482.07306851378365</v>
      </c>
      <c r="S1243">
        <f t="shared" ca="1" si="605"/>
        <v>280.07692026646265</v>
      </c>
      <c r="T1243">
        <f t="shared" ca="1" si="606"/>
        <v>1019.7665564573041</v>
      </c>
      <c r="U1243">
        <f t="shared" ca="1" si="627"/>
        <v>-482.07256851378361</v>
      </c>
      <c r="V1243">
        <f t="shared" ca="1" si="628"/>
        <v>0</v>
      </c>
      <c r="W1243">
        <f t="shared" ca="1" si="607"/>
        <v>0.05</v>
      </c>
      <c r="X1243">
        <f t="shared" ca="1" si="608"/>
        <v>0.26</v>
      </c>
      <c r="Y1243">
        <f t="shared" ca="1" si="609"/>
        <v>4.9056603773584909E-2</v>
      </c>
      <c r="Z1243">
        <f t="shared" ca="1" si="610"/>
        <v>196.15384615384616</v>
      </c>
      <c r="AA1243">
        <f t="shared" ca="1" si="611"/>
        <v>632.06549999999993</v>
      </c>
      <c r="AB1243">
        <f t="shared" ca="1" si="612"/>
        <v>2593.142531648662</v>
      </c>
      <c r="AC1243">
        <f t="shared" ca="1" si="613"/>
        <v>482.07306851378365</v>
      </c>
      <c r="AD1243">
        <f t="shared" ca="1" si="614"/>
        <v>280.07692026646265</v>
      </c>
      <c r="AE1243">
        <f t="shared" ca="1" si="615"/>
        <v>1019.7665564573041</v>
      </c>
      <c r="AF1243">
        <f t="shared" ca="1" si="616"/>
        <v>482.25887083179032</v>
      </c>
      <c r="AG1243">
        <f t="shared" ca="1" si="617"/>
        <v>0</v>
      </c>
      <c r="AH1243">
        <f ca="1">IF(V32="Supercritical",L1243,IF(V32="Subcritical",W1243,IF(AND(V1243=1,AG1243=1),IF(T1243&gt;=AE1243,L1243,W1243),IF(V1243=1,L1243,IF(AG1243=1,W1243,MAX($D$16,POWER((ABS(K1243)^2)/($I$5*MAX(F1243,0.1)^2),1/3)))))))</f>
        <v>2.1403668656741068</v>
      </c>
      <c r="AI1243">
        <f t="shared" ca="1" si="618"/>
        <v>634.15586686567406</v>
      </c>
      <c r="AJ1243">
        <f t="shared" ca="1" si="619"/>
        <v>635.22605029851115</v>
      </c>
      <c r="AM1243">
        <v>0</v>
      </c>
      <c r="AN1243">
        <v>0</v>
      </c>
      <c r="AO1243">
        <f t="shared" si="620"/>
        <v>0</v>
      </c>
      <c r="AP1243">
        <f t="shared" si="629"/>
        <v>0</v>
      </c>
      <c r="AQ1243">
        <f t="shared" ca="1" si="621"/>
        <v>0.99999999999999978</v>
      </c>
      <c r="AR1243" t="str">
        <f t="shared" ca="1" si="622"/>
        <v>Supercritical</v>
      </c>
      <c r="AS1243">
        <f t="shared" ca="1" si="623"/>
        <v>3.8148159832266538E-3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191</v>
      </c>
      <c r="I1244">
        <v>5.7000000000000002E-2</v>
      </c>
      <c r="J1244">
        <f t="shared" si="624"/>
        <v>1</v>
      </c>
      <c r="K1244">
        <f t="shared" si="625"/>
        <v>51</v>
      </c>
      <c r="L1244">
        <f t="shared" ca="1" si="626"/>
        <v>0.05</v>
      </c>
      <c r="M1244">
        <f t="shared" ca="1" si="599"/>
        <v>0.26</v>
      </c>
      <c r="N1244">
        <f t="shared" ca="1" si="600"/>
        <v>4.9056603773584909E-2</v>
      </c>
      <c r="O1244">
        <f t="shared" ca="1" si="601"/>
        <v>196.15384615384616</v>
      </c>
      <c r="P1244">
        <f t="shared" ca="1" si="602"/>
        <v>632.06499999999994</v>
      </c>
      <c r="Q1244">
        <f t="shared" ca="1" si="603"/>
        <v>2593.1420316486619</v>
      </c>
      <c r="R1244">
        <f t="shared" ca="1" si="604"/>
        <v>482.07306851378365</v>
      </c>
      <c r="S1244">
        <f t="shared" ca="1" si="605"/>
        <v>280.07692026646265</v>
      </c>
      <c r="T1244">
        <f t="shared" ca="1" si="606"/>
        <v>1019.7665564573041</v>
      </c>
      <c r="U1244">
        <f t="shared" ca="1" si="627"/>
        <v>-482.25887083179032</v>
      </c>
      <c r="V1244">
        <f t="shared" ca="1" si="628"/>
        <v>0</v>
      </c>
      <c r="W1244">
        <f t="shared" ca="1" si="607"/>
        <v>0.05</v>
      </c>
      <c r="X1244">
        <f t="shared" ca="1" si="608"/>
        <v>0.26</v>
      </c>
      <c r="Y1244">
        <f t="shared" ca="1" si="609"/>
        <v>4.9056603773584909E-2</v>
      </c>
      <c r="Z1244">
        <f t="shared" ca="1" si="610"/>
        <v>196.15384615384616</v>
      </c>
      <c r="AA1244">
        <f t="shared" ca="1" si="611"/>
        <v>632.06499999999994</v>
      </c>
      <c r="AB1244">
        <f t="shared" ca="1" si="612"/>
        <v>2593.1420316486619</v>
      </c>
      <c r="AC1244">
        <f t="shared" ca="1" si="613"/>
        <v>482.07306851378365</v>
      </c>
      <c r="AD1244">
        <f t="shared" ca="1" si="614"/>
        <v>280.07692026646265</v>
      </c>
      <c r="AE1244">
        <f t="shared" ca="1" si="615"/>
        <v>1019.7665564573041</v>
      </c>
      <c r="AF1244">
        <f t="shared" ca="1" si="616"/>
        <v>482.25887083179032</v>
      </c>
      <c r="AG1244">
        <f t="shared" ca="1" si="617"/>
        <v>0</v>
      </c>
      <c r="AH1244">
        <f ca="1">IF(V32="Supercritical",L1244,IF(V32="Subcritical",W1244,IF(AND(V1244=1,AG1244=1),IF(T1244&gt;=AE1244,L1244,W1244),IF(V1244=1,L1244,IF(AG1244=1,W1244,MAX($D$16,POWER((ABS(K1244)^2)/($I$5*MAX(F1244,0.1)^2),1/3)))))))</f>
        <v>2.1403668656741068</v>
      </c>
      <c r="AI1244">
        <f t="shared" ca="1" si="618"/>
        <v>634.15536686567407</v>
      </c>
      <c r="AJ1244">
        <f t="shared" ca="1" si="619"/>
        <v>635.22555029851117</v>
      </c>
      <c r="AM1244">
        <v>0</v>
      </c>
      <c r="AN1244">
        <v>0</v>
      </c>
      <c r="AO1244">
        <f t="shared" si="620"/>
        <v>0</v>
      </c>
      <c r="AP1244">
        <f t="shared" si="629"/>
        <v>0</v>
      </c>
      <c r="AQ1244">
        <f t="shared" ca="1" si="621"/>
        <v>0.99999999999999978</v>
      </c>
      <c r="AR1244" t="str">
        <f t="shared" ca="1" si="622"/>
        <v>Supercritical</v>
      </c>
      <c r="AS1244">
        <f t="shared" ca="1" si="623"/>
        <v>3.8148159832266538E-3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191</v>
      </c>
      <c r="I1245">
        <v>5.7000000000000002E-2</v>
      </c>
      <c r="J1245">
        <f t="shared" si="624"/>
        <v>1</v>
      </c>
      <c r="K1245">
        <f t="shared" si="625"/>
        <v>51</v>
      </c>
      <c r="L1245">
        <f t="shared" ca="1" si="626"/>
        <v>0.05</v>
      </c>
      <c r="M1245">
        <f t="shared" ca="1" si="599"/>
        <v>0.26</v>
      </c>
      <c r="N1245">
        <f t="shared" ca="1" si="600"/>
        <v>4.9056603773584909E-2</v>
      </c>
      <c r="O1245">
        <f t="shared" ca="1" si="601"/>
        <v>196.15384615384616</v>
      </c>
      <c r="P1245">
        <f t="shared" ca="1" si="602"/>
        <v>632.06449999999995</v>
      </c>
      <c r="Q1245">
        <f t="shared" ca="1" si="603"/>
        <v>2593.1415316486618</v>
      </c>
      <c r="R1245">
        <f t="shared" ca="1" si="604"/>
        <v>482.07306851378365</v>
      </c>
      <c r="S1245">
        <f t="shared" ca="1" si="605"/>
        <v>280.07692026646265</v>
      </c>
      <c r="T1245">
        <f t="shared" ca="1" si="606"/>
        <v>1019.7665564573041</v>
      </c>
      <c r="U1245">
        <f t="shared" ca="1" si="627"/>
        <v>-482.25887083179032</v>
      </c>
      <c r="V1245">
        <f t="shared" ca="1" si="628"/>
        <v>0</v>
      </c>
      <c r="W1245">
        <f t="shared" ca="1" si="607"/>
        <v>0.05</v>
      </c>
      <c r="X1245">
        <f t="shared" ca="1" si="608"/>
        <v>0.26</v>
      </c>
      <c r="Y1245">
        <f t="shared" ca="1" si="609"/>
        <v>4.9056603773584909E-2</v>
      </c>
      <c r="Z1245">
        <f t="shared" ca="1" si="610"/>
        <v>196.15384615384616</v>
      </c>
      <c r="AA1245">
        <f t="shared" ca="1" si="611"/>
        <v>632.06449999999995</v>
      </c>
      <c r="AB1245">
        <f t="shared" ca="1" si="612"/>
        <v>2593.1415316486618</v>
      </c>
      <c r="AC1245">
        <f t="shared" ca="1" si="613"/>
        <v>482.07306851378365</v>
      </c>
      <c r="AD1245">
        <f t="shared" ca="1" si="614"/>
        <v>280.07692026646265</v>
      </c>
      <c r="AE1245">
        <f t="shared" ca="1" si="615"/>
        <v>1019.7665564573041</v>
      </c>
      <c r="AF1245">
        <f t="shared" ca="1" si="616"/>
        <v>482.07910543722301</v>
      </c>
      <c r="AG1245">
        <f t="shared" ca="1" si="617"/>
        <v>0</v>
      </c>
      <c r="AH1245">
        <f ca="1">IF(V32="Supercritical",L1245,IF(V32="Subcritical",W1245,IF(AND(V1245=1,AG1245=1),IF(T1245&gt;=AE1245,L1245,W1245),IF(V1245=1,L1245,IF(AG1245=1,W1245,MAX($D$16,POWER((ABS(K1245)^2)/($I$5*MAX(F1245,0.1)^2),1/3)))))))</f>
        <v>2.1403668656741068</v>
      </c>
      <c r="AI1245">
        <f t="shared" ca="1" si="618"/>
        <v>634.15486686567408</v>
      </c>
      <c r="AJ1245">
        <f t="shared" ca="1" si="619"/>
        <v>635.22505029851118</v>
      </c>
      <c r="AM1245">
        <v>0</v>
      </c>
      <c r="AN1245">
        <v>0</v>
      </c>
      <c r="AO1245">
        <f t="shared" si="620"/>
        <v>0</v>
      </c>
      <c r="AP1245">
        <f t="shared" si="629"/>
        <v>0</v>
      </c>
      <c r="AQ1245">
        <f t="shared" ca="1" si="621"/>
        <v>0.99999999999999978</v>
      </c>
      <c r="AR1245" t="str">
        <f t="shared" ca="1" si="622"/>
        <v>Supercritical</v>
      </c>
      <c r="AS1245">
        <f t="shared" ca="1" si="623"/>
        <v>3.8148159832266538E-3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191</v>
      </c>
      <c r="I1246">
        <v>2E-3</v>
      </c>
      <c r="J1246">
        <f t="shared" si="624"/>
        <v>1</v>
      </c>
      <c r="K1246">
        <f t="shared" si="625"/>
        <v>51</v>
      </c>
      <c r="L1246">
        <f t="shared" ca="1" si="626"/>
        <v>0.05</v>
      </c>
      <c r="M1246">
        <f t="shared" ca="1" si="599"/>
        <v>0.26</v>
      </c>
      <c r="N1246">
        <f t="shared" ca="1" si="600"/>
        <v>4.9056603773584909E-2</v>
      </c>
      <c r="O1246">
        <f t="shared" ca="1" si="601"/>
        <v>196.15384615384616</v>
      </c>
      <c r="P1246">
        <f t="shared" ca="1" si="602"/>
        <v>632.06399999999996</v>
      </c>
      <c r="Q1246">
        <f t="shared" ca="1" si="603"/>
        <v>2593.1410316486622</v>
      </c>
      <c r="R1246">
        <f t="shared" ca="1" si="604"/>
        <v>482.07306851378365</v>
      </c>
      <c r="S1246">
        <f t="shared" ca="1" si="605"/>
        <v>280.07692026646265</v>
      </c>
      <c r="T1246">
        <f t="shared" ca="1" si="606"/>
        <v>1019.7665564573041</v>
      </c>
      <c r="U1246">
        <f t="shared" ca="1" si="627"/>
        <v>-482.07910543722301</v>
      </c>
      <c r="V1246">
        <f t="shared" ca="1" si="628"/>
        <v>0</v>
      </c>
      <c r="W1246">
        <f t="shared" ca="1" si="607"/>
        <v>0.05</v>
      </c>
      <c r="X1246">
        <f t="shared" ca="1" si="608"/>
        <v>0.26</v>
      </c>
      <c r="Y1246">
        <f t="shared" ca="1" si="609"/>
        <v>4.9056603773584909E-2</v>
      </c>
      <c r="Z1246">
        <f t="shared" ca="1" si="610"/>
        <v>196.15384615384616</v>
      </c>
      <c r="AA1246">
        <f t="shared" ca="1" si="611"/>
        <v>632.06399999999996</v>
      </c>
      <c r="AB1246">
        <f t="shared" ca="1" si="612"/>
        <v>2593.1410316486622</v>
      </c>
      <c r="AC1246">
        <f t="shared" ca="1" si="613"/>
        <v>482.07306851378365</v>
      </c>
      <c r="AD1246">
        <f t="shared" ca="1" si="614"/>
        <v>280.07692026646265</v>
      </c>
      <c r="AE1246">
        <f t="shared" ca="1" si="615"/>
        <v>1019.7665564573041</v>
      </c>
      <c r="AF1246">
        <f t="shared" ca="1" si="616"/>
        <v>482.5611785058345</v>
      </c>
      <c r="AG1246">
        <f t="shared" ca="1" si="617"/>
        <v>0</v>
      </c>
      <c r="AH1246">
        <f ca="1">IF(V32="Supercritical",L1246,IF(V32="Subcritical",W1246,IF(AND(V1246=1,AG1246=1),IF(T1246&gt;=AE1246,L1246,W1246),IF(V1246=1,L1246,IF(AG1246=1,W1246,MAX($D$16,POWER((ABS(K1246)^2)/($I$5*MAX(F1246,0.1)^2),1/3)))))))</f>
        <v>2.1403668656741068</v>
      </c>
      <c r="AI1246">
        <f t="shared" ca="1" si="618"/>
        <v>634.15436686567409</v>
      </c>
      <c r="AJ1246">
        <f t="shared" ca="1" si="619"/>
        <v>635.22455029851119</v>
      </c>
      <c r="AM1246">
        <v>0</v>
      </c>
      <c r="AN1246">
        <v>0</v>
      </c>
      <c r="AO1246">
        <f t="shared" si="620"/>
        <v>0</v>
      </c>
      <c r="AP1246">
        <f t="shared" si="629"/>
        <v>0</v>
      </c>
      <c r="AQ1246">
        <f t="shared" ca="1" si="621"/>
        <v>0.99999999999999978</v>
      </c>
      <c r="AR1246" t="str">
        <f t="shared" ca="1" si="622"/>
        <v>Supercritical</v>
      </c>
      <c r="AS1246">
        <f t="shared" ca="1" si="623"/>
        <v>3.8148159832266538E-3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191</v>
      </c>
      <c r="I1247">
        <v>2E-3</v>
      </c>
      <c r="J1247">
        <f t="shared" si="624"/>
        <v>1.0010000000002037</v>
      </c>
      <c r="K1247">
        <f t="shared" si="625"/>
        <v>51</v>
      </c>
      <c r="L1247">
        <f t="shared" ca="1" si="626"/>
        <v>0.05</v>
      </c>
      <c r="M1247">
        <f t="shared" ca="1" si="599"/>
        <v>0.26</v>
      </c>
      <c r="N1247">
        <f t="shared" ca="1" si="600"/>
        <v>4.9056603773584909E-2</v>
      </c>
      <c r="O1247">
        <f t="shared" ca="1" si="601"/>
        <v>196.15384615384616</v>
      </c>
      <c r="P1247">
        <f t="shared" ca="1" si="602"/>
        <v>632.06349999999998</v>
      </c>
      <c r="Q1247">
        <f t="shared" ca="1" si="603"/>
        <v>2593.1405316486621</v>
      </c>
      <c r="R1247">
        <f t="shared" ca="1" si="604"/>
        <v>482.07306851378365</v>
      </c>
      <c r="S1247">
        <f t="shared" ca="1" si="605"/>
        <v>280.07692026646265</v>
      </c>
      <c r="T1247">
        <f t="shared" ca="1" si="606"/>
        <v>1019.7665564573041</v>
      </c>
      <c r="U1247">
        <f t="shared" ca="1" si="627"/>
        <v>-482.5611785058345</v>
      </c>
      <c r="V1247">
        <f t="shared" ca="1" si="628"/>
        <v>0</v>
      </c>
      <c r="W1247">
        <f t="shared" ca="1" si="607"/>
        <v>0.05</v>
      </c>
      <c r="X1247">
        <f t="shared" ca="1" si="608"/>
        <v>0.26</v>
      </c>
      <c r="Y1247">
        <f t="shared" ca="1" si="609"/>
        <v>4.9056603773584909E-2</v>
      </c>
      <c r="Z1247">
        <f t="shared" ca="1" si="610"/>
        <v>196.15384615384616</v>
      </c>
      <c r="AA1247">
        <f t="shared" ca="1" si="611"/>
        <v>632.06349999999998</v>
      </c>
      <c r="AB1247">
        <f t="shared" ca="1" si="612"/>
        <v>2593.1405316486621</v>
      </c>
      <c r="AC1247">
        <f t="shared" ca="1" si="613"/>
        <v>482.07306851378365</v>
      </c>
      <c r="AD1247">
        <f t="shared" ca="1" si="614"/>
        <v>280.07692026646265</v>
      </c>
      <c r="AE1247">
        <f t="shared" ca="1" si="615"/>
        <v>1019.7665564573041</v>
      </c>
      <c r="AF1247">
        <f t="shared" ca="1" si="616"/>
        <v>482.25887083179032</v>
      </c>
      <c r="AG1247">
        <f t="shared" ca="1" si="617"/>
        <v>0</v>
      </c>
      <c r="AH1247">
        <f ca="1">IF(V32="Supercritical",L1247,IF(V32="Subcritical",W1247,IF(AND(V1247=1,AG1247=1),IF(T1247&gt;=AE1247,L1247,W1247),IF(V1247=1,L1247,IF(AG1247=1,W1247,MAX($D$16,POWER((ABS(K1247)^2)/($I$5*MAX(F1247,0.1)^2),1/3)))))))</f>
        <v>2.1403668656741068</v>
      </c>
      <c r="AI1247">
        <f t="shared" ca="1" si="618"/>
        <v>634.1538668656741</v>
      </c>
      <c r="AJ1247">
        <f t="shared" ca="1" si="619"/>
        <v>635.2240502985112</v>
      </c>
      <c r="AM1247">
        <v>0</v>
      </c>
      <c r="AN1247">
        <v>0</v>
      </c>
      <c r="AO1247">
        <f t="shared" si="620"/>
        <v>0</v>
      </c>
      <c r="AP1247">
        <f t="shared" si="629"/>
        <v>0</v>
      </c>
      <c r="AQ1247">
        <f t="shared" ca="1" si="621"/>
        <v>0.99999999999999978</v>
      </c>
      <c r="AR1247" t="str">
        <f t="shared" ca="1" si="622"/>
        <v>Supercritical</v>
      </c>
      <c r="AS1247">
        <f t="shared" ca="1" si="623"/>
        <v>3.8148159832266538E-3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191</v>
      </c>
      <c r="I1248">
        <v>5.7000000000000002E-2</v>
      </c>
      <c r="J1248">
        <f t="shared" si="624"/>
        <v>1</v>
      </c>
      <c r="K1248">
        <f t="shared" si="625"/>
        <v>51</v>
      </c>
      <c r="L1248">
        <f t="shared" ca="1" si="626"/>
        <v>0.05</v>
      </c>
      <c r="M1248">
        <f t="shared" ca="1" si="599"/>
        <v>0.26</v>
      </c>
      <c r="N1248">
        <f t="shared" ca="1" si="600"/>
        <v>4.9056603773584909E-2</v>
      </c>
      <c r="O1248">
        <f t="shared" ca="1" si="601"/>
        <v>196.15384615384616</v>
      </c>
      <c r="P1248">
        <f t="shared" ca="1" si="602"/>
        <v>632.06299999999999</v>
      </c>
      <c r="Q1248">
        <f t="shared" ca="1" si="603"/>
        <v>2593.140031648662</v>
      </c>
      <c r="R1248">
        <f t="shared" ca="1" si="604"/>
        <v>482.07306851378365</v>
      </c>
      <c r="S1248">
        <f t="shared" ca="1" si="605"/>
        <v>280.07692026646265</v>
      </c>
      <c r="T1248">
        <f t="shared" ca="1" si="606"/>
        <v>1019.7665564573041</v>
      </c>
      <c r="U1248">
        <f t="shared" ca="1" si="627"/>
        <v>-482.25887083179032</v>
      </c>
      <c r="V1248">
        <f t="shared" ca="1" si="628"/>
        <v>0</v>
      </c>
      <c r="W1248">
        <f t="shared" ca="1" si="607"/>
        <v>0.05</v>
      </c>
      <c r="X1248">
        <f t="shared" ca="1" si="608"/>
        <v>0.26</v>
      </c>
      <c r="Y1248">
        <f t="shared" ca="1" si="609"/>
        <v>4.9056603773584909E-2</v>
      </c>
      <c r="Z1248">
        <f t="shared" ca="1" si="610"/>
        <v>196.15384615384616</v>
      </c>
      <c r="AA1248">
        <f t="shared" ca="1" si="611"/>
        <v>632.06299999999999</v>
      </c>
      <c r="AB1248">
        <f t="shared" ca="1" si="612"/>
        <v>2593.140031648662</v>
      </c>
      <c r="AC1248">
        <f t="shared" ca="1" si="613"/>
        <v>482.07306851378365</v>
      </c>
      <c r="AD1248">
        <f t="shared" ca="1" si="614"/>
        <v>280.07692026646265</v>
      </c>
      <c r="AE1248">
        <f t="shared" ca="1" si="615"/>
        <v>1019.7665564573041</v>
      </c>
      <c r="AF1248">
        <f t="shared" ca="1" si="616"/>
        <v>481.77679776317882</v>
      </c>
      <c r="AG1248">
        <f t="shared" ca="1" si="617"/>
        <v>0</v>
      </c>
      <c r="AH1248">
        <f ca="1">IF(V32="Supercritical",L1248,IF(V32="Subcritical",W1248,IF(AND(V1248=1,AG1248=1),IF(T1248&gt;=AE1248,L1248,W1248),IF(V1248=1,L1248,IF(AG1248=1,W1248,MAX($D$16,POWER((ABS(K1248)^2)/($I$5*MAX(F1248,0.1)^2),1/3)))))))</f>
        <v>2.1403668656741068</v>
      </c>
      <c r="AI1248">
        <f t="shared" ca="1" si="618"/>
        <v>634.15336686567412</v>
      </c>
      <c r="AJ1248">
        <f t="shared" ca="1" si="619"/>
        <v>635.22355029851121</v>
      </c>
      <c r="AM1248">
        <v>0</v>
      </c>
      <c r="AN1248">
        <v>0</v>
      </c>
      <c r="AO1248">
        <f t="shared" si="620"/>
        <v>0</v>
      </c>
      <c r="AP1248">
        <f t="shared" si="629"/>
        <v>0</v>
      </c>
      <c r="AQ1248">
        <f t="shared" ca="1" si="621"/>
        <v>0.99999999999999978</v>
      </c>
      <c r="AR1248" t="str">
        <f t="shared" ca="1" si="622"/>
        <v>Supercritical</v>
      </c>
      <c r="AS1248">
        <f t="shared" ca="1" si="623"/>
        <v>3.8148159832266538E-3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191</v>
      </c>
      <c r="I1249">
        <v>5.7000000000000002E-2</v>
      </c>
      <c r="J1249">
        <f t="shared" si="624"/>
        <v>0.99899999999979627</v>
      </c>
      <c r="K1249">
        <f t="shared" si="625"/>
        <v>51</v>
      </c>
      <c r="L1249">
        <f t="shared" ca="1" si="626"/>
        <v>0.05</v>
      </c>
      <c r="M1249">
        <f t="shared" ca="1" si="599"/>
        <v>0.26</v>
      </c>
      <c r="N1249">
        <f t="shared" ca="1" si="600"/>
        <v>4.9056603773584909E-2</v>
      </c>
      <c r="O1249">
        <f t="shared" ca="1" si="601"/>
        <v>196.15384615384616</v>
      </c>
      <c r="P1249">
        <f t="shared" ca="1" si="602"/>
        <v>632.0625</v>
      </c>
      <c r="Q1249">
        <f t="shared" ca="1" si="603"/>
        <v>2593.1395316486623</v>
      </c>
      <c r="R1249">
        <f t="shared" ca="1" si="604"/>
        <v>482.07306851378365</v>
      </c>
      <c r="S1249">
        <f t="shared" ca="1" si="605"/>
        <v>280.07692026646265</v>
      </c>
      <c r="T1249">
        <f t="shared" ca="1" si="606"/>
        <v>1019.7665564573041</v>
      </c>
      <c r="U1249">
        <f t="shared" ca="1" si="627"/>
        <v>-481.77679776317882</v>
      </c>
      <c r="V1249">
        <f t="shared" ca="1" si="628"/>
        <v>0</v>
      </c>
      <c r="W1249">
        <f t="shared" ca="1" si="607"/>
        <v>0.05</v>
      </c>
      <c r="X1249">
        <f t="shared" ca="1" si="608"/>
        <v>0.26</v>
      </c>
      <c r="Y1249">
        <f t="shared" ca="1" si="609"/>
        <v>4.9056603773584909E-2</v>
      </c>
      <c r="Z1249">
        <f t="shared" ca="1" si="610"/>
        <v>196.15384615384616</v>
      </c>
      <c r="AA1249">
        <f t="shared" ca="1" si="611"/>
        <v>632.0625</v>
      </c>
      <c r="AB1249">
        <f t="shared" ca="1" si="612"/>
        <v>2593.1395316486623</v>
      </c>
      <c r="AC1249">
        <f t="shared" ca="1" si="613"/>
        <v>482.07306851378365</v>
      </c>
      <c r="AD1249">
        <f t="shared" ca="1" si="614"/>
        <v>280.07692026646265</v>
      </c>
      <c r="AE1249">
        <f t="shared" ca="1" si="615"/>
        <v>1019.7665564573041</v>
      </c>
      <c r="AF1249">
        <f t="shared" ca="1" si="616"/>
        <v>482.07256851378361</v>
      </c>
      <c r="AG1249">
        <f t="shared" ca="1" si="617"/>
        <v>0</v>
      </c>
      <c r="AH1249">
        <f ca="1">IF(V32="Supercritical",L1249,IF(V32="Subcritical",W1249,IF(AND(V1249=1,AG1249=1),IF(T1249&gt;=AE1249,L1249,W1249),IF(V1249=1,L1249,IF(AG1249=1,W1249,MAX($D$16,POWER((ABS(K1249)^2)/($I$5*MAX(F1249,0.1)^2),1/3)))))))</f>
        <v>2.1403668656741068</v>
      </c>
      <c r="AI1249">
        <f t="shared" ca="1" si="618"/>
        <v>634.15286686567413</v>
      </c>
      <c r="AJ1249">
        <f t="shared" ca="1" si="619"/>
        <v>635.22305029851123</v>
      </c>
      <c r="AM1249">
        <v>0</v>
      </c>
      <c r="AN1249">
        <v>0</v>
      </c>
      <c r="AO1249">
        <f t="shared" si="620"/>
        <v>0</v>
      </c>
      <c r="AP1249">
        <f t="shared" si="629"/>
        <v>0</v>
      </c>
      <c r="AQ1249">
        <f t="shared" ca="1" si="621"/>
        <v>0.99999999999999978</v>
      </c>
      <c r="AR1249" t="str">
        <f t="shared" ca="1" si="622"/>
        <v>Supercritical</v>
      </c>
      <c r="AS1249">
        <f t="shared" ca="1" si="623"/>
        <v>3.8148159832266538E-3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191</v>
      </c>
      <c r="I1250">
        <v>0</v>
      </c>
      <c r="J1250">
        <f t="shared" si="624"/>
        <v>1</v>
      </c>
      <c r="K1250">
        <f t="shared" si="625"/>
        <v>51</v>
      </c>
      <c r="L1250">
        <f t="shared" ca="1" si="626"/>
        <v>0.05</v>
      </c>
      <c r="M1250">
        <f t="shared" ca="1" si="599"/>
        <v>0.26</v>
      </c>
      <c r="N1250">
        <f t="shared" ca="1" si="600"/>
        <v>4.9056603773584909E-2</v>
      </c>
      <c r="O1250">
        <f t="shared" ca="1" si="601"/>
        <v>196.15384615384616</v>
      </c>
      <c r="P1250">
        <f t="shared" ca="1" si="602"/>
        <v>632.0619999999999</v>
      </c>
      <c r="Q1250">
        <f t="shared" ca="1" si="603"/>
        <v>2593.1390316486622</v>
      </c>
      <c r="R1250">
        <f t="shared" ca="1" si="604"/>
        <v>482.07306851378365</v>
      </c>
      <c r="S1250">
        <f t="shared" ca="1" si="605"/>
        <v>280.07692026646265</v>
      </c>
      <c r="T1250">
        <f t="shared" ca="1" si="606"/>
        <v>1019.7665564573041</v>
      </c>
      <c r="U1250">
        <f t="shared" ca="1" si="627"/>
        <v>-482.07256851378361</v>
      </c>
      <c r="V1250">
        <f t="shared" ca="1" si="628"/>
        <v>0</v>
      </c>
      <c r="W1250">
        <f t="shared" ca="1" si="607"/>
        <v>0.05</v>
      </c>
      <c r="X1250">
        <f t="shared" ca="1" si="608"/>
        <v>0.26</v>
      </c>
      <c r="Y1250">
        <f t="shared" ca="1" si="609"/>
        <v>4.9056603773584909E-2</v>
      </c>
      <c r="Z1250">
        <f t="shared" ca="1" si="610"/>
        <v>196.15384615384616</v>
      </c>
      <c r="AA1250">
        <f t="shared" ca="1" si="611"/>
        <v>632.0619999999999</v>
      </c>
      <c r="AB1250">
        <f t="shared" ca="1" si="612"/>
        <v>2593.1390316486622</v>
      </c>
      <c r="AC1250">
        <f t="shared" ca="1" si="613"/>
        <v>482.07306851378365</v>
      </c>
      <c r="AD1250">
        <f t="shared" ca="1" si="614"/>
        <v>280.07692026646265</v>
      </c>
      <c r="AE1250">
        <f t="shared" ca="1" si="615"/>
        <v>1019.7665564573041</v>
      </c>
      <c r="AF1250">
        <f t="shared" ca="1" si="616"/>
        <v>482.07256851378361</v>
      </c>
      <c r="AG1250">
        <f t="shared" ca="1" si="617"/>
        <v>0</v>
      </c>
      <c r="AH1250">
        <f ca="1">IF(V32="Supercritical",L1250,IF(V32="Subcritical",W1250,IF(AND(V1250=1,AG1250=1),IF(T1250&gt;=AE1250,L1250,W1250),IF(V1250=1,L1250,IF(AG1250=1,W1250,MAX($D$16,POWER((ABS(K1250)^2)/($I$5*MAX(F1250,0.1)^2),1/3)))))))</f>
        <v>2.1403668656741068</v>
      </c>
      <c r="AI1250">
        <f t="shared" ca="1" si="618"/>
        <v>634.15236686567403</v>
      </c>
      <c r="AJ1250">
        <f t="shared" ca="1" si="619"/>
        <v>635.22255029851112</v>
      </c>
      <c r="AM1250">
        <v>0</v>
      </c>
      <c r="AN1250">
        <v>0</v>
      </c>
      <c r="AO1250">
        <f t="shared" si="620"/>
        <v>0</v>
      </c>
      <c r="AP1250">
        <f t="shared" si="629"/>
        <v>0</v>
      </c>
      <c r="AQ1250">
        <f t="shared" ca="1" si="621"/>
        <v>0.99999999999999978</v>
      </c>
      <c r="AR1250" t="str">
        <f t="shared" ca="1" si="622"/>
        <v>Supercritical</v>
      </c>
      <c r="AS1250">
        <f t="shared" ca="1" si="623"/>
        <v>3.8148159832266538E-3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191</v>
      </c>
      <c r="I1251">
        <v>0</v>
      </c>
      <c r="J1251">
        <f t="shared" si="624"/>
        <v>1</v>
      </c>
      <c r="K1251">
        <f t="shared" si="625"/>
        <v>51</v>
      </c>
      <c r="L1251">
        <f t="shared" ca="1" si="626"/>
        <v>0.05</v>
      </c>
      <c r="M1251">
        <f t="shared" ca="1" si="599"/>
        <v>0.26</v>
      </c>
      <c r="N1251">
        <f t="shared" ca="1" si="600"/>
        <v>4.9056603773584909E-2</v>
      </c>
      <c r="O1251">
        <f t="shared" ca="1" si="601"/>
        <v>196.15384615384616</v>
      </c>
      <c r="P1251">
        <f t="shared" ca="1" si="602"/>
        <v>632.06149999999991</v>
      </c>
      <c r="Q1251">
        <f t="shared" ca="1" si="603"/>
        <v>2593.1385316486621</v>
      </c>
      <c r="R1251">
        <f t="shared" ca="1" si="604"/>
        <v>482.07306851378365</v>
      </c>
      <c r="S1251">
        <f t="shared" ca="1" si="605"/>
        <v>280.07692026646265</v>
      </c>
      <c r="T1251">
        <f t="shared" ca="1" si="606"/>
        <v>1019.7665564573041</v>
      </c>
      <c r="U1251">
        <f t="shared" ca="1" si="627"/>
        <v>-482.07256851378361</v>
      </c>
      <c r="V1251">
        <f t="shared" ca="1" si="628"/>
        <v>0</v>
      </c>
      <c r="W1251">
        <f t="shared" ca="1" si="607"/>
        <v>0.05</v>
      </c>
      <c r="X1251">
        <f t="shared" ca="1" si="608"/>
        <v>0.26</v>
      </c>
      <c r="Y1251">
        <f t="shared" ca="1" si="609"/>
        <v>4.9056603773584909E-2</v>
      </c>
      <c r="Z1251">
        <f t="shared" ca="1" si="610"/>
        <v>196.15384615384616</v>
      </c>
      <c r="AA1251">
        <f t="shared" ca="1" si="611"/>
        <v>632.06149999999991</v>
      </c>
      <c r="AB1251">
        <f t="shared" ca="1" si="612"/>
        <v>2593.1385316486621</v>
      </c>
      <c r="AC1251">
        <f t="shared" ca="1" si="613"/>
        <v>482.07306851378365</v>
      </c>
      <c r="AD1251">
        <f t="shared" ca="1" si="614"/>
        <v>280.07692026646265</v>
      </c>
      <c r="AE1251">
        <f t="shared" ca="1" si="615"/>
        <v>1019.7665564573041</v>
      </c>
      <c r="AF1251">
        <f t="shared" ca="1" si="616"/>
        <v>482.25887083179032</v>
      </c>
      <c r="AG1251">
        <f t="shared" ca="1" si="617"/>
        <v>0</v>
      </c>
      <c r="AH1251">
        <f ca="1">IF(V32="Supercritical",L1251,IF(V32="Subcritical",W1251,IF(AND(V1251=1,AG1251=1),IF(T1251&gt;=AE1251,L1251,W1251),IF(V1251=1,L1251,IF(AG1251=1,W1251,MAX($D$16,POWER((ABS(K1251)^2)/($I$5*MAX(F1251,0.1)^2),1/3)))))))</f>
        <v>2.1403668656741068</v>
      </c>
      <c r="AI1251">
        <f t="shared" ca="1" si="618"/>
        <v>634.15186686567404</v>
      </c>
      <c r="AJ1251">
        <f t="shared" ca="1" si="619"/>
        <v>635.22205029851114</v>
      </c>
      <c r="AM1251">
        <v>0</v>
      </c>
      <c r="AN1251">
        <v>0</v>
      </c>
      <c r="AO1251">
        <f t="shared" si="620"/>
        <v>0</v>
      </c>
      <c r="AP1251">
        <f t="shared" si="629"/>
        <v>0</v>
      </c>
      <c r="AQ1251">
        <f t="shared" ca="1" si="621"/>
        <v>0.99999999999999978</v>
      </c>
      <c r="AR1251" t="str">
        <f t="shared" ca="1" si="622"/>
        <v>Supercritical</v>
      </c>
      <c r="AS1251">
        <f t="shared" ca="1" si="623"/>
        <v>3.8148159832266538E-3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191</v>
      </c>
      <c r="I1252">
        <v>5.7000000000000002E-2</v>
      </c>
      <c r="J1252">
        <f t="shared" si="624"/>
        <v>1</v>
      </c>
      <c r="K1252">
        <f t="shared" si="625"/>
        <v>51</v>
      </c>
      <c r="L1252">
        <f t="shared" ca="1" si="626"/>
        <v>0.05</v>
      </c>
      <c r="M1252">
        <f t="shared" ca="1" si="599"/>
        <v>0.26</v>
      </c>
      <c r="N1252">
        <f t="shared" ca="1" si="600"/>
        <v>4.9056603773584909E-2</v>
      </c>
      <c r="O1252">
        <f t="shared" ca="1" si="601"/>
        <v>196.15384615384616</v>
      </c>
      <c r="P1252">
        <f t="shared" ca="1" si="602"/>
        <v>632.06099999999992</v>
      </c>
      <c r="Q1252">
        <f t="shared" ca="1" si="603"/>
        <v>2593.138031648662</v>
      </c>
      <c r="R1252">
        <f t="shared" ca="1" si="604"/>
        <v>482.07306851378365</v>
      </c>
      <c r="S1252">
        <f t="shared" ca="1" si="605"/>
        <v>280.07692026646265</v>
      </c>
      <c r="T1252">
        <f t="shared" ca="1" si="606"/>
        <v>1019.7665564573041</v>
      </c>
      <c r="U1252">
        <f t="shared" ca="1" si="627"/>
        <v>-482.25887083179032</v>
      </c>
      <c r="V1252">
        <f t="shared" ca="1" si="628"/>
        <v>0</v>
      </c>
      <c r="W1252">
        <f t="shared" ca="1" si="607"/>
        <v>0.05</v>
      </c>
      <c r="X1252">
        <f t="shared" ca="1" si="608"/>
        <v>0.26</v>
      </c>
      <c r="Y1252">
        <f t="shared" ca="1" si="609"/>
        <v>4.9056603773584909E-2</v>
      </c>
      <c r="Z1252">
        <f t="shared" ca="1" si="610"/>
        <v>196.15384615384616</v>
      </c>
      <c r="AA1252">
        <f t="shared" ca="1" si="611"/>
        <v>632.06099999999992</v>
      </c>
      <c r="AB1252">
        <f t="shared" ca="1" si="612"/>
        <v>2593.138031648662</v>
      </c>
      <c r="AC1252">
        <f t="shared" ca="1" si="613"/>
        <v>482.07306851378365</v>
      </c>
      <c r="AD1252">
        <f t="shared" ca="1" si="614"/>
        <v>280.07692026646265</v>
      </c>
      <c r="AE1252">
        <f t="shared" ca="1" si="615"/>
        <v>1019.7665564573041</v>
      </c>
      <c r="AF1252">
        <f t="shared" ca="1" si="616"/>
        <v>482.25887083179032</v>
      </c>
      <c r="AG1252">
        <f t="shared" ca="1" si="617"/>
        <v>0</v>
      </c>
      <c r="AH1252">
        <f ca="1">IF(V32="Supercritical",L1252,IF(V32="Subcritical",W1252,IF(AND(V1252=1,AG1252=1),IF(T1252&gt;=AE1252,L1252,W1252),IF(V1252=1,L1252,IF(AG1252=1,W1252,MAX($D$16,POWER((ABS(K1252)^2)/($I$5*MAX(F1252,0.1)^2),1/3)))))))</f>
        <v>2.1403668656741068</v>
      </c>
      <c r="AI1252">
        <f t="shared" ca="1" si="618"/>
        <v>634.15136686567405</v>
      </c>
      <c r="AJ1252">
        <f t="shared" ca="1" si="619"/>
        <v>635.22155029851115</v>
      </c>
      <c r="AM1252">
        <v>0</v>
      </c>
      <c r="AN1252">
        <v>0</v>
      </c>
      <c r="AO1252">
        <f t="shared" si="620"/>
        <v>0</v>
      </c>
      <c r="AP1252">
        <f t="shared" si="629"/>
        <v>0</v>
      </c>
      <c r="AQ1252">
        <f t="shared" ca="1" si="621"/>
        <v>0.99999999999999978</v>
      </c>
      <c r="AR1252" t="str">
        <f t="shared" ca="1" si="622"/>
        <v>Supercritical</v>
      </c>
      <c r="AS1252">
        <f t="shared" ca="1" si="623"/>
        <v>3.8148159832266538E-3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191</v>
      </c>
      <c r="I1253">
        <v>5.7000000000000002E-2</v>
      </c>
      <c r="J1253">
        <f t="shared" si="624"/>
        <v>1</v>
      </c>
      <c r="K1253">
        <f t="shared" si="625"/>
        <v>51</v>
      </c>
      <c r="L1253">
        <f t="shared" ca="1" si="626"/>
        <v>0.05</v>
      </c>
      <c r="M1253">
        <f t="shared" ca="1" si="599"/>
        <v>0.26</v>
      </c>
      <c r="N1253">
        <f t="shared" ca="1" si="600"/>
        <v>4.9056603773584909E-2</v>
      </c>
      <c r="O1253">
        <f t="shared" ca="1" si="601"/>
        <v>196.15384615384616</v>
      </c>
      <c r="P1253">
        <f t="shared" ca="1" si="602"/>
        <v>632.06049999999993</v>
      </c>
      <c r="Q1253">
        <f t="shared" ca="1" si="603"/>
        <v>2593.1375316486619</v>
      </c>
      <c r="R1253">
        <f t="shared" ca="1" si="604"/>
        <v>482.07306851378365</v>
      </c>
      <c r="S1253">
        <f t="shared" ca="1" si="605"/>
        <v>280.07692026646265</v>
      </c>
      <c r="T1253">
        <f t="shared" ca="1" si="606"/>
        <v>1019.7665564573041</v>
      </c>
      <c r="U1253">
        <f t="shared" ca="1" si="627"/>
        <v>-482.25887083179032</v>
      </c>
      <c r="V1253">
        <f t="shared" ca="1" si="628"/>
        <v>0</v>
      </c>
      <c r="W1253">
        <f t="shared" ca="1" si="607"/>
        <v>0.05</v>
      </c>
      <c r="X1253">
        <f t="shared" ca="1" si="608"/>
        <v>0.26</v>
      </c>
      <c r="Y1253">
        <f t="shared" ca="1" si="609"/>
        <v>4.9056603773584909E-2</v>
      </c>
      <c r="Z1253">
        <f t="shared" ca="1" si="610"/>
        <v>196.15384615384616</v>
      </c>
      <c r="AA1253">
        <f t="shared" ca="1" si="611"/>
        <v>632.06049999999993</v>
      </c>
      <c r="AB1253">
        <f t="shared" ca="1" si="612"/>
        <v>2593.1375316486619</v>
      </c>
      <c r="AC1253">
        <f t="shared" ca="1" si="613"/>
        <v>482.07306851378365</v>
      </c>
      <c r="AD1253">
        <f t="shared" ca="1" si="614"/>
        <v>280.07692026646265</v>
      </c>
      <c r="AE1253">
        <f t="shared" ca="1" si="615"/>
        <v>1019.7665564573041</v>
      </c>
      <c r="AF1253">
        <f t="shared" ca="1" si="616"/>
        <v>482.07256851378361</v>
      </c>
      <c r="AG1253">
        <f t="shared" ca="1" si="617"/>
        <v>0</v>
      </c>
      <c r="AH1253">
        <f ca="1">IF(V32="Supercritical",L1253,IF(V32="Subcritical",W1253,IF(AND(V1253=1,AG1253=1),IF(T1253&gt;=AE1253,L1253,W1253),IF(V1253=1,L1253,IF(AG1253=1,W1253,MAX($D$16,POWER((ABS(K1253)^2)/($I$5*MAX(F1253,0.1)^2),1/3)))))))</f>
        <v>2.1403668656741068</v>
      </c>
      <c r="AI1253">
        <f t="shared" ca="1" si="618"/>
        <v>634.15086686567406</v>
      </c>
      <c r="AJ1253">
        <f t="shared" ca="1" si="619"/>
        <v>635.22105029851116</v>
      </c>
      <c r="AM1253">
        <v>0</v>
      </c>
      <c r="AN1253">
        <v>0</v>
      </c>
      <c r="AO1253">
        <f t="shared" si="620"/>
        <v>0</v>
      </c>
      <c r="AP1253">
        <f t="shared" si="629"/>
        <v>0</v>
      </c>
      <c r="AQ1253">
        <f t="shared" ca="1" si="621"/>
        <v>0.99999999999999978</v>
      </c>
      <c r="AR1253" t="str">
        <f t="shared" ca="1" si="622"/>
        <v>Supercritical</v>
      </c>
      <c r="AS1253">
        <f t="shared" ca="1" si="623"/>
        <v>3.8148159832266538E-3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191</v>
      </c>
      <c r="I1254">
        <v>0</v>
      </c>
      <c r="J1254">
        <f t="shared" si="624"/>
        <v>1</v>
      </c>
      <c r="K1254">
        <f t="shared" si="625"/>
        <v>51</v>
      </c>
      <c r="L1254">
        <f t="shared" ca="1" si="626"/>
        <v>0.05</v>
      </c>
      <c r="M1254">
        <f t="shared" ca="1" si="599"/>
        <v>0.26</v>
      </c>
      <c r="N1254">
        <f t="shared" ca="1" si="600"/>
        <v>4.9056603773584909E-2</v>
      </c>
      <c r="O1254">
        <f t="shared" ca="1" si="601"/>
        <v>196.15384615384616</v>
      </c>
      <c r="P1254">
        <f t="shared" ca="1" si="602"/>
        <v>632.05999999999995</v>
      </c>
      <c r="Q1254">
        <f t="shared" ca="1" si="603"/>
        <v>2593.1370316486618</v>
      </c>
      <c r="R1254">
        <f t="shared" ca="1" si="604"/>
        <v>482.07306851378365</v>
      </c>
      <c r="S1254">
        <f t="shared" ca="1" si="605"/>
        <v>280.07692026646265</v>
      </c>
      <c r="T1254">
        <f t="shared" ca="1" si="606"/>
        <v>1019.7665564573041</v>
      </c>
      <c r="U1254">
        <f t="shared" ca="1" si="627"/>
        <v>-482.07256851378361</v>
      </c>
      <c r="V1254">
        <f t="shared" ca="1" si="628"/>
        <v>0</v>
      </c>
      <c r="W1254">
        <f t="shared" ca="1" si="607"/>
        <v>0.05</v>
      </c>
      <c r="X1254">
        <f t="shared" ca="1" si="608"/>
        <v>0.26</v>
      </c>
      <c r="Y1254">
        <f t="shared" ca="1" si="609"/>
        <v>4.9056603773584909E-2</v>
      </c>
      <c r="Z1254">
        <f t="shared" ca="1" si="610"/>
        <v>196.15384615384616</v>
      </c>
      <c r="AA1254">
        <f t="shared" ca="1" si="611"/>
        <v>632.05999999999995</v>
      </c>
      <c r="AB1254">
        <f t="shared" ca="1" si="612"/>
        <v>2593.1370316486618</v>
      </c>
      <c r="AC1254">
        <f t="shared" ca="1" si="613"/>
        <v>482.07306851378365</v>
      </c>
      <c r="AD1254">
        <f t="shared" ca="1" si="614"/>
        <v>280.07692026646265</v>
      </c>
      <c r="AE1254">
        <f t="shared" ca="1" si="615"/>
        <v>1019.7665564573041</v>
      </c>
      <c r="AF1254">
        <f t="shared" ca="1" si="616"/>
        <v>482.07910543722301</v>
      </c>
      <c r="AG1254">
        <f t="shared" ca="1" si="617"/>
        <v>0</v>
      </c>
      <c r="AH1254">
        <f ca="1">IF(V32="Supercritical",L1254,IF(V32="Subcritical",W1254,IF(AND(V1254=1,AG1254=1),IF(T1254&gt;=AE1254,L1254,W1254),IF(V1254=1,L1254,IF(AG1254=1,W1254,MAX($D$16,POWER((ABS(K1254)^2)/($I$5*MAX(F1254,0.1)^2),1/3)))))))</f>
        <v>2.1403668656741068</v>
      </c>
      <c r="AI1254">
        <f t="shared" ca="1" si="618"/>
        <v>634.15036686567407</v>
      </c>
      <c r="AJ1254">
        <f t="shared" ca="1" si="619"/>
        <v>635.22055029851117</v>
      </c>
      <c r="AM1254">
        <v>0</v>
      </c>
      <c r="AN1254">
        <v>0</v>
      </c>
      <c r="AO1254">
        <f t="shared" si="620"/>
        <v>0</v>
      </c>
      <c r="AP1254">
        <f t="shared" si="629"/>
        <v>0</v>
      </c>
      <c r="AQ1254">
        <f t="shared" ca="1" si="621"/>
        <v>0.99999999999999978</v>
      </c>
      <c r="AR1254" t="str">
        <f t="shared" ca="1" si="622"/>
        <v>Supercritical</v>
      </c>
      <c r="AS1254">
        <f t="shared" ca="1" si="623"/>
        <v>3.8148159832266538E-3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191</v>
      </c>
      <c r="I1255">
        <v>2E-3</v>
      </c>
      <c r="J1255">
        <f t="shared" si="624"/>
        <v>1</v>
      </c>
      <c r="K1255">
        <f t="shared" si="625"/>
        <v>51</v>
      </c>
      <c r="L1255">
        <f t="shared" ca="1" si="626"/>
        <v>0.05</v>
      </c>
      <c r="M1255">
        <f t="shared" ca="1" si="599"/>
        <v>0.26</v>
      </c>
      <c r="N1255">
        <f t="shared" ca="1" si="600"/>
        <v>4.9056603773584909E-2</v>
      </c>
      <c r="O1255">
        <f t="shared" ca="1" si="601"/>
        <v>196.15384615384616</v>
      </c>
      <c r="P1255">
        <f t="shared" ca="1" si="602"/>
        <v>632.05949999999996</v>
      </c>
      <c r="Q1255">
        <f t="shared" ca="1" si="603"/>
        <v>2593.1365316486622</v>
      </c>
      <c r="R1255">
        <f t="shared" ca="1" si="604"/>
        <v>482.07306851378365</v>
      </c>
      <c r="S1255">
        <f t="shared" ca="1" si="605"/>
        <v>280.07692026646265</v>
      </c>
      <c r="T1255">
        <f t="shared" ca="1" si="606"/>
        <v>1019.7665564573041</v>
      </c>
      <c r="U1255">
        <f t="shared" ca="1" si="627"/>
        <v>-482.07910543722301</v>
      </c>
      <c r="V1255">
        <f t="shared" ca="1" si="628"/>
        <v>0</v>
      </c>
      <c r="W1255">
        <f t="shared" ca="1" si="607"/>
        <v>0.05</v>
      </c>
      <c r="X1255">
        <f t="shared" ca="1" si="608"/>
        <v>0.26</v>
      </c>
      <c r="Y1255">
        <f t="shared" ca="1" si="609"/>
        <v>4.9056603773584909E-2</v>
      </c>
      <c r="Z1255">
        <f t="shared" ca="1" si="610"/>
        <v>196.15384615384616</v>
      </c>
      <c r="AA1255">
        <f t="shared" ca="1" si="611"/>
        <v>632.05949999999996</v>
      </c>
      <c r="AB1255">
        <f t="shared" ca="1" si="612"/>
        <v>2593.1365316486622</v>
      </c>
      <c r="AC1255">
        <f t="shared" ca="1" si="613"/>
        <v>482.07306851378365</v>
      </c>
      <c r="AD1255">
        <f t="shared" ca="1" si="614"/>
        <v>280.07692026646265</v>
      </c>
      <c r="AE1255">
        <f t="shared" ca="1" si="615"/>
        <v>1019.7665564573041</v>
      </c>
      <c r="AF1255">
        <f t="shared" ca="1" si="616"/>
        <v>482.75074928556023</v>
      </c>
      <c r="AG1255">
        <f t="shared" ca="1" si="617"/>
        <v>0</v>
      </c>
      <c r="AH1255">
        <f ca="1">IF(V32="Supercritical",L1255,IF(V32="Subcritical",W1255,IF(AND(V1255=1,AG1255=1),IF(T1255&gt;=AE1255,L1255,W1255),IF(V1255=1,L1255,IF(AG1255=1,W1255,MAX($D$16,POWER((ABS(K1255)^2)/($I$5*MAX(F1255,0.1)^2),1/3)))))))</f>
        <v>2.1403668656741068</v>
      </c>
      <c r="AI1255">
        <f t="shared" ca="1" si="618"/>
        <v>634.14986686567408</v>
      </c>
      <c r="AJ1255">
        <f t="shared" ca="1" si="619"/>
        <v>635.22005029851118</v>
      </c>
      <c r="AM1255">
        <v>0</v>
      </c>
      <c r="AN1255">
        <v>0</v>
      </c>
      <c r="AO1255">
        <f t="shared" si="620"/>
        <v>0</v>
      </c>
      <c r="AP1255">
        <f t="shared" si="629"/>
        <v>0</v>
      </c>
      <c r="AQ1255">
        <f t="shared" ca="1" si="621"/>
        <v>0.99999999999999978</v>
      </c>
      <c r="AR1255" t="str">
        <f t="shared" ca="1" si="622"/>
        <v>Supercritical</v>
      </c>
      <c r="AS1255">
        <f t="shared" ca="1" si="623"/>
        <v>3.8148159832266538E-3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191</v>
      </c>
      <c r="I1256">
        <v>0.06</v>
      </c>
      <c r="J1256">
        <f t="shared" si="624"/>
        <v>1.0010000000002037</v>
      </c>
      <c r="K1256">
        <f t="shared" si="625"/>
        <v>51</v>
      </c>
      <c r="L1256">
        <f t="shared" ca="1" si="626"/>
        <v>0.05</v>
      </c>
      <c r="M1256">
        <f t="shared" ca="1" si="599"/>
        <v>0.26</v>
      </c>
      <c r="N1256">
        <f t="shared" ca="1" si="600"/>
        <v>4.9056603773584909E-2</v>
      </c>
      <c r="O1256">
        <f t="shared" ca="1" si="601"/>
        <v>196.15384615384616</v>
      </c>
      <c r="P1256">
        <f t="shared" ca="1" si="602"/>
        <v>632.05899999999997</v>
      </c>
      <c r="Q1256">
        <f t="shared" ca="1" si="603"/>
        <v>2593.1360316486621</v>
      </c>
      <c r="R1256">
        <f t="shared" ca="1" si="604"/>
        <v>482.07306851378365</v>
      </c>
      <c r="S1256">
        <f t="shared" ca="1" si="605"/>
        <v>280.07692026646265</v>
      </c>
      <c r="T1256">
        <f t="shared" ca="1" si="606"/>
        <v>1019.7665564573041</v>
      </c>
      <c r="U1256">
        <f t="shared" ca="1" si="627"/>
        <v>-482.75074928556023</v>
      </c>
      <c r="V1256">
        <f t="shared" ca="1" si="628"/>
        <v>0</v>
      </c>
      <c r="W1256">
        <f t="shared" ca="1" si="607"/>
        <v>0.05</v>
      </c>
      <c r="X1256">
        <f t="shared" ca="1" si="608"/>
        <v>0.26</v>
      </c>
      <c r="Y1256">
        <f t="shared" ca="1" si="609"/>
        <v>4.9056603773584909E-2</v>
      </c>
      <c r="Z1256">
        <f t="shared" ca="1" si="610"/>
        <v>196.15384615384616</v>
      </c>
      <c r="AA1256">
        <f t="shared" ca="1" si="611"/>
        <v>632.05899999999997</v>
      </c>
      <c r="AB1256">
        <f t="shared" ca="1" si="612"/>
        <v>2593.1360316486621</v>
      </c>
      <c r="AC1256">
        <f t="shared" ca="1" si="613"/>
        <v>482.07306851378365</v>
      </c>
      <c r="AD1256">
        <f t="shared" ca="1" si="614"/>
        <v>280.07692026646265</v>
      </c>
      <c r="AE1256">
        <f t="shared" ca="1" si="615"/>
        <v>1019.7665564573041</v>
      </c>
      <c r="AF1256">
        <f t="shared" ca="1" si="616"/>
        <v>482.25887083179032</v>
      </c>
      <c r="AG1256">
        <f t="shared" ca="1" si="617"/>
        <v>0</v>
      </c>
      <c r="AH1256">
        <f ca="1">IF(V32="Supercritical",L1256,IF(V32="Subcritical",W1256,IF(AND(V1256=1,AG1256=1),IF(T1256&gt;=AE1256,L1256,W1256),IF(V1256=1,L1256,IF(AG1256=1,W1256,MAX($D$16,POWER((ABS(K1256)^2)/($I$5*MAX(F1256,0.1)^2),1/3)))))))</f>
        <v>2.1403668656741068</v>
      </c>
      <c r="AI1256">
        <f t="shared" ca="1" si="618"/>
        <v>634.1493668656741</v>
      </c>
      <c r="AJ1256">
        <f t="shared" ca="1" si="619"/>
        <v>635.21955029851119</v>
      </c>
      <c r="AM1256">
        <v>0</v>
      </c>
      <c r="AN1256">
        <v>0</v>
      </c>
      <c r="AO1256">
        <f t="shared" si="620"/>
        <v>0</v>
      </c>
      <c r="AP1256">
        <f t="shared" si="629"/>
        <v>0</v>
      </c>
      <c r="AQ1256">
        <f t="shared" ca="1" si="621"/>
        <v>0.99999999999999978</v>
      </c>
      <c r="AR1256" t="str">
        <f t="shared" ca="1" si="622"/>
        <v>Supercritical</v>
      </c>
      <c r="AS1256">
        <f t="shared" ca="1" si="623"/>
        <v>3.8148159832266538E-3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191</v>
      </c>
      <c r="I1257">
        <v>5.7000000000000002E-2</v>
      </c>
      <c r="J1257">
        <f t="shared" si="624"/>
        <v>1</v>
      </c>
      <c r="K1257">
        <f t="shared" si="625"/>
        <v>51</v>
      </c>
      <c r="L1257">
        <f t="shared" ca="1" si="626"/>
        <v>0.05</v>
      </c>
      <c r="M1257">
        <f t="shared" ca="1" si="599"/>
        <v>0.26</v>
      </c>
      <c r="N1257">
        <f t="shared" ca="1" si="600"/>
        <v>4.9056603773584909E-2</v>
      </c>
      <c r="O1257">
        <f t="shared" ca="1" si="601"/>
        <v>196.15384615384616</v>
      </c>
      <c r="P1257">
        <f t="shared" ca="1" si="602"/>
        <v>632.05849999999998</v>
      </c>
      <c r="Q1257">
        <f t="shared" ca="1" si="603"/>
        <v>2593.135531648662</v>
      </c>
      <c r="R1257">
        <f t="shared" ca="1" si="604"/>
        <v>482.07306851378365</v>
      </c>
      <c r="S1257">
        <f t="shared" ca="1" si="605"/>
        <v>280.07692026646265</v>
      </c>
      <c r="T1257">
        <f t="shared" ca="1" si="606"/>
        <v>1019.7665564573041</v>
      </c>
      <c r="U1257">
        <f t="shared" ca="1" si="627"/>
        <v>-482.25887083179032</v>
      </c>
      <c r="V1257">
        <f t="shared" ca="1" si="628"/>
        <v>0</v>
      </c>
      <c r="W1257">
        <f t="shared" ca="1" si="607"/>
        <v>0.05</v>
      </c>
      <c r="X1257">
        <f t="shared" ca="1" si="608"/>
        <v>0.26</v>
      </c>
      <c r="Y1257">
        <f t="shared" ca="1" si="609"/>
        <v>4.9056603773584909E-2</v>
      </c>
      <c r="Z1257">
        <f t="shared" ca="1" si="610"/>
        <v>196.15384615384616</v>
      </c>
      <c r="AA1257">
        <f t="shared" ca="1" si="611"/>
        <v>632.05849999999998</v>
      </c>
      <c r="AB1257">
        <f t="shared" ca="1" si="612"/>
        <v>2593.135531648662</v>
      </c>
      <c r="AC1257">
        <f t="shared" ca="1" si="613"/>
        <v>482.07306851378365</v>
      </c>
      <c r="AD1257">
        <f t="shared" ca="1" si="614"/>
        <v>280.07692026646265</v>
      </c>
      <c r="AE1257">
        <f t="shared" ca="1" si="615"/>
        <v>1019.7665564573041</v>
      </c>
      <c r="AF1257">
        <f t="shared" ca="1" si="616"/>
        <v>482.07256851378406</v>
      </c>
      <c r="AG1257">
        <f t="shared" ca="1" si="617"/>
        <v>0</v>
      </c>
      <c r="AH1257">
        <f ca="1">IF(V32="Supercritical",L1257,IF(V32="Subcritical",W1257,IF(AND(V1257=1,AG1257=1),IF(T1257&gt;=AE1257,L1257,W1257),IF(V1257=1,L1257,IF(AG1257=1,W1257,MAX($D$16,POWER((ABS(K1257)^2)/($I$5*MAX(F1257,0.1)^2),1/3)))))))</f>
        <v>2.1403668656741068</v>
      </c>
      <c r="AI1257">
        <f t="shared" ca="1" si="618"/>
        <v>634.14886686567411</v>
      </c>
      <c r="AJ1257">
        <f t="shared" ca="1" si="619"/>
        <v>635.21905029851121</v>
      </c>
      <c r="AM1257">
        <v>0</v>
      </c>
      <c r="AN1257">
        <v>0</v>
      </c>
      <c r="AO1257">
        <f t="shared" si="620"/>
        <v>0</v>
      </c>
      <c r="AP1257">
        <f t="shared" si="629"/>
        <v>0</v>
      </c>
      <c r="AQ1257">
        <f t="shared" ca="1" si="621"/>
        <v>0.99999999999999978</v>
      </c>
      <c r="AR1257" t="str">
        <f t="shared" ca="1" si="622"/>
        <v>Supercritical</v>
      </c>
      <c r="AS1257">
        <f t="shared" ca="1" si="623"/>
        <v>3.8148159832266538E-3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191</v>
      </c>
      <c r="I1258">
        <v>0</v>
      </c>
      <c r="J1258">
        <f t="shared" si="624"/>
        <v>1</v>
      </c>
      <c r="K1258">
        <f t="shared" si="625"/>
        <v>51</v>
      </c>
      <c r="L1258">
        <f t="shared" ca="1" si="626"/>
        <v>0.05</v>
      </c>
      <c r="M1258">
        <f t="shared" ca="1" si="599"/>
        <v>0.26</v>
      </c>
      <c r="N1258">
        <f t="shared" ca="1" si="600"/>
        <v>4.9056603773584909E-2</v>
      </c>
      <c r="O1258">
        <f t="shared" ca="1" si="601"/>
        <v>196.15384615384616</v>
      </c>
      <c r="P1258">
        <f t="shared" ca="1" si="602"/>
        <v>632.05799999999999</v>
      </c>
      <c r="Q1258">
        <f t="shared" ca="1" si="603"/>
        <v>2593.1350316486623</v>
      </c>
      <c r="R1258">
        <f t="shared" ca="1" si="604"/>
        <v>482.07306851378365</v>
      </c>
      <c r="S1258">
        <f t="shared" ca="1" si="605"/>
        <v>280.07692026646265</v>
      </c>
      <c r="T1258">
        <f t="shared" ca="1" si="606"/>
        <v>1019.7665564573041</v>
      </c>
      <c r="U1258">
        <f t="shared" ca="1" si="627"/>
        <v>-482.07256851378406</v>
      </c>
      <c r="V1258">
        <f t="shared" ca="1" si="628"/>
        <v>0</v>
      </c>
      <c r="W1258">
        <f t="shared" ca="1" si="607"/>
        <v>0.05</v>
      </c>
      <c r="X1258">
        <f t="shared" ca="1" si="608"/>
        <v>0.26</v>
      </c>
      <c r="Y1258">
        <f t="shared" ca="1" si="609"/>
        <v>4.9056603773584909E-2</v>
      </c>
      <c r="Z1258">
        <f t="shared" ca="1" si="610"/>
        <v>196.15384615384616</v>
      </c>
      <c r="AA1258">
        <f t="shared" ca="1" si="611"/>
        <v>632.05799999999999</v>
      </c>
      <c r="AB1258">
        <f t="shared" ca="1" si="612"/>
        <v>2593.1350316486623</v>
      </c>
      <c r="AC1258">
        <f t="shared" ca="1" si="613"/>
        <v>482.07306851378365</v>
      </c>
      <c r="AD1258">
        <f t="shared" ca="1" si="614"/>
        <v>280.07692026646265</v>
      </c>
      <c r="AE1258">
        <f t="shared" ca="1" si="615"/>
        <v>1019.7665564573041</v>
      </c>
      <c r="AF1258">
        <f t="shared" ca="1" si="616"/>
        <v>481.59049544517165</v>
      </c>
      <c r="AG1258">
        <f t="shared" ca="1" si="617"/>
        <v>0</v>
      </c>
      <c r="AH1258">
        <f ca="1">IF(V32="Supercritical",L1258,IF(V32="Subcritical",W1258,IF(AND(V1258=1,AG1258=1),IF(T1258&gt;=AE1258,L1258,W1258),IF(V1258=1,L1258,IF(AG1258=1,W1258,MAX($D$16,POWER((ABS(K1258)^2)/($I$5*MAX(F1258,0.1)^2),1/3)))))))</f>
        <v>2.1403668656741068</v>
      </c>
      <c r="AI1258">
        <f t="shared" ca="1" si="618"/>
        <v>634.14836686567412</v>
      </c>
      <c r="AJ1258">
        <f t="shared" ca="1" si="619"/>
        <v>635.21855029851122</v>
      </c>
      <c r="AM1258">
        <v>0</v>
      </c>
      <c r="AN1258">
        <v>0</v>
      </c>
      <c r="AO1258">
        <f t="shared" si="620"/>
        <v>0</v>
      </c>
      <c r="AP1258">
        <f t="shared" si="629"/>
        <v>0</v>
      </c>
      <c r="AQ1258">
        <f t="shared" ca="1" si="621"/>
        <v>0.99999999999999978</v>
      </c>
      <c r="AR1258" t="str">
        <f t="shared" ca="1" si="622"/>
        <v>Supercritical</v>
      </c>
      <c r="AS1258">
        <f t="shared" ca="1" si="623"/>
        <v>3.8148159832266538E-3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191</v>
      </c>
      <c r="I1259">
        <v>0</v>
      </c>
      <c r="J1259">
        <f t="shared" si="624"/>
        <v>0.99899999999979627</v>
      </c>
      <c r="K1259">
        <f t="shared" si="625"/>
        <v>51</v>
      </c>
      <c r="L1259">
        <f t="shared" ca="1" si="626"/>
        <v>0.05</v>
      </c>
      <c r="M1259">
        <f t="shared" ca="1" si="599"/>
        <v>0.26</v>
      </c>
      <c r="N1259">
        <f t="shared" ca="1" si="600"/>
        <v>4.9056603773584909E-2</v>
      </c>
      <c r="O1259">
        <f t="shared" ca="1" si="601"/>
        <v>196.15384615384616</v>
      </c>
      <c r="P1259">
        <f t="shared" ca="1" si="602"/>
        <v>632.0575</v>
      </c>
      <c r="Q1259">
        <f t="shared" ca="1" si="603"/>
        <v>2593.1345316486622</v>
      </c>
      <c r="R1259">
        <f t="shared" ca="1" si="604"/>
        <v>482.07306851378365</v>
      </c>
      <c r="S1259">
        <f t="shared" ca="1" si="605"/>
        <v>280.07692026646265</v>
      </c>
      <c r="T1259">
        <f t="shared" ca="1" si="606"/>
        <v>1019.7665564573041</v>
      </c>
      <c r="U1259">
        <f t="shared" ca="1" si="627"/>
        <v>-481.59049544517165</v>
      </c>
      <c r="V1259">
        <f t="shared" ca="1" si="628"/>
        <v>0</v>
      </c>
      <c r="W1259">
        <f t="shared" ca="1" si="607"/>
        <v>0.05</v>
      </c>
      <c r="X1259">
        <f t="shared" ca="1" si="608"/>
        <v>0.26</v>
      </c>
      <c r="Y1259">
        <f t="shared" ca="1" si="609"/>
        <v>4.9056603773584909E-2</v>
      </c>
      <c r="Z1259">
        <f t="shared" ca="1" si="610"/>
        <v>196.15384615384616</v>
      </c>
      <c r="AA1259">
        <f t="shared" ca="1" si="611"/>
        <v>632.0575</v>
      </c>
      <c r="AB1259">
        <f t="shared" ca="1" si="612"/>
        <v>2593.1345316486622</v>
      </c>
      <c r="AC1259">
        <f t="shared" ca="1" si="613"/>
        <v>482.07306851378365</v>
      </c>
      <c r="AD1259">
        <f t="shared" ca="1" si="614"/>
        <v>280.07692026646265</v>
      </c>
      <c r="AE1259">
        <f t="shared" ca="1" si="615"/>
        <v>1019.7665564573041</v>
      </c>
      <c r="AF1259">
        <f t="shared" ca="1" si="616"/>
        <v>482.25887083179032</v>
      </c>
      <c r="AG1259">
        <f t="shared" ca="1" si="617"/>
        <v>0</v>
      </c>
      <c r="AH1259">
        <f ca="1">IF(V32="Supercritical",L1259,IF(V32="Subcritical",W1259,IF(AND(V1259=1,AG1259=1),IF(T1259&gt;=AE1259,L1259,W1259),IF(V1259=1,L1259,IF(AG1259=1,W1259,MAX($D$16,POWER((ABS(K1259)^2)/($I$5*MAX(F1259,0.1)^2),1/3)))))))</f>
        <v>2.1403668656741068</v>
      </c>
      <c r="AI1259">
        <f t="shared" ca="1" si="618"/>
        <v>634.14786686567413</v>
      </c>
      <c r="AJ1259">
        <f t="shared" ca="1" si="619"/>
        <v>635.21805029851123</v>
      </c>
      <c r="AM1259">
        <v>0</v>
      </c>
      <c r="AN1259">
        <v>0</v>
      </c>
      <c r="AO1259">
        <f t="shared" si="620"/>
        <v>0</v>
      </c>
      <c r="AP1259">
        <f t="shared" si="629"/>
        <v>0</v>
      </c>
      <c r="AQ1259">
        <f t="shared" ca="1" si="621"/>
        <v>0.99999999999999978</v>
      </c>
      <c r="AR1259" t="str">
        <f t="shared" ca="1" si="622"/>
        <v>Supercritical</v>
      </c>
      <c r="AS1259">
        <f t="shared" ca="1" si="623"/>
        <v>3.8148159832266538E-3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191</v>
      </c>
      <c r="I1260">
        <v>5.7000000000000002E-2</v>
      </c>
      <c r="J1260">
        <f t="shared" si="624"/>
        <v>1</v>
      </c>
      <c r="K1260">
        <f t="shared" si="625"/>
        <v>51</v>
      </c>
      <c r="L1260">
        <f t="shared" ca="1" si="626"/>
        <v>0.05</v>
      </c>
      <c r="M1260">
        <f t="shared" ca="1" si="599"/>
        <v>0.26</v>
      </c>
      <c r="N1260">
        <f t="shared" ca="1" si="600"/>
        <v>4.9056603773584909E-2</v>
      </c>
      <c r="O1260">
        <f t="shared" ca="1" si="601"/>
        <v>196.15384615384616</v>
      </c>
      <c r="P1260">
        <f t="shared" ca="1" si="602"/>
        <v>632.0569999999999</v>
      </c>
      <c r="Q1260">
        <f t="shared" ca="1" si="603"/>
        <v>2593.1340316486621</v>
      </c>
      <c r="R1260">
        <f t="shared" ca="1" si="604"/>
        <v>482.07306851378365</v>
      </c>
      <c r="S1260">
        <f t="shared" ca="1" si="605"/>
        <v>280.07692026646265</v>
      </c>
      <c r="T1260">
        <f t="shared" ca="1" si="606"/>
        <v>1019.7665564573041</v>
      </c>
      <c r="U1260">
        <f t="shared" ca="1" si="627"/>
        <v>-482.25887083179032</v>
      </c>
      <c r="V1260">
        <f t="shared" ca="1" si="628"/>
        <v>0</v>
      </c>
      <c r="W1260">
        <f t="shared" ca="1" si="607"/>
        <v>0.05</v>
      </c>
      <c r="X1260">
        <f t="shared" ca="1" si="608"/>
        <v>0.26</v>
      </c>
      <c r="Y1260">
        <f t="shared" ca="1" si="609"/>
        <v>4.9056603773584909E-2</v>
      </c>
      <c r="Z1260">
        <f t="shared" ca="1" si="610"/>
        <v>196.15384615384616</v>
      </c>
      <c r="AA1260">
        <f t="shared" ca="1" si="611"/>
        <v>632.0569999999999</v>
      </c>
      <c r="AB1260">
        <f t="shared" ca="1" si="612"/>
        <v>2593.1340316486621</v>
      </c>
      <c r="AC1260">
        <f t="shared" ca="1" si="613"/>
        <v>482.07306851378365</v>
      </c>
      <c r="AD1260">
        <f t="shared" ca="1" si="614"/>
        <v>280.07692026646265</v>
      </c>
      <c r="AE1260">
        <f t="shared" ca="1" si="615"/>
        <v>1019.7665564573041</v>
      </c>
      <c r="AF1260">
        <f t="shared" ca="1" si="616"/>
        <v>482.25887083179032</v>
      </c>
      <c r="AG1260">
        <f t="shared" ca="1" si="617"/>
        <v>0</v>
      </c>
      <c r="AH1260">
        <f ca="1">IF(V32="Supercritical",L1260,IF(V32="Subcritical",W1260,IF(AND(V1260=1,AG1260=1),IF(T1260&gt;=AE1260,L1260,W1260),IF(V1260=1,L1260,IF(AG1260=1,W1260,MAX($D$16,POWER((ABS(K1260)^2)/($I$5*MAX(F1260,0.1)^2),1/3)))))))</f>
        <v>2.1403668656741068</v>
      </c>
      <c r="AI1260">
        <f t="shared" ca="1" si="618"/>
        <v>634.14736686567403</v>
      </c>
      <c r="AJ1260">
        <f t="shared" ca="1" si="619"/>
        <v>635.21755029851113</v>
      </c>
      <c r="AM1260">
        <v>0</v>
      </c>
      <c r="AN1260">
        <v>0</v>
      </c>
      <c r="AO1260">
        <f t="shared" si="620"/>
        <v>0</v>
      </c>
      <c r="AP1260">
        <f t="shared" si="629"/>
        <v>0</v>
      </c>
      <c r="AQ1260">
        <f t="shared" ca="1" si="621"/>
        <v>0.99999999999999978</v>
      </c>
      <c r="AR1260" t="str">
        <f t="shared" ca="1" si="622"/>
        <v>Supercritical</v>
      </c>
      <c r="AS1260">
        <f t="shared" ca="1" si="623"/>
        <v>3.8148159832266538E-3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191</v>
      </c>
      <c r="I1261">
        <v>5.7000000000000002E-2</v>
      </c>
      <c r="J1261">
        <f t="shared" si="624"/>
        <v>1</v>
      </c>
      <c r="K1261">
        <f t="shared" si="625"/>
        <v>51</v>
      </c>
      <c r="L1261">
        <f t="shared" ca="1" si="626"/>
        <v>0.05</v>
      </c>
      <c r="M1261">
        <f t="shared" ca="1" si="599"/>
        <v>0.26</v>
      </c>
      <c r="N1261">
        <f t="shared" ca="1" si="600"/>
        <v>4.9056603773584909E-2</v>
      </c>
      <c r="O1261">
        <f t="shared" ca="1" si="601"/>
        <v>196.15384615384616</v>
      </c>
      <c r="P1261">
        <f t="shared" ca="1" si="602"/>
        <v>632.05649999999991</v>
      </c>
      <c r="Q1261">
        <f t="shared" ca="1" si="603"/>
        <v>2593.133531648662</v>
      </c>
      <c r="R1261">
        <f t="shared" ca="1" si="604"/>
        <v>482.07306851378365</v>
      </c>
      <c r="S1261">
        <f t="shared" ca="1" si="605"/>
        <v>280.07692026646265</v>
      </c>
      <c r="T1261">
        <f t="shared" ca="1" si="606"/>
        <v>1019.7665564573041</v>
      </c>
      <c r="U1261">
        <f t="shared" ca="1" si="627"/>
        <v>-482.25887083179032</v>
      </c>
      <c r="V1261">
        <f t="shared" ca="1" si="628"/>
        <v>0</v>
      </c>
      <c r="W1261">
        <f t="shared" ca="1" si="607"/>
        <v>0.05</v>
      </c>
      <c r="X1261">
        <f t="shared" ca="1" si="608"/>
        <v>0.26</v>
      </c>
      <c r="Y1261">
        <f t="shared" ca="1" si="609"/>
        <v>4.9056603773584909E-2</v>
      </c>
      <c r="Z1261">
        <f t="shared" ca="1" si="610"/>
        <v>196.15384615384616</v>
      </c>
      <c r="AA1261">
        <f t="shared" ca="1" si="611"/>
        <v>632.05649999999991</v>
      </c>
      <c r="AB1261">
        <f t="shared" ca="1" si="612"/>
        <v>2593.133531648662</v>
      </c>
      <c r="AC1261">
        <f t="shared" ca="1" si="613"/>
        <v>482.07306851378365</v>
      </c>
      <c r="AD1261">
        <f t="shared" ca="1" si="614"/>
        <v>280.07692026646265</v>
      </c>
      <c r="AE1261">
        <f t="shared" ca="1" si="615"/>
        <v>1019.7665564573041</v>
      </c>
      <c r="AF1261">
        <f t="shared" ca="1" si="616"/>
        <v>482.07256851378361</v>
      </c>
      <c r="AG1261">
        <f t="shared" ca="1" si="617"/>
        <v>0</v>
      </c>
      <c r="AH1261">
        <f ca="1">IF(V32="Supercritical",L1261,IF(V32="Subcritical",W1261,IF(AND(V1261=1,AG1261=1),IF(T1261&gt;=AE1261,L1261,W1261),IF(V1261=1,L1261,IF(AG1261=1,W1261,MAX($D$16,POWER((ABS(K1261)^2)/($I$5*MAX(F1261,0.1)^2),1/3)))))))</f>
        <v>2.1403668656741068</v>
      </c>
      <c r="AI1261">
        <f t="shared" ca="1" si="618"/>
        <v>634.14686686567404</v>
      </c>
      <c r="AJ1261">
        <f t="shared" ca="1" si="619"/>
        <v>635.21705029851114</v>
      </c>
      <c r="AM1261">
        <v>0</v>
      </c>
      <c r="AN1261">
        <v>0</v>
      </c>
      <c r="AO1261">
        <f t="shared" si="620"/>
        <v>0</v>
      </c>
      <c r="AP1261">
        <f t="shared" si="629"/>
        <v>0</v>
      </c>
      <c r="AQ1261">
        <f t="shared" ca="1" si="621"/>
        <v>0.99999999999999978</v>
      </c>
      <c r="AR1261" t="str">
        <f t="shared" ca="1" si="622"/>
        <v>Supercritical</v>
      </c>
      <c r="AS1261">
        <f t="shared" ca="1" si="623"/>
        <v>3.8148159832266538E-3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191</v>
      </c>
      <c r="I1262">
        <v>0</v>
      </c>
      <c r="J1262">
        <f t="shared" si="624"/>
        <v>1</v>
      </c>
      <c r="K1262">
        <f t="shared" si="625"/>
        <v>51</v>
      </c>
      <c r="L1262">
        <f t="shared" ca="1" si="626"/>
        <v>0.05</v>
      </c>
      <c r="M1262">
        <f t="shared" ca="1" si="599"/>
        <v>0.26</v>
      </c>
      <c r="N1262">
        <f t="shared" ca="1" si="600"/>
        <v>4.9056603773584909E-2</v>
      </c>
      <c r="O1262">
        <f t="shared" ca="1" si="601"/>
        <v>196.15384615384616</v>
      </c>
      <c r="P1262">
        <f t="shared" ca="1" si="602"/>
        <v>632.05599999999993</v>
      </c>
      <c r="Q1262">
        <f t="shared" ca="1" si="603"/>
        <v>2593.1330316486619</v>
      </c>
      <c r="R1262">
        <f t="shared" ca="1" si="604"/>
        <v>482.07306851378365</v>
      </c>
      <c r="S1262">
        <f t="shared" ca="1" si="605"/>
        <v>280.07692026646265</v>
      </c>
      <c r="T1262">
        <f t="shared" ca="1" si="606"/>
        <v>1019.7665564573041</v>
      </c>
      <c r="U1262">
        <f t="shared" ca="1" si="627"/>
        <v>-482.07256851378361</v>
      </c>
      <c r="V1262">
        <f t="shared" ca="1" si="628"/>
        <v>0</v>
      </c>
      <c r="W1262">
        <f t="shared" ca="1" si="607"/>
        <v>0.05</v>
      </c>
      <c r="X1262">
        <f t="shared" ca="1" si="608"/>
        <v>0.26</v>
      </c>
      <c r="Y1262">
        <f t="shared" ca="1" si="609"/>
        <v>4.9056603773584909E-2</v>
      </c>
      <c r="Z1262">
        <f t="shared" ca="1" si="610"/>
        <v>196.15384615384616</v>
      </c>
      <c r="AA1262">
        <f t="shared" ca="1" si="611"/>
        <v>632.05599999999993</v>
      </c>
      <c r="AB1262">
        <f t="shared" ca="1" si="612"/>
        <v>2593.1330316486619</v>
      </c>
      <c r="AC1262">
        <f t="shared" ca="1" si="613"/>
        <v>482.07306851378365</v>
      </c>
      <c r="AD1262">
        <f t="shared" ca="1" si="614"/>
        <v>280.07692026646265</v>
      </c>
      <c r="AE1262">
        <f t="shared" ca="1" si="615"/>
        <v>1019.7665564573041</v>
      </c>
      <c r="AF1262">
        <f t="shared" ca="1" si="616"/>
        <v>482.25887083179032</v>
      </c>
      <c r="AG1262">
        <f t="shared" ca="1" si="617"/>
        <v>0</v>
      </c>
      <c r="AH1262">
        <f ca="1">IF(V32="Supercritical",L1262,IF(V32="Subcritical",W1262,IF(AND(V1262=1,AG1262=1),IF(T1262&gt;=AE1262,L1262,W1262),IF(V1262=1,L1262,IF(AG1262=1,W1262,MAX($D$16,POWER((ABS(K1262)^2)/($I$5*MAX(F1262,0.1)^2),1/3)))))))</f>
        <v>2.1403668656741068</v>
      </c>
      <c r="AI1262">
        <f t="shared" ca="1" si="618"/>
        <v>634.14636686567405</v>
      </c>
      <c r="AJ1262">
        <f t="shared" ca="1" si="619"/>
        <v>635.21655029851115</v>
      </c>
      <c r="AM1262">
        <v>0</v>
      </c>
      <c r="AN1262">
        <v>0</v>
      </c>
      <c r="AO1262">
        <f t="shared" si="620"/>
        <v>0</v>
      </c>
      <c r="AP1262">
        <f t="shared" si="629"/>
        <v>0</v>
      </c>
      <c r="AQ1262">
        <f t="shared" ca="1" si="621"/>
        <v>0.99999999999999978</v>
      </c>
      <c r="AR1262" t="str">
        <f t="shared" ca="1" si="622"/>
        <v>Supercritical</v>
      </c>
      <c r="AS1262">
        <f t="shared" ca="1" si="623"/>
        <v>3.8148159832266538E-3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191</v>
      </c>
      <c r="I1263">
        <v>5.7000000000000002E-2</v>
      </c>
      <c r="J1263">
        <f t="shared" si="624"/>
        <v>1</v>
      </c>
      <c r="K1263">
        <f t="shared" si="625"/>
        <v>51</v>
      </c>
      <c r="L1263">
        <f t="shared" ca="1" si="626"/>
        <v>0.05</v>
      </c>
      <c r="M1263">
        <f t="shared" ca="1" si="599"/>
        <v>0.26</v>
      </c>
      <c r="N1263">
        <f t="shared" ca="1" si="600"/>
        <v>4.9056603773584909E-2</v>
      </c>
      <c r="O1263">
        <f t="shared" ca="1" si="601"/>
        <v>196.15384615384616</v>
      </c>
      <c r="P1263">
        <f t="shared" ca="1" si="602"/>
        <v>632.05549999999994</v>
      </c>
      <c r="Q1263">
        <f t="shared" ca="1" si="603"/>
        <v>2593.1325316486618</v>
      </c>
      <c r="R1263">
        <f t="shared" ca="1" si="604"/>
        <v>482.07306851378365</v>
      </c>
      <c r="S1263">
        <f t="shared" ca="1" si="605"/>
        <v>280.07692026646265</v>
      </c>
      <c r="T1263">
        <f t="shared" ca="1" si="606"/>
        <v>1019.7665564573041</v>
      </c>
      <c r="U1263">
        <f t="shared" ca="1" si="627"/>
        <v>-482.25887083179032</v>
      </c>
      <c r="V1263">
        <f t="shared" ca="1" si="628"/>
        <v>0</v>
      </c>
      <c r="W1263">
        <f t="shared" ca="1" si="607"/>
        <v>0.05</v>
      </c>
      <c r="X1263">
        <f t="shared" ca="1" si="608"/>
        <v>0.26</v>
      </c>
      <c r="Y1263">
        <f t="shared" ca="1" si="609"/>
        <v>4.9056603773584909E-2</v>
      </c>
      <c r="Z1263">
        <f t="shared" ca="1" si="610"/>
        <v>196.15384615384616</v>
      </c>
      <c r="AA1263">
        <f t="shared" ca="1" si="611"/>
        <v>632.05549999999994</v>
      </c>
      <c r="AB1263">
        <f t="shared" ca="1" si="612"/>
        <v>2593.1325316486618</v>
      </c>
      <c r="AC1263">
        <f t="shared" ca="1" si="613"/>
        <v>482.07306851378365</v>
      </c>
      <c r="AD1263">
        <f t="shared" ca="1" si="614"/>
        <v>280.07692026646265</v>
      </c>
      <c r="AE1263">
        <f t="shared" ca="1" si="615"/>
        <v>1019.7665564573041</v>
      </c>
      <c r="AF1263">
        <f t="shared" ca="1" si="616"/>
        <v>482.26867621694873</v>
      </c>
      <c r="AG1263">
        <f t="shared" ca="1" si="617"/>
        <v>0</v>
      </c>
      <c r="AH1263">
        <f ca="1">IF(V32="Supercritical",L1263,IF(V32="Subcritical",W1263,IF(AND(V1263=1,AG1263=1),IF(T1263&gt;=AE1263,L1263,W1263),IF(V1263=1,L1263,IF(AG1263=1,W1263,MAX($D$16,POWER((ABS(K1263)^2)/($I$5*MAX(F1263,0.1)^2),1/3)))))))</f>
        <v>2.1403668656741068</v>
      </c>
      <c r="AI1263">
        <f t="shared" ca="1" si="618"/>
        <v>634.14586686567407</v>
      </c>
      <c r="AJ1263">
        <f t="shared" ca="1" si="619"/>
        <v>635.21605029851116</v>
      </c>
      <c r="AM1263">
        <v>0</v>
      </c>
      <c r="AN1263">
        <v>0</v>
      </c>
      <c r="AO1263">
        <f t="shared" si="620"/>
        <v>0</v>
      </c>
      <c r="AP1263">
        <f t="shared" si="629"/>
        <v>0</v>
      </c>
      <c r="AQ1263">
        <f t="shared" ca="1" si="621"/>
        <v>0.99999999999999978</v>
      </c>
      <c r="AR1263" t="str">
        <f t="shared" ca="1" si="622"/>
        <v>Supercritical</v>
      </c>
      <c r="AS1263">
        <f t="shared" ca="1" si="623"/>
        <v>3.8148159832266538E-3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191</v>
      </c>
      <c r="I1264">
        <v>0.06</v>
      </c>
      <c r="J1264">
        <f t="shared" si="624"/>
        <v>1</v>
      </c>
      <c r="K1264">
        <f t="shared" si="625"/>
        <v>51</v>
      </c>
      <c r="L1264">
        <f t="shared" ca="1" si="626"/>
        <v>0.05</v>
      </c>
      <c r="M1264">
        <f t="shared" ca="1" si="599"/>
        <v>0.26</v>
      </c>
      <c r="N1264">
        <f t="shared" ca="1" si="600"/>
        <v>4.9056603773584909E-2</v>
      </c>
      <c r="O1264">
        <f t="shared" ca="1" si="601"/>
        <v>196.15384615384616</v>
      </c>
      <c r="P1264">
        <f t="shared" ca="1" si="602"/>
        <v>632.05499999999995</v>
      </c>
      <c r="Q1264">
        <f t="shared" ca="1" si="603"/>
        <v>2593.1320316486622</v>
      </c>
      <c r="R1264">
        <f t="shared" ca="1" si="604"/>
        <v>482.07306851378365</v>
      </c>
      <c r="S1264">
        <f t="shared" ca="1" si="605"/>
        <v>280.07692026646265</v>
      </c>
      <c r="T1264">
        <f t="shared" ca="1" si="606"/>
        <v>1019.7665564573041</v>
      </c>
      <c r="U1264">
        <f t="shared" ca="1" si="627"/>
        <v>-482.26867621694873</v>
      </c>
      <c r="V1264">
        <f t="shared" ca="1" si="628"/>
        <v>0</v>
      </c>
      <c r="W1264">
        <f t="shared" ca="1" si="607"/>
        <v>0.05</v>
      </c>
      <c r="X1264">
        <f t="shared" ca="1" si="608"/>
        <v>0.26</v>
      </c>
      <c r="Y1264">
        <f t="shared" ca="1" si="609"/>
        <v>4.9056603773584909E-2</v>
      </c>
      <c r="Z1264">
        <f t="shared" ca="1" si="610"/>
        <v>196.15384615384616</v>
      </c>
      <c r="AA1264">
        <f t="shared" ca="1" si="611"/>
        <v>632.05499999999995</v>
      </c>
      <c r="AB1264">
        <f t="shared" ca="1" si="612"/>
        <v>2593.1320316486622</v>
      </c>
      <c r="AC1264">
        <f t="shared" ca="1" si="613"/>
        <v>482.07306851378365</v>
      </c>
      <c r="AD1264">
        <f t="shared" ca="1" si="614"/>
        <v>280.07692026646265</v>
      </c>
      <c r="AE1264">
        <f t="shared" ca="1" si="615"/>
        <v>1019.7665564573041</v>
      </c>
      <c r="AF1264">
        <f t="shared" ca="1" si="616"/>
        <v>482.5611785058345</v>
      </c>
      <c r="AG1264">
        <f t="shared" ca="1" si="617"/>
        <v>0</v>
      </c>
      <c r="AH1264">
        <f ca="1">IF(V32="Supercritical",L1264,IF(V32="Subcritical",W1264,IF(AND(V1264=1,AG1264=1),IF(T1264&gt;=AE1264,L1264,W1264),IF(V1264=1,L1264,IF(AG1264=1,W1264,MAX($D$16,POWER((ABS(K1264)^2)/($I$5*MAX(F1264,0.1)^2),1/3)))))))</f>
        <v>2.1403668656741068</v>
      </c>
      <c r="AI1264">
        <f t="shared" ca="1" si="618"/>
        <v>634.14536686567408</v>
      </c>
      <c r="AJ1264">
        <f t="shared" ca="1" si="619"/>
        <v>635.21555029851118</v>
      </c>
      <c r="AM1264">
        <v>0</v>
      </c>
      <c r="AN1264">
        <v>0</v>
      </c>
      <c r="AO1264">
        <f t="shared" si="620"/>
        <v>0</v>
      </c>
      <c r="AP1264">
        <f t="shared" si="629"/>
        <v>0</v>
      </c>
      <c r="AQ1264">
        <f t="shared" ca="1" si="621"/>
        <v>0.99999999999999978</v>
      </c>
      <c r="AR1264" t="str">
        <f t="shared" ca="1" si="622"/>
        <v>Supercritical</v>
      </c>
      <c r="AS1264">
        <f t="shared" ca="1" si="623"/>
        <v>3.8148159832266538E-3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191</v>
      </c>
      <c r="I1265">
        <v>2E-3</v>
      </c>
      <c r="J1265">
        <f t="shared" si="624"/>
        <v>1.0010000000002037</v>
      </c>
      <c r="K1265">
        <f t="shared" si="625"/>
        <v>51</v>
      </c>
      <c r="L1265">
        <f t="shared" ca="1" si="626"/>
        <v>0.05</v>
      </c>
      <c r="M1265">
        <f t="shared" ca="1" si="599"/>
        <v>0.26</v>
      </c>
      <c r="N1265">
        <f t="shared" ca="1" si="600"/>
        <v>4.9056603773584909E-2</v>
      </c>
      <c r="O1265">
        <f t="shared" ca="1" si="601"/>
        <v>196.15384615384616</v>
      </c>
      <c r="P1265">
        <f t="shared" ca="1" si="602"/>
        <v>632.05449999999996</v>
      </c>
      <c r="Q1265">
        <f t="shared" ca="1" si="603"/>
        <v>2593.1315316486621</v>
      </c>
      <c r="R1265">
        <f t="shared" ca="1" si="604"/>
        <v>482.07306851378365</v>
      </c>
      <c r="S1265">
        <f t="shared" ca="1" si="605"/>
        <v>280.07692026646265</v>
      </c>
      <c r="T1265">
        <f t="shared" ca="1" si="606"/>
        <v>1019.7665564573041</v>
      </c>
      <c r="U1265">
        <f t="shared" ca="1" si="627"/>
        <v>-482.5611785058345</v>
      </c>
      <c r="V1265">
        <f t="shared" ca="1" si="628"/>
        <v>0</v>
      </c>
      <c r="W1265">
        <f t="shared" ca="1" si="607"/>
        <v>0.05</v>
      </c>
      <c r="X1265">
        <f t="shared" ca="1" si="608"/>
        <v>0.26</v>
      </c>
      <c r="Y1265">
        <f t="shared" ca="1" si="609"/>
        <v>4.9056603773584909E-2</v>
      </c>
      <c r="Z1265">
        <f t="shared" ca="1" si="610"/>
        <v>196.15384615384616</v>
      </c>
      <c r="AA1265">
        <f t="shared" ca="1" si="611"/>
        <v>632.05449999999996</v>
      </c>
      <c r="AB1265">
        <f t="shared" ca="1" si="612"/>
        <v>2593.1315316486621</v>
      </c>
      <c r="AC1265">
        <f t="shared" ca="1" si="613"/>
        <v>482.07306851378365</v>
      </c>
      <c r="AD1265">
        <f t="shared" ca="1" si="614"/>
        <v>280.07692026646265</v>
      </c>
      <c r="AE1265">
        <f t="shared" ca="1" si="615"/>
        <v>1019.7665564573041</v>
      </c>
      <c r="AF1265">
        <f t="shared" ca="1" si="616"/>
        <v>482.07256851378361</v>
      </c>
      <c r="AG1265">
        <f t="shared" ca="1" si="617"/>
        <v>0</v>
      </c>
      <c r="AH1265">
        <f ca="1">IF(V32="Supercritical",L1265,IF(V32="Subcritical",W1265,IF(AND(V1265=1,AG1265=1),IF(T1265&gt;=AE1265,L1265,W1265),IF(V1265=1,L1265,IF(AG1265=1,W1265,MAX($D$16,POWER((ABS(K1265)^2)/($I$5*MAX(F1265,0.1)^2),1/3)))))))</f>
        <v>2.1403668656741068</v>
      </c>
      <c r="AI1265">
        <f t="shared" ca="1" si="618"/>
        <v>634.14486686567409</v>
      </c>
      <c r="AJ1265">
        <f t="shared" ca="1" si="619"/>
        <v>635.21505029851119</v>
      </c>
      <c r="AM1265">
        <v>0</v>
      </c>
      <c r="AN1265">
        <v>0</v>
      </c>
      <c r="AO1265">
        <f t="shared" si="620"/>
        <v>0</v>
      </c>
      <c r="AP1265">
        <f t="shared" si="629"/>
        <v>0</v>
      </c>
      <c r="AQ1265">
        <f t="shared" ca="1" si="621"/>
        <v>0.99999999999999978</v>
      </c>
      <c r="AR1265" t="str">
        <f t="shared" ca="1" si="622"/>
        <v>Supercritical</v>
      </c>
      <c r="AS1265">
        <f t="shared" ca="1" si="623"/>
        <v>3.8148159832266538E-3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191</v>
      </c>
      <c r="I1266">
        <v>0</v>
      </c>
      <c r="J1266">
        <f t="shared" si="624"/>
        <v>1</v>
      </c>
      <c r="K1266">
        <f t="shared" si="625"/>
        <v>51</v>
      </c>
      <c r="L1266">
        <f t="shared" ca="1" si="626"/>
        <v>0.05</v>
      </c>
      <c r="M1266">
        <f t="shared" ca="1" si="599"/>
        <v>0.26</v>
      </c>
      <c r="N1266">
        <f t="shared" ca="1" si="600"/>
        <v>4.9056603773584909E-2</v>
      </c>
      <c r="O1266">
        <f t="shared" ca="1" si="601"/>
        <v>196.15384615384616</v>
      </c>
      <c r="P1266">
        <f t="shared" ca="1" si="602"/>
        <v>632.05399999999997</v>
      </c>
      <c r="Q1266">
        <f t="shared" ca="1" si="603"/>
        <v>2593.131031648662</v>
      </c>
      <c r="R1266">
        <f t="shared" ca="1" si="604"/>
        <v>482.07306851378365</v>
      </c>
      <c r="S1266">
        <f t="shared" ca="1" si="605"/>
        <v>280.07692026646265</v>
      </c>
      <c r="T1266">
        <f t="shared" ca="1" si="606"/>
        <v>1019.7665564573041</v>
      </c>
      <c r="U1266">
        <f t="shared" ca="1" si="627"/>
        <v>-482.07256851378361</v>
      </c>
      <c r="V1266">
        <f t="shared" ca="1" si="628"/>
        <v>0</v>
      </c>
      <c r="W1266">
        <f t="shared" ca="1" si="607"/>
        <v>0.05</v>
      </c>
      <c r="X1266">
        <f t="shared" ca="1" si="608"/>
        <v>0.26</v>
      </c>
      <c r="Y1266">
        <f t="shared" ca="1" si="609"/>
        <v>4.9056603773584909E-2</v>
      </c>
      <c r="Z1266">
        <f t="shared" ca="1" si="610"/>
        <v>196.15384615384616</v>
      </c>
      <c r="AA1266">
        <f t="shared" ca="1" si="611"/>
        <v>632.05399999999997</v>
      </c>
      <c r="AB1266">
        <f t="shared" ca="1" si="612"/>
        <v>2593.131031648662</v>
      </c>
      <c r="AC1266">
        <f t="shared" ca="1" si="613"/>
        <v>482.07306851378365</v>
      </c>
      <c r="AD1266">
        <f t="shared" ca="1" si="614"/>
        <v>280.07692026646265</v>
      </c>
      <c r="AE1266">
        <f t="shared" ca="1" si="615"/>
        <v>1019.7665564573041</v>
      </c>
      <c r="AF1266">
        <f t="shared" ca="1" si="616"/>
        <v>482.25887083179077</v>
      </c>
      <c r="AG1266">
        <f t="shared" ca="1" si="617"/>
        <v>0</v>
      </c>
      <c r="AH1266">
        <f ca="1">IF(V32="Supercritical",L1266,IF(V32="Subcritical",W1266,IF(AND(V1266=1,AG1266=1),IF(T1266&gt;=AE1266,L1266,W1266),IF(V1266=1,L1266,IF(AG1266=1,W1266,MAX($D$16,POWER((ABS(K1266)^2)/($I$5*MAX(F1266,0.1)^2),1/3)))))))</f>
        <v>2.1403668656741068</v>
      </c>
      <c r="AI1266">
        <f t="shared" ca="1" si="618"/>
        <v>634.1443668656741</v>
      </c>
      <c r="AJ1266">
        <f t="shared" ca="1" si="619"/>
        <v>635.2145502985112</v>
      </c>
      <c r="AM1266">
        <v>0</v>
      </c>
      <c r="AN1266">
        <v>0</v>
      </c>
      <c r="AO1266">
        <f t="shared" si="620"/>
        <v>0</v>
      </c>
      <c r="AP1266">
        <f t="shared" si="629"/>
        <v>0</v>
      </c>
      <c r="AQ1266">
        <f t="shared" ca="1" si="621"/>
        <v>0.99999999999999978</v>
      </c>
      <c r="AR1266" t="str">
        <f t="shared" ca="1" si="622"/>
        <v>Supercritical</v>
      </c>
      <c r="AS1266">
        <f t="shared" ca="1" si="623"/>
        <v>3.8148159832266538E-3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191</v>
      </c>
      <c r="I1267">
        <v>5.7000000000000002E-2</v>
      </c>
      <c r="J1267">
        <f t="shared" si="624"/>
        <v>1</v>
      </c>
      <c r="K1267">
        <f t="shared" si="625"/>
        <v>51</v>
      </c>
      <c r="L1267">
        <f t="shared" ca="1" si="626"/>
        <v>0.05</v>
      </c>
      <c r="M1267">
        <f t="shared" ca="1" si="599"/>
        <v>0.26</v>
      </c>
      <c r="N1267">
        <f t="shared" ca="1" si="600"/>
        <v>4.9056603773584909E-2</v>
      </c>
      <c r="O1267">
        <f t="shared" ca="1" si="601"/>
        <v>196.15384615384616</v>
      </c>
      <c r="P1267">
        <f t="shared" ca="1" si="602"/>
        <v>632.05349999999999</v>
      </c>
      <c r="Q1267">
        <f t="shared" ca="1" si="603"/>
        <v>2593.1305316486623</v>
      </c>
      <c r="R1267">
        <f t="shared" ca="1" si="604"/>
        <v>482.07306851378365</v>
      </c>
      <c r="S1267">
        <f t="shared" ca="1" si="605"/>
        <v>280.07692026646265</v>
      </c>
      <c r="T1267">
        <f t="shared" ca="1" si="606"/>
        <v>1019.7665564573041</v>
      </c>
      <c r="U1267">
        <f t="shared" ca="1" si="627"/>
        <v>-482.25887083179077</v>
      </c>
      <c r="V1267">
        <f t="shared" ca="1" si="628"/>
        <v>0</v>
      </c>
      <c r="W1267">
        <f t="shared" ca="1" si="607"/>
        <v>0.05</v>
      </c>
      <c r="X1267">
        <f t="shared" ca="1" si="608"/>
        <v>0.26</v>
      </c>
      <c r="Y1267">
        <f t="shared" ca="1" si="609"/>
        <v>4.9056603773584909E-2</v>
      </c>
      <c r="Z1267">
        <f t="shared" ca="1" si="610"/>
        <v>196.15384615384616</v>
      </c>
      <c r="AA1267">
        <f t="shared" ca="1" si="611"/>
        <v>632.05349999999999</v>
      </c>
      <c r="AB1267">
        <f t="shared" ca="1" si="612"/>
        <v>2593.1305316486623</v>
      </c>
      <c r="AC1267">
        <f t="shared" ca="1" si="613"/>
        <v>482.07306851378365</v>
      </c>
      <c r="AD1267">
        <f t="shared" ca="1" si="614"/>
        <v>280.07692026646265</v>
      </c>
      <c r="AE1267">
        <f t="shared" ca="1" si="615"/>
        <v>1019.7665564573041</v>
      </c>
      <c r="AF1267">
        <f t="shared" ca="1" si="616"/>
        <v>481.77679776317837</v>
      </c>
      <c r="AG1267">
        <f t="shared" ca="1" si="617"/>
        <v>0</v>
      </c>
      <c r="AH1267">
        <f ca="1">IF(V32="Supercritical",L1267,IF(V32="Subcritical",W1267,IF(AND(V1267=1,AG1267=1),IF(T1267&gt;=AE1267,L1267,W1267),IF(V1267=1,L1267,IF(AG1267=1,W1267,MAX($D$16,POWER((ABS(K1267)^2)/($I$5*MAX(F1267,0.1)^2),1/3)))))))</f>
        <v>2.1403668656741068</v>
      </c>
      <c r="AI1267">
        <f t="shared" ca="1" si="618"/>
        <v>634.14386686567411</v>
      </c>
      <c r="AJ1267">
        <f t="shared" ca="1" si="619"/>
        <v>635.21405029851121</v>
      </c>
      <c r="AM1267">
        <v>0</v>
      </c>
      <c r="AN1267">
        <v>0</v>
      </c>
      <c r="AO1267">
        <f t="shared" si="620"/>
        <v>0</v>
      </c>
      <c r="AP1267">
        <f t="shared" si="629"/>
        <v>0</v>
      </c>
      <c r="AQ1267">
        <f t="shared" ca="1" si="621"/>
        <v>0.99999999999999978</v>
      </c>
      <c r="AR1267" t="str">
        <f t="shared" ca="1" si="622"/>
        <v>Supercritical</v>
      </c>
      <c r="AS1267">
        <f t="shared" ca="1" si="623"/>
        <v>3.8148159832266538E-3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191</v>
      </c>
      <c r="I1268">
        <v>5.7000000000000002E-2</v>
      </c>
      <c r="J1268">
        <f t="shared" si="624"/>
        <v>0.99899999999979627</v>
      </c>
      <c r="K1268">
        <f t="shared" si="625"/>
        <v>51</v>
      </c>
      <c r="L1268">
        <f t="shared" ca="1" si="626"/>
        <v>0.05</v>
      </c>
      <c r="M1268">
        <f t="shared" ca="1" si="599"/>
        <v>0.26</v>
      </c>
      <c r="N1268">
        <f t="shared" ca="1" si="600"/>
        <v>4.9056603773584909E-2</v>
      </c>
      <c r="O1268">
        <f t="shared" ca="1" si="601"/>
        <v>196.15384615384616</v>
      </c>
      <c r="P1268">
        <f t="shared" ca="1" si="602"/>
        <v>632.053</v>
      </c>
      <c r="Q1268">
        <f t="shared" ca="1" si="603"/>
        <v>2593.1300316486622</v>
      </c>
      <c r="R1268">
        <f t="shared" ca="1" si="604"/>
        <v>482.07306851378365</v>
      </c>
      <c r="S1268">
        <f t="shared" ca="1" si="605"/>
        <v>280.07692026646265</v>
      </c>
      <c r="T1268">
        <f t="shared" ca="1" si="606"/>
        <v>1019.7665564573041</v>
      </c>
      <c r="U1268">
        <f t="shared" ca="1" si="627"/>
        <v>-481.77679776317837</v>
      </c>
      <c r="V1268">
        <f t="shared" ca="1" si="628"/>
        <v>0</v>
      </c>
      <c r="W1268">
        <f t="shared" ca="1" si="607"/>
        <v>0.05</v>
      </c>
      <c r="X1268">
        <f t="shared" ca="1" si="608"/>
        <v>0.26</v>
      </c>
      <c r="Y1268">
        <f t="shared" ca="1" si="609"/>
        <v>4.9056603773584909E-2</v>
      </c>
      <c r="Z1268">
        <f t="shared" ca="1" si="610"/>
        <v>196.15384615384616</v>
      </c>
      <c r="AA1268">
        <f t="shared" ca="1" si="611"/>
        <v>632.053</v>
      </c>
      <c r="AB1268">
        <f t="shared" ca="1" si="612"/>
        <v>2593.1300316486622</v>
      </c>
      <c r="AC1268">
        <f t="shared" ca="1" si="613"/>
        <v>482.07306851378365</v>
      </c>
      <c r="AD1268">
        <f t="shared" ca="1" si="614"/>
        <v>280.07692026646265</v>
      </c>
      <c r="AE1268">
        <f t="shared" ca="1" si="615"/>
        <v>1019.7665564573041</v>
      </c>
      <c r="AF1268">
        <f t="shared" ca="1" si="616"/>
        <v>482.07256851378361</v>
      </c>
      <c r="AG1268">
        <f t="shared" ca="1" si="617"/>
        <v>0</v>
      </c>
      <c r="AH1268">
        <f ca="1">IF(V32="Supercritical",L1268,IF(V32="Subcritical",W1268,IF(AND(V1268=1,AG1268=1),IF(T1268&gt;=AE1268,L1268,W1268),IF(V1268=1,L1268,IF(AG1268=1,W1268,MAX($D$16,POWER((ABS(K1268)^2)/($I$5*MAX(F1268,0.1)^2),1/3)))))))</f>
        <v>2.1403668656741068</v>
      </c>
      <c r="AI1268">
        <f t="shared" ca="1" si="618"/>
        <v>634.14336686567412</v>
      </c>
      <c r="AJ1268">
        <f t="shared" ca="1" si="619"/>
        <v>635.21355029851122</v>
      </c>
      <c r="AM1268">
        <v>0</v>
      </c>
      <c r="AN1268">
        <v>0</v>
      </c>
      <c r="AO1268">
        <f t="shared" si="620"/>
        <v>0</v>
      </c>
      <c r="AP1268">
        <f t="shared" si="629"/>
        <v>0</v>
      </c>
      <c r="AQ1268">
        <f t="shared" ca="1" si="621"/>
        <v>0.99999999999999978</v>
      </c>
      <c r="AR1268" t="str">
        <f t="shared" ca="1" si="622"/>
        <v>Supercritical</v>
      </c>
      <c r="AS1268">
        <f t="shared" ca="1" si="623"/>
        <v>3.8148159832266538E-3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191</v>
      </c>
      <c r="I1269">
        <v>0</v>
      </c>
      <c r="J1269">
        <f t="shared" si="624"/>
        <v>1</v>
      </c>
      <c r="K1269">
        <f t="shared" si="625"/>
        <v>51</v>
      </c>
      <c r="L1269">
        <f t="shared" ca="1" si="626"/>
        <v>0.05</v>
      </c>
      <c r="M1269">
        <f t="shared" ca="1" si="599"/>
        <v>0.26</v>
      </c>
      <c r="N1269">
        <f t="shared" ca="1" si="600"/>
        <v>4.9056603773584909E-2</v>
      </c>
      <c r="O1269">
        <f t="shared" ca="1" si="601"/>
        <v>196.15384615384616</v>
      </c>
      <c r="P1269">
        <f t="shared" ca="1" si="602"/>
        <v>632.05250000000001</v>
      </c>
      <c r="Q1269">
        <f t="shared" ca="1" si="603"/>
        <v>2593.1295316486621</v>
      </c>
      <c r="R1269">
        <f t="shared" ca="1" si="604"/>
        <v>482.07306851378365</v>
      </c>
      <c r="S1269">
        <f t="shared" ca="1" si="605"/>
        <v>280.07692026646265</v>
      </c>
      <c r="T1269">
        <f t="shared" ca="1" si="606"/>
        <v>1019.7665564573041</v>
      </c>
      <c r="U1269">
        <f t="shared" ca="1" si="627"/>
        <v>-482.07256851378361</v>
      </c>
      <c r="V1269">
        <f t="shared" ca="1" si="628"/>
        <v>0</v>
      </c>
      <c r="W1269">
        <f t="shared" ca="1" si="607"/>
        <v>0.05</v>
      </c>
      <c r="X1269">
        <f t="shared" ca="1" si="608"/>
        <v>0.26</v>
      </c>
      <c r="Y1269">
        <f t="shared" ca="1" si="609"/>
        <v>4.9056603773584909E-2</v>
      </c>
      <c r="Z1269">
        <f t="shared" ca="1" si="610"/>
        <v>196.15384615384616</v>
      </c>
      <c r="AA1269">
        <f t="shared" ca="1" si="611"/>
        <v>632.05250000000001</v>
      </c>
      <c r="AB1269">
        <f t="shared" ca="1" si="612"/>
        <v>2593.1295316486621</v>
      </c>
      <c r="AC1269">
        <f t="shared" ca="1" si="613"/>
        <v>482.07306851378365</v>
      </c>
      <c r="AD1269">
        <f t="shared" ca="1" si="614"/>
        <v>280.07692026646265</v>
      </c>
      <c r="AE1269">
        <f t="shared" ca="1" si="615"/>
        <v>1019.7665564573041</v>
      </c>
      <c r="AF1269">
        <f t="shared" ca="1" si="616"/>
        <v>482.07256851378361</v>
      </c>
      <c r="AG1269">
        <f t="shared" ca="1" si="617"/>
        <v>0</v>
      </c>
      <c r="AH1269">
        <f ca="1">IF(V32="Supercritical",L1269,IF(V32="Subcritical",W1269,IF(AND(V1269=1,AG1269=1),IF(T1269&gt;=AE1269,L1269,W1269),IF(V1269=1,L1269,IF(AG1269=1,W1269,MAX($D$16,POWER((ABS(K1269)^2)/($I$5*MAX(F1269,0.1)^2),1/3)))))))</f>
        <v>2.1403668656741068</v>
      </c>
      <c r="AI1269">
        <f t="shared" ca="1" si="618"/>
        <v>634.14286686567414</v>
      </c>
      <c r="AJ1269">
        <f t="shared" ca="1" si="619"/>
        <v>635.21305029851123</v>
      </c>
      <c r="AM1269">
        <v>0</v>
      </c>
      <c r="AN1269">
        <v>0</v>
      </c>
      <c r="AO1269">
        <f t="shared" si="620"/>
        <v>0</v>
      </c>
      <c r="AP1269">
        <f t="shared" si="629"/>
        <v>0</v>
      </c>
      <c r="AQ1269">
        <f t="shared" ca="1" si="621"/>
        <v>0.99999999999999978</v>
      </c>
      <c r="AR1269" t="str">
        <f t="shared" ca="1" si="622"/>
        <v>Supercritical</v>
      </c>
      <c r="AS1269">
        <f t="shared" ca="1" si="623"/>
        <v>3.8148159832266538E-3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191</v>
      </c>
      <c r="I1270">
        <v>0</v>
      </c>
      <c r="J1270">
        <f t="shared" si="624"/>
        <v>1</v>
      </c>
      <c r="K1270">
        <f t="shared" si="625"/>
        <v>51</v>
      </c>
      <c r="L1270">
        <f t="shared" ca="1" si="626"/>
        <v>0.05</v>
      </c>
      <c r="M1270">
        <f t="shared" ca="1" si="599"/>
        <v>0.26</v>
      </c>
      <c r="N1270">
        <f t="shared" ca="1" si="600"/>
        <v>4.9056603773584909E-2</v>
      </c>
      <c r="O1270">
        <f t="shared" ca="1" si="601"/>
        <v>196.15384615384616</v>
      </c>
      <c r="P1270">
        <f t="shared" ca="1" si="602"/>
        <v>632.05199999999991</v>
      </c>
      <c r="Q1270">
        <f t="shared" ca="1" si="603"/>
        <v>2593.129031648662</v>
      </c>
      <c r="R1270">
        <f t="shared" ca="1" si="604"/>
        <v>482.07306851378365</v>
      </c>
      <c r="S1270">
        <f t="shared" ca="1" si="605"/>
        <v>280.07692026646265</v>
      </c>
      <c r="T1270">
        <f t="shared" ca="1" si="606"/>
        <v>1019.7665564573041</v>
      </c>
      <c r="U1270">
        <f t="shared" ca="1" si="627"/>
        <v>-482.07256851378361</v>
      </c>
      <c r="V1270">
        <f t="shared" ca="1" si="628"/>
        <v>0</v>
      </c>
      <c r="W1270">
        <f t="shared" ca="1" si="607"/>
        <v>0.05</v>
      </c>
      <c r="X1270">
        <f t="shared" ca="1" si="608"/>
        <v>0.26</v>
      </c>
      <c r="Y1270">
        <f t="shared" ca="1" si="609"/>
        <v>4.9056603773584909E-2</v>
      </c>
      <c r="Z1270">
        <f t="shared" ca="1" si="610"/>
        <v>196.15384615384616</v>
      </c>
      <c r="AA1270">
        <f t="shared" ca="1" si="611"/>
        <v>632.05199999999991</v>
      </c>
      <c r="AB1270">
        <f t="shared" ca="1" si="612"/>
        <v>2593.129031648662</v>
      </c>
      <c r="AC1270">
        <f t="shared" ca="1" si="613"/>
        <v>482.07306851378365</v>
      </c>
      <c r="AD1270">
        <f t="shared" ca="1" si="614"/>
        <v>280.07692026646265</v>
      </c>
      <c r="AE1270">
        <f t="shared" ca="1" si="615"/>
        <v>1019.7665564573041</v>
      </c>
      <c r="AF1270">
        <f t="shared" ca="1" si="616"/>
        <v>482.25887083179032</v>
      </c>
      <c r="AG1270">
        <f t="shared" ca="1" si="617"/>
        <v>0</v>
      </c>
      <c r="AH1270">
        <f ca="1">IF(V32="Supercritical",L1270,IF(V32="Subcritical",W1270,IF(AND(V1270=1,AG1270=1),IF(T1270&gt;=AE1270,L1270,W1270),IF(V1270=1,L1270,IF(AG1270=1,W1270,MAX($D$16,POWER((ABS(K1270)^2)/($I$5*MAX(F1270,0.1)^2),1/3)))))))</f>
        <v>2.1403668656741068</v>
      </c>
      <c r="AI1270">
        <f t="shared" ca="1" si="618"/>
        <v>634.14236686567403</v>
      </c>
      <c r="AJ1270">
        <f t="shared" ca="1" si="619"/>
        <v>635.21255029851113</v>
      </c>
      <c r="AM1270">
        <v>0</v>
      </c>
      <c r="AN1270">
        <v>0</v>
      </c>
      <c r="AO1270">
        <f t="shared" si="620"/>
        <v>0</v>
      </c>
      <c r="AP1270">
        <f t="shared" si="629"/>
        <v>0</v>
      </c>
      <c r="AQ1270">
        <f t="shared" ca="1" si="621"/>
        <v>0.99999999999999978</v>
      </c>
      <c r="AR1270" t="str">
        <f t="shared" ca="1" si="622"/>
        <v>Supercritical</v>
      </c>
      <c r="AS1270">
        <f t="shared" ca="1" si="623"/>
        <v>3.8148159832266538E-3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191</v>
      </c>
      <c r="I1271">
        <v>5.7000000000000002E-2</v>
      </c>
      <c r="J1271">
        <f t="shared" si="624"/>
        <v>1</v>
      </c>
      <c r="K1271">
        <f t="shared" si="625"/>
        <v>51</v>
      </c>
      <c r="L1271">
        <f t="shared" ca="1" si="626"/>
        <v>0.05</v>
      </c>
      <c r="M1271">
        <f t="shared" ca="1" si="599"/>
        <v>0.26</v>
      </c>
      <c r="N1271">
        <f t="shared" ca="1" si="600"/>
        <v>4.9056603773584909E-2</v>
      </c>
      <c r="O1271">
        <f t="shared" ca="1" si="601"/>
        <v>196.15384615384616</v>
      </c>
      <c r="P1271">
        <f t="shared" ca="1" si="602"/>
        <v>632.05149999999992</v>
      </c>
      <c r="Q1271">
        <f t="shared" ca="1" si="603"/>
        <v>2593.1285316486619</v>
      </c>
      <c r="R1271">
        <f t="shared" ca="1" si="604"/>
        <v>482.07306851378365</v>
      </c>
      <c r="S1271">
        <f t="shared" ca="1" si="605"/>
        <v>280.07692026646265</v>
      </c>
      <c r="T1271">
        <f t="shared" ca="1" si="606"/>
        <v>1019.7665564573041</v>
      </c>
      <c r="U1271">
        <f t="shared" ca="1" si="627"/>
        <v>-482.25887083179032</v>
      </c>
      <c r="V1271">
        <f t="shared" ca="1" si="628"/>
        <v>0</v>
      </c>
      <c r="W1271">
        <f t="shared" ca="1" si="607"/>
        <v>0.05</v>
      </c>
      <c r="X1271">
        <f t="shared" ca="1" si="608"/>
        <v>0.26</v>
      </c>
      <c r="Y1271">
        <f t="shared" ca="1" si="609"/>
        <v>4.9056603773584909E-2</v>
      </c>
      <c r="Z1271">
        <f t="shared" ca="1" si="610"/>
        <v>196.15384615384616</v>
      </c>
      <c r="AA1271">
        <f t="shared" ca="1" si="611"/>
        <v>632.05149999999992</v>
      </c>
      <c r="AB1271">
        <f t="shared" ca="1" si="612"/>
        <v>2593.1285316486619</v>
      </c>
      <c r="AC1271">
        <f t="shared" ca="1" si="613"/>
        <v>482.07306851378365</v>
      </c>
      <c r="AD1271">
        <f t="shared" ca="1" si="614"/>
        <v>280.07692026646265</v>
      </c>
      <c r="AE1271">
        <f t="shared" ca="1" si="615"/>
        <v>1019.7665564573041</v>
      </c>
      <c r="AF1271">
        <f t="shared" ca="1" si="616"/>
        <v>482.25887083179032</v>
      </c>
      <c r="AG1271">
        <f t="shared" ca="1" si="617"/>
        <v>0</v>
      </c>
      <c r="AH1271">
        <f ca="1">IF(V32="Supercritical",L1271,IF(V32="Subcritical",W1271,IF(AND(V1271=1,AG1271=1),IF(T1271&gt;=AE1271,L1271,W1271),IF(V1271=1,L1271,IF(AG1271=1,W1271,MAX($D$16,POWER((ABS(K1271)^2)/($I$5*MAX(F1271,0.1)^2),1/3)))))))</f>
        <v>2.1403668656741068</v>
      </c>
      <c r="AI1271">
        <f t="shared" ca="1" si="618"/>
        <v>634.14186686567405</v>
      </c>
      <c r="AJ1271">
        <f t="shared" ca="1" si="619"/>
        <v>635.21205029851114</v>
      </c>
      <c r="AM1271">
        <v>0</v>
      </c>
      <c r="AN1271">
        <v>0</v>
      </c>
      <c r="AO1271">
        <f t="shared" si="620"/>
        <v>0</v>
      </c>
      <c r="AP1271">
        <f t="shared" si="629"/>
        <v>0</v>
      </c>
      <c r="AQ1271">
        <f t="shared" ca="1" si="621"/>
        <v>0.99999999999999978</v>
      </c>
      <c r="AR1271" t="str">
        <f t="shared" ca="1" si="622"/>
        <v>Supercritical</v>
      </c>
      <c r="AS1271">
        <f t="shared" ca="1" si="623"/>
        <v>3.8148159832266538E-3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191</v>
      </c>
      <c r="I1272">
        <v>5.7000000000000002E-2</v>
      </c>
      <c r="J1272">
        <f t="shared" si="624"/>
        <v>1</v>
      </c>
      <c r="K1272">
        <f t="shared" si="625"/>
        <v>51</v>
      </c>
      <c r="L1272">
        <f t="shared" ca="1" si="626"/>
        <v>0.05</v>
      </c>
      <c r="M1272">
        <f t="shared" ca="1" si="599"/>
        <v>0.26</v>
      </c>
      <c r="N1272">
        <f t="shared" ca="1" si="600"/>
        <v>4.9056603773584909E-2</v>
      </c>
      <c r="O1272">
        <f t="shared" ca="1" si="601"/>
        <v>196.15384615384616</v>
      </c>
      <c r="P1272">
        <f t="shared" ca="1" si="602"/>
        <v>632.05099999999993</v>
      </c>
      <c r="Q1272">
        <f t="shared" ca="1" si="603"/>
        <v>2593.1280316486618</v>
      </c>
      <c r="R1272">
        <f t="shared" ca="1" si="604"/>
        <v>482.07306851378365</v>
      </c>
      <c r="S1272">
        <f t="shared" ca="1" si="605"/>
        <v>280.07692026646265</v>
      </c>
      <c r="T1272">
        <f t="shared" ca="1" si="606"/>
        <v>1019.7665564573041</v>
      </c>
      <c r="U1272">
        <f t="shared" ca="1" si="627"/>
        <v>-482.25887083179032</v>
      </c>
      <c r="V1272">
        <f t="shared" ca="1" si="628"/>
        <v>0</v>
      </c>
      <c r="W1272">
        <f t="shared" ca="1" si="607"/>
        <v>0.05</v>
      </c>
      <c r="X1272">
        <f t="shared" ca="1" si="608"/>
        <v>0.26</v>
      </c>
      <c r="Y1272">
        <f t="shared" ca="1" si="609"/>
        <v>4.9056603773584909E-2</v>
      </c>
      <c r="Z1272">
        <f t="shared" ca="1" si="610"/>
        <v>196.15384615384616</v>
      </c>
      <c r="AA1272">
        <f t="shared" ca="1" si="611"/>
        <v>632.05099999999993</v>
      </c>
      <c r="AB1272">
        <f t="shared" ca="1" si="612"/>
        <v>2593.1280316486618</v>
      </c>
      <c r="AC1272">
        <f t="shared" ca="1" si="613"/>
        <v>482.07306851378365</v>
      </c>
      <c r="AD1272">
        <f t="shared" ca="1" si="614"/>
        <v>280.07692026646265</v>
      </c>
      <c r="AE1272">
        <f t="shared" ca="1" si="615"/>
        <v>1019.7665564573041</v>
      </c>
      <c r="AF1272">
        <f t="shared" ca="1" si="616"/>
        <v>482.07256851378406</v>
      </c>
      <c r="AG1272">
        <f t="shared" ca="1" si="617"/>
        <v>0</v>
      </c>
      <c r="AH1272">
        <f ca="1">IF(V32="Supercritical",L1272,IF(V32="Subcritical",W1272,IF(AND(V1272=1,AG1272=1),IF(T1272&gt;=AE1272,L1272,W1272),IF(V1272=1,L1272,IF(AG1272=1,W1272,MAX($D$16,POWER((ABS(K1272)^2)/($I$5*MAX(F1272,0.1)^2),1/3)))))))</f>
        <v>2.1403668656741068</v>
      </c>
      <c r="AI1272">
        <f t="shared" ca="1" si="618"/>
        <v>634.14136686567406</v>
      </c>
      <c r="AJ1272">
        <f t="shared" ca="1" si="619"/>
        <v>635.21155029851116</v>
      </c>
      <c r="AM1272">
        <v>0</v>
      </c>
      <c r="AN1272">
        <v>0</v>
      </c>
      <c r="AO1272">
        <f t="shared" si="620"/>
        <v>0</v>
      </c>
      <c r="AP1272">
        <f t="shared" si="629"/>
        <v>0</v>
      </c>
      <c r="AQ1272">
        <f t="shared" ca="1" si="621"/>
        <v>0.99999999999999978</v>
      </c>
      <c r="AR1272" t="str">
        <f t="shared" ca="1" si="622"/>
        <v>Supercritical</v>
      </c>
      <c r="AS1272">
        <f t="shared" ca="1" si="623"/>
        <v>3.8148159832266538E-3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191</v>
      </c>
      <c r="I1273">
        <v>0</v>
      </c>
      <c r="J1273">
        <f t="shared" si="624"/>
        <v>1</v>
      </c>
      <c r="K1273">
        <f t="shared" si="625"/>
        <v>51</v>
      </c>
      <c r="L1273">
        <f t="shared" ca="1" si="626"/>
        <v>0.05</v>
      </c>
      <c r="M1273">
        <f t="shared" ca="1" si="599"/>
        <v>0.26</v>
      </c>
      <c r="N1273">
        <f t="shared" ca="1" si="600"/>
        <v>4.9056603773584909E-2</v>
      </c>
      <c r="O1273">
        <f t="shared" ca="1" si="601"/>
        <v>196.15384615384616</v>
      </c>
      <c r="P1273">
        <f t="shared" ca="1" si="602"/>
        <v>632.05049999999994</v>
      </c>
      <c r="Q1273">
        <f t="shared" ca="1" si="603"/>
        <v>2593.1275316486622</v>
      </c>
      <c r="R1273">
        <f t="shared" ca="1" si="604"/>
        <v>482.07306851378365</v>
      </c>
      <c r="S1273">
        <f t="shared" ca="1" si="605"/>
        <v>280.07692026646265</v>
      </c>
      <c r="T1273">
        <f t="shared" ca="1" si="606"/>
        <v>1019.7665564573041</v>
      </c>
      <c r="U1273">
        <f t="shared" ca="1" si="627"/>
        <v>-482.07256851378406</v>
      </c>
      <c r="V1273">
        <f t="shared" ca="1" si="628"/>
        <v>0</v>
      </c>
      <c r="W1273">
        <f t="shared" ca="1" si="607"/>
        <v>0.05</v>
      </c>
      <c r="X1273">
        <f t="shared" ca="1" si="608"/>
        <v>0.26</v>
      </c>
      <c r="Y1273">
        <f t="shared" ca="1" si="609"/>
        <v>4.9056603773584909E-2</v>
      </c>
      <c r="Z1273">
        <f t="shared" ca="1" si="610"/>
        <v>196.15384615384616</v>
      </c>
      <c r="AA1273">
        <f t="shared" ca="1" si="611"/>
        <v>632.05049999999994</v>
      </c>
      <c r="AB1273">
        <f t="shared" ca="1" si="612"/>
        <v>2593.1275316486622</v>
      </c>
      <c r="AC1273">
        <f t="shared" ca="1" si="613"/>
        <v>482.07306851378365</v>
      </c>
      <c r="AD1273">
        <f t="shared" ca="1" si="614"/>
        <v>280.07692026646265</v>
      </c>
      <c r="AE1273">
        <f t="shared" ca="1" si="615"/>
        <v>1019.7665564573041</v>
      </c>
      <c r="AF1273">
        <f t="shared" ca="1" si="616"/>
        <v>482.07910543722255</v>
      </c>
      <c r="AG1273">
        <f t="shared" ca="1" si="617"/>
        <v>0</v>
      </c>
      <c r="AH1273">
        <f ca="1">IF(V32="Supercritical",L1273,IF(V32="Subcritical",W1273,IF(AND(V1273=1,AG1273=1),IF(T1273&gt;=AE1273,L1273,W1273),IF(V1273=1,L1273,IF(AG1273=1,W1273,MAX($D$16,POWER((ABS(K1273)^2)/($I$5*MAX(F1273,0.1)^2),1/3)))))))</f>
        <v>2.1403668656741068</v>
      </c>
      <c r="AI1273">
        <f t="shared" ca="1" si="618"/>
        <v>634.14086686567407</v>
      </c>
      <c r="AJ1273">
        <f t="shared" ca="1" si="619"/>
        <v>635.21105029851117</v>
      </c>
      <c r="AM1273">
        <v>0</v>
      </c>
      <c r="AN1273">
        <v>0</v>
      </c>
      <c r="AO1273">
        <f t="shared" si="620"/>
        <v>0</v>
      </c>
      <c r="AP1273">
        <f t="shared" si="629"/>
        <v>0</v>
      </c>
      <c r="AQ1273">
        <f t="shared" ca="1" si="621"/>
        <v>0.99999999999999978</v>
      </c>
      <c r="AR1273" t="str">
        <f t="shared" ca="1" si="622"/>
        <v>Supercritical</v>
      </c>
      <c r="AS1273">
        <f t="shared" ca="1" si="623"/>
        <v>3.8148159832266538E-3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191</v>
      </c>
      <c r="I1274">
        <v>2E-3</v>
      </c>
      <c r="J1274">
        <f t="shared" si="624"/>
        <v>1</v>
      </c>
      <c r="K1274">
        <f t="shared" si="625"/>
        <v>51</v>
      </c>
      <c r="L1274">
        <f t="shared" ca="1" si="626"/>
        <v>0.05</v>
      </c>
      <c r="M1274">
        <f t="shared" ca="1" si="599"/>
        <v>0.26</v>
      </c>
      <c r="N1274">
        <f t="shared" ca="1" si="600"/>
        <v>4.9056603773584909E-2</v>
      </c>
      <c r="O1274">
        <f t="shared" ca="1" si="601"/>
        <v>196.15384615384616</v>
      </c>
      <c r="P1274">
        <f t="shared" ca="1" si="602"/>
        <v>632.04999999999995</v>
      </c>
      <c r="Q1274">
        <f t="shared" ca="1" si="603"/>
        <v>2593.1270316486621</v>
      </c>
      <c r="R1274">
        <f t="shared" ca="1" si="604"/>
        <v>482.07306851378365</v>
      </c>
      <c r="S1274">
        <f t="shared" ca="1" si="605"/>
        <v>280.07692026646265</v>
      </c>
      <c r="T1274">
        <f t="shared" ca="1" si="606"/>
        <v>1019.7665564573041</v>
      </c>
      <c r="U1274">
        <f t="shared" ca="1" si="627"/>
        <v>-482.07910543722255</v>
      </c>
      <c r="V1274">
        <f t="shared" ca="1" si="628"/>
        <v>0</v>
      </c>
      <c r="W1274">
        <f t="shared" ca="1" si="607"/>
        <v>0.05</v>
      </c>
      <c r="X1274">
        <f t="shared" ca="1" si="608"/>
        <v>0.26</v>
      </c>
      <c r="Y1274">
        <f t="shared" ca="1" si="609"/>
        <v>4.9056603773584909E-2</v>
      </c>
      <c r="Z1274">
        <f t="shared" ca="1" si="610"/>
        <v>196.15384615384616</v>
      </c>
      <c r="AA1274">
        <f t="shared" ca="1" si="611"/>
        <v>632.04999999999995</v>
      </c>
      <c r="AB1274">
        <f t="shared" ca="1" si="612"/>
        <v>2593.1270316486621</v>
      </c>
      <c r="AC1274">
        <f t="shared" ca="1" si="613"/>
        <v>482.07306851378365</v>
      </c>
      <c r="AD1274">
        <f t="shared" ca="1" si="614"/>
        <v>280.07692026646265</v>
      </c>
      <c r="AE1274">
        <f t="shared" ca="1" si="615"/>
        <v>1019.7665564573041</v>
      </c>
      <c r="AF1274">
        <f t="shared" ca="1" si="616"/>
        <v>482.75074928556023</v>
      </c>
      <c r="AG1274">
        <f t="shared" ca="1" si="617"/>
        <v>0</v>
      </c>
      <c r="AH1274">
        <f ca="1">IF(V32="Supercritical",L1274,IF(V32="Subcritical",W1274,IF(AND(V1274=1,AG1274=1),IF(T1274&gt;=AE1274,L1274,W1274),IF(V1274=1,L1274,IF(AG1274=1,W1274,MAX($D$16,POWER((ABS(K1274)^2)/($I$5*MAX(F1274,0.1)^2),1/3)))))))</f>
        <v>2.1403668656741068</v>
      </c>
      <c r="AI1274">
        <f t="shared" ca="1" si="618"/>
        <v>634.14036686567408</v>
      </c>
      <c r="AJ1274">
        <f t="shared" ca="1" si="619"/>
        <v>635.21055029851118</v>
      </c>
      <c r="AM1274">
        <v>0</v>
      </c>
      <c r="AN1274">
        <v>0</v>
      </c>
      <c r="AO1274">
        <f t="shared" si="620"/>
        <v>0</v>
      </c>
      <c r="AP1274">
        <f t="shared" si="629"/>
        <v>0</v>
      </c>
      <c r="AQ1274">
        <f t="shared" ca="1" si="621"/>
        <v>0.99999999999999978</v>
      </c>
      <c r="AR1274" t="str">
        <f t="shared" ca="1" si="622"/>
        <v>Supercritical</v>
      </c>
      <c r="AS1274">
        <f t="shared" ca="1" si="623"/>
        <v>3.8148159832266538E-3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191</v>
      </c>
      <c r="I1275">
        <v>0.06</v>
      </c>
      <c r="J1275">
        <f t="shared" si="624"/>
        <v>1.0010000000002037</v>
      </c>
      <c r="K1275">
        <f t="shared" si="625"/>
        <v>51</v>
      </c>
      <c r="L1275">
        <f t="shared" ca="1" si="626"/>
        <v>0.05</v>
      </c>
      <c r="M1275">
        <f t="shared" ca="1" si="599"/>
        <v>0.26</v>
      </c>
      <c r="N1275">
        <f t="shared" ca="1" si="600"/>
        <v>4.9056603773584909E-2</v>
      </c>
      <c r="O1275">
        <f t="shared" ca="1" si="601"/>
        <v>196.15384615384616</v>
      </c>
      <c r="P1275">
        <f t="shared" ca="1" si="602"/>
        <v>632.04949999999997</v>
      </c>
      <c r="Q1275">
        <f t="shared" ca="1" si="603"/>
        <v>2593.126531648662</v>
      </c>
      <c r="R1275">
        <f t="shared" ca="1" si="604"/>
        <v>482.07306851378365</v>
      </c>
      <c r="S1275">
        <f t="shared" ca="1" si="605"/>
        <v>280.07692026646265</v>
      </c>
      <c r="T1275">
        <f t="shared" ca="1" si="606"/>
        <v>1019.7665564573041</v>
      </c>
      <c r="U1275">
        <f t="shared" ca="1" si="627"/>
        <v>-482.75074928556023</v>
      </c>
      <c r="V1275">
        <f t="shared" ca="1" si="628"/>
        <v>0</v>
      </c>
      <c r="W1275">
        <f t="shared" ca="1" si="607"/>
        <v>0.05</v>
      </c>
      <c r="X1275">
        <f t="shared" ca="1" si="608"/>
        <v>0.26</v>
      </c>
      <c r="Y1275">
        <f t="shared" ca="1" si="609"/>
        <v>4.9056603773584909E-2</v>
      </c>
      <c r="Z1275">
        <f t="shared" ca="1" si="610"/>
        <v>196.15384615384616</v>
      </c>
      <c r="AA1275">
        <f t="shared" ca="1" si="611"/>
        <v>632.04949999999997</v>
      </c>
      <c r="AB1275">
        <f t="shared" ca="1" si="612"/>
        <v>2593.126531648662</v>
      </c>
      <c r="AC1275">
        <f t="shared" ca="1" si="613"/>
        <v>482.07306851378365</v>
      </c>
      <c r="AD1275">
        <f t="shared" ca="1" si="614"/>
        <v>280.07692026646265</v>
      </c>
      <c r="AE1275">
        <f t="shared" ca="1" si="615"/>
        <v>1019.7665564573041</v>
      </c>
      <c r="AF1275">
        <f t="shared" ca="1" si="616"/>
        <v>482.25887083179077</v>
      </c>
      <c r="AG1275">
        <f t="shared" ca="1" si="617"/>
        <v>0</v>
      </c>
      <c r="AH1275">
        <f ca="1">IF(V32="Supercritical",L1275,IF(V32="Subcritical",W1275,IF(AND(V1275=1,AG1275=1),IF(T1275&gt;=AE1275,L1275,W1275),IF(V1275=1,L1275,IF(AG1275=1,W1275,MAX($D$16,POWER((ABS(K1275)^2)/($I$5*MAX(F1275,0.1)^2),1/3)))))))</f>
        <v>2.1403668656741068</v>
      </c>
      <c r="AI1275">
        <f t="shared" ca="1" si="618"/>
        <v>634.13986686567409</v>
      </c>
      <c r="AJ1275">
        <f t="shared" ca="1" si="619"/>
        <v>635.21005029851119</v>
      </c>
      <c r="AM1275">
        <v>0</v>
      </c>
      <c r="AN1275">
        <v>0</v>
      </c>
      <c r="AO1275">
        <f t="shared" si="620"/>
        <v>0</v>
      </c>
      <c r="AP1275">
        <f t="shared" si="629"/>
        <v>0</v>
      </c>
      <c r="AQ1275">
        <f t="shared" ca="1" si="621"/>
        <v>0.99999999999999978</v>
      </c>
      <c r="AR1275" t="str">
        <f t="shared" ca="1" si="622"/>
        <v>Supercritical</v>
      </c>
      <c r="AS1275">
        <f t="shared" ca="1" si="623"/>
        <v>3.8148159832266538E-3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191</v>
      </c>
      <c r="I1276">
        <v>5.7000000000000002E-2</v>
      </c>
      <c r="J1276">
        <f t="shared" si="624"/>
        <v>1</v>
      </c>
      <c r="K1276">
        <f t="shared" si="625"/>
        <v>51</v>
      </c>
      <c r="L1276">
        <f t="shared" ca="1" si="626"/>
        <v>0.05</v>
      </c>
      <c r="M1276">
        <f t="shared" ca="1" si="599"/>
        <v>0.26</v>
      </c>
      <c r="N1276">
        <f t="shared" ca="1" si="600"/>
        <v>4.9056603773584909E-2</v>
      </c>
      <c r="O1276">
        <f t="shared" ca="1" si="601"/>
        <v>196.15384615384616</v>
      </c>
      <c r="P1276">
        <f t="shared" ca="1" si="602"/>
        <v>632.04899999999998</v>
      </c>
      <c r="Q1276">
        <f t="shared" ca="1" si="603"/>
        <v>2593.1260316486623</v>
      </c>
      <c r="R1276">
        <f t="shared" ca="1" si="604"/>
        <v>482.07306851378365</v>
      </c>
      <c r="S1276">
        <f t="shared" ca="1" si="605"/>
        <v>280.07692026646265</v>
      </c>
      <c r="T1276">
        <f t="shared" ca="1" si="606"/>
        <v>1019.7665564573041</v>
      </c>
      <c r="U1276">
        <f t="shared" ca="1" si="627"/>
        <v>-482.25887083179077</v>
      </c>
      <c r="V1276">
        <f t="shared" ca="1" si="628"/>
        <v>0</v>
      </c>
      <c r="W1276">
        <f t="shared" ca="1" si="607"/>
        <v>0.05</v>
      </c>
      <c r="X1276">
        <f t="shared" ca="1" si="608"/>
        <v>0.26</v>
      </c>
      <c r="Y1276">
        <f t="shared" ca="1" si="609"/>
        <v>4.9056603773584909E-2</v>
      </c>
      <c r="Z1276">
        <f t="shared" ca="1" si="610"/>
        <v>196.15384615384616</v>
      </c>
      <c r="AA1276">
        <f t="shared" ca="1" si="611"/>
        <v>632.04899999999998</v>
      </c>
      <c r="AB1276">
        <f t="shared" ca="1" si="612"/>
        <v>2593.1260316486623</v>
      </c>
      <c r="AC1276">
        <f t="shared" ca="1" si="613"/>
        <v>482.07306851378365</v>
      </c>
      <c r="AD1276">
        <f t="shared" ca="1" si="614"/>
        <v>280.07692026646265</v>
      </c>
      <c r="AE1276">
        <f t="shared" ca="1" si="615"/>
        <v>1019.7665564573041</v>
      </c>
      <c r="AF1276">
        <f t="shared" ca="1" si="616"/>
        <v>481.59049544517165</v>
      </c>
      <c r="AG1276">
        <f t="shared" ca="1" si="617"/>
        <v>0</v>
      </c>
      <c r="AH1276">
        <f ca="1">IF(V32="Supercritical",L1276,IF(V32="Subcritical",W1276,IF(AND(V1276=1,AG1276=1),IF(T1276&gt;=AE1276,L1276,W1276),IF(V1276=1,L1276,IF(AG1276=1,W1276,MAX($D$16,POWER((ABS(K1276)^2)/($I$5*MAX(F1276,0.1)^2),1/3)))))))</f>
        <v>2.1403668656741068</v>
      </c>
      <c r="AI1276">
        <f t="shared" ca="1" si="618"/>
        <v>634.13936686567411</v>
      </c>
      <c r="AJ1276">
        <f t="shared" ca="1" si="619"/>
        <v>635.2095502985112</v>
      </c>
      <c r="AM1276">
        <v>0</v>
      </c>
      <c r="AN1276">
        <v>0</v>
      </c>
      <c r="AO1276">
        <f t="shared" si="620"/>
        <v>0</v>
      </c>
      <c r="AP1276">
        <f t="shared" si="629"/>
        <v>0</v>
      </c>
      <c r="AQ1276">
        <f t="shared" ca="1" si="621"/>
        <v>0.99999999999999978</v>
      </c>
      <c r="AR1276" t="str">
        <f t="shared" ca="1" si="622"/>
        <v>Supercritical</v>
      </c>
      <c r="AS1276">
        <f t="shared" ca="1" si="623"/>
        <v>3.8148159832266538E-3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191</v>
      </c>
      <c r="I1277">
        <v>0</v>
      </c>
      <c r="J1277">
        <f t="shared" si="624"/>
        <v>0.99899999999979627</v>
      </c>
      <c r="K1277">
        <f t="shared" si="625"/>
        <v>51</v>
      </c>
      <c r="L1277">
        <f t="shared" ca="1" si="626"/>
        <v>0.05</v>
      </c>
      <c r="M1277">
        <f t="shared" ca="1" si="599"/>
        <v>0.26</v>
      </c>
      <c r="N1277">
        <f t="shared" ca="1" si="600"/>
        <v>4.9056603773584909E-2</v>
      </c>
      <c r="O1277">
        <f t="shared" ca="1" si="601"/>
        <v>196.15384615384616</v>
      </c>
      <c r="P1277">
        <f t="shared" ca="1" si="602"/>
        <v>632.04849999999999</v>
      </c>
      <c r="Q1277">
        <f t="shared" ca="1" si="603"/>
        <v>2593.1255316486622</v>
      </c>
      <c r="R1277">
        <f t="shared" ca="1" si="604"/>
        <v>482.07306851378365</v>
      </c>
      <c r="S1277">
        <f t="shared" ca="1" si="605"/>
        <v>280.07692026646265</v>
      </c>
      <c r="T1277">
        <f t="shared" ca="1" si="606"/>
        <v>1019.7665564573041</v>
      </c>
      <c r="U1277">
        <f t="shared" ca="1" si="627"/>
        <v>-481.59049544517165</v>
      </c>
      <c r="V1277">
        <f t="shared" ca="1" si="628"/>
        <v>0</v>
      </c>
      <c r="W1277">
        <f t="shared" ca="1" si="607"/>
        <v>0.05</v>
      </c>
      <c r="X1277">
        <f t="shared" ca="1" si="608"/>
        <v>0.26</v>
      </c>
      <c r="Y1277">
        <f t="shared" ca="1" si="609"/>
        <v>4.9056603773584909E-2</v>
      </c>
      <c r="Z1277">
        <f t="shared" ca="1" si="610"/>
        <v>196.15384615384616</v>
      </c>
      <c r="AA1277">
        <f t="shared" ca="1" si="611"/>
        <v>632.04849999999999</v>
      </c>
      <c r="AB1277">
        <f t="shared" ca="1" si="612"/>
        <v>2593.1255316486622</v>
      </c>
      <c r="AC1277">
        <f t="shared" ca="1" si="613"/>
        <v>482.07306851378365</v>
      </c>
      <c r="AD1277">
        <f t="shared" ca="1" si="614"/>
        <v>280.07692026646265</v>
      </c>
      <c r="AE1277">
        <f t="shared" ca="1" si="615"/>
        <v>1019.7665564573041</v>
      </c>
      <c r="AF1277">
        <f t="shared" ca="1" si="616"/>
        <v>482.07256851378361</v>
      </c>
      <c r="AG1277">
        <f t="shared" ca="1" si="617"/>
        <v>0</v>
      </c>
      <c r="AH1277">
        <f ca="1">IF(V32="Supercritical",L1277,IF(V32="Subcritical",W1277,IF(AND(V1277=1,AG1277=1),IF(T1277&gt;=AE1277,L1277,W1277),IF(V1277=1,L1277,IF(AG1277=1,W1277,MAX($D$16,POWER((ABS(K1277)^2)/($I$5*MAX(F1277,0.1)^2),1/3)))))))</f>
        <v>2.1403668656741068</v>
      </c>
      <c r="AI1277">
        <f t="shared" ca="1" si="618"/>
        <v>634.13886686567412</v>
      </c>
      <c r="AJ1277">
        <f t="shared" ca="1" si="619"/>
        <v>635.20905029851122</v>
      </c>
      <c r="AM1277">
        <v>0</v>
      </c>
      <c r="AN1277">
        <v>0</v>
      </c>
      <c r="AO1277">
        <f t="shared" si="620"/>
        <v>0</v>
      </c>
      <c r="AP1277">
        <f t="shared" si="629"/>
        <v>0</v>
      </c>
      <c r="AQ1277">
        <f t="shared" ca="1" si="621"/>
        <v>0.99999999999999978</v>
      </c>
      <c r="AR1277" t="str">
        <f t="shared" ca="1" si="622"/>
        <v>Supercritical</v>
      </c>
      <c r="AS1277">
        <f t="shared" ca="1" si="623"/>
        <v>3.8148159832266538E-3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191</v>
      </c>
      <c r="I1278">
        <v>0</v>
      </c>
      <c r="J1278">
        <f t="shared" si="624"/>
        <v>1</v>
      </c>
      <c r="K1278">
        <f t="shared" si="625"/>
        <v>51</v>
      </c>
      <c r="L1278">
        <f t="shared" ca="1" si="626"/>
        <v>0.05</v>
      </c>
      <c r="M1278">
        <f t="shared" ca="1" si="599"/>
        <v>0.26</v>
      </c>
      <c r="N1278">
        <f t="shared" ca="1" si="600"/>
        <v>4.9056603773584909E-2</v>
      </c>
      <c r="O1278">
        <f t="shared" ca="1" si="601"/>
        <v>196.15384615384616</v>
      </c>
      <c r="P1278">
        <f t="shared" ca="1" si="602"/>
        <v>632.048</v>
      </c>
      <c r="Q1278">
        <f t="shared" ca="1" si="603"/>
        <v>2593.1250316486621</v>
      </c>
      <c r="R1278">
        <f t="shared" ca="1" si="604"/>
        <v>482.07306851378365</v>
      </c>
      <c r="S1278">
        <f t="shared" ca="1" si="605"/>
        <v>280.07692026646265</v>
      </c>
      <c r="T1278">
        <f t="shared" ca="1" si="606"/>
        <v>1019.7665564573041</v>
      </c>
      <c r="U1278">
        <f t="shared" ca="1" si="627"/>
        <v>-482.07256851378361</v>
      </c>
      <c r="V1278">
        <f t="shared" ca="1" si="628"/>
        <v>0</v>
      </c>
      <c r="W1278">
        <f t="shared" ca="1" si="607"/>
        <v>0.05</v>
      </c>
      <c r="X1278">
        <f t="shared" ca="1" si="608"/>
        <v>0.26</v>
      </c>
      <c r="Y1278">
        <f t="shared" ca="1" si="609"/>
        <v>4.9056603773584909E-2</v>
      </c>
      <c r="Z1278">
        <f t="shared" ca="1" si="610"/>
        <v>196.15384615384616</v>
      </c>
      <c r="AA1278">
        <f t="shared" ca="1" si="611"/>
        <v>632.048</v>
      </c>
      <c r="AB1278">
        <f t="shared" ca="1" si="612"/>
        <v>2593.1250316486621</v>
      </c>
      <c r="AC1278">
        <f t="shared" ca="1" si="613"/>
        <v>482.07306851378365</v>
      </c>
      <c r="AD1278">
        <f t="shared" ca="1" si="614"/>
        <v>280.07692026646265</v>
      </c>
      <c r="AE1278">
        <f t="shared" ca="1" si="615"/>
        <v>1019.7665564573041</v>
      </c>
      <c r="AF1278">
        <f t="shared" ca="1" si="616"/>
        <v>482.25887083179032</v>
      </c>
      <c r="AG1278">
        <f t="shared" ca="1" si="617"/>
        <v>0</v>
      </c>
      <c r="AH1278">
        <f ca="1">IF(V32="Supercritical",L1278,IF(V32="Subcritical",W1278,IF(AND(V1278=1,AG1278=1),IF(T1278&gt;=AE1278,L1278,W1278),IF(V1278=1,L1278,IF(AG1278=1,W1278,MAX($D$16,POWER((ABS(K1278)^2)/($I$5*MAX(F1278,0.1)^2),1/3)))))))</f>
        <v>2.1403668656741068</v>
      </c>
      <c r="AI1278">
        <f t="shared" ca="1" si="618"/>
        <v>634.13836686567413</v>
      </c>
      <c r="AJ1278">
        <f t="shared" ca="1" si="619"/>
        <v>635.20855029851123</v>
      </c>
      <c r="AM1278">
        <v>0</v>
      </c>
      <c r="AN1278">
        <v>0</v>
      </c>
      <c r="AO1278">
        <f t="shared" si="620"/>
        <v>0</v>
      </c>
      <c r="AP1278">
        <f t="shared" si="629"/>
        <v>0</v>
      </c>
      <c r="AQ1278">
        <f t="shared" ca="1" si="621"/>
        <v>0.99999999999999978</v>
      </c>
      <c r="AR1278" t="str">
        <f t="shared" ca="1" si="622"/>
        <v>Supercritical</v>
      </c>
      <c r="AS1278">
        <f t="shared" ca="1" si="623"/>
        <v>3.8148159832266538E-3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191</v>
      </c>
      <c r="I1279">
        <v>5.7000000000000002E-2</v>
      </c>
      <c r="J1279">
        <f t="shared" si="624"/>
        <v>1</v>
      </c>
      <c r="K1279">
        <f t="shared" si="625"/>
        <v>51</v>
      </c>
      <c r="L1279">
        <f t="shared" ca="1" si="626"/>
        <v>0.05</v>
      </c>
      <c r="M1279">
        <f t="shared" ca="1" si="599"/>
        <v>0.26</v>
      </c>
      <c r="N1279">
        <f t="shared" ca="1" si="600"/>
        <v>4.9056603773584909E-2</v>
      </c>
      <c r="O1279">
        <f t="shared" ca="1" si="601"/>
        <v>196.15384615384616</v>
      </c>
      <c r="P1279">
        <f t="shared" ca="1" si="602"/>
        <v>632.0474999999999</v>
      </c>
      <c r="Q1279">
        <f t="shared" ca="1" si="603"/>
        <v>2593.124531648662</v>
      </c>
      <c r="R1279">
        <f t="shared" ca="1" si="604"/>
        <v>482.07306851378365</v>
      </c>
      <c r="S1279">
        <f t="shared" ca="1" si="605"/>
        <v>280.07692026646265</v>
      </c>
      <c r="T1279">
        <f t="shared" ca="1" si="606"/>
        <v>1019.7665564573041</v>
      </c>
      <c r="U1279">
        <f t="shared" ca="1" si="627"/>
        <v>-482.25887083179032</v>
      </c>
      <c r="V1279">
        <f t="shared" ca="1" si="628"/>
        <v>0</v>
      </c>
      <c r="W1279">
        <f t="shared" ca="1" si="607"/>
        <v>0.05</v>
      </c>
      <c r="X1279">
        <f t="shared" ca="1" si="608"/>
        <v>0.26</v>
      </c>
      <c r="Y1279">
        <f t="shared" ca="1" si="609"/>
        <v>4.9056603773584909E-2</v>
      </c>
      <c r="Z1279">
        <f t="shared" ca="1" si="610"/>
        <v>196.15384615384616</v>
      </c>
      <c r="AA1279">
        <f t="shared" ca="1" si="611"/>
        <v>632.0474999999999</v>
      </c>
      <c r="AB1279">
        <f t="shared" ca="1" si="612"/>
        <v>2593.124531648662</v>
      </c>
      <c r="AC1279">
        <f t="shared" ca="1" si="613"/>
        <v>482.07306851378365</v>
      </c>
      <c r="AD1279">
        <f t="shared" ca="1" si="614"/>
        <v>280.07692026646265</v>
      </c>
      <c r="AE1279">
        <f t="shared" ca="1" si="615"/>
        <v>1019.7665564573041</v>
      </c>
      <c r="AF1279">
        <f t="shared" ca="1" si="616"/>
        <v>482.25887083179032</v>
      </c>
      <c r="AG1279">
        <f t="shared" ca="1" si="617"/>
        <v>0</v>
      </c>
      <c r="AH1279">
        <f ca="1">IF(V32="Supercritical",L1279,IF(V32="Subcritical",W1279,IF(AND(V1279=1,AG1279=1),IF(T1279&gt;=AE1279,L1279,W1279),IF(V1279=1,L1279,IF(AG1279=1,W1279,MAX($D$16,POWER((ABS(K1279)^2)/($I$5*MAX(F1279,0.1)^2),1/3)))))))</f>
        <v>2.1403668656741068</v>
      </c>
      <c r="AI1279">
        <f t="shared" ca="1" si="618"/>
        <v>634.13786686567403</v>
      </c>
      <c r="AJ1279">
        <f t="shared" ca="1" si="619"/>
        <v>635.20805029851113</v>
      </c>
      <c r="AM1279">
        <v>0</v>
      </c>
      <c r="AN1279">
        <v>0</v>
      </c>
      <c r="AO1279">
        <f t="shared" si="620"/>
        <v>0</v>
      </c>
      <c r="AP1279">
        <f t="shared" si="629"/>
        <v>0</v>
      </c>
      <c r="AQ1279">
        <f t="shared" ca="1" si="621"/>
        <v>0.99999999999999978</v>
      </c>
      <c r="AR1279" t="str">
        <f t="shared" ca="1" si="622"/>
        <v>Supercritical</v>
      </c>
      <c r="AS1279">
        <f t="shared" ca="1" si="623"/>
        <v>3.8148159832266538E-3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191</v>
      </c>
      <c r="I1280">
        <v>5.7000000000000002E-2</v>
      </c>
      <c r="J1280">
        <f t="shared" si="624"/>
        <v>1</v>
      </c>
      <c r="K1280">
        <f t="shared" si="625"/>
        <v>51</v>
      </c>
      <c r="L1280">
        <f t="shared" ca="1" si="626"/>
        <v>0.05</v>
      </c>
      <c r="M1280">
        <f t="shared" ca="1" si="599"/>
        <v>0.26</v>
      </c>
      <c r="N1280">
        <f t="shared" ca="1" si="600"/>
        <v>4.9056603773584909E-2</v>
      </c>
      <c r="O1280">
        <f t="shared" ca="1" si="601"/>
        <v>196.15384615384616</v>
      </c>
      <c r="P1280">
        <f t="shared" ca="1" si="602"/>
        <v>632.04699999999991</v>
      </c>
      <c r="Q1280">
        <f t="shared" ca="1" si="603"/>
        <v>2593.1240316486619</v>
      </c>
      <c r="R1280">
        <f t="shared" ca="1" si="604"/>
        <v>482.07306851378365</v>
      </c>
      <c r="S1280">
        <f t="shared" ca="1" si="605"/>
        <v>280.07692026646265</v>
      </c>
      <c r="T1280">
        <f t="shared" ca="1" si="606"/>
        <v>1019.7665564573041</v>
      </c>
      <c r="U1280">
        <f t="shared" ca="1" si="627"/>
        <v>-482.25887083179032</v>
      </c>
      <c r="V1280">
        <f t="shared" ca="1" si="628"/>
        <v>0</v>
      </c>
      <c r="W1280">
        <f t="shared" ca="1" si="607"/>
        <v>0.05</v>
      </c>
      <c r="X1280">
        <f t="shared" ca="1" si="608"/>
        <v>0.26</v>
      </c>
      <c r="Y1280">
        <f t="shared" ca="1" si="609"/>
        <v>4.9056603773584909E-2</v>
      </c>
      <c r="Z1280">
        <f t="shared" ca="1" si="610"/>
        <v>196.15384615384616</v>
      </c>
      <c r="AA1280">
        <f t="shared" ca="1" si="611"/>
        <v>632.04699999999991</v>
      </c>
      <c r="AB1280">
        <f t="shared" ca="1" si="612"/>
        <v>2593.1240316486619</v>
      </c>
      <c r="AC1280">
        <f t="shared" ca="1" si="613"/>
        <v>482.07306851378365</v>
      </c>
      <c r="AD1280">
        <f t="shared" ca="1" si="614"/>
        <v>280.07692026646265</v>
      </c>
      <c r="AE1280">
        <f t="shared" ca="1" si="615"/>
        <v>1019.7665564573041</v>
      </c>
      <c r="AF1280">
        <f t="shared" ca="1" si="616"/>
        <v>482.07256851378361</v>
      </c>
      <c r="AG1280">
        <f t="shared" ca="1" si="617"/>
        <v>0</v>
      </c>
      <c r="AH1280">
        <f ca="1">IF(V32="Supercritical",L1280,IF(V32="Subcritical",W1280,IF(AND(V1280=1,AG1280=1),IF(T1280&gt;=AE1280,L1280,W1280),IF(V1280=1,L1280,IF(AG1280=1,W1280,MAX($D$16,POWER((ABS(K1280)^2)/($I$5*MAX(F1280,0.1)^2),1/3)))))))</f>
        <v>2.1403668656741068</v>
      </c>
      <c r="AI1280">
        <f t="shared" ca="1" si="618"/>
        <v>634.13736686567404</v>
      </c>
      <c r="AJ1280">
        <f t="shared" ca="1" si="619"/>
        <v>635.20755029851114</v>
      </c>
      <c r="AM1280">
        <v>0</v>
      </c>
      <c r="AN1280">
        <v>0</v>
      </c>
      <c r="AO1280">
        <f t="shared" si="620"/>
        <v>0</v>
      </c>
      <c r="AP1280">
        <f t="shared" si="629"/>
        <v>0</v>
      </c>
      <c r="AQ1280">
        <f t="shared" ca="1" si="621"/>
        <v>0.99999999999999978</v>
      </c>
      <c r="AR1280" t="str">
        <f t="shared" ca="1" si="622"/>
        <v>Supercritical</v>
      </c>
      <c r="AS1280">
        <f t="shared" ca="1" si="623"/>
        <v>3.8148159832266538E-3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191</v>
      </c>
      <c r="I1281">
        <v>0</v>
      </c>
      <c r="J1281">
        <f t="shared" si="624"/>
        <v>1</v>
      </c>
      <c r="K1281">
        <f t="shared" si="625"/>
        <v>51</v>
      </c>
      <c r="L1281">
        <f t="shared" ca="1" si="626"/>
        <v>0.05</v>
      </c>
      <c r="M1281">
        <f t="shared" ca="1" si="599"/>
        <v>0.26</v>
      </c>
      <c r="N1281">
        <f t="shared" ca="1" si="600"/>
        <v>4.9056603773584909E-2</v>
      </c>
      <c r="O1281">
        <f t="shared" ca="1" si="601"/>
        <v>196.15384615384616</v>
      </c>
      <c r="P1281">
        <f t="shared" ca="1" si="602"/>
        <v>632.04649999999992</v>
      </c>
      <c r="Q1281">
        <f t="shared" ca="1" si="603"/>
        <v>2593.1235316486618</v>
      </c>
      <c r="R1281">
        <f t="shared" ca="1" si="604"/>
        <v>482.07306851378365</v>
      </c>
      <c r="S1281">
        <f t="shared" ca="1" si="605"/>
        <v>280.07692026646265</v>
      </c>
      <c r="T1281">
        <f t="shared" ca="1" si="606"/>
        <v>1019.7665564573041</v>
      </c>
      <c r="U1281">
        <f t="shared" ca="1" si="627"/>
        <v>-482.07256851378361</v>
      </c>
      <c r="V1281">
        <f t="shared" ca="1" si="628"/>
        <v>0</v>
      </c>
      <c r="W1281">
        <f t="shared" ca="1" si="607"/>
        <v>0.05</v>
      </c>
      <c r="X1281">
        <f t="shared" ca="1" si="608"/>
        <v>0.26</v>
      </c>
      <c r="Y1281">
        <f t="shared" ca="1" si="609"/>
        <v>4.9056603773584909E-2</v>
      </c>
      <c r="Z1281">
        <f t="shared" ca="1" si="610"/>
        <v>196.15384615384616</v>
      </c>
      <c r="AA1281">
        <f t="shared" ca="1" si="611"/>
        <v>632.04649999999992</v>
      </c>
      <c r="AB1281">
        <f t="shared" ca="1" si="612"/>
        <v>2593.1235316486618</v>
      </c>
      <c r="AC1281">
        <f t="shared" ca="1" si="613"/>
        <v>482.07306851378365</v>
      </c>
      <c r="AD1281">
        <f t="shared" ca="1" si="614"/>
        <v>280.07692026646265</v>
      </c>
      <c r="AE1281">
        <f t="shared" ca="1" si="615"/>
        <v>1019.7665564573041</v>
      </c>
      <c r="AF1281">
        <f t="shared" ca="1" si="616"/>
        <v>482.07256851378406</v>
      </c>
      <c r="AG1281">
        <f t="shared" ca="1" si="617"/>
        <v>0</v>
      </c>
      <c r="AH1281">
        <f ca="1">IF(V32="Supercritical",L1281,IF(V32="Subcritical",W1281,IF(AND(V1281=1,AG1281=1),IF(T1281&gt;=AE1281,L1281,W1281),IF(V1281=1,L1281,IF(AG1281=1,W1281,MAX($D$16,POWER((ABS(K1281)^2)/($I$5*MAX(F1281,0.1)^2),1/3)))))))</f>
        <v>2.1403668656741068</v>
      </c>
      <c r="AI1281">
        <f t="shared" ca="1" si="618"/>
        <v>634.13686686567405</v>
      </c>
      <c r="AJ1281">
        <f t="shared" ca="1" si="619"/>
        <v>635.20705029851115</v>
      </c>
      <c r="AM1281">
        <v>0</v>
      </c>
      <c r="AN1281">
        <v>0</v>
      </c>
      <c r="AO1281">
        <f t="shared" si="620"/>
        <v>0</v>
      </c>
      <c r="AP1281">
        <f t="shared" si="629"/>
        <v>0</v>
      </c>
      <c r="AQ1281">
        <f t="shared" ca="1" si="621"/>
        <v>0.99999999999999978</v>
      </c>
      <c r="AR1281" t="str">
        <f t="shared" ca="1" si="622"/>
        <v>Supercritical</v>
      </c>
      <c r="AS1281">
        <f t="shared" ca="1" si="623"/>
        <v>3.8148159832266538E-3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191</v>
      </c>
      <c r="I1282">
        <v>0</v>
      </c>
      <c r="J1282">
        <f t="shared" si="624"/>
        <v>1</v>
      </c>
      <c r="K1282">
        <f t="shared" si="625"/>
        <v>51</v>
      </c>
      <c r="L1282">
        <f t="shared" ca="1" si="626"/>
        <v>0.05</v>
      </c>
      <c r="M1282">
        <f t="shared" ca="1" si="599"/>
        <v>0.26</v>
      </c>
      <c r="N1282">
        <f t="shared" ca="1" si="600"/>
        <v>4.9056603773584909E-2</v>
      </c>
      <c r="O1282">
        <f t="shared" ca="1" si="601"/>
        <v>196.15384615384616</v>
      </c>
      <c r="P1282">
        <f t="shared" ca="1" si="602"/>
        <v>632.04599999999994</v>
      </c>
      <c r="Q1282">
        <f t="shared" ca="1" si="603"/>
        <v>2593.1230316486622</v>
      </c>
      <c r="R1282">
        <f t="shared" ca="1" si="604"/>
        <v>482.07306851378365</v>
      </c>
      <c r="S1282">
        <f t="shared" ca="1" si="605"/>
        <v>280.07692026646265</v>
      </c>
      <c r="T1282">
        <f t="shared" ca="1" si="606"/>
        <v>1019.7665564573041</v>
      </c>
      <c r="U1282">
        <f t="shared" ca="1" si="627"/>
        <v>-482.07256851378406</v>
      </c>
      <c r="V1282">
        <f t="shared" ca="1" si="628"/>
        <v>0</v>
      </c>
      <c r="W1282">
        <f t="shared" ca="1" si="607"/>
        <v>0.05</v>
      </c>
      <c r="X1282">
        <f t="shared" ca="1" si="608"/>
        <v>0.26</v>
      </c>
      <c r="Y1282">
        <f t="shared" ca="1" si="609"/>
        <v>4.9056603773584909E-2</v>
      </c>
      <c r="Z1282">
        <f t="shared" ca="1" si="610"/>
        <v>196.15384615384616</v>
      </c>
      <c r="AA1282">
        <f t="shared" ca="1" si="611"/>
        <v>632.04599999999994</v>
      </c>
      <c r="AB1282">
        <f t="shared" ca="1" si="612"/>
        <v>2593.1230316486622</v>
      </c>
      <c r="AC1282">
        <f t="shared" ca="1" si="613"/>
        <v>482.07306851378365</v>
      </c>
      <c r="AD1282">
        <f t="shared" ca="1" si="614"/>
        <v>280.07692026646265</v>
      </c>
      <c r="AE1282">
        <f t="shared" ca="1" si="615"/>
        <v>1019.7665564573041</v>
      </c>
      <c r="AF1282">
        <f t="shared" ca="1" si="616"/>
        <v>482.25233390835137</v>
      </c>
      <c r="AG1282">
        <f t="shared" ca="1" si="617"/>
        <v>0</v>
      </c>
      <c r="AH1282">
        <f ca="1">IF(V32="Supercritical",L1282,IF(V32="Subcritical",W1282,IF(AND(V1282=1,AG1282=1),IF(T1282&gt;=AE1282,L1282,W1282),IF(V1282=1,L1282,IF(AG1282=1,W1282,MAX($D$16,POWER((ABS(K1282)^2)/($I$5*MAX(F1282,0.1)^2),1/3)))))))</f>
        <v>2.1403668656741068</v>
      </c>
      <c r="AI1282">
        <f t="shared" ca="1" si="618"/>
        <v>634.13636686567406</v>
      </c>
      <c r="AJ1282">
        <f t="shared" ca="1" si="619"/>
        <v>635.20655029851116</v>
      </c>
      <c r="AM1282">
        <v>0</v>
      </c>
      <c r="AN1282">
        <v>0</v>
      </c>
      <c r="AO1282">
        <f t="shared" si="620"/>
        <v>0</v>
      </c>
      <c r="AP1282">
        <f t="shared" si="629"/>
        <v>0</v>
      </c>
      <c r="AQ1282">
        <f t="shared" ca="1" si="621"/>
        <v>0.99999999999999978</v>
      </c>
      <c r="AR1282" t="str">
        <f t="shared" ca="1" si="622"/>
        <v>Supercritical</v>
      </c>
      <c r="AS1282">
        <f t="shared" ca="1" si="623"/>
        <v>3.8148159832266538E-3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191</v>
      </c>
      <c r="I1283">
        <v>5.5E-2</v>
      </c>
      <c r="J1283">
        <f t="shared" si="624"/>
        <v>1</v>
      </c>
      <c r="K1283">
        <f t="shared" si="625"/>
        <v>51</v>
      </c>
      <c r="L1283">
        <f t="shared" ca="1" si="626"/>
        <v>0.05</v>
      </c>
      <c r="M1283">
        <f t="shared" ca="1" si="599"/>
        <v>0.26</v>
      </c>
      <c r="N1283">
        <f t="shared" ca="1" si="600"/>
        <v>4.9056603773584909E-2</v>
      </c>
      <c r="O1283">
        <f t="shared" ca="1" si="601"/>
        <v>196.15384615384616</v>
      </c>
      <c r="P1283">
        <f t="shared" ca="1" si="602"/>
        <v>632.04549999999995</v>
      </c>
      <c r="Q1283">
        <f t="shared" ca="1" si="603"/>
        <v>2593.1225316486621</v>
      </c>
      <c r="R1283">
        <f t="shared" ca="1" si="604"/>
        <v>482.07306851378365</v>
      </c>
      <c r="S1283">
        <f t="shared" ca="1" si="605"/>
        <v>280.07692026646265</v>
      </c>
      <c r="T1283">
        <f t="shared" ca="1" si="606"/>
        <v>1019.7665564573041</v>
      </c>
      <c r="U1283">
        <f t="shared" ca="1" si="627"/>
        <v>-482.25233390835137</v>
      </c>
      <c r="V1283">
        <f t="shared" ca="1" si="628"/>
        <v>0</v>
      </c>
      <c r="W1283">
        <f t="shared" ca="1" si="607"/>
        <v>0.05</v>
      </c>
      <c r="X1283">
        <f t="shared" ca="1" si="608"/>
        <v>0.26</v>
      </c>
      <c r="Y1283">
        <f t="shared" ca="1" si="609"/>
        <v>4.9056603773584909E-2</v>
      </c>
      <c r="Z1283">
        <f t="shared" ca="1" si="610"/>
        <v>196.15384615384616</v>
      </c>
      <c r="AA1283">
        <f t="shared" ca="1" si="611"/>
        <v>632.04549999999995</v>
      </c>
      <c r="AB1283">
        <f t="shared" ca="1" si="612"/>
        <v>2593.1225316486621</v>
      </c>
      <c r="AC1283">
        <f t="shared" ca="1" si="613"/>
        <v>482.07306851378365</v>
      </c>
      <c r="AD1283">
        <f t="shared" ca="1" si="614"/>
        <v>280.07692026646265</v>
      </c>
      <c r="AE1283">
        <f t="shared" ca="1" si="615"/>
        <v>1019.7665564573041</v>
      </c>
      <c r="AF1283">
        <f t="shared" ca="1" si="616"/>
        <v>482.73440697696333</v>
      </c>
      <c r="AG1283">
        <f t="shared" ca="1" si="617"/>
        <v>0</v>
      </c>
      <c r="AH1283">
        <f ca="1">IF(V32="Supercritical",L1283,IF(V32="Subcritical",W1283,IF(AND(V1283=1,AG1283=1),IF(T1283&gt;=AE1283,L1283,W1283),IF(V1283=1,L1283,IF(AG1283=1,W1283,MAX($D$16,POWER((ABS(K1283)^2)/($I$5*MAX(F1283,0.1)^2),1/3)))))))</f>
        <v>2.1403668656741068</v>
      </c>
      <c r="AI1283">
        <f t="shared" ca="1" si="618"/>
        <v>634.13586686567407</v>
      </c>
      <c r="AJ1283">
        <f t="shared" ca="1" si="619"/>
        <v>635.20605029851117</v>
      </c>
      <c r="AM1283">
        <v>0</v>
      </c>
      <c r="AN1283">
        <v>0</v>
      </c>
      <c r="AO1283">
        <f t="shared" si="620"/>
        <v>0</v>
      </c>
      <c r="AP1283">
        <f t="shared" si="629"/>
        <v>0</v>
      </c>
      <c r="AQ1283">
        <f t="shared" ca="1" si="621"/>
        <v>0.99999999999999978</v>
      </c>
      <c r="AR1283" t="str">
        <f t="shared" ca="1" si="622"/>
        <v>Supercritical</v>
      </c>
      <c r="AS1283">
        <f t="shared" ca="1" si="623"/>
        <v>3.8148159832266538E-3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191</v>
      </c>
      <c r="I1284">
        <v>5.5E-2</v>
      </c>
      <c r="J1284">
        <f t="shared" si="624"/>
        <v>1.0010000000002037</v>
      </c>
      <c r="K1284">
        <f t="shared" si="625"/>
        <v>51</v>
      </c>
      <c r="L1284">
        <f t="shared" ca="1" si="626"/>
        <v>0.05</v>
      </c>
      <c r="M1284">
        <f t="shared" ca="1" si="599"/>
        <v>0.26</v>
      </c>
      <c r="N1284">
        <f t="shared" ca="1" si="600"/>
        <v>4.9056603773584909E-2</v>
      </c>
      <c r="O1284">
        <f t="shared" ca="1" si="601"/>
        <v>196.15384615384616</v>
      </c>
      <c r="P1284">
        <f t="shared" ca="1" si="602"/>
        <v>632.04499999999996</v>
      </c>
      <c r="Q1284">
        <f t="shared" ca="1" si="603"/>
        <v>2593.122031648662</v>
      </c>
      <c r="R1284">
        <f t="shared" ca="1" si="604"/>
        <v>482.07306851378365</v>
      </c>
      <c r="S1284">
        <f t="shared" ca="1" si="605"/>
        <v>280.07692026646265</v>
      </c>
      <c r="T1284">
        <f t="shared" ca="1" si="606"/>
        <v>1019.7665564573041</v>
      </c>
      <c r="U1284">
        <f t="shared" ca="1" si="627"/>
        <v>-482.73440697696333</v>
      </c>
      <c r="V1284">
        <f t="shared" ca="1" si="628"/>
        <v>0</v>
      </c>
      <c r="W1284">
        <f t="shared" ca="1" si="607"/>
        <v>0.05</v>
      </c>
      <c r="X1284">
        <f t="shared" ca="1" si="608"/>
        <v>0.26</v>
      </c>
      <c r="Y1284">
        <f t="shared" ca="1" si="609"/>
        <v>4.9056603773584909E-2</v>
      </c>
      <c r="Z1284">
        <f t="shared" ca="1" si="610"/>
        <v>196.15384615384616</v>
      </c>
      <c r="AA1284">
        <f t="shared" ca="1" si="611"/>
        <v>632.04499999999996</v>
      </c>
      <c r="AB1284">
        <f t="shared" ca="1" si="612"/>
        <v>2593.122031648662</v>
      </c>
      <c r="AC1284">
        <f t="shared" ca="1" si="613"/>
        <v>482.07306851378365</v>
      </c>
      <c r="AD1284">
        <f t="shared" ca="1" si="614"/>
        <v>280.07692026646265</v>
      </c>
      <c r="AE1284">
        <f t="shared" ca="1" si="615"/>
        <v>1019.7665564573041</v>
      </c>
      <c r="AF1284">
        <f t="shared" ca="1" si="616"/>
        <v>482.07256851378406</v>
      </c>
      <c r="AG1284">
        <f t="shared" ca="1" si="617"/>
        <v>0</v>
      </c>
      <c r="AH1284">
        <f ca="1">IF(V32="Supercritical",L1284,IF(V32="Subcritical",W1284,IF(AND(V1284=1,AG1284=1),IF(T1284&gt;=AE1284,L1284,W1284),IF(V1284=1,L1284,IF(AG1284=1,W1284,MAX($D$16,POWER((ABS(K1284)^2)/($I$5*MAX(F1284,0.1)^2),1/3)))))))</f>
        <v>2.1403668656741068</v>
      </c>
      <c r="AI1284">
        <f t="shared" ca="1" si="618"/>
        <v>634.13536686567409</v>
      </c>
      <c r="AJ1284">
        <f t="shared" ca="1" si="619"/>
        <v>635.20555029851118</v>
      </c>
      <c r="AM1284">
        <v>0</v>
      </c>
      <c r="AN1284">
        <v>0</v>
      </c>
      <c r="AO1284">
        <f t="shared" si="620"/>
        <v>0</v>
      </c>
      <c r="AP1284">
        <f t="shared" si="629"/>
        <v>0</v>
      </c>
      <c r="AQ1284">
        <f t="shared" ca="1" si="621"/>
        <v>0.99999999999999978</v>
      </c>
      <c r="AR1284" t="str">
        <f t="shared" ca="1" si="622"/>
        <v>Supercritical</v>
      </c>
      <c r="AS1284">
        <f t="shared" ca="1" si="623"/>
        <v>3.8148159832266538E-3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191</v>
      </c>
      <c r="I1285">
        <v>0</v>
      </c>
      <c r="J1285">
        <f t="shared" si="624"/>
        <v>1</v>
      </c>
      <c r="K1285">
        <f t="shared" si="625"/>
        <v>51</v>
      </c>
      <c r="L1285">
        <f t="shared" ca="1" si="626"/>
        <v>0.05</v>
      </c>
      <c r="M1285">
        <f t="shared" ca="1" si="599"/>
        <v>0.26</v>
      </c>
      <c r="N1285">
        <f t="shared" ca="1" si="600"/>
        <v>4.9056603773584909E-2</v>
      </c>
      <c r="O1285">
        <f t="shared" ca="1" si="601"/>
        <v>196.15384615384616</v>
      </c>
      <c r="P1285">
        <f t="shared" ca="1" si="602"/>
        <v>632.04449999999997</v>
      </c>
      <c r="Q1285">
        <f t="shared" ca="1" si="603"/>
        <v>2593.1215316486623</v>
      </c>
      <c r="R1285">
        <f t="shared" ca="1" si="604"/>
        <v>482.07306851378365</v>
      </c>
      <c r="S1285">
        <f t="shared" ca="1" si="605"/>
        <v>280.07692026646265</v>
      </c>
      <c r="T1285">
        <f t="shared" ca="1" si="606"/>
        <v>1019.7665564573041</v>
      </c>
      <c r="U1285">
        <f t="shared" ca="1" si="627"/>
        <v>-482.07256851378406</v>
      </c>
      <c r="V1285">
        <f t="shared" ca="1" si="628"/>
        <v>0</v>
      </c>
      <c r="W1285">
        <f t="shared" ca="1" si="607"/>
        <v>0.05</v>
      </c>
      <c r="X1285">
        <f t="shared" ca="1" si="608"/>
        <v>0.26</v>
      </c>
      <c r="Y1285">
        <f t="shared" ca="1" si="609"/>
        <v>4.9056603773584909E-2</v>
      </c>
      <c r="Z1285">
        <f t="shared" ca="1" si="610"/>
        <v>196.15384615384616</v>
      </c>
      <c r="AA1285">
        <f t="shared" ca="1" si="611"/>
        <v>632.04449999999997</v>
      </c>
      <c r="AB1285">
        <f t="shared" ca="1" si="612"/>
        <v>2593.1215316486623</v>
      </c>
      <c r="AC1285">
        <f t="shared" ca="1" si="613"/>
        <v>482.07306851378365</v>
      </c>
      <c r="AD1285">
        <f t="shared" ca="1" si="614"/>
        <v>280.07692026646265</v>
      </c>
      <c r="AE1285">
        <f t="shared" ca="1" si="615"/>
        <v>1019.7665564573041</v>
      </c>
      <c r="AF1285">
        <f t="shared" ca="1" si="616"/>
        <v>482.07256851378361</v>
      </c>
      <c r="AG1285">
        <f t="shared" ca="1" si="617"/>
        <v>0</v>
      </c>
      <c r="AH1285">
        <f ca="1">IF(V32="Supercritical",L1285,IF(V32="Subcritical",W1285,IF(AND(V1285=1,AG1285=1),IF(T1285&gt;=AE1285,L1285,W1285),IF(V1285=1,L1285,IF(AG1285=1,W1285,MAX($D$16,POWER((ABS(K1285)^2)/($I$5*MAX(F1285,0.1)^2),1/3)))))))</f>
        <v>2.1403668656741068</v>
      </c>
      <c r="AI1285">
        <f t="shared" ca="1" si="618"/>
        <v>634.1348668656741</v>
      </c>
      <c r="AJ1285">
        <f t="shared" ca="1" si="619"/>
        <v>635.2050502985112</v>
      </c>
      <c r="AM1285">
        <v>0</v>
      </c>
      <c r="AN1285">
        <v>0</v>
      </c>
      <c r="AO1285">
        <f t="shared" si="620"/>
        <v>0</v>
      </c>
      <c r="AP1285">
        <f t="shared" si="629"/>
        <v>0</v>
      </c>
      <c r="AQ1285">
        <f t="shared" ca="1" si="621"/>
        <v>0.99999999999999978</v>
      </c>
      <c r="AR1285" t="str">
        <f t="shared" ca="1" si="622"/>
        <v>Supercritical</v>
      </c>
      <c r="AS1285">
        <f t="shared" ca="1" si="623"/>
        <v>3.8148159832266538E-3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191</v>
      </c>
      <c r="I1286">
        <v>0</v>
      </c>
      <c r="J1286">
        <f t="shared" si="624"/>
        <v>1</v>
      </c>
      <c r="K1286">
        <f t="shared" si="625"/>
        <v>51</v>
      </c>
      <c r="L1286">
        <f t="shared" ca="1" si="626"/>
        <v>0.05</v>
      </c>
      <c r="M1286">
        <f t="shared" ca="1" si="599"/>
        <v>0.26</v>
      </c>
      <c r="N1286">
        <f t="shared" ca="1" si="600"/>
        <v>4.9056603773584909E-2</v>
      </c>
      <c r="O1286">
        <f t="shared" ca="1" si="601"/>
        <v>196.15384615384616</v>
      </c>
      <c r="P1286">
        <f t="shared" ca="1" si="602"/>
        <v>632.04399999999998</v>
      </c>
      <c r="Q1286">
        <f t="shared" ca="1" si="603"/>
        <v>2593.1210316486622</v>
      </c>
      <c r="R1286">
        <f t="shared" ca="1" si="604"/>
        <v>482.07306851378365</v>
      </c>
      <c r="S1286">
        <f t="shared" ca="1" si="605"/>
        <v>280.07692026646265</v>
      </c>
      <c r="T1286">
        <f t="shared" ca="1" si="606"/>
        <v>1019.7665564573041</v>
      </c>
      <c r="U1286">
        <f t="shared" ca="1" si="627"/>
        <v>-482.07256851378361</v>
      </c>
      <c r="V1286">
        <f t="shared" ca="1" si="628"/>
        <v>0</v>
      </c>
      <c r="W1286">
        <f t="shared" ca="1" si="607"/>
        <v>0.05</v>
      </c>
      <c r="X1286">
        <f t="shared" ca="1" si="608"/>
        <v>0.26</v>
      </c>
      <c r="Y1286">
        <f t="shared" ca="1" si="609"/>
        <v>4.9056603773584909E-2</v>
      </c>
      <c r="Z1286">
        <f t="shared" ca="1" si="610"/>
        <v>196.15384615384616</v>
      </c>
      <c r="AA1286">
        <f t="shared" ca="1" si="611"/>
        <v>632.04399999999998</v>
      </c>
      <c r="AB1286">
        <f t="shared" ca="1" si="612"/>
        <v>2593.1210316486622</v>
      </c>
      <c r="AC1286">
        <f t="shared" ca="1" si="613"/>
        <v>482.07306851378365</v>
      </c>
      <c r="AD1286">
        <f t="shared" ca="1" si="614"/>
        <v>280.07692026646265</v>
      </c>
      <c r="AE1286">
        <f t="shared" ca="1" si="615"/>
        <v>1019.7665564573041</v>
      </c>
      <c r="AF1286">
        <f t="shared" ca="1" si="616"/>
        <v>481.77679776317837</v>
      </c>
      <c r="AG1286">
        <f t="shared" ca="1" si="617"/>
        <v>0</v>
      </c>
      <c r="AH1286">
        <f ca="1">IF(V32="Supercritical",L1286,IF(V32="Subcritical",W1286,IF(AND(V1286=1,AG1286=1),IF(T1286&gt;=AE1286,L1286,W1286),IF(V1286=1,L1286,IF(AG1286=1,W1286,MAX($D$16,POWER((ABS(K1286)^2)/($I$5*MAX(F1286,0.1)^2),1/3)))))))</f>
        <v>2.1403668656741068</v>
      </c>
      <c r="AI1286">
        <f t="shared" ca="1" si="618"/>
        <v>634.13436686567411</v>
      </c>
      <c r="AJ1286">
        <f t="shared" ca="1" si="619"/>
        <v>635.20455029851121</v>
      </c>
      <c r="AM1286">
        <v>0</v>
      </c>
      <c r="AN1286">
        <v>0</v>
      </c>
      <c r="AO1286">
        <f t="shared" si="620"/>
        <v>0</v>
      </c>
      <c r="AP1286">
        <f t="shared" si="629"/>
        <v>0</v>
      </c>
      <c r="AQ1286">
        <f t="shared" ca="1" si="621"/>
        <v>0.99999999999999978</v>
      </c>
      <c r="AR1286" t="str">
        <f t="shared" ca="1" si="622"/>
        <v>Supercritical</v>
      </c>
      <c r="AS1286">
        <f t="shared" ca="1" si="623"/>
        <v>3.8148159832266538E-3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191</v>
      </c>
      <c r="I1287">
        <v>5.7000000000000002E-2</v>
      </c>
      <c r="J1287">
        <f t="shared" si="624"/>
        <v>0.99899999999979627</v>
      </c>
      <c r="K1287">
        <f t="shared" si="625"/>
        <v>51</v>
      </c>
      <c r="L1287">
        <f t="shared" ca="1" si="626"/>
        <v>0.05</v>
      </c>
      <c r="M1287">
        <f t="shared" ca="1" si="599"/>
        <v>0.26</v>
      </c>
      <c r="N1287">
        <f t="shared" ca="1" si="600"/>
        <v>4.9056603773584909E-2</v>
      </c>
      <c r="O1287">
        <f t="shared" ca="1" si="601"/>
        <v>196.15384615384616</v>
      </c>
      <c r="P1287">
        <f t="shared" ca="1" si="602"/>
        <v>632.04349999999999</v>
      </c>
      <c r="Q1287">
        <f t="shared" ca="1" si="603"/>
        <v>2593.1205316486621</v>
      </c>
      <c r="R1287">
        <f t="shared" ca="1" si="604"/>
        <v>482.07306851378365</v>
      </c>
      <c r="S1287">
        <f t="shared" ca="1" si="605"/>
        <v>280.07692026646265</v>
      </c>
      <c r="T1287">
        <f t="shared" ca="1" si="606"/>
        <v>1019.7665564573041</v>
      </c>
      <c r="U1287">
        <f t="shared" ca="1" si="627"/>
        <v>-481.77679776317837</v>
      </c>
      <c r="V1287">
        <f t="shared" ca="1" si="628"/>
        <v>0</v>
      </c>
      <c r="W1287">
        <f t="shared" ca="1" si="607"/>
        <v>0.05</v>
      </c>
      <c r="X1287">
        <f t="shared" ca="1" si="608"/>
        <v>0.26</v>
      </c>
      <c r="Y1287">
        <f t="shared" ca="1" si="609"/>
        <v>4.9056603773584909E-2</v>
      </c>
      <c r="Z1287">
        <f t="shared" ca="1" si="610"/>
        <v>196.15384615384616</v>
      </c>
      <c r="AA1287">
        <f t="shared" ca="1" si="611"/>
        <v>632.04349999999999</v>
      </c>
      <c r="AB1287">
        <f t="shared" ca="1" si="612"/>
        <v>2593.1205316486621</v>
      </c>
      <c r="AC1287">
        <f t="shared" ca="1" si="613"/>
        <v>482.07306851378365</v>
      </c>
      <c r="AD1287">
        <f t="shared" ca="1" si="614"/>
        <v>280.07692026646265</v>
      </c>
      <c r="AE1287">
        <f t="shared" ca="1" si="615"/>
        <v>1019.7665564573041</v>
      </c>
      <c r="AF1287">
        <f t="shared" ca="1" si="616"/>
        <v>482.25887083179032</v>
      </c>
      <c r="AG1287">
        <f t="shared" ca="1" si="617"/>
        <v>0</v>
      </c>
      <c r="AH1287">
        <f ca="1">IF(V32="Supercritical",L1287,IF(V32="Subcritical",W1287,IF(AND(V1287=1,AG1287=1),IF(T1287&gt;=AE1287,L1287,W1287),IF(V1287=1,L1287,IF(AG1287=1,W1287,MAX($D$16,POWER((ABS(K1287)^2)/($I$5*MAX(F1287,0.1)^2),1/3)))))))</f>
        <v>2.1403668656741068</v>
      </c>
      <c r="AI1287">
        <f t="shared" ca="1" si="618"/>
        <v>634.13386686567412</v>
      </c>
      <c r="AJ1287">
        <f t="shared" ca="1" si="619"/>
        <v>635.20405029851122</v>
      </c>
      <c r="AM1287">
        <v>0</v>
      </c>
      <c r="AN1287">
        <v>0</v>
      </c>
      <c r="AO1287">
        <f t="shared" si="620"/>
        <v>0</v>
      </c>
      <c r="AP1287">
        <f t="shared" si="629"/>
        <v>0</v>
      </c>
      <c r="AQ1287">
        <f t="shared" ca="1" si="621"/>
        <v>0.99999999999999978</v>
      </c>
      <c r="AR1287" t="str">
        <f t="shared" ca="1" si="622"/>
        <v>Supercritical</v>
      </c>
      <c r="AS1287">
        <f t="shared" ca="1" si="623"/>
        <v>3.8148159832266538E-3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191</v>
      </c>
      <c r="I1288">
        <v>5.7000000000000002E-2</v>
      </c>
      <c r="J1288">
        <f t="shared" si="624"/>
        <v>1</v>
      </c>
      <c r="K1288">
        <f t="shared" si="625"/>
        <v>51</v>
      </c>
      <c r="L1288">
        <f t="shared" ca="1" si="626"/>
        <v>0.05</v>
      </c>
      <c r="M1288">
        <f t="shared" ca="1" si="599"/>
        <v>0.26</v>
      </c>
      <c r="N1288">
        <f t="shared" ca="1" si="600"/>
        <v>4.9056603773584909E-2</v>
      </c>
      <c r="O1288">
        <f t="shared" ca="1" si="601"/>
        <v>196.15384615384616</v>
      </c>
      <c r="P1288">
        <f t="shared" ca="1" si="602"/>
        <v>632.04300000000001</v>
      </c>
      <c r="Q1288">
        <f t="shared" ca="1" si="603"/>
        <v>2593.120031648662</v>
      </c>
      <c r="R1288">
        <f t="shared" ca="1" si="604"/>
        <v>482.07306851378365</v>
      </c>
      <c r="S1288">
        <f t="shared" ca="1" si="605"/>
        <v>280.07692026646265</v>
      </c>
      <c r="T1288">
        <f t="shared" ca="1" si="606"/>
        <v>1019.7665564573041</v>
      </c>
      <c r="U1288">
        <f t="shared" ca="1" si="627"/>
        <v>-482.25887083179032</v>
      </c>
      <c r="V1288">
        <f t="shared" ca="1" si="628"/>
        <v>0</v>
      </c>
      <c r="W1288">
        <f t="shared" ca="1" si="607"/>
        <v>0.05</v>
      </c>
      <c r="X1288">
        <f t="shared" ca="1" si="608"/>
        <v>0.26</v>
      </c>
      <c r="Y1288">
        <f t="shared" ca="1" si="609"/>
        <v>4.9056603773584909E-2</v>
      </c>
      <c r="Z1288">
        <f t="shared" ca="1" si="610"/>
        <v>196.15384615384616</v>
      </c>
      <c r="AA1288">
        <f t="shared" ca="1" si="611"/>
        <v>632.04300000000001</v>
      </c>
      <c r="AB1288">
        <f t="shared" ca="1" si="612"/>
        <v>2593.120031648662</v>
      </c>
      <c r="AC1288">
        <f t="shared" ca="1" si="613"/>
        <v>482.07306851378365</v>
      </c>
      <c r="AD1288">
        <f t="shared" ca="1" si="614"/>
        <v>280.07692026646265</v>
      </c>
      <c r="AE1288">
        <f t="shared" ca="1" si="615"/>
        <v>1019.7665564573041</v>
      </c>
      <c r="AF1288">
        <f t="shared" ca="1" si="616"/>
        <v>482.07256851378361</v>
      </c>
      <c r="AG1288">
        <f t="shared" ca="1" si="617"/>
        <v>0</v>
      </c>
      <c r="AH1288">
        <f ca="1">IF(V32="Supercritical",L1288,IF(V32="Subcritical",W1288,IF(AND(V1288=1,AG1288=1),IF(T1288&gt;=AE1288,L1288,W1288),IF(V1288=1,L1288,IF(AG1288=1,W1288,MAX($D$16,POWER((ABS(K1288)^2)/($I$5*MAX(F1288,0.1)^2),1/3)))))))</f>
        <v>2.1403668656741068</v>
      </c>
      <c r="AI1288">
        <f t="shared" ca="1" si="618"/>
        <v>634.13336686567413</v>
      </c>
      <c r="AJ1288">
        <f t="shared" ca="1" si="619"/>
        <v>635.20355029851123</v>
      </c>
      <c r="AM1288">
        <v>0</v>
      </c>
      <c r="AN1288">
        <v>0</v>
      </c>
      <c r="AO1288">
        <f t="shared" si="620"/>
        <v>0</v>
      </c>
      <c r="AP1288">
        <f t="shared" si="629"/>
        <v>0</v>
      </c>
      <c r="AQ1288">
        <f t="shared" ca="1" si="621"/>
        <v>0.99999999999999978</v>
      </c>
      <c r="AR1288" t="str">
        <f t="shared" ca="1" si="622"/>
        <v>Supercritical</v>
      </c>
      <c r="AS1288">
        <f t="shared" ca="1" si="623"/>
        <v>3.8148159832266538E-3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191</v>
      </c>
      <c r="I1289">
        <v>0</v>
      </c>
      <c r="J1289">
        <f t="shared" si="624"/>
        <v>1</v>
      </c>
      <c r="K1289">
        <f t="shared" si="625"/>
        <v>51</v>
      </c>
      <c r="L1289">
        <f t="shared" ca="1" si="626"/>
        <v>0.05</v>
      </c>
      <c r="M1289">
        <f t="shared" ca="1" si="599"/>
        <v>0.26</v>
      </c>
      <c r="N1289">
        <f t="shared" ca="1" si="600"/>
        <v>4.9056603773584909E-2</v>
      </c>
      <c r="O1289">
        <f t="shared" ca="1" si="601"/>
        <v>196.15384615384616</v>
      </c>
      <c r="P1289">
        <f t="shared" ca="1" si="602"/>
        <v>632.0424999999999</v>
      </c>
      <c r="Q1289">
        <f t="shared" ca="1" si="603"/>
        <v>2593.1195316486619</v>
      </c>
      <c r="R1289">
        <f t="shared" ca="1" si="604"/>
        <v>482.07306851378365</v>
      </c>
      <c r="S1289">
        <f t="shared" ca="1" si="605"/>
        <v>280.07692026646265</v>
      </c>
      <c r="T1289">
        <f t="shared" ca="1" si="606"/>
        <v>1019.7665564573041</v>
      </c>
      <c r="U1289">
        <f t="shared" ca="1" si="627"/>
        <v>-482.07256851378361</v>
      </c>
      <c r="V1289">
        <f t="shared" ca="1" si="628"/>
        <v>0</v>
      </c>
      <c r="W1289">
        <f t="shared" ca="1" si="607"/>
        <v>0.05</v>
      </c>
      <c r="X1289">
        <f t="shared" ca="1" si="608"/>
        <v>0.26</v>
      </c>
      <c r="Y1289">
        <f t="shared" ca="1" si="609"/>
        <v>4.9056603773584909E-2</v>
      </c>
      <c r="Z1289">
        <f t="shared" ca="1" si="610"/>
        <v>196.15384615384616</v>
      </c>
      <c r="AA1289">
        <f t="shared" ca="1" si="611"/>
        <v>632.0424999999999</v>
      </c>
      <c r="AB1289">
        <f t="shared" ca="1" si="612"/>
        <v>2593.1195316486619</v>
      </c>
      <c r="AC1289">
        <f t="shared" ca="1" si="613"/>
        <v>482.07306851378365</v>
      </c>
      <c r="AD1289">
        <f t="shared" ca="1" si="614"/>
        <v>280.07692026646265</v>
      </c>
      <c r="AE1289">
        <f t="shared" ca="1" si="615"/>
        <v>1019.7665564573041</v>
      </c>
      <c r="AF1289">
        <f t="shared" ca="1" si="616"/>
        <v>482.25887083179032</v>
      </c>
      <c r="AG1289">
        <f t="shared" ca="1" si="617"/>
        <v>0</v>
      </c>
      <c r="AH1289">
        <f ca="1">IF(V32="Supercritical",L1289,IF(V32="Subcritical",W1289,IF(AND(V1289=1,AG1289=1),IF(T1289&gt;=AE1289,L1289,W1289),IF(V1289=1,L1289,IF(AG1289=1,W1289,MAX($D$16,POWER((ABS(K1289)^2)/($I$5*MAX(F1289,0.1)^2),1/3)))))))</f>
        <v>2.1403668656741068</v>
      </c>
      <c r="AI1289">
        <f t="shared" ca="1" si="618"/>
        <v>634.13286686567403</v>
      </c>
      <c r="AJ1289">
        <f t="shared" ca="1" si="619"/>
        <v>635.20305029851113</v>
      </c>
      <c r="AM1289">
        <v>0</v>
      </c>
      <c r="AN1289">
        <v>0</v>
      </c>
      <c r="AO1289">
        <f t="shared" si="620"/>
        <v>0</v>
      </c>
      <c r="AP1289">
        <f t="shared" si="629"/>
        <v>0</v>
      </c>
      <c r="AQ1289">
        <f t="shared" ca="1" si="621"/>
        <v>0.99999999999999978</v>
      </c>
      <c r="AR1289" t="str">
        <f t="shared" ca="1" si="622"/>
        <v>Supercritical</v>
      </c>
      <c r="AS1289">
        <f t="shared" ca="1" si="623"/>
        <v>3.8148159832266538E-3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191</v>
      </c>
      <c r="I1290">
        <v>5.7000000000000002E-2</v>
      </c>
      <c r="J1290">
        <f t="shared" si="624"/>
        <v>1</v>
      </c>
      <c r="K1290">
        <f t="shared" si="625"/>
        <v>51</v>
      </c>
      <c r="L1290">
        <f t="shared" ca="1" si="626"/>
        <v>0.05</v>
      </c>
      <c r="M1290">
        <f t="shared" ca="1" si="599"/>
        <v>0.26</v>
      </c>
      <c r="N1290">
        <f t="shared" ca="1" si="600"/>
        <v>4.9056603773584909E-2</v>
      </c>
      <c r="O1290">
        <f t="shared" ca="1" si="601"/>
        <v>196.15384615384616</v>
      </c>
      <c r="P1290">
        <f t="shared" ca="1" si="602"/>
        <v>632.04199999999992</v>
      </c>
      <c r="Q1290">
        <f t="shared" ca="1" si="603"/>
        <v>2593.1190316486618</v>
      </c>
      <c r="R1290">
        <f t="shared" ca="1" si="604"/>
        <v>482.07306851378365</v>
      </c>
      <c r="S1290">
        <f t="shared" ca="1" si="605"/>
        <v>280.07692026646265</v>
      </c>
      <c r="T1290">
        <f t="shared" ca="1" si="606"/>
        <v>1019.7665564573041</v>
      </c>
      <c r="U1290">
        <f t="shared" ca="1" si="627"/>
        <v>-482.25887083179032</v>
      </c>
      <c r="V1290">
        <f t="shared" ca="1" si="628"/>
        <v>0</v>
      </c>
      <c r="W1290">
        <f t="shared" ca="1" si="607"/>
        <v>0.05</v>
      </c>
      <c r="X1290">
        <f t="shared" ca="1" si="608"/>
        <v>0.26</v>
      </c>
      <c r="Y1290">
        <f t="shared" ca="1" si="609"/>
        <v>4.9056603773584909E-2</v>
      </c>
      <c r="Z1290">
        <f t="shared" ca="1" si="610"/>
        <v>196.15384615384616</v>
      </c>
      <c r="AA1290">
        <f t="shared" ca="1" si="611"/>
        <v>632.04199999999992</v>
      </c>
      <c r="AB1290">
        <f t="shared" ca="1" si="612"/>
        <v>2593.1190316486618</v>
      </c>
      <c r="AC1290">
        <f t="shared" ca="1" si="613"/>
        <v>482.07306851378365</v>
      </c>
      <c r="AD1290">
        <f t="shared" ca="1" si="614"/>
        <v>280.07692026646265</v>
      </c>
      <c r="AE1290">
        <f t="shared" ca="1" si="615"/>
        <v>1019.7665564573041</v>
      </c>
      <c r="AF1290">
        <f t="shared" ca="1" si="616"/>
        <v>482.25887083179077</v>
      </c>
      <c r="AG1290">
        <f t="shared" ca="1" si="617"/>
        <v>0</v>
      </c>
      <c r="AH1290">
        <f ca="1">IF(V32="Supercritical",L1290,IF(V32="Subcritical",W1290,IF(AND(V1290=1,AG1290=1),IF(T1290&gt;=AE1290,L1290,W1290),IF(V1290=1,L1290,IF(AG1290=1,W1290,MAX($D$16,POWER((ABS(K1290)^2)/($I$5*MAX(F1290,0.1)^2),1/3)))))))</f>
        <v>2.1403668656741068</v>
      </c>
      <c r="AI1290">
        <f t="shared" ca="1" si="618"/>
        <v>634.13236686567404</v>
      </c>
      <c r="AJ1290">
        <f t="shared" ca="1" si="619"/>
        <v>635.20255029851114</v>
      </c>
      <c r="AM1290">
        <v>0</v>
      </c>
      <c r="AN1290">
        <v>0</v>
      </c>
      <c r="AO1290">
        <f t="shared" si="620"/>
        <v>0</v>
      </c>
      <c r="AP1290">
        <f t="shared" si="629"/>
        <v>0</v>
      </c>
      <c r="AQ1290">
        <f t="shared" ca="1" si="621"/>
        <v>0.99999999999999978</v>
      </c>
      <c r="AR1290" t="str">
        <f t="shared" ca="1" si="622"/>
        <v>Supercritical</v>
      </c>
      <c r="AS1290">
        <f t="shared" ca="1" si="623"/>
        <v>3.8148159832266538E-3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191</v>
      </c>
      <c r="I1291">
        <v>5.7000000000000002E-2</v>
      </c>
      <c r="J1291">
        <f t="shared" si="624"/>
        <v>1</v>
      </c>
      <c r="K1291">
        <f t="shared" si="625"/>
        <v>51</v>
      </c>
      <c r="L1291">
        <f t="shared" ca="1" si="626"/>
        <v>0.05</v>
      </c>
      <c r="M1291">
        <f t="shared" ca="1" si="599"/>
        <v>0.26</v>
      </c>
      <c r="N1291">
        <f t="shared" ca="1" si="600"/>
        <v>4.9056603773584909E-2</v>
      </c>
      <c r="O1291">
        <f t="shared" ca="1" si="601"/>
        <v>196.15384615384616</v>
      </c>
      <c r="P1291">
        <f t="shared" ca="1" si="602"/>
        <v>632.04149999999993</v>
      </c>
      <c r="Q1291">
        <f t="shared" ca="1" si="603"/>
        <v>2593.1185316486622</v>
      </c>
      <c r="R1291">
        <f t="shared" ca="1" si="604"/>
        <v>482.07306851378365</v>
      </c>
      <c r="S1291">
        <f t="shared" ca="1" si="605"/>
        <v>280.07692026646265</v>
      </c>
      <c r="T1291">
        <f t="shared" ca="1" si="606"/>
        <v>1019.7665564573041</v>
      </c>
      <c r="U1291">
        <f t="shared" ca="1" si="627"/>
        <v>-482.25887083179077</v>
      </c>
      <c r="V1291">
        <f t="shared" ca="1" si="628"/>
        <v>0</v>
      </c>
      <c r="W1291">
        <f t="shared" ca="1" si="607"/>
        <v>0.05</v>
      </c>
      <c r="X1291">
        <f t="shared" ca="1" si="608"/>
        <v>0.26</v>
      </c>
      <c r="Y1291">
        <f t="shared" ca="1" si="609"/>
        <v>4.9056603773584909E-2</v>
      </c>
      <c r="Z1291">
        <f t="shared" ca="1" si="610"/>
        <v>196.15384615384616</v>
      </c>
      <c r="AA1291">
        <f t="shared" ca="1" si="611"/>
        <v>632.04149999999993</v>
      </c>
      <c r="AB1291">
        <f t="shared" ca="1" si="612"/>
        <v>2593.1185316486622</v>
      </c>
      <c r="AC1291">
        <f t="shared" ca="1" si="613"/>
        <v>482.07306851378365</v>
      </c>
      <c r="AD1291">
        <f t="shared" ca="1" si="614"/>
        <v>280.07692026646265</v>
      </c>
      <c r="AE1291">
        <f t="shared" ca="1" si="615"/>
        <v>1019.7665564573041</v>
      </c>
      <c r="AF1291">
        <f t="shared" ca="1" si="616"/>
        <v>482.07910543722255</v>
      </c>
      <c r="AG1291">
        <f t="shared" ca="1" si="617"/>
        <v>0</v>
      </c>
      <c r="AH1291">
        <f ca="1">IF(V32="Supercritical",L1291,IF(V32="Subcritical",W1291,IF(AND(V1291=1,AG1291=1),IF(T1291&gt;=AE1291,L1291,W1291),IF(V1291=1,L1291,IF(AG1291=1,W1291,MAX($D$16,POWER((ABS(K1291)^2)/($I$5*MAX(F1291,0.1)^2),1/3)))))))</f>
        <v>2.1403668656741068</v>
      </c>
      <c r="AI1291">
        <f t="shared" ca="1" si="618"/>
        <v>634.13186686567406</v>
      </c>
      <c r="AJ1291">
        <f t="shared" ca="1" si="619"/>
        <v>635.20205029851115</v>
      </c>
      <c r="AM1291">
        <v>0</v>
      </c>
      <c r="AN1291">
        <v>0</v>
      </c>
      <c r="AO1291">
        <f t="shared" si="620"/>
        <v>0</v>
      </c>
      <c r="AP1291">
        <f t="shared" si="629"/>
        <v>0</v>
      </c>
      <c r="AQ1291">
        <f t="shared" ca="1" si="621"/>
        <v>0.99999999999999978</v>
      </c>
      <c r="AR1291" t="str">
        <f t="shared" ca="1" si="622"/>
        <v>Supercritical</v>
      </c>
      <c r="AS1291">
        <f t="shared" ca="1" si="623"/>
        <v>3.8148159832266538E-3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191</v>
      </c>
      <c r="I1292">
        <v>2E-3</v>
      </c>
      <c r="J1292">
        <f t="shared" si="624"/>
        <v>1</v>
      </c>
      <c r="K1292">
        <f t="shared" si="625"/>
        <v>51</v>
      </c>
      <c r="L1292">
        <f t="shared" ca="1" si="626"/>
        <v>0.05</v>
      </c>
      <c r="M1292">
        <f t="shared" ca="1" si="599"/>
        <v>0.26</v>
      </c>
      <c r="N1292">
        <f t="shared" ca="1" si="600"/>
        <v>4.9056603773584909E-2</v>
      </c>
      <c r="O1292">
        <f t="shared" ca="1" si="601"/>
        <v>196.15384615384616</v>
      </c>
      <c r="P1292">
        <f t="shared" ca="1" si="602"/>
        <v>632.04099999999994</v>
      </c>
      <c r="Q1292">
        <f t="shared" ca="1" si="603"/>
        <v>2593.1180316486621</v>
      </c>
      <c r="R1292">
        <f t="shared" ca="1" si="604"/>
        <v>482.07306851378365</v>
      </c>
      <c r="S1292">
        <f t="shared" ca="1" si="605"/>
        <v>280.07692026646265</v>
      </c>
      <c r="T1292">
        <f t="shared" ca="1" si="606"/>
        <v>1019.7665564573041</v>
      </c>
      <c r="U1292">
        <f t="shared" ca="1" si="627"/>
        <v>-482.07910543722255</v>
      </c>
      <c r="V1292">
        <f t="shared" ca="1" si="628"/>
        <v>0</v>
      </c>
      <c r="W1292">
        <f t="shared" ca="1" si="607"/>
        <v>0.05</v>
      </c>
      <c r="X1292">
        <f t="shared" ca="1" si="608"/>
        <v>0.26</v>
      </c>
      <c r="Y1292">
        <f t="shared" ca="1" si="609"/>
        <v>4.9056603773584909E-2</v>
      </c>
      <c r="Z1292">
        <f t="shared" ca="1" si="610"/>
        <v>196.15384615384616</v>
      </c>
      <c r="AA1292">
        <f t="shared" ca="1" si="611"/>
        <v>632.04099999999994</v>
      </c>
      <c r="AB1292">
        <f t="shared" ca="1" si="612"/>
        <v>2593.1180316486621</v>
      </c>
      <c r="AC1292">
        <f t="shared" ca="1" si="613"/>
        <v>482.07306851378365</v>
      </c>
      <c r="AD1292">
        <f t="shared" ca="1" si="614"/>
        <v>280.07692026646265</v>
      </c>
      <c r="AE1292">
        <f t="shared" ca="1" si="615"/>
        <v>1019.7665564573041</v>
      </c>
      <c r="AF1292">
        <f t="shared" ca="1" si="616"/>
        <v>482.5611785058345</v>
      </c>
      <c r="AG1292">
        <f t="shared" ca="1" si="617"/>
        <v>0</v>
      </c>
      <c r="AH1292">
        <f ca="1">IF(V32="Supercritical",L1292,IF(V32="Subcritical",W1292,IF(AND(V1292=1,AG1292=1),IF(T1292&gt;=AE1292,L1292,W1292),IF(V1292=1,L1292,IF(AG1292=1,W1292,MAX($D$16,POWER((ABS(K1292)^2)/($I$5*MAX(F1292,0.1)^2),1/3)))))))</f>
        <v>2.1403668656741068</v>
      </c>
      <c r="AI1292">
        <f t="shared" ca="1" si="618"/>
        <v>634.13136686567407</v>
      </c>
      <c r="AJ1292">
        <f t="shared" ca="1" si="619"/>
        <v>635.20155029851117</v>
      </c>
      <c r="AM1292">
        <v>0</v>
      </c>
      <c r="AN1292">
        <v>0</v>
      </c>
      <c r="AO1292">
        <f t="shared" si="620"/>
        <v>0</v>
      </c>
      <c r="AP1292">
        <f t="shared" si="629"/>
        <v>0</v>
      </c>
      <c r="AQ1292">
        <f t="shared" ca="1" si="621"/>
        <v>0.99999999999999978</v>
      </c>
      <c r="AR1292" t="str">
        <f t="shared" ca="1" si="622"/>
        <v>Supercritical</v>
      </c>
      <c r="AS1292">
        <f t="shared" ca="1" si="623"/>
        <v>3.8148159832266538E-3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191</v>
      </c>
      <c r="I1293">
        <v>2E-3</v>
      </c>
      <c r="J1293">
        <f t="shared" si="624"/>
        <v>1.0010000000002037</v>
      </c>
      <c r="K1293">
        <f t="shared" si="625"/>
        <v>51</v>
      </c>
      <c r="L1293">
        <f t="shared" ca="1" si="626"/>
        <v>0.05</v>
      </c>
      <c r="M1293">
        <f t="shared" ca="1" si="599"/>
        <v>0.26</v>
      </c>
      <c r="N1293">
        <f t="shared" ca="1" si="600"/>
        <v>4.9056603773584909E-2</v>
      </c>
      <c r="O1293">
        <f t="shared" ca="1" si="601"/>
        <v>196.15384615384616</v>
      </c>
      <c r="P1293">
        <f t="shared" ca="1" si="602"/>
        <v>632.04049999999995</v>
      </c>
      <c r="Q1293">
        <f t="shared" ca="1" si="603"/>
        <v>2593.117531648662</v>
      </c>
      <c r="R1293">
        <f t="shared" ca="1" si="604"/>
        <v>482.07306851378365</v>
      </c>
      <c r="S1293">
        <f t="shared" ca="1" si="605"/>
        <v>280.07692026646265</v>
      </c>
      <c r="T1293">
        <f t="shared" ca="1" si="606"/>
        <v>1019.7665564573041</v>
      </c>
      <c r="U1293">
        <f t="shared" ca="1" si="627"/>
        <v>-482.5611785058345</v>
      </c>
      <c r="V1293">
        <f t="shared" ca="1" si="628"/>
        <v>0</v>
      </c>
      <c r="W1293">
        <f t="shared" ca="1" si="607"/>
        <v>0.05</v>
      </c>
      <c r="X1293">
        <f t="shared" ca="1" si="608"/>
        <v>0.26</v>
      </c>
      <c r="Y1293">
        <f t="shared" ca="1" si="609"/>
        <v>4.9056603773584909E-2</v>
      </c>
      <c r="Z1293">
        <f t="shared" ca="1" si="610"/>
        <v>196.15384615384616</v>
      </c>
      <c r="AA1293">
        <f t="shared" ca="1" si="611"/>
        <v>632.04049999999995</v>
      </c>
      <c r="AB1293">
        <f t="shared" ca="1" si="612"/>
        <v>2593.117531648662</v>
      </c>
      <c r="AC1293">
        <f t="shared" ca="1" si="613"/>
        <v>482.07306851378365</v>
      </c>
      <c r="AD1293">
        <f t="shared" ca="1" si="614"/>
        <v>280.07692026646265</v>
      </c>
      <c r="AE1293">
        <f t="shared" ca="1" si="615"/>
        <v>1019.7665564573041</v>
      </c>
      <c r="AF1293">
        <f t="shared" ca="1" si="616"/>
        <v>482.25887083179077</v>
      </c>
      <c r="AG1293">
        <f t="shared" ca="1" si="617"/>
        <v>0</v>
      </c>
      <c r="AH1293">
        <f ca="1">IF(V32="Supercritical",L1293,IF(V32="Subcritical",W1293,IF(AND(V1293=1,AG1293=1),IF(T1293&gt;=AE1293,L1293,W1293),IF(V1293=1,L1293,IF(AG1293=1,W1293,MAX($D$16,POWER((ABS(K1293)^2)/($I$5*MAX(F1293,0.1)^2),1/3)))))))</f>
        <v>2.1403668656741068</v>
      </c>
      <c r="AI1293">
        <f t="shared" ca="1" si="618"/>
        <v>634.13086686567408</v>
      </c>
      <c r="AJ1293">
        <f t="shared" ca="1" si="619"/>
        <v>635.20105029851118</v>
      </c>
      <c r="AM1293">
        <v>0</v>
      </c>
      <c r="AN1293">
        <v>0</v>
      </c>
      <c r="AO1293">
        <f t="shared" si="620"/>
        <v>0</v>
      </c>
      <c r="AP1293">
        <f t="shared" si="629"/>
        <v>0</v>
      </c>
      <c r="AQ1293">
        <f t="shared" ca="1" si="621"/>
        <v>0.99999999999999978</v>
      </c>
      <c r="AR1293" t="str">
        <f t="shared" ca="1" si="622"/>
        <v>Supercritical</v>
      </c>
      <c r="AS1293">
        <f t="shared" ca="1" si="623"/>
        <v>3.8148159832266538E-3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191</v>
      </c>
      <c r="I1294">
        <v>5.7000000000000002E-2</v>
      </c>
      <c r="J1294">
        <f t="shared" si="624"/>
        <v>1</v>
      </c>
      <c r="K1294">
        <f t="shared" si="625"/>
        <v>51</v>
      </c>
      <c r="L1294">
        <f t="shared" ca="1" si="626"/>
        <v>0.05</v>
      </c>
      <c r="M1294">
        <f t="shared" ca="1" si="599"/>
        <v>0.26</v>
      </c>
      <c r="N1294">
        <f t="shared" ca="1" si="600"/>
        <v>4.9056603773584909E-2</v>
      </c>
      <c r="O1294">
        <f t="shared" ca="1" si="601"/>
        <v>196.15384615384616</v>
      </c>
      <c r="P1294">
        <f t="shared" ca="1" si="602"/>
        <v>632.04</v>
      </c>
      <c r="Q1294">
        <f t="shared" ca="1" si="603"/>
        <v>2593.1170316486623</v>
      </c>
      <c r="R1294">
        <f t="shared" ca="1" si="604"/>
        <v>482.07306851378365</v>
      </c>
      <c r="S1294">
        <f t="shared" ca="1" si="605"/>
        <v>280.07692026646265</v>
      </c>
      <c r="T1294">
        <f t="shared" ca="1" si="606"/>
        <v>1019.7665564573041</v>
      </c>
      <c r="U1294">
        <f t="shared" ca="1" si="627"/>
        <v>-482.25887083179077</v>
      </c>
      <c r="V1294">
        <f t="shared" ca="1" si="628"/>
        <v>0</v>
      </c>
      <c r="W1294">
        <f t="shared" ca="1" si="607"/>
        <v>0.05</v>
      </c>
      <c r="X1294">
        <f t="shared" ca="1" si="608"/>
        <v>0.26</v>
      </c>
      <c r="Y1294">
        <f t="shared" ca="1" si="609"/>
        <v>4.9056603773584909E-2</v>
      </c>
      <c r="Z1294">
        <f t="shared" ca="1" si="610"/>
        <v>196.15384615384616</v>
      </c>
      <c r="AA1294">
        <f t="shared" ca="1" si="611"/>
        <v>632.04</v>
      </c>
      <c r="AB1294">
        <f t="shared" ca="1" si="612"/>
        <v>2593.1170316486623</v>
      </c>
      <c r="AC1294">
        <f t="shared" ca="1" si="613"/>
        <v>482.07306851378365</v>
      </c>
      <c r="AD1294">
        <f t="shared" ca="1" si="614"/>
        <v>280.07692026646265</v>
      </c>
      <c r="AE1294">
        <f t="shared" ca="1" si="615"/>
        <v>1019.7665564573041</v>
      </c>
      <c r="AF1294">
        <f t="shared" ca="1" si="616"/>
        <v>482.25887083179032</v>
      </c>
      <c r="AG1294">
        <f t="shared" ca="1" si="617"/>
        <v>0</v>
      </c>
      <c r="AH1294">
        <f ca="1">IF(V32="Supercritical",L1294,IF(V32="Subcritical",W1294,IF(AND(V1294=1,AG1294=1),IF(T1294&gt;=AE1294,L1294,W1294),IF(V1294=1,L1294,IF(AG1294=1,W1294,MAX($D$16,POWER((ABS(K1294)^2)/($I$5*MAX(F1294,0.1)^2),1/3)))))))</f>
        <v>2.1403668656741068</v>
      </c>
      <c r="AI1294">
        <f t="shared" ca="1" si="618"/>
        <v>634.13036686567409</v>
      </c>
      <c r="AJ1294">
        <f t="shared" ca="1" si="619"/>
        <v>635.20055029851119</v>
      </c>
      <c r="AM1294">
        <v>0</v>
      </c>
      <c r="AN1294">
        <v>0</v>
      </c>
      <c r="AO1294">
        <f t="shared" si="620"/>
        <v>0</v>
      </c>
      <c r="AP1294">
        <f t="shared" si="629"/>
        <v>0</v>
      </c>
      <c r="AQ1294">
        <f t="shared" ca="1" si="621"/>
        <v>0.99999999999999978</v>
      </c>
      <c r="AR1294" t="str">
        <f t="shared" ca="1" si="622"/>
        <v>Supercritical</v>
      </c>
      <c r="AS1294">
        <f t="shared" ca="1" si="623"/>
        <v>3.8148159832266538E-3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191</v>
      </c>
      <c r="I1295">
        <v>5.7000000000000002E-2</v>
      </c>
      <c r="J1295">
        <f t="shared" si="624"/>
        <v>1</v>
      </c>
      <c r="K1295">
        <f t="shared" si="625"/>
        <v>51</v>
      </c>
      <c r="L1295">
        <f t="shared" ca="1" si="626"/>
        <v>0.05</v>
      </c>
      <c r="M1295">
        <f t="shared" ca="1" si="599"/>
        <v>0.26</v>
      </c>
      <c r="N1295">
        <f t="shared" ca="1" si="600"/>
        <v>4.9056603773584909E-2</v>
      </c>
      <c r="O1295">
        <f t="shared" ca="1" si="601"/>
        <v>196.15384615384616</v>
      </c>
      <c r="P1295">
        <f t="shared" ca="1" si="602"/>
        <v>632.03949999999998</v>
      </c>
      <c r="Q1295">
        <f t="shared" ca="1" si="603"/>
        <v>2593.1165316486622</v>
      </c>
      <c r="R1295">
        <f t="shared" ca="1" si="604"/>
        <v>482.07306851378365</v>
      </c>
      <c r="S1295">
        <f t="shared" ca="1" si="605"/>
        <v>280.07692026646265</v>
      </c>
      <c r="T1295">
        <f t="shared" ca="1" si="606"/>
        <v>1019.7665564573041</v>
      </c>
      <c r="U1295">
        <f t="shared" ca="1" si="627"/>
        <v>-482.25887083179032</v>
      </c>
      <c r="V1295">
        <f t="shared" ca="1" si="628"/>
        <v>0</v>
      </c>
      <c r="W1295">
        <f t="shared" ca="1" si="607"/>
        <v>0.05</v>
      </c>
      <c r="X1295">
        <f t="shared" ca="1" si="608"/>
        <v>0.26</v>
      </c>
      <c r="Y1295">
        <f t="shared" ca="1" si="609"/>
        <v>4.9056603773584909E-2</v>
      </c>
      <c r="Z1295">
        <f t="shared" ca="1" si="610"/>
        <v>196.15384615384616</v>
      </c>
      <c r="AA1295">
        <f t="shared" ca="1" si="611"/>
        <v>632.03949999999998</v>
      </c>
      <c r="AB1295">
        <f t="shared" ca="1" si="612"/>
        <v>2593.1165316486622</v>
      </c>
      <c r="AC1295">
        <f t="shared" ca="1" si="613"/>
        <v>482.07306851378365</v>
      </c>
      <c r="AD1295">
        <f t="shared" ca="1" si="614"/>
        <v>280.07692026646265</v>
      </c>
      <c r="AE1295">
        <f t="shared" ca="1" si="615"/>
        <v>1019.7665564573041</v>
      </c>
      <c r="AF1295">
        <f t="shared" ca="1" si="616"/>
        <v>481.59049544517165</v>
      </c>
      <c r="AG1295">
        <f t="shared" ca="1" si="617"/>
        <v>0</v>
      </c>
      <c r="AH1295">
        <f ca="1">IF(V32="Supercritical",L1295,IF(V32="Subcritical",W1295,IF(AND(V1295=1,AG1295=1),IF(T1295&gt;=AE1295,L1295,W1295),IF(V1295=1,L1295,IF(AG1295=1,W1295,MAX($D$16,POWER((ABS(K1295)^2)/($I$5*MAX(F1295,0.1)^2),1/3)))))))</f>
        <v>2.1403668656741068</v>
      </c>
      <c r="AI1295">
        <f t="shared" ca="1" si="618"/>
        <v>634.1298668656741</v>
      </c>
      <c r="AJ1295">
        <f t="shared" ca="1" si="619"/>
        <v>635.2000502985112</v>
      </c>
      <c r="AM1295">
        <v>0</v>
      </c>
      <c r="AN1295">
        <v>0</v>
      </c>
      <c r="AO1295">
        <f t="shared" si="620"/>
        <v>0</v>
      </c>
      <c r="AP1295">
        <f t="shared" si="629"/>
        <v>0</v>
      </c>
      <c r="AQ1295">
        <f t="shared" ca="1" si="621"/>
        <v>0.99999999999999978</v>
      </c>
      <c r="AR1295" t="str">
        <f t="shared" ca="1" si="622"/>
        <v>Supercritical</v>
      </c>
      <c r="AS1295">
        <f t="shared" ca="1" si="623"/>
        <v>3.8148159832266538E-3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191</v>
      </c>
      <c r="I1296">
        <v>0</v>
      </c>
      <c r="J1296">
        <f t="shared" si="624"/>
        <v>0.99899999999979627</v>
      </c>
      <c r="K1296">
        <f t="shared" si="625"/>
        <v>51</v>
      </c>
      <c r="L1296">
        <f t="shared" ca="1" si="626"/>
        <v>0.05</v>
      </c>
      <c r="M1296">
        <f t="shared" ca="1" si="599"/>
        <v>0.26</v>
      </c>
      <c r="N1296">
        <f t="shared" ca="1" si="600"/>
        <v>4.9056603773584909E-2</v>
      </c>
      <c r="O1296">
        <f t="shared" ca="1" si="601"/>
        <v>196.15384615384616</v>
      </c>
      <c r="P1296">
        <f t="shared" ca="1" si="602"/>
        <v>632.03899999999999</v>
      </c>
      <c r="Q1296">
        <f t="shared" ca="1" si="603"/>
        <v>2593.1160316486621</v>
      </c>
      <c r="R1296">
        <f t="shared" ca="1" si="604"/>
        <v>482.07306851378365</v>
      </c>
      <c r="S1296">
        <f t="shared" ca="1" si="605"/>
        <v>280.07692026646265</v>
      </c>
      <c r="T1296">
        <f t="shared" ca="1" si="606"/>
        <v>1019.7665564573041</v>
      </c>
      <c r="U1296">
        <f t="shared" ca="1" si="627"/>
        <v>-481.59049544517165</v>
      </c>
      <c r="V1296">
        <f t="shared" ca="1" si="628"/>
        <v>0</v>
      </c>
      <c r="W1296">
        <f t="shared" ca="1" si="607"/>
        <v>0.05</v>
      </c>
      <c r="X1296">
        <f t="shared" ca="1" si="608"/>
        <v>0.26</v>
      </c>
      <c r="Y1296">
        <f t="shared" ca="1" si="609"/>
        <v>4.9056603773584909E-2</v>
      </c>
      <c r="Z1296">
        <f t="shared" ca="1" si="610"/>
        <v>196.15384615384616</v>
      </c>
      <c r="AA1296">
        <f t="shared" ca="1" si="611"/>
        <v>632.03899999999999</v>
      </c>
      <c r="AB1296">
        <f t="shared" ca="1" si="612"/>
        <v>2593.1160316486621</v>
      </c>
      <c r="AC1296">
        <f t="shared" ca="1" si="613"/>
        <v>482.07306851378365</v>
      </c>
      <c r="AD1296">
        <f t="shared" ca="1" si="614"/>
        <v>280.07692026646265</v>
      </c>
      <c r="AE1296">
        <f t="shared" ca="1" si="615"/>
        <v>1019.7665564573041</v>
      </c>
      <c r="AF1296">
        <f t="shared" ca="1" si="616"/>
        <v>482.07256851378361</v>
      </c>
      <c r="AG1296">
        <f t="shared" ca="1" si="617"/>
        <v>0</v>
      </c>
      <c r="AH1296">
        <f ca="1">IF(V32="Supercritical",L1296,IF(V32="Subcritical",W1296,IF(AND(V1296=1,AG1296=1),IF(T1296&gt;=AE1296,L1296,W1296),IF(V1296=1,L1296,IF(AG1296=1,W1296,MAX($D$16,POWER((ABS(K1296)^2)/($I$5*MAX(F1296,0.1)^2),1/3)))))))</f>
        <v>2.1403668656741068</v>
      </c>
      <c r="AI1296">
        <f t="shared" ca="1" si="618"/>
        <v>634.12936686567411</v>
      </c>
      <c r="AJ1296">
        <f t="shared" ca="1" si="619"/>
        <v>635.19955029851121</v>
      </c>
      <c r="AM1296">
        <v>0</v>
      </c>
      <c r="AN1296">
        <v>0</v>
      </c>
      <c r="AO1296">
        <f t="shared" si="620"/>
        <v>0</v>
      </c>
      <c r="AP1296">
        <f t="shared" si="629"/>
        <v>0</v>
      </c>
      <c r="AQ1296">
        <f t="shared" ca="1" si="621"/>
        <v>0.99999999999999978</v>
      </c>
      <c r="AR1296" t="str">
        <f t="shared" ca="1" si="622"/>
        <v>Supercritical</v>
      </c>
      <c r="AS1296">
        <f t="shared" ca="1" si="623"/>
        <v>3.8148159832266538E-3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191</v>
      </c>
      <c r="I1297">
        <v>0</v>
      </c>
      <c r="J1297">
        <f t="shared" si="624"/>
        <v>1</v>
      </c>
      <c r="K1297">
        <f t="shared" si="625"/>
        <v>51</v>
      </c>
      <c r="L1297">
        <f t="shared" ca="1" si="626"/>
        <v>0.05</v>
      </c>
      <c r="M1297">
        <f t="shared" ca="1" si="599"/>
        <v>0.26</v>
      </c>
      <c r="N1297">
        <f t="shared" ca="1" si="600"/>
        <v>4.9056603773584909E-2</v>
      </c>
      <c r="O1297">
        <f t="shared" ca="1" si="601"/>
        <v>196.15384615384616</v>
      </c>
      <c r="P1297">
        <f t="shared" ca="1" si="602"/>
        <v>632.0385</v>
      </c>
      <c r="Q1297">
        <f t="shared" ca="1" si="603"/>
        <v>2593.115531648662</v>
      </c>
      <c r="R1297">
        <f t="shared" ca="1" si="604"/>
        <v>482.07306851378365</v>
      </c>
      <c r="S1297">
        <f t="shared" ca="1" si="605"/>
        <v>280.07692026646265</v>
      </c>
      <c r="T1297">
        <f t="shared" ca="1" si="606"/>
        <v>1019.7665564573041</v>
      </c>
      <c r="U1297">
        <f t="shared" ca="1" si="627"/>
        <v>-482.07256851378361</v>
      </c>
      <c r="V1297">
        <f t="shared" ca="1" si="628"/>
        <v>0</v>
      </c>
      <c r="W1297">
        <f t="shared" ca="1" si="607"/>
        <v>0.05</v>
      </c>
      <c r="X1297">
        <f t="shared" ca="1" si="608"/>
        <v>0.26</v>
      </c>
      <c r="Y1297">
        <f t="shared" ca="1" si="609"/>
        <v>4.9056603773584909E-2</v>
      </c>
      <c r="Z1297">
        <f t="shared" ca="1" si="610"/>
        <v>196.15384615384616</v>
      </c>
      <c r="AA1297">
        <f t="shared" ca="1" si="611"/>
        <v>632.0385</v>
      </c>
      <c r="AB1297">
        <f t="shared" ca="1" si="612"/>
        <v>2593.115531648662</v>
      </c>
      <c r="AC1297">
        <f t="shared" ca="1" si="613"/>
        <v>482.07306851378365</v>
      </c>
      <c r="AD1297">
        <f t="shared" ca="1" si="614"/>
        <v>280.07692026646265</v>
      </c>
      <c r="AE1297">
        <f t="shared" ca="1" si="615"/>
        <v>1019.7665564573041</v>
      </c>
      <c r="AF1297">
        <f t="shared" ca="1" si="616"/>
        <v>482.25887083179032</v>
      </c>
      <c r="AG1297">
        <f t="shared" ca="1" si="617"/>
        <v>0</v>
      </c>
      <c r="AH1297">
        <f ca="1">IF(V32="Supercritical",L1297,IF(V32="Subcritical",W1297,IF(AND(V1297=1,AG1297=1),IF(T1297&gt;=AE1297,L1297,W1297),IF(V1297=1,L1297,IF(AG1297=1,W1297,MAX($D$16,POWER((ABS(K1297)^2)/($I$5*MAX(F1297,0.1)^2),1/3)))))))</f>
        <v>2.1403668656741068</v>
      </c>
      <c r="AI1297">
        <f t="shared" ca="1" si="618"/>
        <v>634.12886686567413</v>
      </c>
      <c r="AJ1297">
        <f t="shared" ca="1" si="619"/>
        <v>635.19905029851122</v>
      </c>
      <c r="AM1297">
        <v>0</v>
      </c>
      <c r="AN1297">
        <v>0</v>
      </c>
      <c r="AO1297">
        <f t="shared" si="620"/>
        <v>0</v>
      </c>
      <c r="AP1297">
        <f t="shared" si="629"/>
        <v>0</v>
      </c>
      <c r="AQ1297">
        <f t="shared" ca="1" si="621"/>
        <v>0.99999999999999978</v>
      </c>
      <c r="AR1297" t="str">
        <f t="shared" ca="1" si="622"/>
        <v>Supercritical</v>
      </c>
      <c r="AS1297">
        <f t="shared" ca="1" si="623"/>
        <v>3.8148159832266538E-3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191</v>
      </c>
      <c r="I1298">
        <v>5.7000000000000002E-2</v>
      </c>
      <c r="J1298">
        <f t="shared" si="624"/>
        <v>1</v>
      </c>
      <c r="K1298">
        <f t="shared" si="625"/>
        <v>51</v>
      </c>
      <c r="L1298">
        <f t="shared" ca="1" si="626"/>
        <v>0.05</v>
      </c>
      <c r="M1298">
        <f t="shared" ca="1" si="599"/>
        <v>0.26</v>
      </c>
      <c r="N1298">
        <f t="shared" ca="1" si="600"/>
        <v>4.9056603773584909E-2</v>
      </c>
      <c r="O1298">
        <f t="shared" ca="1" si="601"/>
        <v>196.15384615384616</v>
      </c>
      <c r="P1298">
        <f t="shared" ca="1" si="602"/>
        <v>632.03800000000001</v>
      </c>
      <c r="Q1298">
        <f t="shared" ca="1" si="603"/>
        <v>2593.1150316486619</v>
      </c>
      <c r="R1298">
        <f t="shared" ca="1" si="604"/>
        <v>482.07306851378365</v>
      </c>
      <c r="S1298">
        <f t="shared" ca="1" si="605"/>
        <v>280.07692026646265</v>
      </c>
      <c r="T1298">
        <f t="shared" ca="1" si="606"/>
        <v>1019.7665564573041</v>
      </c>
      <c r="U1298">
        <f t="shared" ca="1" si="627"/>
        <v>-482.25887083179032</v>
      </c>
      <c r="V1298">
        <f t="shared" ca="1" si="628"/>
        <v>0</v>
      </c>
      <c r="W1298">
        <f t="shared" ca="1" si="607"/>
        <v>0.05</v>
      </c>
      <c r="X1298">
        <f t="shared" ca="1" si="608"/>
        <v>0.26</v>
      </c>
      <c r="Y1298">
        <f t="shared" ca="1" si="609"/>
        <v>4.9056603773584909E-2</v>
      </c>
      <c r="Z1298">
        <f t="shared" ca="1" si="610"/>
        <v>196.15384615384616</v>
      </c>
      <c r="AA1298">
        <f t="shared" ca="1" si="611"/>
        <v>632.03800000000001</v>
      </c>
      <c r="AB1298">
        <f t="shared" ca="1" si="612"/>
        <v>2593.1150316486619</v>
      </c>
      <c r="AC1298">
        <f t="shared" ca="1" si="613"/>
        <v>482.07306851378365</v>
      </c>
      <c r="AD1298">
        <f t="shared" ca="1" si="614"/>
        <v>280.07692026646265</v>
      </c>
      <c r="AE1298">
        <f t="shared" ca="1" si="615"/>
        <v>1019.7665564573041</v>
      </c>
      <c r="AF1298">
        <f t="shared" ca="1" si="616"/>
        <v>482.25887083179032</v>
      </c>
      <c r="AG1298">
        <f t="shared" ca="1" si="617"/>
        <v>0</v>
      </c>
      <c r="AH1298">
        <f ca="1">IF(V32="Supercritical",L1298,IF(V32="Subcritical",W1298,IF(AND(V1298=1,AG1298=1),IF(T1298&gt;=AE1298,L1298,W1298),IF(V1298=1,L1298,IF(AG1298=1,W1298,MAX($D$16,POWER((ABS(K1298)^2)/($I$5*MAX(F1298,0.1)^2),1/3)))))))</f>
        <v>2.1403668656741068</v>
      </c>
      <c r="AI1298">
        <f t="shared" ca="1" si="618"/>
        <v>634.12836686567414</v>
      </c>
      <c r="AJ1298">
        <f t="shared" ca="1" si="619"/>
        <v>635.19855029851124</v>
      </c>
      <c r="AM1298">
        <v>0</v>
      </c>
      <c r="AN1298">
        <v>0</v>
      </c>
      <c r="AO1298">
        <f t="shared" si="620"/>
        <v>0</v>
      </c>
      <c r="AP1298">
        <f t="shared" si="629"/>
        <v>0</v>
      </c>
      <c r="AQ1298">
        <f t="shared" ca="1" si="621"/>
        <v>0.99999999999999978</v>
      </c>
      <c r="AR1298" t="str">
        <f t="shared" ca="1" si="622"/>
        <v>Supercritical</v>
      </c>
      <c r="AS1298">
        <f t="shared" ca="1" si="623"/>
        <v>3.8148159832266538E-3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191</v>
      </c>
      <c r="I1299">
        <v>5.7000000000000002E-2</v>
      </c>
      <c r="J1299">
        <f t="shared" si="624"/>
        <v>1</v>
      </c>
      <c r="K1299">
        <f t="shared" si="625"/>
        <v>51</v>
      </c>
      <c r="L1299">
        <f t="shared" ca="1" si="626"/>
        <v>0.05</v>
      </c>
      <c r="M1299">
        <f t="shared" ca="1" si="599"/>
        <v>0.26</v>
      </c>
      <c r="N1299">
        <f t="shared" ca="1" si="600"/>
        <v>4.9056603773584909E-2</v>
      </c>
      <c r="O1299">
        <f t="shared" ca="1" si="601"/>
        <v>196.15384615384616</v>
      </c>
      <c r="P1299">
        <f t="shared" ca="1" si="602"/>
        <v>632.03749999999991</v>
      </c>
      <c r="Q1299">
        <f t="shared" ca="1" si="603"/>
        <v>2593.1145316486618</v>
      </c>
      <c r="R1299">
        <f t="shared" ca="1" si="604"/>
        <v>482.07306851378365</v>
      </c>
      <c r="S1299">
        <f t="shared" ca="1" si="605"/>
        <v>280.07692026646265</v>
      </c>
      <c r="T1299">
        <f t="shared" ca="1" si="606"/>
        <v>1019.7665564573041</v>
      </c>
      <c r="U1299">
        <f t="shared" ca="1" si="627"/>
        <v>-482.25887083179032</v>
      </c>
      <c r="V1299">
        <f t="shared" ca="1" si="628"/>
        <v>0</v>
      </c>
      <c r="W1299">
        <f t="shared" ca="1" si="607"/>
        <v>0.05</v>
      </c>
      <c r="X1299">
        <f t="shared" ca="1" si="608"/>
        <v>0.26</v>
      </c>
      <c r="Y1299">
        <f t="shared" ca="1" si="609"/>
        <v>4.9056603773584909E-2</v>
      </c>
      <c r="Z1299">
        <f t="shared" ca="1" si="610"/>
        <v>196.15384615384616</v>
      </c>
      <c r="AA1299">
        <f t="shared" ca="1" si="611"/>
        <v>632.03749999999991</v>
      </c>
      <c r="AB1299">
        <f t="shared" ca="1" si="612"/>
        <v>2593.1145316486618</v>
      </c>
      <c r="AC1299">
        <f t="shared" ca="1" si="613"/>
        <v>482.07306851378365</v>
      </c>
      <c r="AD1299">
        <f t="shared" ca="1" si="614"/>
        <v>280.07692026646265</v>
      </c>
      <c r="AE1299">
        <f t="shared" ca="1" si="615"/>
        <v>1019.7665564573041</v>
      </c>
      <c r="AF1299">
        <f t="shared" ca="1" si="616"/>
        <v>482.07256851378406</v>
      </c>
      <c r="AG1299">
        <f t="shared" ca="1" si="617"/>
        <v>0</v>
      </c>
      <c r="AH1299">
        <f ca="1">IF(V32="Supercritical",L1299,IF(V32="Subcritical",W1299,IF(AND(V1299=1,AG1299=1),IF(T1299&gt;=AE1299,L1299,W1299),IF(V1299=1,L1299,IF(AG1299=1,W1299,MAX($D$16,POWER((ABS(K1299)^2)/($I$5*MAX(F1299,0.1)^2),1/3)))))))</f>
        <v>2.1403668656741068</v>
      </c>
      <c r="AI1299">
        <f t="shared" ca="1" si="618"/>
        <v>634.12786686567404</v>
      </c>
      <c r="AJ1299">
        <f t="shared" ca="1" si="619"/>
        <v>635.19805029851113</v>
      </c>
      <c r="AM1299">
        <v>0</v>
      </c>
      <c r="AN1299">
        <v>0</v>
      </c>
      <c r="AO1299">
        <f t="shared" si="620"/>
        <v>0</v>
      </c>
      <c r="AP1299">
        <f t="shared" si="629"/>
        <v>0</v>
      </c>
      <c r="AQ1299">
        <f t="shared" ca="1" si="621"/>
        <v>0.99999999999999978</v>
      </c>
      <c r="AR1299" t="str">
        <f t="shared" ca="1" si="622"/>
        <v>Supercritical</v>
      </c>
      <c r="AS1299">
        <f t="shared" ca="1" si="623"/>
        <v>3.8148159832266538E-3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191</v>
      </c>
      <c r="I1300">
        <v>0</v>
      </c>
      <c r="J1300">
        <f t="shared" si="624"/>
        <v>1</v>
      </c>
      <c r="K1300">
        <f t="shared" si="625"/>
        <v>51</v>
      </c>
      <c r="L1300">
        <f t="shared" ca="1" si="626"/>
        <v>0.05</v>
      </c>
      <c r="M1300">
        <f t="shared" ca="1" si="599"/>
        <v>0.26</v>
      </c>
      <c r="N1300">
        <f t="shared" ca="1" si="600"/>
        <v>4.9056603773584909E-2</v>
      </c>
      <c r="O1300">
        <f t="shared" ca="1" si="601"/>
        <v>196.15384615384616</v>
      </c>
      <c r="P1300">
        <f t="shared" ca="1" si="602"/>
        <v>632.03699999999992</v>
      </c>
      <c r="Q1300">
        <f t="shared" ca="1" si="603"/>
        <v>2593.1140316486621</v>
      </c>
      <c r="R1300">
        <f t="shared" ca="1" si="604"/>
        <v>482.07306851378365</v>
      </c>
      <c r="S1300">
        <f t="shared" ca="1" si="605"/>
        <v>280.07692026646265</v>
      </c>
      <c r="T1300">
        <f t="shared" ca="1" si="606"/>
        <v>1019.7665564573041</v>
      </c>
      <c r="U1300">
        <f t="shared" ca="1" si="627"/>
        <v>-482.07256851378406</v>
      </c>
      <c r="V1300">
        <f t="shared" ca="1" si="628"/>
        <v>0</v>
      </c>
      <c r="W1300">
        <f t="shared" ca="1" si="607"/>
        <v>0.05</v>
      </c>
      <c r="X1300">
        <f t="shared" ca="1" si="608"/>
        <v>0.26</v>
      </c>
      <c r="Y1300">
        <f t="shared" ca="1" si="609"/>
        <v>4.9056603773584909E-2</v>
      </c>
      <c r="Z1300">
        <f t="shared" ca="1" si="610"/>
        <v>196.15384615384616</v>
      </c>
      <c r="AA1300">
        <f t="shared" ca="1" si="611"/>
        <v>632.03699999999992</v>
      </c>
      <c r="AB1300">
        <f t="shared" ca="1" si="612"/>
        <v>2593.1140316486621</v>
      </c>
      <c r="AC1300">
        <f t="shared" ca="1" si="613"/>
        <v>482.07306851378365</v>
      </c>
      <c r="AD1300">
        <f t="shared" ca="1" si="614"/>
        <v>280.07692026646265</v>
      </c>
      <c r="AE1300">
        <f t="shared" ca="1" si="615"/>
        <v>1019.7665564573041</v>
      </c>
      <c r="AF1300">
        <f t="shared" ca="1" si="616"/>
        <v>482.07256851378361</v>
      </c>
      <c r="AG1300">
        <f t="shared" ca="1" si="617"/>
        <v>0</v>
      </c>
      <c r="AH1300">
        <f ca="1">IF(V32="Supercritical",L1300,IF(V32="Subcritical",W1300,IF(AND(V1300=1,AG1300=1),IF(T1300&gt;=AE1300,L1300,W1300),IF(V1300=1,L1300,IF(AG1300=1,W1300,MAX($D$16,POWER((ABS(K1300)^2)/($I$5*MAX(F1300,0.1)^2),1/3)))))))</f>
        <v>2.1403668656741068</v>
      </c>
      <c r="AI1300">
        <f t="shared" ca="1" si="618"/>
        <v>634.12736686567405</v>
      </c>
      <c r="AJ1300">
        <f t="shared" ca="1" si="619"/>
        <v>635.19755029851115</v>
      </c>
      <c r="AM1300">
        <v>0</v>
      </c>
      <c r="AN1300">
        <v>0</v>
      </c>
      <c r="AO1300">
        <f t="shared" si="620"/>
        <v>0</v>
      </c>
      <c r="AP1300">
        <f t="shared" si="629"/>
        <v>0</v>
      </c>
      <c r="AQ1300">
        <f t="shared" ca="1" si="621"/>
        <v>0.99999999999999978</v>
      </c>
      <c r="AR1300" t="str">
        <f t="shared" ca="1" si="622"/>
        <v>Supercritical</v>
      </c>
      <c r="AS1300">
        <f t="shared" ca="1" si="623"/>
        <v>3.8148159832266538E-3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191</v>
      </c>
      <c r="I1301">
        <v>0</v>
      </c>
      <c r="J1301">
        <f t="shared" si="624"/>
        <v>1</v>
      </c>
      <c r="K1301">
        <f t="shared" si="625"/>
        <v>51</v>
      </c>
      <c r="L1301">
        <f t="shared" ca="1" si="626"/>
        <v>0.05</v>
      </c>
      <c r="M1301">
        <f t="shared" ca="1" si="599"/>
        <v>0.26</v>
      </c>
      <c r="N1301">
        <f t="shared" ca="1" si="600"/>
        <v>4.9056603773584909E-2</v>
      </c>
      <c r="O1301">
        <f t="shared" ca="1" si="601"/>
        <v>196.15384615384616</v>
      </c>
      <c r="P1301">
        <f t="shared" ca="1" si="602"/>
        <v>632.03649999999993</v>
      </c>
      <c r="Q1301">
        <f t="shared" ca="1" si="603"/>
        <v>2593.113531648662</v>
      </c>
      <c r="R1301">
        <f t="shared" ca="1" si="604"/>
        <v>482.07306851378365</v>
      </c>
      <c r="S1301">
        <f t="shared" ca="1" si="605"/>
        <v>280.07692026646265</v>
      </c>
      <c r="T1301">
        <f t="shared" ca="1" si="606"/>
        <v>1019.7665564573041</v>
      </c>
      <c r="U1301">
        <f t="shared" ca="1" si="627"/>
        <v>-482.07256851378361</v>
      </c>
      <c r="V1301">
        <f t="shared" ca="1" si="628"/>
        <v>0</v>
      </c>
      <c r="W1301">
        <f t="shared" ca="1" si="607"/>
        <v>0.05</v>
      </c>
      <c r="X1301">
        <f t="shared" ca="1" si="608"/>
        <v>0.26</v>
      </c>
      <c r="Y1301">
        <f t="shared" ca="1" si="609"/>
        <v>4.9056603773584909E-2</v>
      </c>
      <c r="Z1301">
        <f t="shared" ca="1" si="610"/>
        <v>196.15384615384616</v>
      </c>
      <c r="AA1301">
        <f t="shared" ca="1" si="611"/>
        <v>632.03649999999993</v>
      </c>
      <c r="AB1301">
        <f t="shared" ca="1" si="612"/>
        <v>2593.113531648662</v>
      </c>
      <c r="AC1301">
        <f t="shared" ca="1" si="613"/>
        <v>482.07306851378365</v>
      </c>
      <c r="AD1301">
        <f t="shared" ca="1" si="614"/>
        <v>280.07692026646265</v>
      </c>
      <c r="AE1301">
        <f t="shared" ca="1" si="615"/>
        <v>1019.7665564573041</v>
      </c>
      <c r="AF1301">
        <f t="shared" ca="1" si="616"/>
        <v>482.25233390835137</v>
      </c>
      <c r="AG1301">
        <f t="shared" ca="1" si="617"/>
        <v>0</v>
      </c>
      <c r="AH1301">
        <f ca="1">IF(V32="Supercritical",L1301,IF(V32="Subcritical",W1301,IF(AND(V1301=1,AG1301=1),IF(T1301&gt;=AE1301,L1301,W1301),IF(V1301=1,L1301,IF(AG1301=1,W1301,MAX($D$16,POWER((ABS(K1301)^2)/($I$5*MAX(F1301,0.1)^2),1/3)))))))</f>
        <v>2.1403668656741068</v>
      </c>
      <c r="AI1301">
        <f t="shared" ca="1" si="618"/>
        <v>634.12686686567406</v>
      </c>
      <c r="AJ1301">
        <f t="shared" ca="1" si="619"/>
        <v>635.19705029851116</v>
      </c>
      <c r="AM1301">
        <v>0</v>
      </c>
      <c r="AN1301">
        <v>0</v>
      </c>
      <c r="AO1301">
        <f t="shared" si="620"/>
        <v>0</v>
      </c>
      <c r="AP1301">
        <f t="shared" si="629"/>
        <v>0</v>
      </c>
      <c r="AQ1301">
        <f t="shared" ca="1" si="621"/>
        <v>0.99999999999999978</v>
      </c>
      <c r="AR1301" t="str">
        <f t="shared" ca="1" si="622"/>
        <v>Supercritical</v>
      </c>
      <c r="AS1301">
        <f t="shared" ca="1" si="623"/>
        <v>3.8148159832266538E-3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191</v>
      </c>
      <c r="I1302">
        <v>5.5E-2</v>
      </c>
      <c r="J1302">
        <f t="shared" si="624"/>
        <v>1</v>
      </c>
      <c r="K1302">
        <f t="shared" si="625"/>
        <v>51</v>
      </c>
      <c r="L1302">
        <f t="shared" ca="1" si="626"/>
        <v>0.05</v>
      </c>
      <c r="M1302">
        <f t="shared" ref="M1302:M1365" ca="1" si="630">((F1302)+(G1302)*(L1302))*(L1302)</f>
        <v>0.26</v>
      </c>
      <c r="N1302">
        <f t="shared" ref="N1302:N1365" ca="1" si="631">(((F1302)+(G1302)*(L1302))*(L1302))/MAX((F1302)+2*(L1302)*SQRT(1+(G1302)^2),0.000001)</f>
        <v>4.9056603773584909E-2</v>
      </c>
      <c r="O1302">
        <f t="shared" ref="O1302:O1365" ca="1" si="632">ABS(K1302)/MAX(((F1302)+(G1302)*(L1302))*(L1302),0.000001)</f>
        <v>196.15384615384616</v>
      </c>
      <c r="P1302">
        <f t="shared" ref="P1302:P1365" ca="1" si="633">E1302+L1302</f>
        <v>632.03599999999994</v>
      </c>
      <c r="Q1302">
        <f t="shared" ref="Q1302:Q1365" ca="1" si="634">P1302+((ABS(K1302)/MAX(((F1302)+(G1302)*(L1302))*(L1302),0.000001))^2)/(2*$I$5)</f>
        <v>2593.1130316486619</v>
      </c>
      <c r="R1302">
        <f t="shared" ref="R1302:R1365" ca="1" si="635">((ABS(K1302)*$D$6)/(MAX(((F1302)+(G1302)*(L1302))*(L1302),0.000001)*MAX(((((F1302)+(G1302)*(L1302))*(L1302))/MAX((F1302)+2*(L1302)*SQRT(1+(G1302)^2),0.000001))^(2/3),0.000001)))^2</f>
        <v>482.07306851378365</v>
      </c>
      <c r="S1302">
        <f t="shared" ref="S1302:S1365" ca="1" si="636">ABS(ABS(K1302)/MAX(((F1302)+(G1302)*(L1302))*(L1302),0.000001))/SQRT($I$5*MAX((((F1302)+(G1302)*(L1302))*(L1302))/MAX((F1302)+2*(G1302)*(L1302),0.000001),0.000001))</f>
        <v>280.07692026646265</v>
      </c>
      <c r="T1302">
        <f t="shared" ref="T1302:T1365" ca="1" si="637">((F1302)*(L1302)^2)/2+(G1302)*(L1302)^3/3+(ABS(K1302)^2)/($I$5*MAX(((F1302)+(G1302)*(L1302))*(L1302),0.000001))</f>
        <v>1019.7665564573041</v>
      </c>
      <c r="U1302">
        <f t="shared" ca="1" si="627"/>
        <v>-482.25233390835137</v>
      </c>
      <c r="V1302">
        <f t="shared" ca="1" si="628"/>
        <v>0</v>
      </c>
      <c r="W1302">
        <f t="shared" ref="W1302:W1365" ca="1" si="638">IF(OR($D$20=0,AG1303=0),W1303,IF(OR(W1302=0,AD1303&gt;1),MAX($D$16,POWER((ABS(K1302)^2)/($I$5*MAX(F1302,0.1)^2),1/3)),IF(AF1302&gt;0,MAX($D$16,W1302+((AF1302)*$D$18*IF((AD1302)&lt;1,1,-1))),IF(AF1302&lt;0,IF(ABS((MAX($D$16,POWER((ABS(K1302)^2)/($I$5*MAX(F1302,0.1)^2),1/3)))-W1302)&gt;$D$19,MAX($D$16,W1302+($D$18*((MAX($D$16,POWER((ABS(K1302)^2)/($I$5*MAX(F1302,0.1)^2),1/3)))-W1302))),MAX($D$16,POWER((ABS(K1302)^2)/($I$5*MAX(F1302,0.1)^2),1/3))),W1302))))</f>
        <v>0.05</v>
      </c>
      <c r="X1302">
        <f t="shared" ref="X1302:X1365" ca="1" si="639">((F1302)+(G1302)*(W1302))*(W1302)</f>
        <v>0.26</v>
      </c>
      <c r="Y1302">
        <f t="shared" ref="Y1302:Y1365" ca="1" si="640">(((F1302)+(G1302)*(W1302))*(W1302))/MAX((F1302)+2*(W1302)*SQRT(1+(G1302)^2),0.000001)</f>
        <v>4.9056603773584909E-2</v>
      </c>
      <c r="Z1302">
        <f t="shared" ref="Z1302:Z1365" ca="1" si="641">ABS(K1302)/MAX(((F1302)+(G1302)*(W1302))*(W1302),0.000001)</f>
        <v>196.15384615384616</v>
      </c>
      <c r="AA1302">
        <f t="shared" ref="AA1302:AA1365" ca="1" si="642">E1302+W1302</f>
        <v>632.03599999999994</v>
      </c>
      <c r="AB1302">
        <f t="shared" ref="AB1302:AB1365" ca="1" si="643">AA1302+((ABS(K1302)/MAX(((F1302)+(G1302)*(W1302))*(W1302),0.000001))^2)/(2*$I$5)</f>
        <v>2593.1130316486619</v>
      </c>
      <c r="AC1302">
        <f t="shared" ref="AC1302:AC1365" ca="1" si="644">((ABS(K1302)*$D$6)/(MAX(((F1302)+(G1302)*(W1302))*(W1302),0.000001)*MAX(((((F1302)+(G1302)*(W1302))*(W1302))/MAX((F1302)+2*(W1302)*SQRT(1+(G1302)^2),0.000001))^(2/3),0.000001)))^2</f>
        <v>482.07306851378365</v>
      </c>
      <c r="AD1302">
        <f t="shared" ref="AD1302:AD1365" ca="1" si="645">ABS(ABS(K1302)/MAX(((F1302)+(G1302)*(W1302))*(W1302),0.000001))/SQRT($I$5*MAX((((F1302)+(G1302)*(W1302))*(W1302))/MAX((F1302)+2*(G1302)*(W1302),0.000001),0.000001))</f>
        <v>280.07692026646265</v>
      </c>
      <c r="AE1302">
        <f t="shared" ref="AE1302:AE1365" ca="1" si="646">((F1302)*(W1302)^2)/2+(G1302)*(W1302)^3/3+(ABS(K1302)^2)/($I$5*MAX(((F1302)+(G1302)*(W1302))*(W1302),0.000001))</f>
        <v>1019.7665564573041</v>
      </c>
      <c r="AF1302">
        <f t="shared" ref="AF1302:AF1365" ca="1" si="647">AB1303+(((AC1302+AC1303)/2)*J1303)+(IF(Z1302&gt;Z1303,$D$8*((Z1302^2-Z1303^2)/(2*$I$5)),$D$9*((Z1303^2-Z1302^2)/(2*$I$5)))+($D$10*(ABS(I1303)/90)*(MAX(Z1302^2,Z1303^2)/(2*$I$5))))-AB1302</f>
        <v>482.73440697696378</v>
      </c>
      <c r="AG1302">
        <f t="shared" ref="AG1302:AG1365" ca="1" si="648">IF(ROUND(AD1302,3)=1,1,IF(AND(ABS(AF1302)&lt;$D$19,AD1302&lt;1),1,0))</f>
        <v>0</v>
      </c>
      <c r="AH1302">
        <f ca="1">IF(V32="Supercritical",L1302,IF(V32="Subcritical",W1302,IF(AND(V1302=1,AG1302=1),IF(T1302&gt;=AE1302,L1302,W1302),IF(V1302=1,L1302,IF(AG1302=1,W1302,MAX($D$16,POWER((ABS(K1302)^2)/($I$5*MAX(F1302,0.1)^2),1/3)))))))</f>
        <v>2.1403668656741068</v>
      </c>
      <c r="AI1302">
        <f t="shared" ref="AI1302:AI1365" ca="1" si="649">E1302+AH1302</f>
        <v>634.12636686567407</v>
      </c>
      <c r="AJ1302">
        <f t="shared" ref="AJ1302:AJ1365" ca="1" si="650">AI1302+((ABS(K1302)/MAX(((F1302)+(G1302)*(AH1302))*(AH1302),0.000001))^2)/(2*$I$5)</f>
        <v>635.19655029851117</v>
      </c>
      <c r="AM1302">
        <v>0</v>
      </c>
      <c r="AN1302">
        <v>0</v>
      </c>
      <c r="AO1302">
        <f t="shared" ref="AO1302:AO1365" si="651">AM1302+AN1302</f>
        <v>0</v>
      </c>
      <c r="AP1302">
        <f t="shared" si="629"/>
        <v>0</v>
      </c>
      <c r="AQ1302">
        <f t="shared" ref="AQ1302:AQ1365" ca="1" si="652">ABS(ABS(K1302)/MAX(((F1302)+(G1302)*(AH1302))*(AH1302),0.000001))/SQRT($I$5*MAX((((F1302)+(G1302)*(AH1302))*(AH1302))/MAX((F1302)+2*(G1302)*(AH1302),0.000001),0.000001))</f>
        <v>0.99999999999999978</v>
      </c>
      <c r="AR1302" t="str">
        <f t="shared" ref="AR1302:AR1365" ca="1" si="653">IF(AQ1302&lt;1,"Subcritical","Supercritical")</f>
        <v>Supercritical</v>
      </c>
      <c r="AS1302">
        <f t="shared" ref="AS1302:AS1365" ca="1" si="654">((ABS(K1302)*$D$6)/(MAX(((F1302)+(G1302)*(AH1302))*(AH1302),0.000001)*MAX(((((F1302)+(G1302)*(AH1302))*(AH1302))/MAX((F1302)+2*(AH1302)*SQRT(1+(G1302)^2),0.000001))^(2/3),0.000001)))^2</f>
        <v>3.8148159832266538E-3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191</v>
      </c>
      <c r="I1303">
        <v>5.5E-2</v>
      </c>
      <c r="J1303">
        <f t="shared" ref="J1303:J1366" si="655">B1303-B1302</f>
        <v>1.0010000000002037</v>
      </c>
      <c r="K1303">
        <f t="shared" ref="K1303:K1366" si="656">MAX(0,K1302-AO1302)</f>
        <v>51</v>
      </c>
      <c r="L1303">
        <f t="shared" ref="L1303:L1366" ca="1" si="657">IF(OR($D$20=0,V1302=0),L1302,IF(OR(L1303=0,S1302&lt;1,S1303&lt;1),MAX($D$16,POWER((ABS(K1303)^2)/($I$5*MAX(F1303,0.1)^2),1/3)),IF(U1303&gt;0,MAX($D$16,L1303+((U1303)*$D$18*IF((S1303)&lt;1,1,-1))),IF(U1303&lt;0,IF(ABS((MAX($D$16,POWER((ABS(K1303)^2)/($I$5*MAX(F1303,0.1)^2),1/3)))-L1303)&gt;$D$19,MAX($D$16,L1303+($D$18*((MAX($D$16,POWER((ABS(K1303)^2)/($I$5*MAX(F1303,0.1)^2),1/3)))-L1303))),MAX($D$16,POWER((ABS(K1303)^2)/($I$5*MAX(F1303,0.1)^2),1/3))),L1303))))</f>
        <v>0.05</v>
      </c>
      <c r="M1303">
        <f t="shared" ca="1" si="630"/>
        <v>0.26</v>
      </c>
      <c r="N1303">
        <f t="shared" ca="1" si="631"/>
        <v>4.9056603773584909E-2</v>
      </c>
      <c r="O1303">
        <f t="shared" ca="1" si="632"/>
        <v>196.15384615384616</v>
      </c>
      <c r="P1303">
        <f t="shared" ca="1" si="633"/>
        <v>632.03549999999996</v>
      </c>
      <c r="Q1303">
        <f t="shared" ca="1" si="634"/>
        <v>2593.1125316486623</v>
      </c>
      <c r="R1303">
        <f t="shared" ca="1" si="635"/>
        <v>482.07306851378365</v>
      </c>
      <c r="S1303">
        <f t="shared" ca="1" si="636"/>
        <v>280.07692026646265</v>
      </c>
      <c r="T1303">
        <f t="shared" ca="1" si="637"/>
        <v>1019.7665564573041</v>
      </c>
      <c r="U1303">
        <f t="shared" ref="U1303:U1366" ca="1" si="658">Q1302-(((R1302+R1303)/2)*J1303)-(IF(O1302&gt;O1303,$D$8*((O1302^2-O1303^2)/(2*$I$5)),$D$9*((O1303^2-O1302^2)/(2*$I$5)))+($D$10*(ABS(I1303)/90)*(MAX(O1302^2,O1303^2)/(2*$I$5))))-Q1303</f>
        <v>-482.73440697696378</v>
      </c>
      <c r="V1303">
        <f t="shared" ref="V1303:V1366" ca="1" si="659">IF(ROUND(S1303,3)=1,1,IF(AND(ABS(U1303)&lt;$D$19,S1303&gt;1),1,0))</f>
        <v>0</v>
      </c>
      <c r="W1303">
        <f t="shared" ca="1" si="638"/>
        <v>0.05</v>
      </c>
      <c r="X1303">
        <f t="shared" ca="1" si="639"/>
        <v>0.26</v>
      </c>
      <c r="Y1303">
        <f t="shared" ca="1" si="640"/>
        <v>4.9056603773584909E-2</v>
      </c>
      <c r="Z1303">
        <f t="shared" ca="1" si="641"/>
        <v>196.15384615384616</v>
      </c>
      <c r="AA1303">
        <f t="shared" ca="1" si="642"/>
        <v>632.03549999999996</v>
      </c>
      <c r="AB1303">
        <f t="shared" ca="1" si="643"/>
        <v>2593.1125316486623</v>
      </c>
      <c r="AC1303">
        <f t="shared" ca="1" si="644"/>
        <v>482.07306851378365</v>
      </c>
      <c r="AD1303">
        <f t="shared" ca="1" si="645"/>
        <v>280.07692026646265</v>
      </c>
      <c r="AE1303">
        <f t="shared" ca="1" si="646"/>
        <v>1019.7665564573041</v>
      </c>
      <c r="AF1303">
        <f t="shared" ca="1" si="647"/>
        <v>482.07256851378361</v>
      </c>
      <c r="AG1303">
        <f t="shared" ca="1" si="648"/>
        <v>0</v>
      </c>
      <c r="AH1303">
        <f ca="1">IF(V32="Supercritical",L1303,IF(V32="Subcritical",W1303,IF(AND(V1303=1,AG1303=1),IF(T1303&gt;=AE1303,L1303,W1303),IF(V1303=1,L1303,IF(AG1303=1,W1303,MAX($D$16,POWER((ABS(K1303)^2)/($I$5*MAX(F1303,0.1)^2),1/3)))))))</f>
        <v>2.1403668656741068</v>
      </c>
      <c r="AI1303">
        <f t="shared" ca="1" si="649"/>
        <v>634.12586686567408</v>
      </c>
      <c r="AJ1303">
        <f t="shared" ca="1" si="650"/>
        <v>635.19605029851118</v>
      </c>
      <c r="AM1303">
        <v>0</v>
      </c>
      <c r="AN1303">
        <v>0</v>
      </c>
      <c r="AO1303">
        <f t="shared" si="651"/>
        <v>0</v>
      </c>
      <c r="AP1303">
        <f t="shared" ref="AP1303:AP1366" si="660">AP1302+AO1303</f>
        <v>0</v>
      </c>
      <c r="AQ1303">
        <f t="shared" ca="1" si="652"/>
        <v>0.99999999999999978</v>
      </c>
      <c r="AR1303" t="str">
        <f t="shared" ca="1" si="653"/>
        <v>Supercritical</v>
      </c>
      <c r="AS1303">
        <f t="shared" ca="1" si="654"/>
        <v>3.8148159832266538E-3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191</v>
      </c>
      <c r="I1304">
        <v>0</v>
      </c>
      <c r="J1304">
        <f t="shared" si="655"/>
        <v>1</v>
      </c>
      <c r="K1304">
        <f t="shared" si="656"/>
        <v>51</v>
      </c>
      <c r="L1304">
        <f t="shared" ca="1" si="657"/>
        <v>0.05</v>
      </c>
      <c r="M1304">
        <f t="shared" ca="1" si="630"/>
        <v>0.26</v>
      </c>
      <c r="N1304">
        <f t="shared" ca="1" si="631"/>
        <v>4.9056603773584909E-2</v>
      </c>
      <c r="O1304">
        <f t="shared" ca="1" si="632"/>
        <v>196.15384615384616</v>
      </c>
      <c r="P1304">
        <f t="shared" ca="1" si="633"/>
        <v>632.03499999999997</v>
      </c>
      <c r="Q1304">
        <f t="shared" ca="1" si="634"/>
        <v>2593.1120316486622</v>
      </c>
      <c r="R1304">
        <f t="shared" ca="1" si="635"/>
        <v>482.07306851378365</v>
      </c>
      <c r="S1304">
        <f t="shared" ca="1" si="636"/>
        <v>280.07692026646265</v>
      </c>
      <c r="T1304">
        <f t="shared" ca="1" si="637"/>
        <v>1019.7665564573041</v>
      </c>
      <c r="U1304">
        <f t="shared" ca="1" si="658"/>
        <v>-482.07256851378361</v>
      </c>
      <c r="V1304">
        <f t="shared" ca="1" si="659"/>
        <v>0</v>
      </c>
      <c r="W1304">
        <f t="shared" ca="1" si="638"/>
        <v>0.05</v>
      </c>
      <c r="X1304">
        <f t="shared" ca="1" si="639"/>
        <v>0.26</v>
      </c>
      <c r="Y1304">
        <f t="shared" ca="1" si="640"/>
        <v>4.9056603773584909E-2</v>
      </c>
      <c r="Z1304">
        <f t="shared" ca="1" si="641"/>
        <v>196.15384615384616</v>
      </c>
      <c r="AA1304">
        <f t="shared" ca="1" si="642"/>
        <v>632.03499999999997</v>
      </c>
      <c r="AB1304">
        <f t="shared" ca="1" si="643"/>
        <v>2593.1120316486622</v>
      </c>
      <c r="AC1304">
        <f t="shared" ca="1" si="644"/>
        <v>482.07306851378365</v>
      </c>
      <c r="AD1304">
        <f t="shared" ca="1" si="645"/>
        <v>280.07692026646265</v>
      </c>
      <c r="AE1304">
        <f t="shared" ca="1" si="646"/>
        <v>1019.7665564573041</v>
      </c>
      <c r="AF1304">
        <f t="shared" ca="1" si="647"/>
        <v>481.59049544517165</v>
      </c>
      <c r="AG1304">
        <f t="shared" ca="1" si="648"/>
        <v>0</v>
      </c>
      <c r="AH1304">
        <f ca="1">IF(V32="Supercritical",L1304,IF(V32="Subcritical",W1304,IF(AND(V1304=1,AG1304=1),IF(T1304&gt;=AE1304,L1304,W1304),IF(V1304=1,L1304,IF(AG1304=1,W1304,MAX($D$16,POWER((ABS(K1304)^2)/($I$5*MAX(F1304,0.1)^2),1/3)))))))</f>
        <v>2.1403668656741068</v>
      </c>
      <c r="AI1304">
        <f t="shared" ca="1" si="649"/>
        <v>634.1253668656741</v>
      </c>
      <c r="AJ1304">
        <f t="shared" ca="1" si="650"/>
        <v>635.19555029851119</v>
      </c>
      <c r="AM1304">
        <v>0</v>
      </c>
      <c r="AN1304">
        <v>0</v>
      </c>
      <c r="AO1304">
        <f t="shared" si="651"/>
        <v>0</v>
      </c>
      <c r="AP1304">
        <f t="shared" si="660"/>
        <v>0</v>
      </c>
      <c r="AQ1304">
        <f t="shared" ca="1" si="652"/>
        <v>0.99999999999999978</v>
      </c>
      <c r="AR1304" t="str">
        <f t="shared" ca="1" si="653"/>
        <v>Supercritical</v>
      </c>
      <c r="AS1304">
        <f t="shared" ca="1" si="654"/>
        <v>3.8148159832266538E-3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191</v>
      </c>
      <c r="I1305">
        <v>0</v>
      </c>
      <c r="J1305">
        <f t="shared" si="655"/>
        <v>0.99899999999979627</v>
      </c>
      <c r="K1305">
        <f t="shared" si="656"/>
        <v>51</v>
      </c>
      <c r="L1305">
        <f t="shared" ca="1" si="657"/>
        <v>0.05</v>
      </c>
      <c r="M1305">
        <f t="shared" ca="1" si="630"/>
        <v>0.26</v>
      </c>
      <c r="N1305">
        <f t="shared" ca="1" si="631"/>
        <v>4.9056603773584909E-2</v>
      </c>
      <c r="O1305">
        <f t="shared" ca="1" si="632"/>
        <v>196.15384615384616</v>
      </c>
      <c r="P1305">
        <f t="shared" ca="1" si="633"/>
        <v>632.03449999999998</v>
      </c>
      <c r="Q1305">
        <f t="shared" ca="1" si="634"/>
        <v>2593.1115316486621</v>
      </c>
      <c r="R1305">
        <f t="shared" ca="1" si="635"/>
        <v>482.07306851378365</v>
      </c>
      <c r="S1305">
        <f t="shared" ca="1" si="636"/>
        <v>280.07692026646265</v>
      </c>
      <c r="T1305">
        <f t="shared" ca="1" si="637"/>
        <v>1019.7665564573041</v>
      </c>
      <c r="U1305">
        <f t="shared" ca="1" si="658"/>
        <v>-481.59049544517165</v>
      </c>
      <c r="V1305">
        <f t="shared" ca="1" si="659"/>
        <v>0</v>
      </c>
      <c r="W1305">
        <f t="shared" ca="1" si="638"/>
        <v>0.05</v>
      </c>
      <c r="X1305">
        <f t="shared" ca="1" si="639"/>
        <v>0.26</v>
      </c>
      <c r="Y1305">
        <f t="shared" ca="1" si="640"/>
        <v>4.9056603773584909E-2</v>
      </c>
      <c r="Z1305">
        <f t="shared" ca="1" si="641"/>
        <v>196.15384615384616</v>
      </c>
      <c r="AA1305">
        <f t="shared" ca="1" si="642"/>
        <v>632.03449999999998</v>
      </c>
      <c r="AB1305">
        <f t="shared" ca="1" si="643"/>
        <v>2593.1115316486621</v>
      </c>
      <c r="AC1305">
        <f t="shared" ca="1" si="644"/>
        <v>482.07306851378365</v>
      </c>
      <c r="AD1305">
        <f t="shared" ca="1" si="645"/>
        <v>280.07692026646265</v>
      </c>
      <c r="AE1305">
        <f t="shared" ca="1" si="646"/>
        <v>1019.7665564573041</v>
      </c>
      <c r="AF1305">
        <f t="shared" ca="1" si="647"/>
        <v>482.25887083179032</v>
      </c>
      <c r="AG1305">
        <f t="shared" ca="1" si="648"/>
        <v>0</v>
      </c>
      <c r="AH1305">
        <f ca="1">IF(V32="Supercritical",L1305,IF(V32="Subcritical",W1305,IF(AND(V1305=1,AG1305=1),IF(T1305&gt;=AE1305,L1305,W1305),IF(V1305=1,L1305,IF(AG1305=1,W1305,MAX($D$16,POWER((ABS(K1305)^2)/($I$5*MAX(F1305,0.1)^2),1/3)))))))</f>
        <v>2.1403668656741068</v>
      </c>
      <c r="AI1305">
        <f t="shared" ca="1" si="649"/>
        <v>634.12486686567411</v>
      </c>
      <c r="AJ1305">
        <f t="shared" ca="1" si="650"/>
        <v>635.19505029851121</v>
      </c>
      <c r="AM1305">
        <v>0</v>
      </c>
      <c r="AN1305">
        <v>0</v>
      </c>
      <c r="AO1305">
        <f t="shared" si="651"/>
        <v>0</v>
      </c>
      <c r="AP1305">
        <f t="shared" si="660"/>
        <v>0</v>
      </c>
      <c r="AQ1305">
        <f t="shared" ca="1" si="652"/>
        <v>0.99999999999999978</v>
      </c>
      <c r="AR1305" t="str">
        <f t="shared" ca="1" si="653"/>
        <v>Supercritical</v>
      </c>
      <c r="AS1305">
        <f t="shared" ca="1" si="654"/>
        <v>3.8148159832266538E-3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191</v>
      </c>
      <c r="I1306">
        <v>5.7000000000000002E-2</v>
      </c>
      <c r="J1306">
        <f t="shared" si="655"/>
        <v>1</v>
      </c>
      <c r="K1306">
        <f t="shared" si="656"/>
        <v>51</v>
      </c>
      <c r="L1306">
        <f t="shared" ca="1" si="657"/>
        <v>0.05</v>
      </c>
      <c r="M1306">
        <f t="shared" ca="1" si="630"/>
        <v>0.26</v>
      </c>
      <c r="N1306">
        <f t="shared" ca="1" si="631"/>
        <v>4.9056603773584909E-2</v>
      </c>
      <c r="O1306">
        <f t="shared" ca="1" si="632"/>
        <v>196.15384615384616</v>
      </c>
      <c r="P1306">
        <f t="shared" ca="1" si="633"/>
        <v>632.03399999999999</v>
      </c>
      <c r="Q1306">
        <f t="shared" ca="1" si="634"/>
        <v>2593.111031648662</v>
      </c>
      <c r="R1306">
        <f t="shared" ca="1" si="635"/>
        <v>482.07306851378365</v>
      </c>
      <c r="S1306">
        <f t="shared" ca="1" si="636"/>
        <v>280.07692026646265</v>
      </c>
      <c r="T1306">
        <f t="shared" ca="1" si="637"/>
        <v>1019.7665564573041</v>
      </c>
      <c r="U1306">
        <f t="shared" ca="1" si="658"/>
        <v>-482.25887083179032</v>
      </c>
      <c r="V1306">
        <f t="shared" ca="1" si="659"/>
        <v>0</v>
      </c>
      <c r="W1306">
        <f t="shared" ca="1" si="638"/>
        <v>0.05</v>
      </c>
      <c r="X1306">
        <f t="shared" ca="1" si="639"/>
        <v>0.26</v>
      </c>
      <c r="Y1306">
        <f t="shared" ca="1" si="640"/>
        <v>4.9056603773584909E-2</v>
      </c>
      <c r="Z1306">
        <f t="shared" ca="1" si="641"/>
        <v>196.15384615384616</v>
      </c>
      <c r="AA1306">
        <f t="shared" ca="1" si="642"/>
        <v>632.03399999999999</v>
      </c>
      <c r="AB1306">
        <f t="shared" ca="1" si="643"/>
        <v>2593.111031648662</v>
      </c>
      <c r="AC1306">
        <f t="shared" ca="1" si="644"/>
        <v>482.07306851378365</v>
      </c>
      <c r="AD1306">
        <f t="shared" ca="1" si="645"/>
        <v>280.07692026646265</v>
      </c>
      <c r="AE1306">
        <f t="shared" ca="1" si="646"/>
        <v>1019.7665564573041</v>
      </c>
      <c r="AF1306">
        <f t="shared" ca="1" si="647"/>
        <v>482.25887083179032</v>
      </c>
      <c r="AG1306">
        <f t="shared" ca="1" si="648"/>
        <v>0</v>
      </c>
      <c r="AH1306">
        <f ca="1">IF(V32="Supercritical",L1306,IF(V32="Subcritical",W1306,IF(AND(V1306=1,AG1306=1),IF(T1306&gt;=AE1306,L1306,W1306),IF(V1306=1,L1306,IF(AG1306=1,W1306,MAX($D$16,POWER((ABS(K1306)^2)/($I$5*MAX(F1306,0.1)^2),1/3)))))))</f>
        <v>2.1403668656741068</v>
      </c>
      <c r="AI1306">
        <f t="shared" ca="1" si="649"/>
        <v>634.12436686567412</v>
      </c>
      <c r="AJ1306">
        <f t="shared" ca="1" si="650"/>
        <v>635.19455029851122</v>
      </c>
      <c r="AM1306">
        <v>0</v>
      </c>
      <c r="AN1306">
        <v>0</v>
      </c>
      <c r="AO1306">
        <f t="shared" si="651"/>
        <v>0</v>
      </c>
      <c r="AP1306">
        <f t="shared" si="660"/>
        <v>0</v>
      </c>
      <c r="AQ1306">
        <f t="shared" ca="1" si="652"/>
        <v>0.99999999999999978</v>
      </c>
      <c r="AR1306" t="str">
        <f t="shared" ca="1" si="653"/>
        <v>Supercritical</v>
      </c>
      <c r="AS1306">
        <f t="shared" ca="1" si="654"/>
        <v>3.8148159832266538E-3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191</v>
      </c>
      <c r="I1307">
        <v>5.7000000000000002E-2</v>
      </c>
      <c r="J1307">
        <f t="shared" si="655"/>
        <v>1</v>
      </c>
      <c r="K1307">
        <f t="shared" si="656"/>
        <v>51</v>
      </c>
      <c r="L1307">
        <f t="shared" ca="1" si="657"/>
        <v>0.05</v>
      </c>
      <c r="M1307">
        <f t="shared" ca="1" si="630"/>
        <v>0.26</v>
      </c>
      <c r="N1307">
        <f t="shared" ca="1" si="631"/>
        <v>4.9056603773584909E-2</v>
      </c>
      <c r="O1307">
        <f t="shared" ca="1" si="632"/>
        <v>196.15384615384616</v>
      </c>
      <c r="P1307">
        <f t="shared" ca="1" si="633"/>
        <v>632.0335</v>
      </c>
      <c r="Q1307">
        <f t="shared" ca="1" si="634"/>
        <v>2593.1105316486619</v>
      </c>
      <c r="R1307">
        <f t="shared" ca="1" si="635"/>
        <v>482.07306851378365</v>
      </c>
      <c r="S1307">
        <f t="shared" ca="1" si="636"/>
        <v>280.07692026646265</v>
      </c>
      <c r="T1307">
        <f t="shared" ca="1" si="637"/>
        <v>1019.7665564573041</v>
      </c>
      <c r="U1307">
        <f t="shared" ca="1" si="658"/>
        <v>-482.25887083179032</v>
      </c>
      <c r="V1307">
        <f t="shared" ca="1" si="659"/>
        <v>0</v>
      </c>
      <c r="W1307">
        <f t="shared" ca="1" si="638"/>
        <v>0.05</v>
      </c>
      <c r="X1307">
        <f t="shared" ca="1" si="639"/>
        <v>0.26</v>
      </c>
      <c r="Y1307">
        <f t="shared" ca="1" si="640"/>
        <v>4.9056603773584909E-2</v>
      </c>
      <c r="Z1307">
        <f t="shared" ca="1" si="641"/>
        <v>196.15384615384616</v>
      </c>
      <c r="AA1307">
        <f t="shared" ca="1" si="642"/>
        <v>632.0335</v>
      </c>
      <c r="AB1307">
        <f t="shared" ca="1" si="643"/>
        <v>2593.1105316486619</v>
      </c>
      <c r="AC1307">
        <f t="shared" ca="1" si="644"/>
        <v>482.07306851378365</v>
      </c>
      <c r="AD1307">
        <f t="shared" ca="1" si="645"/>
        <v>280.07692026646265</v>
      </c>
      <c r="AE1307">
        <f t="shared" ca="1" si="646"/>
        <v>1019.7665564573041</v>
      </c>
      <c r="AF1307">
        <f t="shared" ca="1" si="647"/>
        <v>482.07256851378361</v>
      </c>
      <c r="AG1307">
        <f t="shared" ca="1" si="648"/>
        <v>0</v>
      </c>
      <c r="AH1307">
        <f ca="1">IF(V32="Supercritical",L1307,IF(V32="Subcritical",W1307,IF(AND(V1307=1,AG1307=1),IF(T1307&gt;=AE1307,L1307,W1307),IF(V1307=1,L1307,IF(AG1307=1,W1307,MAX($D$16,POWER((ABS(K1307)^2)/($I$5*MAX(F1307,0.1)^2),1/3)))))))</f>
        <v>2.1403668656741068</v>
      </c>
      <c r="AI1307">
        <f t="shared" ca="1" si="649"/>
        <v>634.12386686567413</v>
      </c>
      <c r="AJ1307">
        <f t="shared" ca="1" si="650"/>
        <v>635.19405029851123</v>
      </c>
      <c r="AM1307">
        <v>0</v>
      </c>
      <c r="AN1307">
        <v>0</v>
      </c>
      <c r="AO1307">
        <f t="shared" si="651"/>
        <v>0</v>
      </c>
      <c r="AP1307">
        <f t="shared" si="660"/>
        <v>0</v>
      </c>
      <c r="AQ1307">
        <f t="shared" ca="1" si="652"/>
        <v>0.99999999999999978</v>
      </c>
      <c r="AR1307" t="str">
        <f t="shared" ca="1" si="653"/>
        <v>Supercritical</v>
      </c>
      <c r="AS1307">
        <f t="shared" ca="1" si="654"/>
        <v>3.8148159832266538E-3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191</v>
      </c>
      <c r="I1308">
        <v>0</v>
      </c>
      <c r="J1308">
        <f t="shared" si="655"/>
        <v>1</v>
      </c>
      <c r="K1308">
        <f t="shared" si="656"/>
        <v>51</v>
      </c>
      <c r="L1308">
        <f t="shared" ca="1" si="657"/>
        <v>0.05</v>
      </c>
      <c r="M1308">
        <f t="shared" ca="1" si="630"/>
        <v>0.26</v>
      </c>
      <c r="N1308">
        <f t="shared" ca="1" si="631"/>
        <v>4.9056603773584909E-2</v>
      </c>
      <c r="O1308">
        <f t="shared" ca="1" si="632"/>
        <v>196.15384615384616</v>
      </c>
      <c r="P1308">
        <f t="shared" ca="1" si="633"/>
        <v>632.0329999999999</v>
      </c>
      <c r="Q1308">
        <f t="shared" ca="1" si="634"/>
        <v>2593.1100316486618</v>
      </c>
      <c r="R1308">
        <f t="shared" ca="1" si="635"/>
        <v>482.07306851378365</v>
      </c>
      <c r="S1308">
        <f t="shared" ca="1" si="636"/>
        <v>280.07692026646265</v>
      </c>
      <c r="T1308">
        <f t="shared" ca="1" si="637"/>
        <v>1019.7665564573041</v>
      </c>
      <c r="U1308">
        <f t="shared" ca="1" si="658"/>
        <v>-482.07256851378361</v>
      </c>
      <c r="V1308">
        <f t="shared" ca="1" si="659"/>
        <v>0</v>
      </c>
      <c r="W1308">
        <f t="shared" ca="1" si="638"/>
        <v>0.05</v>
      </c>
      <c r="X1308">
        <f t="shared" ca="1" si="639"/>
        <v>0.26</v>
      </c>
      <c r="Y1308">
        <f t="shared" ca="1" si="640"/>
        <v>4.9056603773584909E-2</v>
      </c>
      <c r="Z1308">
        <f t="shared" ca="1" si="641"/>
        <v>196.15384615384616</v>
      </c>
      <c r="AA1308">
        <f t="shared" ca="1" si="642"/>
        <v>632.0329999999999</v>
      </c>
      <c r="AB1308">
        <f t="shared" ca="1" si="643"/>
        <v>2593.1100316486618</v>
      </c>
      <c r="AC1308">
        <f t="shared" ca="1" si="644"/>
        <v>482.07306851378365</v>
      </c>
      <c r="AD1308">
        <f t="shared" ca="1" si="645"/>
        <v>280.07692026646265</v>
      </c>
      <c r="AE1308">
        <f t="shared" ca="1" si="646"/>
        <v>1019.7665564573041</v>
      </c>
      <c r="AF1308">
        <f t="shared" ca="1" si="647"/>
        <v>482.07256851378406</v>
      </c>
      <c r="AG1308">
        <f t="shared" ca="1" si="648"/>
        <v>0</v>
      </c>
      <c r="AH1308">
        <f ca="1">IF(V32="Supercritical",L1308,IF(V32="Subcritical",W1308,IF(AND(V1308=1,AG1308=1),IF(T1308&gt;=AE1308,L1308,W1308),IF(V1308=1,L1308,IF(AG1308=1,W1308,MAX($D$16,POWER((ABS(K1308)^2)/($I$5*MAX(F1308,0.1)^2),1/3)))))))</f>
        <v>2.1403668656741068</v>
      </c>
      <c r="AI1308">
        <f t="shared" ca="1" si="649"/>
        <v>634.12336686567403</v>
      </c>
      <c r="AJ1308">
        <f t="shared" ca="1" si="650"/>
        <v>635.19355029851113</v>
      </c>
      <c r="AM1308">
        <v>0</v>
      </c>
      <c r="AN1308">
        <v>0</v>
      </c>
      <c r="AO1308">
        <f t="shared" si="651"/>
        <v>0</v>
      </c>
      <c r="AP1308">
        <f t="shared" si="660"/>
        <v>0</v>
      </c>
      <c r="AQ1308">
        <f t="shared" ca="1" si="652"/>
        <v>0.99999999999999978</v>
      </c>
      <c r="AR1308" t="str">
        <f t="shared" ca="1" si="653"/>
        <v>Supercritical</v>
      </c>
      <c r="AS1308">
        <f t="shared" ca="1" si="654"/>
        <v>3.8148159832266538E-3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191</v>
      </c>
      <c r="I1309">
        <v>0</v>
      </c>
      <c r="J1309">
        <f t="shared" si="655"/>
        <v>1</v>
      </c>
      <c r="K1309">
        <f t="shared" si="656"/>
        <v>51</v>
      </c>
      <c r="L1309">
        <f t="shared" ca="1" si="657"/>
        <v>0.05</v>
      </c>
      <c r="M1309">
        <f t="shared" ca="1" si="630"/>
        <v>0.26</v>
      </c>
      <c r="N1309">
        <f t="shared" ca="1" si="631"/>
        <v>4.9056603773584909E-2</v>
      </c>
      <c r="O1309">
        <f t="shared" ca="1" si="632"/>
        <v>196.15384615384616</v>
      </c>
      <c r="P1309">
        <f t="shared" ca="1" si="633"/>
        <v>632.03249999999991</v>
      </c>
      <c r="Q1309">
        <f t="shared" ca="1" si="634"/>
        <v>2593.1095316486621</v>
      </c>
      <c r="R1309">
        <f t="shared" ca="1" si="635"/>
        <v>482.07306851378365</v>
      </c>
      <c r="S1309">
        <f t="shared" ca="1" si="636"/>
        <v>280.07692026646265</v>
      </c>
      <c r="T1309">
        <f t="shared" ca="1" si="637"/>
        <v>1019.7665564573041</v>
      </c>
      <c r="U1309">
        <f t="shared" ca="1" si="658"/>
        <v>-482.07256851378406</v>
      </c>
      <c r="V1309">
        <f t="shared" ca="1" si="659"/>
        <v>0</v>
      </c>
      <c r="W1309">
        <f t="shared" ca="1" si="638"/>
        <v>0.05</v>
      </c>
      <c r="X1309">
        <f t="shared" ca="1" si="639"/>
        <v>0.26</v>
      </c>
      <c r="Y1309">
        <f t="shared" ca="1" si="640"/>
        <v>4.9056603773584909E-2</v>
      </c>
      <c r="Z1309">
        <f t="shared" ca="1" si="641"/>
        <v>196.15384615384616</v>
      </c>
      <c r="AA1309">
        <f t="shared" ca="1" si="642"/>
        <v>632.03249999999991</v>
      </c>
      <c r="AB1309">
        <f t="shared" ca="1" si="643"/>
        <v>2593.1095316486621</v>
      </c>
      <c r="AC1309">
        <f t="shared" ca="1" si="644"/>
        <v>482.07306851378365</v>
      </c>
      <c r="AD1309">
        <f t="shared" ca="1" si="645"/>
        <v>280.07692026646265</v>
      </c>
      <c r="AE1309">
        <f t="shared" ca="1" si="646"/>
        <v>1019.7665564573041</v>
      </c>
      <c r="AF1309">
        <f t="shared" ca="1" si="647"/>
        <v>482.25887083179032</v>
      </c>
      <c r="AG1309">
        <f t="shared" ca="1" si="648"/>
        <v>0</v>
      </c>
      <c r="AH1309">
        <f ca="1">IF(V32="Supercritical",L1309,IF(V32="Subcritical",W1309,IF(AND(V1309=1,AG1309=1),IF(T1309&gt;=AE1309,L1309,W1309),IF(V1309=1,L1309,IF(AG1309=1,W1309,MAX($D$16,POWER((ABS(K1309)^2)/($I$5*MAX(F1309,0.1)^2),1/3)))))))</f>
        <v>2.1403668656741068</v>
      </c>
      <c r="AI1309">
        <f t="shared" ca="1" si="649"/>
        <v>634.12286686567404</v>
      </c>
      <c r="AJ1309">
        <f t="shared" ca="1" si="650"/>
        <v>635.19305029851114</v>
      </c>
      <c r="AM1309">
        <v>0</v>
      </c>
      <c r="AN1309">
        <v>0</v>
      </c>
      <c r="AO1309">
        <f t="shared" si="651"/>
        <v>0</v>
      </c>
      <c r="AP1309">
        <f t="shared" si="660"/>
        <v>0</v>
      </c>
      <c r="AQ1309">
        <f t="shared" ca="1" si="652"/>
        <v>0.99999999999999978</v>
      </c>
      <c r="AR1309" t="str">
        <f t="shared" ca="1" si="653"/>
        <v>Supercritical</v>
      </c>
      <c r="AS1309">
        <f t="shared" ca="1" si="654"/>
        <v>3.8148159832266538E-3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191</v>
      </c>
      <c r="I1310">
        <v>5.7000000000000002E-2</v>
      </c>
      <c r="J1310">
        <f t="shared" si="655"/>
        <v>1</v>
      </c>
      <c r="K1310">
        <f t="shared" si="656"/>
        <v>51</v>
      </c>
      <c r="L1310">
        <f t="shared" ca="1" si="657"/>
        <v>0.05</v>
      </c>
      <c r="M1310">
        <f t="shared" ca="1" si="630"/>
        <v>0.26</v>
      </c>
      <c r="N1310">
        <f t="shared" ca="1" si="631"/>
        <v>4.9056603773584909E-2</v>
      </c>
      <c r="O1310">
        <f t="shared" ca="1" si="632"/>
        <v>196.15384615384616</v>
      </c>
      <c r="P1310">
        <f t="shared" ca="1" si="633"/>
        <v>632.03199999999993</v>
      </c>
      <c r="Q1310">
        <f t="shared" ca="1" si="634"/>
        <v>2593.109031648662</v>
      </c>
      <c r="R1310">
        <f t="shared" ca="1" si="635"/>
        <v>482.07306851378365</v>
      </c>
      <c r="S1310">
        <f t="shared" ca="1" si="636"/>
        <v>280.07692026646265</v>
      </c>
      <c r="T1310">
        <f t="shared" ca="1" si="637"/>
        <v>1019.7665564573041</v>
      </c>
      <c r="U1310">
        <f t="shared" ca="1" si="658"/>
        <v>-482.25887083179032</v>
      </c>
      <c r="V1310">
        <f t="shared" ca="1" si="659"/>
        <v>0</v>
      </c>
      <c r="W1310">
        <f t="shared" ca="1" si="638"/>
        <v>0.05</v>
      </c>
      <c r="X1310">
        <f t="shared" ca="1" si="639"/>
        <v>0.26</v>
      </c>
      <c r="Y1310">
        <f t="shared" ca="1" si="640"/>
        <v>4.9056603773584909E-2</v>
      </c>
      <c r="Z1310">
        <f t="shared" ca="1" si="641"/>
        <v>196.15384615384616</v>
      </c>
      <c r="AA1310">
        <f t="shared" ca="1" si="642"/>
        <v>632.03199999999993</v>
      </c>
      <c r="AB1310">
        <f t="shared" ca="1" si="643"/>
        <v>2593.109031648662</v>
      </c>
      <c r="AC1310">
        <f t="shared" ca="1" si="644"/>
        <v>482.07306851378365</v>
      </c>
      <c r="AD1310">
        <f t="shared" ca="1" si="645"/>
        <v>280.07692026646265</v>
      </c>
      <c r="AE1310">
        <f t="shared" ca="1" si="646"/>
        <v>1019.7665564573041</v>
      </c>
      <c r="AF1310">
        <f t="shared" ca="1" si="647"/>
        <v>482.26867621694828</v>
      </c>
      <c r="AG1310">
        <f t="shared" ca="1" si="648"/>
        <v>0</v>
      </c>
      <c r="AH1310">
        <f ca="1">IF(V32="Supercritical",L1310,IF(V32="Subcritical",W1310,IF(AND(V1310=1,AG1310=1),IF(T1310&gt;=AE1310,L1310,W1310),IF(V1310=1,L1310,IF(AG1310=1,W1310,MAX($D$16,POWER((ABS(K1310)^2)/($I$5*MAX(F1310,0.1)^2),1/3)))))))</f>
        <v>2.1403668656741068</v>
      </c>
      <c r="AI1310">
        <f t="shared" ca="1" si="649"/>
        <v>634.12236686567405</v>
      </c>
      <c r="AJ1310">
        <f t="shared" ca="1" si="650"/>
        <v>635.19255029851115</v>
      </c>
      <c r="AM1310">
        <v>0</v>
      </c>
      <c r="AN1310">
        <v>0</v>
      </c>
      <c r="AO1310">
        <f t="shared" si="651"/>
        <v>0</v>
      </c>
      <c r="AP1310">
        <f t="shared" si="660"/>
        <v>0</v>
      </c>
      <c r="AQ1310">
        <f t="shared" ca="1" si="652"/>
        <v>0.99999999999999978</v>
      </c>
      <c r="AR1310" t="str">
        <f t="shared" ca="1" si="653"/>
        <v>Supercritical</v>
      </c>
      <c r="AS1310">
        <f t="shared" ca="1" si="654"/>
        <v>3.8148159832266538E-3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191</v>
      </c>
      <c r="I1311">
        <v>0.06</v>
      </c>
      <c r="J1311">
        <f t="shared" si="655"/>
        <v>1</v>
      </c>
      <c r="K1311">
        <f t="shared" si="656"/>
        <v>51</v>
      </c>
      <c r="L1311">
        <f t="shared" ca="1" si="657"/>
        <v>0.05</v>
      </c>
      <c r="M1311">
        <f t="shared" ca="1" si="630"/>
        <v>0.26</v>
      </c>
      <c r="N1311">
        <f t="shared" ca="1" si="631"/>
        <v>4.9056603773584909E-2</v>
      </c>
      <c r="O1311">
        <f t="shared" ca="1" si="632"/>
        <v>196.15384615384616</v>
      </c>
      <c r="P1311">
        <f t="shared" ca="1" si="633"/>
        <v>632.03149999999994</v>
      </c>
      <c r="Q1311">
        <f t="shared" ca="1" si="634"/>
        <v>2593.1085316486619</v>
      </c>
      <c r="R1311">
        <f t="shared" ca="1" si="635"/>
        <v>482.07306851378365</v>
      </c>
      <c r="S1311">
        <f t="shared" ca="1" si="636"/>
        <v>280.07692026646265</v>
      </c>
      <c r="T1311">
        <f t="shared" ca="1" si="637"/>
        <v>1019.7665564573041</v>
      </c>
      <c r="U1311">
        <f t="shared" ca="1" si="658"/>
        <v>-482.26867621694828</v>
      </c>
      <c r="V1311">
        <f t="shared" ca="1" si="659"/>
        <v>0</v>
      </c>
      <c r="W1311">
        <f t="shared" ca="1" si="638"/>
        <v>0.05</v>
      </c>
      <c r="X1311">
        <f t="shared" ca="1" si="639"/>
        <v>0.26</v>
      </c>
      <c r="Y1311">
        <f t="shared" ca="1" si="640"/>
        <v>4.9056603773584909E-2</v>
      </c>
      <c r="Z1311">
        <f t="shared" ca="1" si="641"/>
        <v>196.15384615384616</v>
      </c>
      <c r="AA1311">
        <f t="shared" ca="1" si="642"/>
        <v>632.03149999999994</v>
      </c>
      <c r="AB1311">
        <f t="shared" ca="1" si="643"/>
        <v>2593.1085316486619</v>
      </c>
      <c r="AC1311">
        <f t="shared" ca="1" si="644"/>
        <v>482.07306851378365</v>
      </c>
      <c r="AD1311">
        <f t="shared" ca="1" si="645"/>
        <v>280.07692026646265</v>
      </c>
      <c r="AE1311">
        <f t="shared" ca="1" si="646"/>
        <v>1019.7665564573041</v>
      </c>
      <c r="AF1311">
        <f t="shared" ca="1" si="647"/>
        <v>482.56117850583496</v>
      </c>
      <c r="AG1311">
        <f t="shared" ca="1" si="648"/>
        <v>0</v>
      </c>
      <c r="AH1311">
        <f ca="1">IF(V32="Supercritical",L1311,IF(V32="Subcritical",W1311,IF(AND(V1311=1,AG1311=1),IF(T1311&gt;=AE1311,L1311,W1311),IF(V1311=1,L1311,IF(AG1311=1,W1311,MAX($D$16,POWER((ABS(K1311)^2)/($I$5*MAX(F1311,0.1)^2),1/3)))))))</f>
        <v>2.1403668656741068</v>
      </c>
      <c r="AI1311">
        <f t="shared" ca="1" si="649"/>
        <v>634.12186686567406</v>
      </c>
      <c r="AJ1311">
        <f t="shared" ca="1" si="650"/>
        <v>635.19205029851116</v>
      </c>
      <c r="AM1311">
        <v>0</v>
      </c>
      <c r="AN1311">
        <v>0</v>
      </c>
      <c r="AO1311">
        <f t="shared" si="651"/>
        <v>0</v>
      </c>
      <c r="AP1311">
        <f t="shared" si="660"/>
        <v>0</v>
      </c>
      <c r="AQ1311">
        <f t="shared" ca="1" si="652"/>
        <v>0.99999999999999978</v>
      </c>
      <c r="AR1311" t="str">
        <f t="shared" ca="1" si="653"/>
        <v>Supercritical</v>
      </c>
      <c r="AS1311">
        <f t="shared" ca="1" si="654"/>
        <v>3.8148159832266538E-3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191</v>
      </c>
      <c r="I1312">
        <v>2E-3</v>
      </c>
      <c r="J1312">
        <f t="shared" si="655"/>
        <v>1.0010000000002037</v>
      </c>
      <c r="K1312">
        <f t="shared" si="656"/>
        <v>51</v>
      </c>
      <c r="L1312">
        <f t="shared" ca="1" si="657"/>
        <v>0.05</v>
      </c>
      <c r="M1312">
        <f t="shared" ca="1" si="630"/>
        <v>0.26</v>
      </c>
      <c r="N1312">
        <f t="shared" ca="1" si="631"/>
        <v>4.9056603773584909E-2</v>
      </c>
      <c r="O1312">
        <f t="shared" ca="1" si="632"/>
        <v>196.15384615384616</v>
      </c>
      <c r="P1312">
        <f t="shared" ca="1" si="633"/>
        <v>632.03099999999995</v>
      </c>
      <c r="Q1312">
        <f t="shared" ca="1" si="634"/>
        <v>2593.1080316486623</v>
      </c>
      <c r="R1312">
        <f t="shared" ca="1" si="635"/>
        <v>482.07306851378365</v>
      </c>
      <c r="S1312">
        <f t="shared" ca="1" si="636"/>
        <v>280.07692026646265</v>
      </c>
      <c r="T1312">
        <f t="shared" ca="1" si="637"/>
        <v>1019.7665564573041</v>
      </c>
      <c r="U1312">
        <f t="shared" ca="1" si="658"/>
        <v>-482.56117850583496</v>
      </c>
      <c r="V1312">
        <f t="shared" ca="1" si="659"/>
        <v>0</v>
      </c>
      <c r="W1312">
        <f t="shared" ca="1" si="638"/>
        <v>0.05</v>
      </c>
      <c r="X1312">
        <f t="shared" ca="1" si="639"/>
        <v>0.26</v>
      </c>
      <c r="Y1312">
        <f t="shared" ca="1" si="640"/>
        <v>4.9056603773584909E-2</v>
      </c>
      <c r="Z1312">
        <f t="shared" ca="1" si="641"/>
        <v>196.15384615384616</v>
      </c>
      <c r="AA1312">
        <f t="shared" ca="1" si="642"/>
        <v>632.03099999999995</v>
      </c>
      <c r="AB1312">
        <f t="shared" ca="1" si="643"/>
        <v>2593.1080316486623</v>
      </c>
      <c r="AC1312">
        <f t="shared" ca="1" si="644"/>
        <v>482.07306851378365</v>
      </c>
      <c r="AD1312">
        <f t="shared" ca="1" si="645"/>
        <v>280.07692026646265</v>
      </c>
      <c r="AE1312">
        <f t="shared" ca="1" si="646"/>
        <v>1019.7665564573041</v>
      </c>
      <c r="AF1312">
        <f t="shared" ca="1" si="647"/>
        <v>482.07256851378361</v>
      </c>
      <c r="AG1312">
        <f t="shared" ca="1" si="648"/>
        <v>0</v>
      </c>
      <c r="AH1312">
        <f ca="1">IF(V32="Supercritical",L1312,IF(V32="Subcritical",W1312,IF(AND(V1312=1,AG1312=1),IF(T1312&gt;=AE1312,L1312,W1312),IF(V1312=1,L1312,IF(AG1312=1,W1312,MAX($D$16,POWER((ABS(K1312)^2)/($I$5*MAX(F1312,0.1)^2),1/3)))))))</f>
        <v>2.1403668656741068</v>
      </c>
      <c r="AI1312">
        <f t="shared" ca="1" si="649"/>
        <v>634.12136686567408</v>
      </c>
      <c r="AJ1312">
        <f t="shared" ca="1" si="650"/>
        <v>635.19155029851117</v>
      </c>
      <c r="AM1312">
        <v>0</v>
      </c>
      <c r="AN1312">
        <v>0</v>
      </c>
      <c r="AO1312">
        <f t="shared" si="651"/>
        <v>0</v>
      </c>
      <c r="AP1312">
        <f t="shared" si="660"/>
        <v>0</v>
      </c>
      <c r="AQ1312">
        <f t="shared" ca="1" si="652"/>
        <v>0.99999999999999978</v>
      </c>
      <c r="AR1312" t="str">
        <f t="shared" ca="1" si="653"/>
        <v>Supercritical</v>
      </c>
      <c r="AS1312">
        <f t="shared" ca="1" si="654"/>
        <v>3.8148159832266538E-3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191</v>
      </c>
      <c r="I1313">
        <v>0</v>
      </c>
      <c r="J1313">
        <f t="shared" si="655"/>
        <v>1</v>
      </c>
      <c r="K1313">
        <f t="shared" si="656"/>
        <v>51</v>
      </c>
      <c r="L1313">
        <f t="shared" ca="1" si="657"/>
        <v>0.05</v>
      </c>
      <c r="M1313">
        <f t="shared" ca="1" si="630"/>
        <v>0.26</v>
      </c>
      <c r="N1313">
        <f t="shared" ca="1" si="631"/>
        <v>4.9056603773584909E-2</v>
      </c>
      <c r="O1313">
        <f t="shared" ca="1" si="632"/>
        <v>196.15384615384616</v>
      </c>
      <c r="P1313">
        <f t="shared" ca="1" si="633"/>
        <v>632.03049999999996</v>
      </c>
      <c r="Q1313">
        <f t="shared" ca="1" si="634"/>
        <v>2593.1075316486622</v>
      </c>
      <c r="R1313">
        <f t="shared" ca="1" si="635"/>
        <v>482.07306851378365</v>
      </c>
      <c r="S1313">
        <f t="shared" ca="1" si="636"/>
        <v>280.07692026646265</v>
      </c>
      <c r="T1313">
        <f t="shared" ca="1" si="637"/>
        <v>1019.7665564573041</v>
      </c>
      <c r="U1313">
        <f t="shared" ca="1" si="658"/>
        <v>-482.07256851378361</v>
      </c>
      <c r="V1313">
        <f t="shared" ca="1" si="659"/>
        <v>0</v>
      </c>
      <c r="W1313">
        <f t="shared" ca="1" si="638"/>
        <v>0.05</v>
      </c>
      <c r="X1313">
        <f t="shared" ca="1" si="639"/>
        <v>0.26</v>
      </c>
      <c r="Y1313">
        <f t="shared" ca="1" si="640"/>
        <v>4.9056603773584909E-2</v>
      </c>
      <c r="Z1313">
        <f t="shared" ca="1" si="641"/>
        <v>196.15384615384616</v>
      </c>
      <c r="AA1313">
        <f t="shared" ca="1" si="642"/>
        <v>632.03049999999996</v>
      </c>
      <c r="AB1313">
        <f t="shared" ca="1" si="643"/>
        <v>2593.1075316486622</v>
      </c>
      <c r="AC1313">
        <f t="shared" ca="1" si="644"/>
        <v>482.07306851378365</v>
      </c>
      <c r="AD1313">
        <f t="shared" ca="1" si="645"/>
        <v>280.07692026646265</v>
      </c>
      <c r="AE1313">
        <f t="shared" ca="1" si="646"/>
        <v>1019.7665564573041</v>
      </c>
      <c r="AF1313">
        <f t="shared" ca="1" si="647"/>
        <v>482.25887083179032</v>
      </c>
      <c r="AG1313">
        <f t="shared" ca="1" si="648"/>
        <v>0</v>
      </c>
      <c r="AH1313">
        <f ca="1">IF(V32="Supercritical",L1313,IF(V32="Subcritical",W1313,IF(AND(V1313=1,AG1313=1),IF(T1313&gt;=AE1313,L1313,W1313),IF(V1313=1,L1313,IF(AG1313=1,W1313,MAX($D$16,POWER((ABS(K1313)^2)/($I$5*MAX(F1313,0.1)^2),1/3)))))))</f>
        <v>2.1403668656741068</v>
      </c>
      <c r="AI1313">
        <f t="shared" ca="1" si="649"/>
        <v>634.12086686567409</v>
      </c>
      <c r="AJ1313">
        <f t="shared" ca="1" si="650"/>
        <v>635.19105029851119</v>
      </c>
      <c r="AM1313">
        <v>0</v>
      </c>
      <c r="AN1313">
        <v>0</v>
      </c>
      <c r="AO1313">
        <f t="shared" si="651"/>
        <v>0</v>
      </c>
      <c r="AP1313">
        <f t="shared" si="660"/>
        <v>0</v>
      </c>
      <c r="AQ1313">
        <f t="shared" ca="1" si="652"/>
        <v>0.99999999999999978</v>
      </c>
      <c r="AR1313" t="str">
        <f t="shared" ca="1" si="653"/>
        <v>Supercritical</v>
      </c>
      <c r="AS1313">
        <f t="shared" ca="1" si="654"/>
        <v>3.8148159832266538E-3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191</v>
      </c>
      <c r="I1314">
        <v>5.7000000000000002E-2</v>
      </c>
      <c r="J1314">
        <f t="shared" si="655"/>
        <v>1</v>
      </c>
      <c r="K1314">
        <f t="shared" si="656"/>
        <v>51</v>
      </c>
      <c r="L1314">
        <f t="shared" ca="1" si="657"/>
        <v>0.05</v>
      </c>
      <c r="M1314">
        <f t="shared" ca="1" si="630"/>
        <v>0.26</v>
      </c>
      <c r="N1314">
        <f t="shared" ca="1" si="631"/>
        <v>4.9056603773584909E-2</v>
      </c>
      <c r="O1314">
        <f t="shared" ca="1" si="632"/>
        <v>196.15384615384616</v>
      </c>
      <c r="P1314">
        <f t="shared" ca="1" si="633"/>
        <v>632.03</v>
      </c>
      <c r="Q1314">
        <f t="shared" ca="1" si="634"/>
        <v>2593.1070316486621</v>
      </c>
      <c r="R1314">
        <f t="shared" ca="1" si="635"/>
        <v>482.07306851378365</v>
      </c>
      <c r="S1314">
        <f t="shared" ca="1" si="636"/>
        <v>280.07692026646265</v>
      </c>
      <c r="T1314">
        <f t="shared" ca="1" si="637"/>
        <v>1019.7665564573041</v>
      </c>
      <c r="U1314">
        <f t="shared" ca="1" si="658"/>
        <v>-482.25887083179032</v>
      </c>
      <c r="V1314">
        <f t="shared" ca="1" si="659"/>
        <v>0</v>
      </c>
      <c r="W1314">
        <f t="shared" ca="1" si="638"/>
        <v>0.05</v>
      </c>
      <c r="X1314">
        <f t="shared" ca="1" si="639"/>
        <v>0.26</v>
      </c>
      <c r="Y1314">
        <f t="shared" ca="1" si="640"/>
        <v>4.9056603773584909E-2</v>
      </c>
      <c r="Z1314">
        <f t="shared" ca="1" si="641"/>
        <v>196.15384615384616</v>
      </c>
      <c r="AA1314">
        <f t="shared" ca="1" si="642"/>
        <v>632.03</v>
      </c>
      <c r="AB1314">
        <f t="shared" ca="1" si="643"/>
        <v>2593.1070316486621</v>
      </c>
      <c r="AC1314">
        <f t="shared" ca="1" si="644"/>
        <v>482.07306851378365</v>
      </c>
      <c r="AD1314">
        <f t="shared" ca="1" si="645"/>
        <v>280.07692026646265</v>
      </c>
      <c r="AE1314">
        <f t="shared" ca="1" si="646"/>
        <v>1019.7665564573041</v>
      </c>
      <c r="AF1314">
        <f t="shared" ca="1" si="647"/>
        <v>481.77679776317837</v>
      </c>
      <c r="AG1314">
        <f t="shared" ca="1" si="648"/>
        <v>0</v>
      </c>
      <c r="AH1314">
        <f ca="1">IF(V32="Supercritical",L1314,IF(V32="Subcritical",W1314,IF(AND(V1314=1,AG1314=1),IF(T1314&gt;=AE1314,L1314,W1314),IF(V1314=1,L1314,IF(AG1314=1,W1314,MAX($D$16,POWER((ABS(K1314)^2)/($I$5*MAX(F1314,0.1)^2),1/3)))))))</f>
        <v>2.1403668656741068</v>
      </c>
      <c r="AI1314">
        <f t="shared" ca="1" si="649"/>
        <v>634.1203668656741</v>
      </c>
      <c r="AJ1314">
        <f t="shared" ca="1" si="650"/>
        <v>635.1905502985112</v>
      </c>
      <c r="AM1314">
        <v>0</v>
      </c>
      <c r="AN1314">
        <v>0</v>
      </c>
      <c r="AO1314">
        <f t="shared" si="651"/>
        <v>0</v>
      </c>
      <c r="AP1314">
        <f t="shared" si="660"/>
        <v>0</v>
      </c>
      <c r="AQ1314">
        <f t="shared" ca="1" si="652"/>
        <v>0.99999999999999978</v>
      </c>
      <c r="AR1314" t="str">
        <f t="shared" ca="1" si="653"/>
        <v>Supercritical</v>
      </c>
      <c r="AS1314">
        <f t="shared" ca="1" si="654"/>
        <v>3.8148159832266538E-3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191</v>
      </c>
      <c r="I1315">
        <v>5.7000000000000002E-2</v>
      </c>
      <c r="J1315">
        <f t="shared" si="655"/>
        <v>0.99899999999979627</v>
      </c>
      <c r="K1315">
        <f t="shared" si="656"/>
        <v>51</v>
      </c>
      <c r="L1315">
        <f t="shared" ca="1" si="657"/>
        <v>0.05</v>
      </c>
      <c r="M1315">
        <f t="shared" ca="1" si="630"/>
        <v>0.26</v>
      </c>
      <c r="N1315">
        <f t="shared" ca="1" si="631"/>
        <v>4.9056603773584909E-2</v>
      </c>
      <c r="O1315">
        <f t="shared" ca="1" si="632"/>
        <v>196.15384615384616</v>
      </c>
      <c r="P1315">
        <f t="shared" ca="1" si="633"/>
        <v>632.02949999999998</v>
      </c>
      <c r="Q1315">
        <f t="shared" ca="1" si="634"/>
        <v>2593.106531648662</v>
      </c>
      <c r="R1315">
        <f t="shared" ca="1" si="635"/>
        <v>482.07306851378365</v>
      </c>
      <c r="S1315">
        <f t="shared" ca="1" si="636"/>
        <v>280.07692026646265</v>
      </c>
      <c r="T1315">
        <f t="shared" ca="1" si="637"/>
        <v>1019.7665564573041</v>
      </c>
      <c r="U1315">
        <f t="shared" ca="1" si="658"/>
        <v>-481.77679776317837</v>
      </c>
      <c r="V1315">
        <f t="shared" ca="1" si="659"/>
        <v>0</v>
      </c>
      <c r="W1315">
        <f t="shared" ca="1" si="638"/>
        <v>0.05</v>
      </c>
      <c r="X1315">
        <f t="shared" ca="1" si="639"/>
        <v>0.26</v>
      </c>
      <c r="Y1315">
        <f t="shared" ca="1" si="640"/>
        <v>4.9056603773584909E-2</v>
      </c>
      <c r="Z1315">
        <f t="shared" ca="1" si="641"/>
        <v>196.15384615384616</v>
      </c>
      <c r="AA1315">
        <f t="shared" ca="1" si="642"/>
        <v>632.02949999999998</v>
      </c>
      <c r="AB1315">
        <f t="shared" ca="1" si="643"/>
        <v>2593.106531648662</v>
      </c>
      <c r="AC1315">
        <f t="shared" ca="1" si="644"/>
        <v>482.07306851378365</v>
      </c>
      <c r="AD1315">
        <f t="shared" ca="1" si="645"/>
        <v>280.07692026646265</v>
      </c>
      <c r="AE1315">
        <f t="shared" ca="1" si="646"/>
        <v>1019.7665564573041</v>
      </c>
      <c r="AF1315">
        <f t="shared" ca="1" si="647"/>
        <v>482.07256851378361</v>
      </c>
      <c r="AG1315">
        <f t="shared" ca="1" si="648"/>
        <v>0</v>
      </c>
      <c r="AH1315">
        <f ca="1">IF(V32="Supercritical",L1315,IF(V32="Subcritical",W1315,IF(AND(V1315=1,AG1315=1),IF(T1315&gt;=AE1315,L1315,W1315),IF(V1315=1,L1315,IF(AG1315=1,W1315,MAX($D$16,POWER((ABS(K1315)^2)/($I$5*MAX(F1315,0.1)^2),1/3)))))))</f>
        <v>2.1403668656741068</v>
      </c>
      <c r="AI1315">
        <f t="shared" ca="1" si="649"/>
        <v>634.11986686567411</v>
      </c>
      <c r="AJ1315">
        <f t="shared" ca="1" si="650"/>
        <v>635.19005029851121</v>
      </c>
      <c r="AM1315">
        <v>0</v>
      </c>
      <c r="AN1315">
        <v>0</v>
      </c>
      <c r="AO1315">
        <f t="shared" si="651"/>
        <v>0</v>
      </c>
      <c r="AP1315">
        <f t="shared" si="660"/>
        <v>0</v>
      </c>
      <c r="AQ1315">
        <f t="shared" ca="1" si="652"/>
        <v>0.99999999999999978</v>
      </c>
      <c r="AR1315" t="str">
        <f t="shared" ca="1" si="653"/>
        <v>Supercritical</v>
      </c>
      <c r="AS1315">
        <f t="shared" ca="1" si="654"/>
        <v>3.8148159832266538E-3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191</v>
      </c>
      <c r="I1316">
        <v>0</v>
      </c>
      <c r="J1316">
        <f t="shared" si="655"/>
        <v>1</v>
      </c>
      <c r="K1316">
        <f t="shared" si="656"/>
        <v>51</v>
      </c>
      <c r="L1316">
        <f t="shared" ca="1" si="657"/>
        <v>0.05</v>
      </c>
      <c r="M1316">
        <f t="shared" ca="1" si="630"/>
        <v>0.26</v>
      </c>
      <c r="N1316">
        <f t="shared" ca="1" si="631"/>
        <v>4.9056603773584909E-2</v>
      </c>
      <c r="O1316">
        <f t="shared" ca="1" si="632"/>
        <v>196.15384615384616</v>
      </c>
      <c r="P1316">
        <f t="shared" ca="1" si="633"/>
        <v>632.029</v>
      </c>
      <c r="Q1316">
        <f t="shared" ca="1" si="634"/>
        <v>2593.1060316486619</v>
      </c>
      <c r="R1316">
        <f t="shared" ca="1" si="635"/>
        <v>482.07306851378365</v>
      </c>
      <c r="S1316">
        <f t="shared" ca="1" si="636"/>
        <v>280.07692026646265</v>
      </c>
      <c r="T1316">
        <f t="shared" ca="1" si="637"/>
        <v>1019.7665564573041</v>
      </c>
      <c r="U1316">
        <f t="shared" ca="1" si="658"/>
        <v>-482.07256851378361</v>
      </c>
      <c r="V1316">
        <f t="shared" ca="1" si="659"/>
        <v>0</v>
      </c>
      <c r="W1316">
        <f t="shared" ca="1" si="638"/>
        <v>0.05</v>
      </c>
      <c r="X1316">
        <f t="shared" ca="1" si="639"/>
        <v>0.26</v>
      </c>
      <c r="Y1316">
        <f t="shared" ca="1" si="640"/>
        <v>4.9056603773584909E-2</v>
      </c>
      <c r="Z1316">
        <f t="shared" ca="1" si="641"/>
        <v>196.15384615384616</v>
      </c>
      <c r="AA1316">
        <f t="shared" ca="1" si="642"/>
        <v>632.029</v>
      </c>
      <c r="AB1316">
        <f t="shared" ca="1" si="643"/>
        <v>2593.1060316486619</v>
      </c>
      <c r="AC1316">
        <f t="shared" ca="1" si="644"/>
        <v>482.07306851378365</v>
      </c>
      <c r="AD1316">
        <f t="shared" ca="1" si="645"/>
        <v>280.07692026646265</v>
      </c>
      <c r="AE1316">
        <f t="shared" ca="1" si="646"/>
        <v>1019.7665564573041</v>
      </c>
      <c r="AF1316">
        <f t="shared" ca="1" si="647"/>
        <v>482.07256851378406</v>
      </c>
      <c r="AG1316">
        <f t="shared" ca="1" si="648"/>
        <v>0</v>
      </c>
      <c r="AH1316">
        <f ca="1">IF(V32="Supercritical",L1316,IF(V32="Subcritical",W1316,IF(AND(V1316=1,AG1316=1),IF(T1316&gt;=AE1316,L1316,W1316),IF(V1316=1,L1316,IF(AG1316=1,W1316,MAX($D$16,POWER((ABS(K1316)^2)/($I$5*MAX(F1316,0.1)^2),1/3)))))))</f>
        <v>2.1403668656741068</v>
      </c>
      <c r="AI1316">
        <f t="shared" ca="1" si="649"/>
        <v>634.11936686567412</v>
      </c>
      <c r="AJ1316">
        <f t="shared" ca="1" si="650"/>
        <v>635.18955029851122</v>
      </c>
      <c r="AM1316">
        <v>0</v>
      </c>
      <c r="AN1316">
        <v>0</v>
      </c>
      <c r="AO1316">
        <f t="shared" si="651"/>
        <v>0</v>
      </c>
      <c r="AP1316">
        <f t="shared" si="660"/>
        <v>0</v>
      </c>
      <c r="AQ1316">
        <f t="shared" ca="1" si="652"/>
        <v>0.99999999999999978</v>
      </c>
      <c r="AR1316" t="str">
        <f t="shared" ca="1" si="653"/>
        <v>Supercritical</v>
      </c>
      <c r="AS1316">
        <f t="shared" ca="1" si="654"/>
        <v>3.8148159832266538E-3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191</v>
      </c>
      <c r="I1317">
        <v>0</v>
      </c>
      <c r="J1317">
        <f t="shared" si="655"/>
        <v>1</v>
      </c>
      <c r="K1317">
        <f t="shared" si="656"/>
        <v>51</v>
      </c>
      <c r="L1317">
        <f t="shared" ca="1" si="657"/>
        <v>0.05</v>
      </c>
      <c r="M1317">
        <f t="shared" ca="1" si="630"/>
        <v>0.26</v>
      </c>
      <c r="N1317">
        <f t="shared" ca="1" si="631"/>
        <v>4.9056603773584909E-2</v>
      </c>
      <c r="O1317">
        <f t="shared" ca="1" si="632"/>
        <v>196.15384615384616</v>
      </c>
      <c r="P1317">
        <f t="shared" ca="1" si="633"/>
        <v>632.02850000000001</v>
      </c>
      <c r="Q1317">
        <f t="shared" ca="1" si="634"/>
        <v>2593.1055316486622</v>
      </c>
      <c r="R1317">
        <f t="shared" ca="1" si="635"/>
        <v>482.07306851378365</v>
      </c>
      <c r="S1317">
        <f t="shared" ca="1" si="636"/>
        <v>280.07692026646265</v>
      </c>
      <c r="T1317">
        <f t="shared" ca="1" si="637"/>
        <v>1019.7665564573041</v>
      </c>
      <c r="U1317">
        <f t="shared" ca="1" si="658"/>
        <v>-482.07256851378406</v>
      </c>
      <c r="V1317">
        <f t="shared" ca="1" si="659"/>
        <v>0</v>
      </c>
      <c r="W1317">
        <f t="shared" ca="1" si="638"/>
        <v>0.05</v>
      </c>
      <c r="X1317">
        <f t="shared" ca="1" si="639"/>
        <v>0.26</v>
      </c>
      <c r="Y1317">
        <f t="shared" ca="1" si="640"/>
        <v>4.9056603773584909E-2</v>
      </c>
      <c r="Z1317">
        <f t="shared" ca="1" si="641"/>
        <v>196.15384615384616</v>
      </c>
      <c r="AA1317">
        <f t="shared" ca="1" si="642"/>
        <v>632.02850000000001</v>
      </c>
      <c r="AB1317">
        <f t="shared" ca="1" si="643"/>
        <v>2593.1055316486622</v>
      </c>
      <c r="AC1317">
        <f t="shared" ca="1" si="644"/>
        <v>482.07306851378365</v>
      </c>
      <c r="AD1317">
        <f t="shared" ca="1" si="645"/>
        <v>280.07692026646265</v>
      </c>
      <c r="AE1317">
        <f t="shared" ca="1" si="646"/>
        <v>1019.7665564573041</v>
      </c>
      <c r="AF1317">
        <f t="shared" ca="1" si="647"/>
        <v>482.25887083179032</v>
      </c>
      <c r="AG1317">
        <f t="shared" ca="1" si="648"/>
        <v>0</v>
      </c>
      <c r="AH1317">
        <f ca="1">IF(V32="Supercritical",L1317,IF(V32="Subcritical",W1317,IF(AND(V1317=1,AG1317=1),IF(T1317&gt;=AE1317,L1317,W1317),IF(V1317=1,L1317,IF(AG1317=1,W1317,MAX($D$16,POWER((ABS(K1317)^2)/($I$5*MAX(F1317,0.1)^2),1/3)))))))</f>
        <v>2.1403668656741068</v>
      </c>
      <c r="AI1317">
        <f t="shared" ca="1" si="649"/>
        <v>634.11886686567414</v>
      </c>
      <c r="AJ1317">
        <f t="shared" ca="1" si="650"/>
        <v>635.18905029851123</v>
      </c>
      <c r="AM1317">
        <v>0</v>
      </c>
      <c r="AN1317">
        <v>0</v>
      </c>
      <c r="AO1317">
        <f t="shared" si="651"/>
        <v>0</v>
      </c>
      <c r="AP1317">
        <f t="shared" si="660"/>
        <v>0</v>
      </c>
      <c r="AQ1317">
        <f t="shared" ca="1" si="652"/>
        <v>0.99999999999999978</v>
      </c>
      <c r="AR1317" t="str">
        <f t="shared" ca="1" si="653"/>
        <v>Supercritical</v>
      </c>
      <c r="AS1317">
        <f t="shared" ca="1" si="654"/>
        <v>3.8148159832266538E-3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191</v>
      </c>
      <c r="I1318">
        <v>5.7000000000000002E-2</v>
      </c>
      <c r="J1318">
        <f t="shared" si="655"/>
        <v>1</v>
      </c>
      <c r="K1318">
        <f t="shared" si="656"/>
        <v>51</v>
      </c>
      <c r="L1318">
        <f t="shared" ca="1" si="657"/>
        <v>0.05</v>
      </c>
      <c r="M1318">
        <f t="shared" ca="1" si="630"/>
        <v>0.26</v>
      </c>
      <c r="N1318">
        <f t="shared" ca="1" si="631"/>
        <v>4.9056603773584909E-2</v>
      </c>
      <c r="O1318">
        <f t="shared" ca="1" si="632"/>
        <v>196.15384615384616</v>
      </c>
      <c r="P1318">
        <f t="shared" ca="1" si="633"/>
        <v>632.02799999999991</v>
      </c>
      <c r="Q1318">
        <f t="shared" ca="1" si="634"/>
        <v>2593.1050316486621</v>
      </c>
      <c r="R1318">
        <f t="shared" ca="1" si="635"/>
        <v>482.07306851378365</v>
      </c>
      <c r="S1318">
        <f t="shared" ca="1" si="636"/>
        <v>280.07692026646265</v>
      </c>
      <c r="T1318">
        <f t="shared" ca="1" si="637"/>
        <v>1019.7665564573041</v>
      </c>
      <c r="U1318">
        <f t="shared" ca="1" si="658"/>
        <v>-482.25887083179032</v>
      </c>
      <c r="V1318">
        <f t="shared" ca="1" si="659"/>
        <v>0</v>
      </c>
      <c r="W1318">
        <f t="shared" ca="1" si="638"/>
        <v>0.05</v>
      </c>
      <c r="X1318">
        <f t="shared" ca="1" si="639"/>
        <v>0.26</v>
      </c>
      <c r="Y1318">
        <f t="shared" ca="1" si="640"/>
        <v>4.9056603773584909E-2</v>
      </c>
      <c r="Z1318">
        <f t="shared" ca="1" si="641"/>
        <v>196.15384615384616</v>
      </c>
      <c r="AA1318">
        <f t="shared" ca="1" si="642"/>
        <v>632.02799999999991</v>
      </c>
      <c r="AB1318">
        <f t="shared" ca="1" si="643"/>
        <v>2593.1050316486621</v>
      </c>
      <c r="AC1318">
        <f t="shared" ca="1" si="644"/>
        <v>482.07306851378365</v>
      </c>
      <c r="AD1318">
        <f t="shared" ca="1" si="645"/>
        <v>280.07692026646265</v>
      </c>
      <c r="AE1318">
        <f t="shared" ca="1" si="646"/>
        <v>1019.7665564573041</v>
      </c>
      <c r="AF1318">
        <f t="shared" ca="1" si="647"/>
        <v>482.25887083179032</v>
      </c>
      <c r="AG1318">
        <f t="shared" ca="1" si="648"/>
        <v>0</v>
      </c>
      <c r="AH1318">
        <f ca="1">IF(V32="Supercritical",L1318,IF(V32="Subcritical",W1318,IF(AND(V1318=1,AG1318=1),IF(T1318&gt;=AE1318,L1318,W1318),IF(V1318=1,L1318,IF(AG1318=1,W1318,MAX($D$16,POWER((ABS(K1318)^2)/($I$5*MAX(F1318,0.1)^2),1/3)))))))</f>
        <v>2.1403668656741068</v>
      </c>
      <c r="AI1318">
        <f t="shared" ca="1" si="649"/>
        <v>634.11836686567403</v>
      </c>
      <c r="AJ1318">
        <f t="shared" ca="1" si="650"/>
        <v>635.18855029851113</v>
      </c>
      <c r="AM1318">
        <v>0</v>
      </c>
      <c r="AN1318">
        <v>0</v>
      </c>
      <c r="AO1318">
        <f t="shared" si="651"/>
        <v>0</v>
      </c>
      <c r="AP1318">
        <f t="shared" si="660"/>
        <v>0</v>
      </c>
      <c r="AQ1318">
        <f t="shared" ca="1" si="652"/>
        <v>0.99999999999999978</v>
      </c>
      <c r="AR1318" t="str">
        <f t="shared" ca="1" si="653"/>
        <v>Supercritical</v>
      </c>
      <c r="AS1318">
        <f t="shared" ca="1" si="654"/>
        <v>3.8148159832266538E-3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191</v>
      </c>
      <c r="I1319">
        <v>5.7000000000000002E-2</v>
      </c>
      <c r="J1319">
        <f t="shared" si="655"/>
        <v>1</v>
      </c>
      <c r="K1319">
        <f t="shared" si="656"/>
        <v>51</v>
      </c>
      <c r="L1319">
        <f t="shared" ca="1" si="657"/>
        <v>0.05</v>
      </c>
      <c r="M1319">
        <f t="shared" ca="1" si="630"/>
        <v>0.26</v>
      </c>
      <c r="N1319">
        <f t="shared" ca="1" si="631"/>
        <v>4.9056603773584909E-2</v>
      </c>
      <c r="O1319">
        <f t="shared" ca="1" si="632"/>
        <v>196.15384615384616</v>
      </c>
      <c r="P1319">
        <f t="shared" ca="1" si="633"/>
        <v>632.02749999999992</v>
      </c>
      <c r="Q1319">
        <f t="shared" ca="1" si="634"/>
        <v>2593.104531648662</v>
      </c>
      <c r="R1319">
        <f t="shared" ca="1" si="635"/>
        <v>482.07306851378365</v>
      </c>
      <c r="S1319">
        <f t="shared" ca="1" si="636"/>
        <v>280.07692026646265</v>
      </c>
      <c r="T1319">
        <f t="shared" ca="1" si="637"/>
        <v>1019.7665564573041</v>
      </c>
      <c r="U1319">
        <f t="shared" ca="1" si="658"/>
        <v>-482.25887083179032</v>
      </c>
      <c r="V1319">
        <f t="shared" ca="1" si="659"/>
        <v>0</v>
      </c>
      <c r="W1319">
        <f t="shared" ca="1" si="638"/>
        <v>0.05</v>
      </c>
      <c r="X1319">
        <f t="shared" ca="1" si="639"/>
        <v>0.26</v>
      </c>
      <c r="Y1319">
        <f t="shared" ca="1" si="640"/>
        <v>4.9056603773584909E-2</v>
      </c>
      <c r="Z1319">
        <f t="shared" ca="1" si="641"/>
        <v>196.15384615384616</v>
      </c>
      <c r="AA1319">
        <f t="shared" ca="1" si="642"/>
        <v>632.02749999999992</v>
      </c>
      <c r="AB1319">
        <f t="shared" ca="1" si="643"/>
        <v>2593.104531648662</v>
      </c>
      <c r="AC1319">
        <f t="shared" ca="1" si="644"/>
        <v>482.07306851378365</v>
      </c>
      <c r="AD1319">
        <f t="shared" ca="1" si="645"/>
        <v>280.07692026646265</v>
      </c>
      <c r="AE1319">
        <f t="shared" ca="1" si="646"/>
        <v>1019.7665564573041</v>
      </c>
      <c r="AF1319">
        <f t="shared" ca="1" si="647"/>
        <v>482.07256851378361</v>
      </c>
      <c r="AG1319">
        <f t="shared" ca="1" si="648"/>
        <v>0</v>
      </c>
      <c r="AH1319">
        <f ca="1">IF(V32="Supercritical",L1319,IF(V32="Subcritical",W1319,IF(AND(V1319=1,AG1319=1),IF(T1319&gt;=AE1319,L1319,W1319),IF(V1319=1,L1319,IF(AG1319=1,W1319,MAX($D$16,POWER((ABS(K1319)^2)/($I$5*MAX(F1319,0.1)^2),1/3)))))))</f>
        <v>2.1403668656741068</v>
      </c>
      <c r="AI1319">
        <f t="shared" ca="1" si="649"/>
        <v>634.11786686567405</v>
      </c>
      <c r="AJ1319">
        <f t="shared" ca="1" si="650"/>
        <v>635.18805029851114</v>
      </c>
      <c r="AM1319">
        <v>0</v>
      </c>
      <c r="AN1319">
        <v>0</v>
      </c>
      <c r="AO1319">
        <f t="shared" si="651"/>
        <v>0</v>
      </c>
      <c r="AP1319">
        <f t="shared" si="660"/>
        <v>0</v>
      </c>
      <c r="AQ1319">
        <f t="shared" ca="1" si="652"/>
        <v>0.99999999999999978</v>
      </c>
      <c r="AR1319" t="str">
        <f t="shared" ca="1" si="653"/>
        <v>Supercritical</v>
      </c>
      <c r="AS1319">
        <f t="shared" ca="1" si="654"/>
        <v>3.8148159832266538E-3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191</v>
      </c>
      <c r="I1320">
        <v>0</v>
      </c>
      <c r="J1320">
        <f t="shared" si="655"/>
        <v>1</v>
      </c>
      <c r="K1320">
        <f t="shared" si="656"/>
        <v>51</v>
      </c>
      <c r="L1320">
        <f t="shared" ca="1" si="657"/>
        <v>0.05</v>
      </c>
      <c r="M1320">
        <f t="shared" ca="1" si="630"/>
        <v>0.26</v>
      </c>
      <c r="N1320">
        <f t="shared" ca="1" si="631"/>
        <v>4.9056603773584909E-2</v>
      </c>
      <c r="O1320">
        <f t="shared" ca="1" si="632"/>
        <v>196.15384615384616</v>
      </c>
      <c r="P1320">
        <f t="shared" ca="1" si="633"/>
        <v>632.02699999999993</v>
      </c>
      <c r="Q1320">
        <f t="shared" ca="1" si="634"/>
        <v>2593.1040316486619</v>
      </c>
      <c r="R1320">
        <f t="shared" ca="1" si="635"/>
        <v>482.07306851378365</v>
      </c>
      <c r="S1320">
        <f t="shared" ca="1" si="636"/>
        <v>280.07692026646265</v>
      </c>
      <c r="T1320">
        <f t="shared" ca="1" si="637"/>
        <v>1019.7665564573041</v>
      </c>
      <c r="U1320">
        <f t="shared" ca="1" si="658"/>
        <v>-482.07256851378361</v>
      </c>
      <c r="V1320">
        <f t="shared" ca="1" si="659"/>
        <v>0</v>
      </c>
      <c r="W1320">
        <f t="shared" ca="1" si="638"/>
        <v>0.05</v>
      </c>
      <c r="X1320">
        <f t="shared" ca="1" si="639"/>
        <v>0.26</v>
      </c>
      <c r="Y1320">
        <f t="shared" ca="1" si="640"/>
        <v>4.9056603773584909E-2</v>
      </c>
      <c r="Z1320">
        <f t="shared" ca="1" si="641"/>
        <v>196.15384615384616</v>
      </c>
      <c r="AA1320">
        <f t="shared" ca="1" si="642"/>
        <v>632.02699999999993</v>
      </c>
      <c r="AB1320">
        <f t="shared" ca="1" si="643"/>
        <v>2593.1040316486619</v>
      </c>
      <c r="AC1320">
        <f t="shared" ca="1" si="644"/>
        <v>482.07306851378365</v>
      </c>
      <c r="AD1320">
        <f t="shared" ca="1" si="645"/>
        <v>280.07692026646265</v>
      </c>
      <c r="AE1320">
        <f t="shared" ca="1" si="646"/>
        <v>1019.7665564573041</v>
      </c>
      <c r="AF1320">
        <f t="shared" ca="1" si="647"/>
        <v>482.25233390835183</v>
      </c>
      <c r="AG1320">
        <f t="shared" ca="1" si="648"/>
        <v>0</v>
      </c>
      <c r="AH1320">
        <f ca="1">IF(V32="Supercritical",L1320,IF(V32="Subcritical",W1320,IF(AND(V1320=1,AG1320=1),IF(T1320&gt;=AE1320,L1320,W1320),IF(V1320=1,L1320,IF(AG1320=1,W1320,MAX($D$16,POWER((ABS(K1320)^2)/($I$5*MAX(F1320,0.1)^2),1/3)))))))</f>
        <v>2.1403668656741068</v>
      </c>
      <c r="AI1320">
        <f t="shared" ca="1" si="649"/>
        <v>634.11736686567406</v>
      </c>
      <c r="AJ1320">
        <f t="shared" ca="1" si="650"/>
        <v>635.18755029851116</v>
      </c>
      <c r="AM1320">
        <v>0</v>
      </c>
      <c r="AN1320">
        <v>0</v>
      </c>
      <c r="AO1320">
        <f t="shared" si="651"/>
        <v>0</v>
      </c>
      <c r="AP1320">
        <f t="shared" si="660"/>
        <v>0</v>
      </c>
      <c r="AQ1320">
        <f t="shared" ca="1" si="652"/>
        <v>0.99999999999999978</v>
      </c>
      <c r="AR1320" t="str">
        <f t="shared" ca="1" si="653"/>
        <v>Supercritical</v>
      </c>
      <c r="AS1320">
        <f t="shared" ca="1" si="654"/>
        <v>3.8148159832266538E-3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191</v>
      </c>
      <c r="I1321">
        <v>5.5E-2</v>
      </c>
      <c r="J1321">
        <f t="shared" si="655"/>
        <v>1</v>
      </c>
      <c r="K1321">
        <f t="shared" si="656"/>
        <v>51</v>
      </c>
      <c r="L1321">
        <f t="shared" ca="1" si="657"/>
        <v>0.05</v>
      </c>
      <c r="M1321">
        <f t="shared" ca="1" si="630"/>
        <v>0.26</v>
      </c>
      <c r="N1321">
        <f t="shared" ca="1" si="631"/>
        <v>4.9056603773584909E-2</v>
      </c>
      <c r="O1321">
        <f t="shared" ca="1" si="632"/>
        <v>196.15384615384616</v>
      </c>
      <c r="P1321">
        <f t="shared" ca="1" si="633"/>
        <v>632.02649999999994</v>
      </c>
      <c r="Q1321">
        <f t="shared" ca="1" si="634"/>
        <v>2593.1035316486623</v>
      </c>
      <c r="R1321">
        <f t="shared" ca="1" si="635"/>
        <v>482.07306851378365</v>
      </c>
      <c r="S1321">
        <f t="shared" ca="1" si="636"/>
        <v>280.07692026646265</v>
      </c>
      <c r="T1321">
        <f t="shared" ca="1" si="637"/>
        <v>1019.7665564573041</v>
      </c>
      <c r="U1321">
        <f t="shared" ca="1" si="658"/>
        <v>-482.25233390835183</v>
      </c>
      <c r="V1321">
        <f t="shared" ca="1" si="659"/>
        <v>0</v>
      </c>
      <c r="W1321">
        <f t="shared" ca="1" si="638"/>
        <v>0.05</v>
      </c>
      <c r="X1321">
        <f t="shared" ca="1" si="639"/>
        <v>0.26</v>
      </c>
      <c r="Y1321">
        <f t="shared" ca="1" si="640"/>
        <v>4.9056603773584909E-2</v>
      </c>
      <c r="Z1321">
        <f t="shared" ca="1" si="641"/>
        <v>196.15384615384616</v>
      </c>
      <c r="AA1321">
        <f t="shared" ca="1" si="642"/>
        <v>632.02649999999994</v>
      </c>
      <c r="AB1321">
        <f t="shared" ca="1" si="643"/>
        <v>2593.1035316486623</v>
      </c>
      <c r="AC1321">
        <f t="shared" ca="1" si="644"/>
        <v>482.07306851378365</v>
      </c>
      <c r="AD1321">
        <f t="shared" ca="1" si="645"/>
        <v>280.07692026646265</v>
      </c>
      <c r="AE1321">
        <f t="shared" ca="1" si="646"/>
        <v>1019.7665564573041</v>
      </c>
      <c r="AF1321">
        <f t="shared" ca="1" si="647"/>
        <v>482.73440697696333</v>
      </c>
      <c r="AG1321">
        <f t="shared" ca="1" si="648"/>
        <v>0</v>
      </c>
      <c r="AH1321">
        <f ca="1">IF(V32="Supercritical",L1321,IF(V32="Subcritical",W1321,IF(AND(V1321=1,AG1321=1),IF(T1321&gt;=AE1321,L1321,W1321),IF(V1321=1,L1321,IF(AG1321=1,W1321,MAX($D$16,POWER((ABS(K1321)^2)/($I$5*MAX(F1321,0.1)^2),1/3)))))))</f>
        <v>2.1403668656741068</v>
      </c>
      <c r="AI1321">
        <f t="shared" ca="1" si="649"/>
        <v>634.11686686567407</v>
      </c>
      <c r="AJ1321">
        <f t="shared" ca="1" si="650"/>
        <v>635.18705029851117</v>
      </c>
      <c r="AM1321">
        <v>0</v>
      </c>
      <c r="AN1321">
        <v>0</v>
      </c>
      <c r="AO1321">
        <f t="shared" si="651"/>
        <v>0</v>
      </c>
      <c r="AP1321">
        <f t="shared" si="660"/>
        <v>0</v>
      </c>
      <c r="AQ1321">
        <f t="shared" ca="1" si="652"/>
        <v>0.99999999999999978</v>
      </c>
      <c r="AR1321" t="str">
        <f t="shared" ca="1" si="653"/>
        <v>Supercritical</v>
      </c>
      <c r="AS1321">
        <f t="shared" ca="1" si="654"/>
        <v>3.8148159832266538E-3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191</v>
      </c>
      <c r="I1322">
        <v>5.5E-2</v>
      </c>
      <c r="J1322">
        <f t="shared" si="655"/>
        <v>1.0010000000002037</v>
      </c>
      <c r="K1322">
        <f t="shared" si="656"/>
        <v>51</v>
      </c>
      <c r="L1322">
        <f t="shared" ca="1" si="657"/>
        <v>0.05</v>
      </c>
      <c r="M1322">
        <f t="shared" ca="1" si="630"/>
        <v>0.26</v>
      </c>
      <c r="N1322">
        <f t="shared" ca="1" si="631"/>
        <v>4.9056603773584909E-2</v>
      </c>
      <c r="O1322">
        <f t="shared" ca="1" si="632"/>
        <v>196.15384615384616</v>
      </c>
      <c r="P1322">
        <f t="shared" ca="1" si="633"/>
        <v>632.02599999999995</v>
      </c>
      <c r="Q1322">
        <f t="shared" ca="1" si="634"/>
        <v>2593.1030316486622</v>
      </c>
      <c r="R1322">
        <f t="shared" ca="1" si="635"/>
        <v>482.07306851378365</v>
      </c>
      <c r="S1322">
        <f t="shared" ca="1" si="636"/>
        <v>280.07692026646265</v>
      </c>
      <c r="T1322">
        <f t="shared" ca="1" si="637"/>
        <v>1019.7665564573041</v>
      </c>
      <c r="U1322">
        <f t="shared" ca="1" si="658"/>
        <v>-482.73440697696333</v>
      </c>
      <c r="V1322">
        <f t="shared" ca="1" si="659"/>
        <v>0</v>
      </c>
      <c r="W1322">
        <f t="shared" ca="1" si="638"/>
        <v>0.05</v>
      </c>
      <c r="X1322">
        <f t="shared" ca="1" si="639"/>
        <v>0.26</v>
      </c>
      <c r="Y1322">
        <f t="shared" ca="1" si="640"/>
        <v>4.9056603773584909E-2</v>
      </c>
      <c r="Z1322">
        <f t="shared" ca="1" si="641"/>
        <v>196.15384615384616</v>
      </c>
      <c r="AA1322">
        <f t="shared" ca="1" si="642"/>
        <v>632.02599999999995</v>
      </c>
      <c r="AB1322">
        <f t="shared" ca="1" si="643"/>
        <v>2593.1030316486622</v>
      </c>
      <c r="AC1322">
        <f t="shared" ca="1" si="644"/>
        <v>482.07306851378365</v>
      </c>
      <c r="AD1322">
        <f t="shared" ca="1" si="645"/>
        <v>280.07692026646265</v>
      </c>
      <c r="AE1322">
        <f t="shared" ca="1" si="646"/>
        <v>1019.7665564573041</v>
      </c>
      <c r="AF1322">
        <f t="shared" ca="1" si="647"/>
        <v>482.07256851378361</v>
      </c>
      <c r="AG1322">
        <f t="shared" ca="1" si="648"/>
        <v>0</v>
      </c>
      <c r="AH1322">
        <f ca="1">IF(V32="Supercritical",L1322,IF(V32="Subcritical",W1322,IF(AND(V1322=1,AG1322=1),IF(T1322&gt;=AE1322,L1322,W1322),IF(V1322=1,L1322,IF(AG1322=1,W1322,MAX($D$16,POWER((ABS(K1322)^2)/($I$5*MAX(F1322,0.1)^2),1/3)))))))</f>
        <v>2.1403668656741068</v>
      </c>
      <c r="AI1322">
        <f t="shared" ca="1" si="649"/>
        <v>634.11636686567408</v>
      </c>
      <c r="AJ1322">
        <f t="shared" ca="1" si="650"/>
        <v>635.18655029851118</v>
      </c>
      <c r="AM1322">
        <v>0</v>
      </c>
      <c r="AN1322">
        <v>0</v>
      </c>
      <c r="AO1322">
        <f t="shared" si="651"/>
        <v>0</v>
      </c>
      <c r="AP1322">
        <f t="shared" si="660"/>
        <v>0</v>
      </c>
      <c r="AQ1322">
        <f t="shared" ca="1" si="652"/>
        <v>0.99999999999999978</v>
      </c>
      <c r="AR1322" t="str">
        <f t="shared" ca="1" si="653"/>
        <v>Supercritical</v>
      </c>
      <c r="AS1322">
        <f t="shared" ca="1" si="654"/>
        <v>3.8148159832266538E-3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191</v>
      </c>
      <c r="I1323">
        <v>0</v>
      </c>
      <c r="J1323">
        <f t="shared" si="655"/>
        <v>1</v>
      </c>
      <c r="K1323">
        <f t="shared" si="656"/>
        <v>51</v>
      </c>
      <c r="L1323">
        <f t="shared" ca="1" si="657"/>
        <v>0.05</v>
      </c>
      <c r="M1323">
        <f t="shared" ca="1" si="630"/>
        <v>0.26</v>
      </c>
      <c r="N1323">
        <f t="shared" ca="1" si="631"/>
        <v>4.9056603773584909E-2</v>
      </c>
      <c r="O1323">
        <f t="shared" ca="1" si="632"/>
        <v>196.15384615384616</v>
      </c>
      <c r="P1323">
        <f t="shared" ca="1" si="633"/>
        <v>632.02549999999997</v>
      </c>
      <c r="Q1323">
        <f t="shared" ca="1" si="634"/>
        <v>2593.1025316486621</v>
      </c>
      <c r="R1323">
        <f t="shared" ca="1" si="635"/>
        <v>482.07306851378365</v>
      </c>
      <c r="S1323">
        <f t="shared" ca="1" si="636"/>
        <v>280.07692026646265</v>
      </c>
      <c r="T1323">
        <f t="shared" ca="1" si="637"/>
        <v>1019.7665564573041</v>
      </c>
      <c r="U1323">
        <f t="shared" ca="1" si="658"/>
        <v>-482.07256851378361</v>
      </c>
      <c r="V1323">
        <f t="shared" ca="1" si="659"/>
        <v>0</v>
      </c>
      <c r="W1323">
        <f t="shared" ca="1" si="638"/>
        <v>0.05</v>
      </c>
      <c r="X1323">
        <f t="shared" ca="1" si="639"/>
        <v>0.26</v>
      </c>
      <c r="Y1323">
        <f t="shared" ca="1" si="640"/>
        <v>4.9056603773584909E-2</v>
      </c>
      <c r="Z1323">
        <f t="shared" ca="1" si="641"/>
        <v>196.15384615384616</v>
      </c>
      <c r="AA1323">
        <f t="shared" ca="1" si="642"/>
        <v>632.02549999999997</v>
      </c>
      <c r="AB1323">
        <f t="shared" ca="1" si="643"/>
        <v>2593.1025316486621</v>
      </c>
      <c r="AC1323">
        <f t="shared" ca="1" si="644"/>
        <v>482.07306851378365</v>
      </c>
      <c r="AD1323">
        <f t="shared" ca="1" si="645"/>
        <v>280.07692026646265</v>
      </c>
      <c r="AE1323">
        <f t="shared" ca="1" si="646"/>
        <v>1019.7665564573041</v>
      </c>
      <c r="AF1323">
        <f t="shared" ca="1" si="647"/>
        <v>481.59049544517165</v>
      </c>
      <c r="AG1323">
        <f t="shared" ca="1" si="648"/>
        <v>0</v>
      </c>
      <c r="AH1323">
        <f ca="1">IF(V32="Supercritical",L1323,IF(V32="Subcritical",W1323,IF(AND(V1323=1,AG1323=1),IF(T1323&gt;=AE1323,L1323,W1323),IF(V1323=1,L1323,IF(AG1323=1,W1323,MAX($D$16,POWER((ABS(K1323)^2)/($I$5*MAX(F1323,0.1)^2),1/3)))))))</f>
        <v>2.1403668656741068</v>
      </c>
      <c r="AI1323">
        <f t="shared" ca="1" si="649"/>
        <v>634.11586686567409</v>
      </c>
      <c r="AJ1323">
        <f t="shared" ca="1" si="650"/>
        <v>635.18605029851119</v>
      </c>
      <c r="AM1323">
        <v>0</v>
      </c>
      <c r="AN1323">
        <v>0</v>
      </c>
      <c r="AO1323">
        <f t="shared" si="651"/>
        <v>0</v>
      </c>
      <c r="AP1323">
        <f t="shared" si="660"/>
        <v>0</v>
      </c>
      <c r="AQ1323">
        <f t="shared" ca="1" si="652"/>
        <v>0.99999999999999978</v>
      </c>
      <c r="AR1323" t="str">
        <f t="shared" ca="1" si="653"/>
        <v>Supercritical</v>
      </c>
      <c r="AS1323">
        <f t="shared" ca="1" si="654"/>
        <v>3.8148159832266538E-3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191</v>
      </c>
      <c r="I1324">
        <v>0</v>
      </c>
      <c r="J1324">
        <f t="shared" si="655"/>
        <v>0.99899999999979627</v>
      </c>
      <c r="K1324">
        <f t="shared" si="656"/>
        <v>51</v>
      </c>
      <c r="L1324">
        <f t="shared" ca="1" si="657"/>
        <v>0.05</v>
      </c>
      <c r="M1324">
        <f t="shared" ca="1" si="630"/>
        <v>0.26</v>
      </c>
      <c r="N1324">
        <f t="shared" ca="1" si="631"/>
        <v>4.9056603773584909E-2</v>
      </c>
      <c r="O1324">
        <f t="shared" ca="1" si="632"/>
        <v>196.15384615384616</v>
      </c>
      <c r="P1324">
        <f t="shared" ca="1" si="633"/>
        <v>632.02499999999998</v>
      </c>
      <c r="Q1324">
        <f t="shared" ca="1" si="634"/>
        <v>2593.102031648662</v>
      </c>
      <c r="R1324">
        <f t="shared" ca="1" si="635"/>
        <v>482.07306851378365</v>
      </c>
      <c r="S1324">
        <f t="shared" ca="1" si="636"/>
        <v>280.07692026646265</v>
      </c>
      <c r="T1324">
        <f t="shared" ca="1" si="637"/>
        <v>1019.7665564573041</v>
      </c>
      <c r="U1324">
        <f t="shared" ca="1" si="658"/>
        <v>-481.59049544517165</v>
      </c>
      <c r="V1324">
        <f t="shared" ca="1" si="659"/>
        <v>0</v>
      </c>
      <c r="W1324">
        <f t="shared" ca="1" si="638"/>
        <v>0.05</v>
      </c>
      <c r="X1324">
        <f t="shared" ca="1" si="639"/>
        <v>0.26</v>
      </c>
      <c r="Y1324">
        <f t="shared" ca="1" si="640"/>
        <v>4.9056603773584909E-2</v>
      </c>
      <c r="Z1324">
        <f t="shared" ca="1" si="641"/>
        <v>196.15384615384616</v>
      </c>
      <c r="AA1324">
        <f t="shared" ca="1" si="642"/>
        <v>632.02499999999998</v>
      </c>
      <c r="AB1324">
        <f t="shared" ca="1" si="643"/>
        <v>2593.102031648662</v>
      </c>
      <c r="AC1324">
        <f t="shared" ca="1" si="644"/>
        <v>482.07306851378365</v>
      </c>
      <c r="AD1324">
        <f t="shared" ca="1" si="645"/>
        <v>280.07692026646265</v>
      </c>
      <c r="AE1324">
        <f t="shared" ca="1" si="646"/>
        <v>1019.7665564573041</v>
      </c>
      <c r="AF1324">
        <f t="shared" ca="1" si="647"/>
        <v>482.25887083179032</v>
      </c>
      <c r="AG1324">
        <f t="shared" ca="1" si="648"/>
        <v>0</v>
      </c>
      <c r="AH1324">
        <f ca="1">IF(V32="Supercritical",L1324,IF(V32="Subcritical",W1324,IF(AND(V1324=1,AG1324=1),IF(T1324&gt;=AE1324,L1324,W1324),IF(V1324=1,L1324,IF(AG1324=1,W1324,MAX($D$16,POWER((ABS(K1324)^2)/($I$5*MAX(F1324,0.1)^2),1/3)))))))</f>
        <v>2.1403668656741068</v>
      </c>
      <c r="AI1324">
        <f t="shared" ca="1" si="649"/>
        <v>634.1153668656741</v>
      </c>
      <c r="AJ1324">
        <f t="shared" ca="1" si="650"/>
        <v>635.1855502985112</v>
      </c>
      <c r="AM1324">
        <v>0</v>
      </c>
      <c r="AN1324">
        <v>0</v>
      </c>
      <c r="AO1324">
        <f t="shared" si="651"/>
        <v>0</v>
      </c>
      <c r="AP1324">
        <f t="shared" si="660"/>
        <v>0</v>
      </c>
      <c r="AQ1324">
        <f t="shared" ca="1" si="652"/>
        <v>0.99999999999999978</v>
      </c>
      <c r="AR1324" t="str">
        <f t="shared" ca="1" si="653"/>
        <v>Supercritical</v>
      </c>
      <c r="AS1324">
        <f t="shared" ca="1" si="654"/>
        <v>3.8148159832266538E-3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191</v>
      </c>
      <c r="I1325">
        <v>5.7000000000000002E-2</v>
      </c>
      <c r="J1325">
        <f t="shared" si="655"/>
        <v>1</v>
      </c>
      <c r="K1325">
        <f t="shared" si="656"/>
        <v>51</v>
      </c>
      <c r="L1325">
        <f t="shared" ca="1" si="657"/>
        <v>0.05</v>
      </c>
      <c r="M1325">
        <f t="shared" ca="1" si="630"/>
        <v>0.26</v>
      </c>
      <c r="N1325">
        <f t="shared" ca="1" si="631"/>
        <v>4.9056603773584909E-2</v>
      </c>
      <c r="O1325">
        <f t="shared" ca="1" si="632"/>
        <v>196.15384615384616</v>
      </c>
      <c r="P1325">
        <f t="shared" ca="1" si="633"/>
        <v>632.02449999999999</v>
      </c>
      <c r="Q1325">
        <f t="shared" ca="1" si="634"/>
        <v>2593.1015316486619</v>
      </c>
      <c r="R1325">
        <f t="shared" ca="1" si="635"/>
        <v>482.07306851378365</v>
      </c>
      <c r="S1325">
        <f t="shared" ca="1" si="636"/>
        <v>280.07692026646265</v>
      </c>
      <c r="T1325">
        <f t="shared" ca="1" si="637"/>
        <v>1019.7665564573041</v>
      </c>
      <c r="U1325">
        <f t="shared" ca="1" si="658"/>
        <v>-482.25887083179032</v>
      </c>
      <c r="V1325">
        <f t="shared" ca="1" si="659"/>
        <v>0</v>
      </c>
      <c r="W1325">
        <f t="shared" ca="1" si="638"/>
        <v>0.05</v>
      </c>
      <c r="X1325">
        <f t="shared" ca="1" si="639"/>
        <v>0.26</v>
      </c>
      <c r="Y1325">
        <f t="shared" ca="1" si="640"/>
        <v>4.9056603773584909E-2</v>
      </c>
      <c r="Z1325">
        <f t="shared" ca="1" si="641"/>
        <v>196.15384615384616</v>
      </c>
      <c r="AA1325">
        <f t="shared" ca="1" si="642"/>
        <v>632.02449999999999</v>
      </c>
      <c r="AB1325">
        <f t="shared" ca="1" si="643"/>
        <v>2593.1015316486619</v>
      </c>
      <c r="AC1325">
        <f t="shared" ca="1" si="644"/>
        <v>482.07306851378365</v>
      </c>
      <c r="AD1325">
        <f t="shared" ca="1" si="645"/>
        <v>280.07692026646265</v>
      </c>
      <c r="AE1325">
        <f t="shared" ca="1" si="646"/>
        <v>1019.7665564573041</v>
      </c>
      <c r="AF1325">
        <f t="shared" ca="1" si="647"/>
        <v>482.25887083179077</v>
      </c>
      <c r="AG1325">
        <f t="shared" ca="1" si="648"/>
        <v>0</v>
      </c>
      <c r="AH1325">
        <f ca="1">IF(V32="Supercritical",L1325,IF(V32="Subcritical",W1325,IF(AND(V1325=1,AG1325=1),IF(T1325&gt;=AE1325,L1325,W1325),IF(V1325=1,L1325,IF(AG1325=1,W1325,MAX($D$16,POWER((ABS(K1325)^2)/($I$5*MAX(F1325,0.1)^2),1/3)))))))</f>
        <v>2.1403668656741068</v>
      </c>
      <c r="AI1325">
        <f t="shared" ca="1" si="649"/>
        <v>634.11486686567412</v>
      </c>
      <c r="AJ1325">
        <f t="shared" ca="1" si="650"/>
        <v>635.18505029851121</v>
      </c>
      <c r="AM1325">
        <v>0</v>
      </c>
      <c r="AN1325">
        <v>0</v>
      </c>
      <c r="AO1325">
        <f t="shared" si="651"/>
        <v>0</v>
      </c>
      <c r="AP1325">
        <f t="shared" si="660"/>
        <v>0</v>
      </c>
      <c r="AQ1325">
        <f t="shared" ca="1" si="652"/>
        <v>0.99999999999999978</v>
      </c>
      <c r="AR1325" t="str">
        <f t="shared" ca="1" si="653"/>
        <v>Supercritical</v>
      </c>
      <c r="AS1325">
        <f t="shared" ca="1" si="654"/>
        <v>3.8148159832266538E-3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191</v>
      </c>
      <c r="I1326">
        <v>5.7000000000000002E-2</v>
      </c>
      <c r="J1326">
        <f t="shared" si="655"/>
        <v>1</v>
      </c>
      <c r="K1326">
        <f t="shared" si="656"/>
        <v>51</v>
      </c>
      <c r="L1326">
        <f t="shared" ca="1" si="657"/>
        <v>0.05</v>
      </c>
      <c r="M1326">
        <f t="shared" ca="1" si="630"/>
        <v>0.26</v>
      </c>
      <c r="N1326">
        <f t="shared" ca="1" si="631"/>
        <v>4.9056603773584909E-2</v>
      </c>
      <c r="O1326">
        <f t="shared" ca="1" si="632"/>
        <v>196.15384615384616</v>
      </c>
      <c r="P1326">
        <f t="shared" ca="1" si="633"/>
        <v>632.024</v>
      </c>
      <c r="Q1326">
        <f t="shared" ca="1" si="634"/>
        <v>2593.1010316486622</v>
      </c>
      <c r="R1326">
        <f t="shared" ca="1" si="635"/>
        <v>482.07306851378365</v>
      </c>
      <c r="S1326">
        <f t="shared" ca="1" si="636"/>
        <v>280.07692026646265</v>
      </c>
      <c r="T1326">
        <f t="shared" ca="1" si="637"/>
        <v>1019.7665564573041</v>
      </c>
      <c r="U1326">
        <f t="shared" ca="1" si="658"/>
        <v>-482.25887083179077</v>
      </c>
      <c r="V1326">
        <f t="shared" ca="1" si="659"/>
        <v>0</v>
      </c>
      <c r="W1326">
        <f t="shared" ca="1" si="638"/>
        <v>0.05</v>
      </c>
      <c r="X1326">
        <f t="shared" ca="1" si="639"/>
        <v>0.26</v>
      </c>
      <c r="Y1326">
        <f t="shared" ca="1" si="640"/>
        <v>4.9056603773584909E-2</v>
      </c>
      <c r="Z1326">
        <f t="shared" ca="1" si="641"/>
        <v>196.15384615384616</v>
      </c>
      <c r="AA1326">
        <f t="shared" ca="1" si="642"/>
        <v>632.024</v>
      </c>
      <c r="AB1326">
        <f t="shared" ca="1" si="643"/>
        <v>2593.1010316486622</v>
      </c>
      <c r="AC1326">
        <f t="shared" ca="1" si="644"/>
        <v>482.07306851378365</v>
      </c>
      <c r="AD1326">
        <f t="shared" ca="1" si="645"/>
        <v>280.07692026646265</v>
      </c>
      <c r="AE1326">
        <f t="shared" ca="1" si="646"/>
        <v>1019.7665564573041</v>
      </c>
      <c r="AF1326">
        <f t="shared" ca="1" si="647"/>
        <v>482.07256851378361</v>
      </c>
      <c r="AG1326">
        <f t="shared" ca="1" si="648"/>
        <v>0</v>
      </c>
      <c r="AH1326">
        <f ca="1">IF(V32="Supercritical",L1326,IF(V32="Subcritical",W1326,IF(AND(V1326=1,AG1326=1),IF(T1326&gt;=AE1326,L1326,W1326),IF(V1326=1,L1326,IF(AG1326=1,W1326,MAX($D$16,POWER((ABS(K1326)^2)/($I$5*MAX(F1326,0.1)^2),1/3)))))))</f>
        <v>2.1403668656741068</v>
      </c>
      <c r="AI1326">
        <f t="shared" ca="1" si="649"/>
        <v>634.11436686567413</v>
      </c>
      <c r="AJ1326">
        <f t="shared" ca="1" si="650"/>
        <v>635.18455029851123</v>
      </c>
      <c r="AM1326">
        <v>0</v>
      </c>
      <c r="AN1326">
        <v>0</v>
      </c>
      <c r="AO1326">
        <f t="shared" si="651"/>
        <v>0</v>
      </c>
      <c r="AP1326">
        <f t="shared" si="660"/>
        <v>0</v>
      </c>
      <c r="AQ1326">
        <f t="shared" ca="1" si="652"/>
        <v>0.99999999999999978</v>
      </c>
      <c r="AR1326" t="str">
        <f t="shared" ca="1" si="653"/>
        <v>Supercritical</v>
      </c>
      <c r="AS1326">
        <f t="shared" ca="1" si="654"/>
        <v>3.8148159832266538E-3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191</v>
      </c>
      <c r="I1327">
        <v>0</v>
      </c>
      <c r="J1327">
        <f t="shared" si="655"/>
        <v>1</v>
      </c>
      <c r="K1327">
        <f t="shared" si="656"/>
        <v>51</v>
      </c>
      <c r="L1327">
        <f t="shared" ca="1" si="657"/>
        <v>0.05</v>
      </c>
      <c r="M1327">
        <f t="shared" ca="1" si="630"/>
        <v>0.26</v>
      </c>
      <c r="N1327">
        <f t="shared" ca="1" si="631"/>
        <v>4.9056603773584909E-2</v>
      </c>
      <c r="O1327">
        <f t="shared" ca="1" si="632"/>
        <v>196.15384615384616</v>
      </c>
      <c r="P1327">
        <f t="shared" ca="1" si="633"/>
        <v>632.0234999999999</v>
      </c>
      <c r="Q1327">
        <f t="shared" ca="1" si="634"/>
        <v>2593.1005316486621</v>
      </c>
      <c r="R1327">
        <f t="shared" ca="1" si="635"/>
        <v>482.07306851378365</v>
      </c>
      <c r="S1327">
        <f t="shared" ca="1" si="636"/>
        <v>280.07692026646265</v>
      </c>
      <c r="T1327">
        <f t="shared" ca="1" si="637"/>
        <v>1019.7665564573041</v>
      </c>
      <c r="U1327">
        <f t="shared" ca="1" si="658"/>
        <v>-482.07256851378361</v>
      </c>
      <c r="V1327">
        <f t="shared" ca="1" si="659"/>
        <v>0</v>
      </c>
      <c r="W1327">
        <f t="shared" ca="1" si="638"/>
        <v>0.05</v>
      </c>
      <c r="X1327">
        <f t="shared" ca="1" si="639"/>
        <v>0.26</v>
      </c>
      <c r="Y1327">
        <f t="shared" ca="1" si="640"/>
        <v>4.9056603773584909E-2</v>
      </c>
      <c r="Z1327">
        <f t="shared" ca="1" si="641"/>
        <v>196.15384615384616</v>
      </c>
      <c r="AA1327">
        <f t="shared" ca="1" si="642"/>
        <v>632.0234999999999</v>
      </c>
      <c r="AB1327">
        <f t="shared" ca="1" si="643"/>
        <v>2593.1005316486621</v>
      </c>
      <c r="AC1327">
        <f t="shared" ca="1" si="644"/>
        <v>482.07306851378365</v>
      </c>
      <c r="AD1327">
        <f t="shared" ca="1" si="645"/>
        <v>280.07692026646265</v>
      </c>
      <c r="AE1327">
        <f t="shared" ca="1" si="646"/>
        <v>1019.7665564573041</v>
      </c>
      <c r="AF1327">
        <f t="shared" ca="1" si="647"/>
        <v>482.07256851378361</v>
      </c>
      <c r="AG1327">
        <f t="shared" ca="1" si="648"/>
        <v>0</v>
      </c>
      <c r="AH1327">
        <f ca="1">IF(V32="Supercritical",L1327,IF(V32="Subcritical",W1327,IF(AND(V1327=1,AG1327=1),IF(T1327&gt;=AE1327,L1327,W1327),IF(V1327=1,L1327,IF(AG1327=1,W1327,MAX($D$16,POWER((ABS(K1327)^2)/($I$5*MAX(F1327,0.1)^2),1/3)))))))</f>
        <v>2.1403668656741068</v>
      </c>
      <c r="AI1327">
        <f t="shared" ca="1" si="649"/>
        <v>634.11386686567403</v>
      </c>
      <c r="AJ1327">
        <f t="shared" ca="1" si="650"/>
        <v>635.18405029851112</v>
      </c>
      <c r="AM1327">
        <v>0</v>
      </c>
      <c r="AN1327">
        <v>0</v>
      </c>
      <c r="AO1327">
        <f t="shared" si="651"/>
        <v>0</v>
      </c>
      <c r="AP1327">
        <f t="shared" si="660"/>
        <v>0</v>
      </c>
      <c r="AQ1327">
        <f t="shared" ca="1" si="652"/>
        <v>0.99999999999999978</v>
      </c>
      <c r="AR1327" t="str">
        <f t="shared" ca="1" si="653"/>
        <v>Supercritical</v>
      </c>
      <c r="AS1327">
        <f t="shared" ca="1" si="654"/>
        <v>3.8148159832266538E-3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191</v>
      </c>
      <c r="I1328">
        <v>0</v>
      </c>
      <c r="J1328">
        <f t="shared" si="655"/>
        <v>1</v>
      </c>
      <c r="K1328">
        <f t="shared" si="656"/>
        <v>51</v>
      </c>
      <c r="L1328">
        <f t="shared" ca="1" si="657"/>
        <v>0.05</v>
      </c>
      <c r="M1328">
        <f t="shared" ca="1" si="630"/>
        <v>0.26</v>
      </c>
      <c r="N1328">
        <f t="shared" ca="1" si="631"/>
        <v>4.9056603773584909E-2</v>
      </c>
      <c r="O1328">
        <f t="shared" ca="1" si="632"/>
        <v>196.15384615384616</v>
      </c>
      <c r="P1328">
        <f t="shared" ca="1" si="633"/>
        <v>632.02299999999991</v>
      </c>
      <c r="Q1328">
        <f t="shared" ca="1" si="634"/>
        <v>2593.100031648662</v>
      </c>
      <c r="R1328">
        <f t="shared" ca="1" si="635"/>
        <v>482.07306851378365</v>
      </c>
      <c r="S1328">
        <f t="shared" ca="1" si="636"/>
        <v>280.07692026646265</v>
      </c>
      <c r="T1328">
        <f t="shared" ca="1" si="637"/>
        <v>1019.7665564573041</v>
      </c>
      <c r="U1328">
        <f t="shared" ca="1" si="658"/>
        <v>-482.07256851378361</v>
      </c>
      <c r="V1328">
        <f t="shared" ca="1" si="659"/>
        <v>0</v>
      </c>
      <c r="W1328">
        <f t="shared" ca="1" si="638"/>
        <v>0.05</v>
      </c>
      <c r="X1328">
        <f t="shared" ca="1" si="639"/>
        <v>0.26</v>
      </c>
      <c r="Y1328">
        <f t="shared" ca="1" si="640"/>
        <v>4.9056603773584909E-2</v>
      </c>
      <c r="Z1328">
        <f t="shared" ca="1" si="641"/>
        <v>196.15384615384616</v>
      </c>
      <c r="AA1328">
        <f t="shared" ca="1" si="642"/>
        <v>632.02299999999991</v>
      </c>
      <c r="AB1328">
        <f t="shared" ca="1" si="643"/>
        <v>2593.100031648662</v>
      </c>
      <c r="AC1328">
        <f t="shared" ca="1" si="644"/>
        <v>482.07306851378365</v>
      </c>
      <c r="AD1328">
        <f t="shared" ca="1" si="645"/>
        <v>280.07692026646265</v>
      </c>
      <c r="AE1328">
        <f t="shared" ca="1" si="646"/>
        <v>1019.7665564573041</v>
      </c>
      <c r="AF1328">
        <f t="shared" ca="1" si="647"/>
        <v>482.25887083179032</v>
      </c>
      <c r="AG1328">
        <f t="shared" ca="1" si="648"/>
        <v>0</v>
      </c>
      <c r="AH1328">
        <f ca="1">IF(V32="Supercritical",L1328,IF(V32="Subcritical",W1328,IF(AND(V1328=1,AG1328=1),IF(T1328&gt;=AE1328,L1328,W1328),IF(V1328=1,L1328,IF(AG1328=1,W1328,MAX($D$16,POWER((ABS(K1328)^2)/($I$5*MAX(F1328,0.1)^2),1/3)))))))</f>
        <v>2.1403668656741068</v>
      </c>
      <c r="AI1328">
        <f t="shared" ca="1" si="649"/>
        <v>634.11336686567404</v>
      </c>
      <c r="AJ1328">
        <f t="shared" ca="1" si="650"/>
        <v>635.18355029851114</v>
      </c>
      <c r="AM1328">
        <v>0</v>
      </c>
      <c r="AN1328">
        <v>0</v>
      </c>
      <c r="AO1328">
        <f t="shared" si="651"/>
        <v>0</v>
      </c>
      <c r="AP1328">
        <f t="shared" si="660"/>
        <v>0</v>
      </c>
      <c r="AQ1328">
        <f t="shared" ca="1" si="652"/>
        <v>0.99999999999999978</v>
      </c>
      <c r="AR1328" t="str">
        <f t="shared" ca="1" si="653"/>
        <v>Supercritical</v>
      </c>
      <c r="AS1328">
        <f t="shared" ca="1" si="654"/>
        <v>3.8148159832266538E-3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191</v>
      </c>
      <c r="I1329">
        <v>5.7000000000000002E-2</v>
      </c>
      <c r="J1329">
        <f t="shared" si="655"/>
        <v>1</v>
      </c>
      <c r="K1329">
        <f t="shared" si="656"/>
        <v>51</v>
      </c>
      <c r="L1329">
        <f t="shared" ca="1" si="657"/>
        <v>0.05</v>
      </c>
      <c r="M1329">
        <f t="shared" ca="1" si="630"/>
        <v>0.26</v>
      </c>
      <c r="N1329">
        <f t="shared" ca="1" si="631"/>
        <v>4.9056603773584909E-2</v>
      </c>
      <c r="O1329">
        <f t="shared" ca="1" si="632"/>
        <v>196.15384615384616</v>
      </c>
      <c r="P1329">
        <f t="shared" ca="1" si="633"/>
        <v>632.02249999999992</v>
      </c>
      <c r="Q1329">
        <f t="shared" ca="1" si="634"/>
        <v>2593.0995316486619</v>
      </c>
      <c r="R1329">
        <f t="shared" ca="1" si="635"/>
        <v>482.07306851378365</v>
      </c>
      <c r="S1329">
        <f t="shared" ca="1" si="636"/>
        <v>280.07692026646265</v>
      </c>
      <c r="T1329">
        <f t="shared" ca="1" si="637"/>
        <v>1019.7665564573041</v>
      </c>
      <c r="U1329">
        <f t="shared" ca="1" si="658"/>
        <v>-482.25887083179032</v>
      </c>
      <c r="V1329">
        <f t="shared" ca="1" si="659"/>
        <v>0</v>
      </c>
      <c r="W1329">
        <f t="shared" ca="1" si="638"/>
        <v>0.05</v>
      </c>
      <c r="X1329">
        <f t="shared" ca="1" si="639"/>
        <v>0.26</v>
      </c>
      <c r="Y1329">
        <f t="shared" ca="1" si="640"/>
        <v>4.9056603773584909E-2</v>
      </c>
      <c r="Z1329">
        <f t="shared" ca="1" si="641"/>
        <v>196.15384615384616</v>
      </c>
      <c r="AA1329">
        <f t="shared" ca="1" si="642"/>
        <v>632.02249999999992</v>
      </c>
      <c r="AB1329">
        <f t="shared" ca="1" si="643"/>
        <v>2593.0995316486619</v>
      </c>
      <c r="AC1329">
        <f t="shared" ca="1" si="644"/>
        <v>482.07306851378365</v>
      </c>
      <c r="AD1329">
        <f t="shared" ca="1" si="645"/>
        <v>280.07692026646265</v>
      </c>
      <c r="AE1329">
        <f t="shared" ca="1" si="646"/>
        <v>1019.7665564573041</v>
      </c>
      <c r="AF1329">
        <f t="shared" ca="1" si="647"/>
        <v>482.26867621694873</v>
      </c>
      <c r="AG1329">
        <f t="shared" ca="1" si="648"/>
        <v>0</v>
      </c>
      <c r="AH1329">
        <f ca="1">IF(V32="Supercritical",L1329,IF(V32="Subcritical",W1329,IF(AND(V1329=1,AG1329=1),IF(T1329&gt;=AE1329,L1329,W1329),IF(V1329=1,L1329,IF(AG1329=1,W1329,MAX($D$16,POWER((ABS(K1329)^2)/($I$5*MAX(F1329,0.1)^2),1/3)))))))</f>
        <v>2.1403668656741068</v>
      </c>
      <c r="AI1329">
        <f t="shared" ca="1" si="649"/>
        <v>634.11286686567405</v>
      </c>
      <c r="AJ1329">
        <f t="shared" ca="1" si="650"/>
        <v>635.18305029851115</v>
      </c>
      <c r="AM1329">
        <v>0</v>
      </c>
      <c r="AN1329">
        <v>0</v>
      </c>
      <c r="AO1329">
        <f t="shared" si="651"/>
        <v>0</v>
      </c>
      <c r="AP1329">
        <f t="shared" si="660"/>
        <v>0</v>
      </c>
      <c r="AQ1329">
        <f t="shared" ca="1" si="652"/>
        <v>0.99999999999999978</v>
      </c>
      <c r="AR1329" t="str">
        <f t="shared" ca="1" si="653"/>
        <v>Supercritical</v>
      </c>
      <c r="AS1329">
        <f t="shared" ca="1" si="654"/>
        <v>3.8148159832266538E-3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191</v>
      </c>
      <c r="I1330">
        <v>0.06</v>
      </c>
      <c r="J1330">
        <f t="shared" si="655"/>
        <v>1</v>
      </c>
      <c r="K1330">
        <f t="shared" si="656"/>
        <v>51</v>
      </c>
      <c r="L1330">
        <f t="shared" ca="1" si="657"/>
        <v>0.05</v>
      </c>
      <c r="M1330">
        <f t="shared" ca="1" si="630"/>
        <v>0.26</v>
      </c>
      <c r="N1330">
        <f t="shared" ca="1" si="631"/>
        <v>4.9056603773584909E-2</v>
      </c>
      <c r="O1330">
        <f t="shared" ca="1" si="632"/>
        <v>196.15384615384616</v>
      </c>
      <c r="P1330">
        <f t="shared" ca="1" si="633"/>
        <v>632.02199999999993</v>
      </c>
      <c r="Q1330">
        <f t="shared" ca="1" si="634"/>
        <v>2593.0990316486623</v>
      </c>
      <c r="R1330">
        <f t="shared" ca="1" si="635"/>
        <v>482.07306851378365</v>
      </c>
      <c r="S1330">
        <f t="shared" ca="1" si="636"/>
        <v>280.07692026646265</v>
      </c>
      <c r="T1330">
        <f t="shared" ca="1" si="637"/>
        <v>1019.7665564573041</v>
      </c>
      <c r="U1330">
        <f t="shared" ca="1" si="658"/>
        <v>-482.26867621694873</v>
      </c>
      <c r="V1330">
        <f t="shared" ca="1" si="659"/>
        <v>0</v>
      </c>
      <c r="W1330">
        <f t="shared" ca="1" si="638"/>
        <v>0.05</v>
      </c>
      <c r="X1330">
        <f t="shared" ca="1" si="639"/>
        <v>0.26</v>
      </c>
      <c r="Y1330">
        <f t="shared" ca="1" si="640"/>
        <v>4.9056603773584909E-2</v>
      </c>
      <c r="Z1330">
        <f t="shared" ca="1" si="641"/>
        <v>196.15384615384616</v>
      </c>
      <c r="AA1330">
        <f t="shared" ca="1" si="642"/>
        <v>632.02199999999993</v>
      </c>
      <c r="AB1330">
        <f t="shared" ca="1" si="643"/>
        <v>2593.0990316486623</v>
      </c>
      <c r="AC1330">
        <f t="shared" ca="1" si="644"/>
        <v>482.07306851378365</v>
      </c>
      <c r="AD1330">
        <f t="shared" ca="1" si="645"/>
        <v>280.07692026646265</v>
      </c>
      <c r="AE1330">
        <f t="shared" ca="1" si="646"/>
        <v>1019.7665564573041</v>
      </c>
      <c r="AF1330">
        <f t="shared" ca="1" si="647"/>
        <v>482.5611785058345</v>
      </c>
      <c r="AG1330">
        <f t="shared" ca="1" si="648"/>
        <v>0</v>
      </c>
      <c r="AH1330">
        <f ca="1">IF(V32="Supercritical",L1330,IF(V32="Subcritical",W1330,IF(AND(V1330=1,AG1330=1),IF(T1330&gt;=AE1330,L1330,W1330),IF(V1330=1,L1330,IF(AG1330=1,W1330,MAX($D$16,POWER((ABS(K1330)^2)/($I$5*MAX(F1330,0.1)^2),1/3)))))))</f>
        <v>2.1403668656741068</v>
      </c>
      <c r="AI1330">
        <f t="shared" ca="1" si="649"/>
        <v>634.11236686567406</v>
      </c>
      <c r="AJ1330">
        <f t="shared" ca="1" si="650"/>
        <v>635.18255029851116</v>
      </c>
      <c r="AM1330">
        <v>0</v>
      </c>
      <c r="AN1330">
        <v>0</v>
      </c>
      <c r="AO1330">
        <f t="shared" si="651"/>
        <v>0</v>
      </c>
      <c r="AP1330">
        <f t="shared" si="660"/>
        <v>0</v>
      </c>
      <c r="AQ1330">
        <f t="shared" ca="1" si="652"/>
        <v>0.99999999999999978</v>
      </c>
      <c r="AR1330" t="str">
        <f t="shared" ca="1" si="653"/>
        <v>Supercritical</v>
      </c>
      <c r="AS1330">
        <f t="shared" ca="1" si="654"/>
        <v>3.8148159832266538E-3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191</v>
      </c>
      <c r="I1331">
        <v>2E-3</v>
      </c>
      <c r="J1331">
        <f t="shared" si="655"/>
        <v>1.0010000000002037</v>
      </c>
      <c r="K1331">
        <f t="shared" si="656"/>
        <v>51</v>
      </c>
      <c r="L1331">
        <f t="shared" ca="1" si="657"/>
        <v>0.05</v>
      </c>
      <c r="M1331">
        <f t="shared" ca="1" si="630"/>
        <v>0.26</v>
      </c>
      <c r="N1331">
        <f t="shared" ca="1" si="631"/>
        <v>4.9056603773584909E-2</v>
      </c>
      <c r="O1331">
        <f t="shared" ca="1" si="632"/>
        <v>196.15384615384616</v>
      </c>
      <c r="P1331">
        <f t="shared" ca="1" si="633"/>
        <v>632.02149999999995</v>
      </c>
      <c r="Q1331">
        <f t="shared" ca="1" si="634"/>
        <v>2593.0985316486622</v>
      </c>
      <c r="R1331">
        <f t="shared" ca="1" si="635"/>
        <v>482.07306851378365</v>
      </c>
      <c r="S1331">
        <f t="shared" ca="1" si="636"/>
        <v>280.07692026646265</v>
      </c>
      <c r="T1331">
        <f t="shared" ca="1" si="637"/>
        <v>1019.7665564573041</v>
      </c>
      <c r="U1331">
        <f t="shared" ca="1" si="658"/>
        <v>-482.5611785058345</v>
      </c>
      <c r="V1331">
        <f t="shared" ca="1" si="659"/>
        <v>0</v>
      </c>
      <c r="W1331">
        <f t="shared" ca="1" si="638"/>
        <v>0.05</v>
      </c>
      <c r="X1331">
        <f t="shared" ca="1" si="639"/>
        <v>0.26</v>
      </c>
      <c r="Y1331">
        <f t="shared" ca="1" si="640"/>
        <v>4.9056603773584909E-2</v>
      </c>
      <c r="Z1331">
        <f t="shared" ca="1" si="641"/>
        <v>196.15384615384616</v>
      </c>
      <c r="AA1331">
        <f t="shared" ca="1" si="642"/>
        <v>632.02149999999995</v>
      </c>
      <c r="AB1331">
        <f t="shared" ca="1" si="643"/>
        <v>2593.0985316486622</v>
      </c>
      <c r="AC1331">
        <f t="shared" ca="1" si="644"/>
        <v>482.07306851378365</v>
      </c>
      <c r="AD1331">
        <f t="shared" ca="1" si="645"/>
        <v>280.07692026646265</v>
      </c>
      <c r="AE1331">
        <f t="shared" ca="1" si="646"/>
        <v>1019.7665564573041</v>
      </c>
      <c r="AF1331">
        <f t="shared" ca="1" si="647"/>
        <v>482.07256851378361</v>
      </c>
      <c r="AG1331">
        <f t="shared" ca="1" si="648"/>
        <v>0</v>
      </c>
      <c r="AH1331">
        <f ca="1">IF(V32="Supercritical",L1331,IF(V32="Subcritical",W1331,IF(AND(V1331=1,AG1331=1),IF(T1331&gt;=AE1331,L1331,W1331),IF(V1331=1,L1331,IF(AG1331=1,W1331,MAX($D$16,POWER((ABS(K1331)^2)/($I$5*MAX(F1331,0.1)^2),1/3)))))))</f>
        <v>2.1403668656741068</v>
      </c>
      <c r="AI1331">
        <f t="shared" ca="1" si="649"/>
        <v>634.11186686567407</v>
      </c>
      <c r="AJ1331">
        <f t="shared" ca="1" si="650"/>
        <v>635.18205029851117</v>
      </c>
      <c r="AM1331">
        <v>0</v>
      </c>
      <c r="AN1331">
        <v>0</v>
      </c>
      <c r="AO1331">
        <f t="shared" si="651"/>
        <v>0</v>
      </c>
      <c r="AP1331">
        <f t="shared" si="660"/>
        <v>0</v>
      </c>
      <c r="AQ1331">
        <f t="shared" ca="1" si="652"/>
        <v>0.99999999999999978</v>
      </c>
      <c r="AR1331" t="str">
        <f t="shared" ca="1" si="653"/>
        <v>Supercritical</v>
      </c>
      <c r="AS1331">
        <f t="shared" ca="1" si="654"/>
        <v>3.8148159832266538E-3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191</v>
      </c>
      <c r="I1332">
        <v>0</v>
      </c>
      <c r="J1332">
        <f t="shared" si="655"/>
        <v>1</v>
      </c>
      <c r="K1332">
        <f t="shared" si="656"/>
        <v>51</v>
      </c>
      <c r="L1332">
        <f t="shared" ca="1" si="657"/>
        <v>0.05</v>
      </c>
      <c r="M1332">
        <f t="shared" ca="1" si="630"/>
        <v>0.26</v>
      </c>
      <c r="N1332">
        <f t="shared" ca="1" si="631"/>
        <v>4.9056603773584909E-2</v>
      </c>
      <c r="O1332">
        <f t="shared" ca="1" si="632"/>
        <v>196.15384615384616</v>
      </c>
      <c r="P1332">
        <f t="shared" ca="1" si="633"/>
        <v>632.02099999999996</v>
      </c>
      <c r="Q1332">
        <f t="shared" ca="1" si="634"/>
        <v>2593.0980316486621</v>
      </c>
      <c r="R1332">
        <f t="shared" ca="1" si="635"/>
        <v>482.07306851378365</v>
      </c>
      <c r="S1332">
        <f t="shared" ca="1" si="636"/>
        <v>280.07692026646265</v>
      </c>
      <c r="T1332">
        <f t="shared" ca="1" si="637"/>
        <v>1019.7665564573041</v>
      </c>
      <c r="U1332">
        <f t="shared" ca="1" si="658"/>
        <v>-482.07256851378361</v>
      </c>
      <c r="V1332">
        <f t="shared" ca="1" si="659"/>
        <v>0</v>
      </c>
      <c r="W1332">
        <f t="shared" ca="1" si="638"/>
        <v>0.05</v>
      </c>
      <c r="X1332">
        <f t="shared" ca="1" si="639"/>
        <v>0.26</v>
      </c>
      <c r="Y1332">
        <f t="shared" ca="1" si="640"/>
        <v>4.9056603773584909E-2</v>
      </c>
      <c r="Z1332">
        <f t="shared" ca="1" si="641"/>
        <v>196.15384615384616</v>
      </c>
      <c r="AA1332">
        <f t="shared" ca="1" si="642"/>
        <v>632.02099999999996</v>
      </c>
      <c r="AB1332">
        <f t="shared" ca="1" si="643"/>
        <v>2593.0980316486621</v>
      </c>
      <c r="AC1332">
        <f t="shared" ca="1" si="644"/>
        <v>482.07306851378365</v>
      </c>
      <c r="AD1332">
        <f t="shared" ca="1" si="645"/>
        <v>280.07692026646265</v>
      </c>
      <c r="AE1332">
        <f t="shared" ca="1" si="646"/>
        <v>1019.7665564573041</v>
      </c>
      <c r="AF1332">
        <f t="shared" ca="1" si="647"/>
        <v>481.77679776317837</v>
      </c>
      <c r="AG1332">
        <f t="shared" ca="1" si="648"/>
        <v>0</v>
      </c>
      <c r="AH1332">
        <f ca="1">IF(V32="Supercritical",L1332,IF(V32="Subcritical",W1332,IF(AND(V1332=1,AG1332=1),IF(T1332&gt;=AE1332,L1332,W1332),IF(V1332=1,L1332,IF(AG1332=1,W1332,MAX($D$16,POWER((ABS(K1332)^2)/($I$5*MAX(F1332,0.1)^2),1/3)))))))</f>
        <v>2.1403668656741068</v>
      </c>
      <c r="AI1332">
        <f t="shared" ca="1" si="649"/>
        <v>634.11136686567409</v>
      </c>
      <c r="AJ1332">
        <f t="shared" ca="1" si="650"/>
        <v>635.18155029851118</v>
      </c>
      <c r="AM1332">
        <v>0</v>
      </c>
      <c r="AN1332">
        <v>0</v>
      </c>
      <c r="AO1332">
        <f t="shared" si="651"/>
        <v>0</v>
      </c>
      <c r="AP1332">
        <f t="shared" si="660"/>
        <v>0</v>
      </c>
      <c r="AQ1332">
        <f t="shared" ca="1" si="652"/>
        <v>0.99999999999999978</v>
      </c>
      <c r="AR1332" t="str">
        <f t="shared" ca="1" si="653"/>
        <v>Supercritical</v>
      </c>
      <c r="AS1332">
        <f t="shared" ca="1" si="654"/>
        <v>3.8148159832266538E-3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191</v>
      </c>
      <c r="I1333">
        <v>5.7000000000000002E-2</v>
      </c>
      <c r="J1333">
        <f t="shared" si="655"/>
        <v>0.99899999999979627</v>
      </c>
      <c r="K1333">
        <f t="shared" si="656"/>
        <v>51</v>
      </c>
      <c r="L1333">
        <f t="shared" ca="1" si="657"/>
        <v>0.05</v>
      </c>
      <c r="M1333">
        <f t="shared" ca="1" si="630"/>
        <v>0.26</v>
      </c>
      <c r="N1333">
        <f t="shared" ca="1" si="631"/>
        <v>4.9056603773584909E-2</v>
      </c>
      <c r="O1333">
        <f t="shared" ca="1" si="632"/>
        <v>196.15384615384616</v>
      </c>
      <c r="P1333">
        <f t="shared" ca="1" si="633"/>
        <v>632.02049999999997</v>
      </c>
      <c r="Q1333">
        <f t="shared" ca="1" si="634"/>
        <v>2593.097531648662</v>
      </c>
      <c r="R1333">
        <f t="shared" ca="1" si="635"/>
        <v>482.07306851378365</v>
      </c>
      <c r="S1333">
        <f t="shared" ca="1" si="636"/>
        <v>280.07692026646265</v>
      </c>
      <c r="T1333">
        <f t="shared" ca="1" si="637"/>
        <v>1019.7665564573041</v>
      </c>
      <c r="U1333">
        <f t="shared" ca="1" si="658"/>
        <v>-481.77679776317837</v>
      </c>
      <c r="V1333">
        <f t="shared" ca="1" si="659"/>
        <v>0</v>
      </c>
      <c r="W1333">
        <f t="shared" ca="1" si="638"/>
        <v>0.05</v>
      </c>
      <c r="X1333">
        <f t="shared" ca="1" si="639"/>
        <v>0.26</v>
      </c>
      <c r="Y1333">
        <f t="shared" ca="1" si="640"/>
        <v>4.9056603773584909E-2</v>
      </c>
      <c r="Z1333">
        <f t="shared" ca="1" si="641"/>
        <v>196.15384615384616</v>
      </c>
      <c r="AA1333">
        <f t="shared" ca="1" si="642"/>
        <v>632.02049999999997</v>
      </c>
      <c r="AB1333">
        <f t="shared" ca="1" si="643"/>
        <v>2593.097531648662</v>
      </c>
      <c r="AC1333">
        <f t="shared" ca="1" si="644"/>
        <v>482.07306851378365</v>
      </c>
      <c r="AD1333">
        <f t="shared" ca="1" si="645"/>
        <v>280.07692026646265</v>
      </c>
      <c r="AE1333">
        <f t="shared" ca="1" si="646"/>
        <v>1019.7665564573041</v>
      </c>
      <c r="AF1333">
        <f t="shared" ca="1" si="647"/>
        <v>482.25887083179032</v>
      </c>
      <c r="AG1333">
        <f t="shared" ca="1" si="648"/>
        <v>0</v>
      </c>
      <c r="AH1333">
        <f ca="1">IF(V32="Supercritical",L1333,IF(V32="Subcritical",W1333,IF(AND(V1333=1,AG1333=1),IF(T1333&gt;=AE1333,L1333,W1333),IF(V1333=1,L1333,IF(AG1333=1,W1333,MAX($D$16,POWER((ABS(K1333)^2)/($I$5*MAX(F1333,0.1)^2),1/3)))))))</f>
        <v>2.1403668656741068</v>
      </c>
      <c r="AI1333">
        <f t="shared" ca="1" si="649"/>
        <v>634.1108668656741</v>
      </c>
      <c r="AJ1333">
        <f t="shared" ca="1" si="650"/>
        <v>635.1810502985112</v>
      </c>
      <c r="AM1333">
        <v>0</v>
      </c>
      <c r="AN1333">
        <v>0</v>
      </c>
      <c r="AO1333">
        <f t="shared" si="651"/>
        <v>0</v>
      </c>
      <c r="AP1333">
        <f t="shared" si="660"/>
        <v>0</v>
      </c>
      <c r="AQ1333">
        <f t="shared" ca="1" si="652"/>
        <v>0.99999999999999978</v>
      </c>
      <c r="AR1333" t="str">
        <f t="shared" ca="1" si="653"/>
        <v>Supercritical</v>
      </c>
      <c r="AS1333">
        <f t="shared" ca="1" si="654"/>
        <v>3.8148159832266538E-3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191</v>
      </c>
      <c r="I1334">
        <v>5.7000000000000002E-2</v>
      </c>
      <c r="J1334">
        <f t="shared" si="655"/>
        <v>1</v>
      </c>
      <c r="K1334">
        <f t="shared" si="656"/>
        <v>51</v>
      </c>
      <c r="L1334">
        <f t="shared" ca="1" si="657"/>
        <v>0.05</v>
      </c>
      <c r="M1334">
        <f t="shared" ca="1" si="630"/>
        <v>0.26</v>
      </c>
      <c r="N1334">
        <f t="shared" ca="1" si="631"/>
        <v>4.9056603773584909E-2</v>
      </c>
      <c r="O1334">
        <f t="shared" ca="1" si="632"/>
        <v>196.15384615384616</v>
      </c>
      <c r="P1334">
        <f t="shared" ca="1" si="633"/>
        <v>632.02</v>
      </c>
      <c r="Q1334">
        <f t="shared" ca="1" si="634"/>
        <v>2593.0970316486619</v>
      </c>
      <c r="R1334">
        <f t="shared" ca="1" si="635"/>
        <v>482.07306851378365</v>
      </c>
      <c r="S1334">
        <f t="shared" ca="1" si="636"/>
        <v>280.07692026646265</v>
      </c>
      <c r="T1334">
        <f t="shared" ca="1" si="637"/>
        <v>1019.7665564573041</v>
      </c>
      <c r="U1334">
        <f t="shared" ca="1" si="658"/>
        <v>-482.25887083179032</v>
      </c>
      <c r="V1334">
        <f t="shared" ca="1" si="659"/>
        <v>0</v>
      </c>
      <c r="W1334">
        <f t="shared" ca="1" si="638"/>
        <v>0.05</v>
      </c>
      <c r="X1334">
        <f t="shared" ca="1" si="639"/>
        <v>0.26</v>
      </c>
      <c r="Y1334">
        <f t="shared" ca="1" si="640"/>
        <v>4.9056603773584909E-2</v>
      </c>
      <c r="Z1334">
        <f t="shared" ca="1" si="641"/>
        <v>196.15384615384616</v>
      </c>
      <c r="AA1334">
        <f t="shared" ca="1" si="642"/>
        <v>632.02</v>
      </c>
      <c r="AB1334">
        <f t="shared" ca="1" si="643"/>
        <v>2593.0970316486619</v>
      </c>
      <c r="AC1334">
        <f t="shared" ca="1" si="644"/>
        <v>482.07306851378365</v>
      </c>
      <c r="AD1334">
        <f t="shared" ca="1" si="645"/>
        <v>280.07692026646265</v>
      </c>
      <c r="AE1334">
        <f t="shared" ca="1" si="646"/>
        <v>1019.7665564573041</v>
      </c>
      <c r="AF1334">
        <f t="shared" ca="1" si="647"/>
        <v>482.07256851378406</v>
      </c>
      <c r="AG1334">
        <f t="shared" ca="1" si="648"/>
        <v>0</v>
      </c>
      <c r="AH1334">
        <f ca="1">IF(V32="Supercritical",L1334,IF(V32="Subcritical",W1334,IF(AND(V1334=1,AG1334=1),IF(T1334&gt;=AE1334,L1334,W1334),IF(V1334=1,L1334,IF(AG1334=1,W1334,MAX($D$16,POWER((ABS(K1334)^2)/($I$5*MAX(F1334,0.1)^2),1/3)))))))</f>
        <v>2.1403668656741068</v>
      </c>
      <c r="AI1334">
        <f t="shared" ca="1" si="649"/>
        <v>634.11036686567411</v>
      </c>
      <c r="AJ1334">
        <f t="shared" ca="1" si="650"/>
        <v>635.18055029851121</v>
      </c>
      <c r="AM1334">
        <v>0</v>
      </c>
      <c r="AN1334">
        <v>0</v>
      </c>
      <c r="AO1334">
        <f t="shared" si="651"/>
        <v>0</v>
      </c>
      <c r="AP1334">
        <f t="shared" si="660"/>
        <v>0</v>
      </c>
      <c r="AQ1334">
        <f t="shared" ca="1" si="652"/>
        <v>0.99999999999999978</v>
      </c>
      <c r="AR1334" t="str">
        <f t="shared" ca="1" si="653"/>
        <v>Supercritical</v>
      </c>
      <c r="AS1334">
        <f t="shared" ca="1" si="654"/>
        <v>3.8148159832266538E-3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191</v>
      </c>
      <c r="I1335">
        <v>0</v>
      </c>
      <c r="J1335">
        <f t="shared" si="655"/>
        <v>1</v>
      </c>
      <c r="K1335">
        <f t="shared" si="656"/>
        <v>51</v>
      </c>
      <c r="L1335">
        <f t="shared" ca="1" si="657"/>
        <v>0.05</v>
      </c>
      <c r="M1335">
        <f t="shared" ca="1" si="630"/>
        <v>0.26</v>
      </c>
      <c r="N1335">
        <f t="shared" ca="1" si="631"/>
        <v>4.9056603773584909E-2</v>
      </c>
      <c r="O1335">
        <f t="shared" ca="1" si="632"/>
        <v>196.15384615384616</v>
      </c>
      <c r="P1335">
        <f t="shared" ca="1" si="633"/>
        <v>632.01949999999999</v>
      </c>
      <c r="Q1335">
        <f t="shared" ca="1" si="634"/>
        <v>2593.0965316486622</v>
      </c>
      <c r="R1335">
        <f t="shared" ca="1" si="635"/>
        <v>482.07306851378365</v>
      </c>
      <c r="S1335">
        <f t="shared" ca="1" si="636"/>
        <v>280.07692026646265</v>
      </c>
      <c r="T1335">
        <f t="shared" ca="1" si="637"/>
        <v>1019.7665564573041</v>
      </c>
      <c r="U1335">
        <f t="shared" ca="1" si="658"/>
        <v>-482.07256851378406</v>
      </c>
      <c r="V1335">
        <f t="shared" ca="1" si="659"/>
        <v>0</v>
      </c>
      <c r="W1335">
        <f t="shared" ca="1" si="638"/>
        <v>0.05</v>
      </c>
      <c r="X1335">
        <f t="shared" ca="1" si="639"/>
        <v>0.26</v>
      </c>
      <c r="Y1335">
        <f t="shared" ca="1" si="640"/>
        <v>4.9056603773584909E-2</v>
      </c>
      <c r="Z1335">
        <f t="shared" ca="1" si="641"/>
        <v>196.15384615384616</v>
      </c>
      <c r="AA1335">
        <f t="shared" ca="1" si="642"/>
        <v>632.01949999999999</v>
      </c>
      <c r="AB1335">
        <f t="shared" ca="1" si="643"/>
        <v>2593.0965316486622</v>
      </c>
      <c r="AC1335">
        <f t="shared" ca="1" si="644"/>
        <v>482.07306851378365</v>
      </c>
      <c r="AD1335">
        <f t="shared" ca="1" si="645"/>
        <v>280.07692026646265</v>
      </c>
      <c r="AE1335">
        <f t="shared" ca="1" si="646"/>
        <v>1019.7665564573041</v>
      </c>
      <c r="AF1335">
        <f t="shared" ca="1" si="647"/>
        <v>482.07256851378361</v>
      </c>
      <c r="AG1335">
        <f t="shared" ca="1" si="648"/>
        <v>0</v>
      </c>
      <c r="AH1335">
        <f ca="1">IF(V32="Supercritical",L1335,IF(V32="Subcritical",W1335,IF(AND(V1335=1,AG1335=1),IF(T1335&gt;=AE1335,L1335,W1335),IF(V1335=1,L1335,IF(AG1335=1,W1335,MAX($D$16,POWER((ABS(K1335)^2)/($I$5*MAX(F1335,0.1)^2),1/3)))))))</f>
        <v>2.1403668656741068</v>
      </c>
      <c r="AI1335">
        <f t="shared" ca="1" si="649"/>
        <v>634.10986686567412</v>
      </c>
      <c r="AJ1335">
        <f t="shared" ca="1" si="650"/>
        <v>635.18005029851122</v>
      </c>
      <c r="AM1335">
        <v>0</v>
      </c>
      <c r="AN1335">
        <v>0</v>
      </c>
      <c r="AO1335">
        <f t="shared" si="651"/>
        <v>0</v>
      </c>
      <c r="AP1335">
        <f t="shared" si="660"/>
        <v>0</v>
      </c>
      <c r="AQ1335">
        <f t="shared" ca="1" si="652"/>
        <v>0.99999999999999978</v>
      </c>
      <c r="AR1335" t="str">
        <f t="shared" ca="1" si="653"/>
        <v>Supercritical</v>
      </c>
      <c r="AS1335">
        <f t="shared" ca="1" si="654"/>
        <v>3.8148159832266538E-3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191</v>
      </c>
      <c r="I1336">
        <v>0</v>
      </c>
      <c r="J1336">
        <f t="shared" si="655"/>
        <v>1</v>
      </c>
      <c r="K1336">
        <f t="shared" si="656"/>
        <v>51</v>
      </c>
      <c r="L1336">
        <f t="shared" ca="1" si="657"/>
        <v>0.05</v>
      </c>
      <c r="M1336">
        <f t="shared" ca="1" si="630"/>
        <v>0.26</v>
      </c>
      <c r="N1336">
        <f t="shared" ca="1" si="631"/>
        <v>4.9056603773584909E-2</v>
      </c>
      <c r="O1336">
        <f t="shared" ca="1" si="632"/>
        <v>196.15384615384616</v>
      </c>
      <c r="P1336">
        <f t="shared" ca="1" si="633"/>
        <v>632.01900000000001</v>
      </c>
      <c r="Q1336">
        <f t="shared" ca="1" si="634"/>
        <v>2593.0960316486621</v>
      </c>
      <c r="R1336">
        <f t="shared" ca="1" si="635"/>
        <v>482.07306851378365</v>
      </c>
      <c r="S1336">
        <f t="shared" ca="1" si="636"/>
        <v>280.07692026646265</v>
      </c>
      <c r="T1336">
        <f t="shared" ca="1" si="637"/>
        <v>1019.7665564573041</v>
      </c>
      <c r="U1336">
        <f t="shared" ca="1" si="658"/>
        <v>-482.07256851378361</v>
      </c>
      <c r="V1336">
        <f t="shared" ca="1" si="659"/>
        <v>0</v>
      </c>
      <c r="W1336">
        <f t="shared" ca="1" si="638"/>
        <v>0.05</v>
      </c>
      <c r="X1336">
        <f t="shared" ca="1" si="639"/>
        <v>0.26</v>
      </c>
      <c r="Y1336">
        <f t="shared" ca="1" si="640"/>
        <v>4.9056603773584909E-2</v>
      </c>
      <c r="Z1336">
        <f t="shared" ca="1" si="641"/>
        <v>196.15384615384616</v>
      </c>
      <c r="AA1336">
        <f t="shared" ca="1" si="642"/>
        <v>632.01900000000001</v>
      </c>
      <c r="AB1336">
        <f t="shared" ca="1" si="643"/>
        <v>2593.0960316486621</v>
      </c>
      <c r="AC1336">
        <f t="shared" ca="1" si="644"/>
        <v>482.07306851378365</v>
      </c>
      <c r="AD1336">
        <f t="shared" ca="1" si="645"/>
        <v>280.07692026646265</v>
      </c>
      <c r="AE1336">
        <f t="shared" ca="1" si="646"/>
        <v>1019.7665564573041</v>
      </c>
      <c r="AF1336">
        <f t="shared" ca="1" si="647"/>
        <v>482.25887083179032</v>
      </c>
      <c r="AG1336">
        <f t="shared" ca="1" si="648"/>
        <v>0</v>
      </c>
      <c r="AH1336">
        <f ca="1">IF(V32="Supercritical",L1336,IF(V32="Subcritical",W1336,IF(AND(V1336=1,AG1336=1),IF(T1336&gt;=AE1336,L1336,W1336),IF(V1336=1,L1336,IF(AG1336=1,W1336,MAX($D$16,POWER((ABS(K1336)^2)/($I$5*MAX(F1336,0.1)^2),1/3)))))))</f>
        <v>2.1403668656741068</v>
      </c>
      <c r="AI1336">
        <f t="shared" ca="1" si="649"/>
        <v>634.10936686567413</v>
      </c>
      <c r="AJ1336">
        <f t="shared" ca="1" si="650"/>
        <v>635.17955029851123</v>
      </c>
      <c r="AM1336">
        <v>0</v>
      </c>
      <c r="AN1336">
        <v>0</v>
      </c>
      <c r="AO1336">
        <f t="shared" si="651"/>
        <v>0</v>
      </c>
      <c r="AP1336">
        <f t="shared" si="660"/>
        <v>0</v>
      </c>
      <c r="AQ1336">
        <f t="shared" ca="1" si="652"/>
        <v>0.99999999999999978</v>
      </c>
      <c r="AR1336" t="str">
        <f t="shared" ca="1" si="653"/>
        <v>Supercritical</v>
      </c>
      <c r="AS1336">
        <f t="shared" ca="1" si="654"/>
        <v>3.8148159832266538E-3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191</v>
      </c>
      <c r="I1337">
        <v>5.7000000000000002E-2</v>
      </c>
      <c r="J1337">
        <f t="shared" si="655"/>
        <v>1</v>
      </c>
      <c r="K1337">
        <f t="shared" si="656"/>
        <v>51</v>
      </c>
      <c r="L1337">
        <f t="shared" ca="1" si="657"/>
        <v>0.05</v>
      </c>
      <c r="M1337">
        <f t="shared" ca="1" si="630"/>
        <v>0.26</v>
      </c>
      <c r="N1337">
        <f t="shared" ca="1" si="631"/>
        <v>4.9056603773584909E-2</v>
      </c>
      <c r="O1337">
        <f t="shared" ca="1" si="632"/>
        <v>196.15384615384616</v>
      </c>
      <c r="P1337">
        <f t="shared" ca="1" si="633"/>
        <v>632.0184999999999</v>
      </c>
      <c r="Q1337">
        <f t="shared" ca="1" si="634"/>
        <v>2593.095531648662</v>
      </c>
      <c r="R1337">
        <f t="shared" ca="1" si="635"/>
        <v>482.07306851378365</v>
      </c>
      <c r="S1337">
        <f t="shared" ca="1" si="636"/>
        <v>280.07692026646265</v>
      </c>
      <c r="T1337">
        <f t="shared" ca="1" si="637"/>
        <v>1019.7665564573041</v>
      </c>
      <c r="U1337">
        <f t="shared" ca="1" si="658"/>
        <v>-482.25887083179032</v>
      </c>
      <c r="V1337">
        <f t="shared" ca="1" si="659"/>
        <v>0</v>
      </c>
      <c r="W1337">
        <f t="shared" ca="1" si="638"/>
        <v>0.05</v>
      </c>
      <c r="X1337">
        <f t="shared" ca="1" si="639"/>
        <v>0.26</v>
      </c>
      <c r="Y1337">
        <f t="shared" ca="1" si="640"/>
        <v>4.9056603773584909E-2</v>
      </c>
      <c r="Z1337">
        <f t="shared" ca="1" si="641"/>
        <v>196.15384615384616</v>
      </c>
      <c r="AA1337">
        <f t="shared" ca="1" si="642"/>
        <v>632.0184999999999</v>
      </c>
      <c r="AB1337">
        <f t="shared" ca="1" si="643"/>
        <v>2593.095531648662</v>
      </c>
      <c r="AC1337">
        <f t="shared" ca="1" si="644"/>
        <v>482.07306851378365</v>
      </c>
      <c r="AD1337">
        <f t="shared" ca="1" si="645"/>
        <v>280.07692026646265</v>
      </c>
      <c r="AE1337">
        <f t="shared" ca="1" si="646"/>
        <v>1019.7665564573041</v>
      </c>
      <c r="AF1337">
        <f t="shared" ca="1" si="647"/>
        <v>482.25887083179032</v>
      </c>
      <c r="AG1337">
        <f t="shared" ca="1" si="648"/>
        <v>0</v>
      </c>
      <c r="AH1337">
        <f ca="1">IF(V32="Supercritical",L1337,IF(V32="Subcritical",W1337,IF(AND(V1337=1,AG1337=1),IF(T1337&gt;=AE1337,L1337,W1337),IF(V1337=1,L1337,IF(AG1337=1,W1337,MAX($D$16,POWER((ABS(K1337)^2)/($I$5*MAX(F1337,0.1)^2),1/3)))))))</f>
        <v>2.1403668656741068</v>
      </c>
      <c r="AI1337">
        <f t="shared" ca="1" si="649"/>
        <v>634.10886686567403</v>
      </c>
      <c r="AJ1337">
        <f t="shared" ca="1" si="650"/>
        <v>635.17905029851113</v>
      </c>
      <c r="AM1337">
        <v>0</v>
      </c>
      <c r="AN1337">
        <v>0</v>
      </c>
      <c r="AO1337">
        <f t="shared" si="651"/>
        <v>0</v>
      </c>
      <c r="AP1337">
        <f t="shared" si="660"/>
        <v>0</v>
      </c>
      <c r="AQ1337">
        <f t="shared" ca="1" si="652"/>
        <v>0.99999999999999978</v>
      </c>
      <c r="AR1337" t="str">
        <f t="shared" ca="1" si="653"/>
        <v>Supercritical</v>
      </c>
      <c r="AS1337">
        <f t="shared" ca="1" si="654"/>
        <v>3.8148159832266538E-3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191</v>
      </c>
      <c r="I1338">
        <v>5.7000000000000002E-2</v>
      </c>
      <c r="J1338">
        <f t="shared" si="655"/>
        <v>1</v>
      </c>
      <c r="K1338">
        <f t="shared" si="656"/>
        <v>51</v>
      </c>
      <c r="L1338">
        <f t="shared" ca="1" si="657"/>
        <v>0.05</v>
      </c>
      <c r="M1338">
        <f t="shared" ca="1" si="630"/>
        <v>0.26</v>
      </c>
      <c r="N1338">
        <f t="shared" ca="1" si="631"/>
        <v>4.9056603773584909E-2</v>
      </c>
      <c r="O1338">
        <f t="shared" ca="1" si="632"/>
        <v>196.15384615384616</v>
      </c>
      <c r="P1338">
        <f t="shared" ca="1" si="633"/>
        <v>632.01799999999992</v>
      </c>
      <c r="Q1338">
        <f t="shared" ca="1" si="634"/>
        <v>2593.0950316486619</v>
      </c>
      <c r="R1338">
        <f t="shared" ca="1" si="635"/>
        <v>482.07306851378365</v>
      </c>
      <c r="S1338">
        <f t="shared" ca="1" si="636"/>
        <v>280.07692026646265</v>
      </c>
      <c r="T1338">
        <f t="shared" ca="1" si="637"/>
        <v>1019.7665564573041</v>
      </c>
      <c r="U1338">
        <f t="shared" ca="1" si="658"/>
        <v>-482.25887083179032</v>
      </c>
      <c r="V1338">
        <f t="shared" ca="1" si="659"/>
        <v>0</v>
      </c>
      <c r="W1338">
        <f t="shared" ca="1" si="638"/>
        <v>0.05</v>
      </c>
      <c r="X1338">
        <f t="shared" ca="1" si="639"/>
        <v>0.26</v>
      </c>
      <c r="Y1338">
        <f t="shared" ca="1" si="640"/>
        <v>4.9056603773584909E-2</v>
      </c>
      <c r="Z1338">
        <f t="shared" ca="1" si="641"/>
        <v>196.15384615384616</v>
      </c>
      <c r="AA1338">
        <f t="shared" ca="1" si="642"/>
        <v>632.01799999999992</v>
      </c>
      <c r="AB1338">
        <f t="shared" ca="1" si="643"/>
        <v>2593.0950316486619</v>
      </c>
      <c r="AC1338">
        <f t="shared" ca="1" si="644"/>
        <v>482.07306851378365</v>
      </c>
      <c r="AD1338">
        <f t="shared" ca="1" si="645"/>
        <v>280.07692026646265</v>
      </c>
      <c r="AE1338">
        <f t="shared" ca="1" si="646"/>
        <v>1019.7665564573041</v>
      </c>
      <c r="AF1338">
        <f t="shared" ca="1" si="647"/>
        <v>482.07910543722301</v>
      </c>
      <c r="AG1338">
        <f t="shared" ca="1" si="648"/>
        <v>0</v>
      </c>
      <c r="AH1338">
        <f ca="1">IF(V32="Supercritical",L1338,IF(V32="Subcritical",W1338,IF(AND(V1338=1,AG1338=1),IF(T1338&gt;=AE1338,L1338,W1338),IF(V1338=1,L1338,IF(AG1338=1,W1338,MAX($D$16,POWER((ABS(K1338)^2)/($I$5*MAX(F1338,0.1)^2),1/3)))))))</f>
        <v>2.1403668656741068</v>
      </c>
      <c r="AI1338">
        <f t="shared" ca="1" si="649"/>
        <v>634.10836686567404</v>
      </c>
      <c r="AJ1338">
        <f t="shared" ca="1" si="650"/>
        <v>635.17855029851114</v>
      </c>
      <c r="AM1338">
        <v>0</v>
      </c>
      <c r="AN1338">
        <v>0</v>
      </c>
      <c r="AO1338">
        <f t="shared" si="651"/>
        <v>0</v>
      </c>
      <c r="AP1338">
        <f t="shared" si="660"/>
        <v>0</v>
      </c>
      <c r="AQ1338">
        <f t="shared" ca="1" si="652"/>
        <v>0.99999999999999978</v>
      </c>
      <c r="AR1338" t="str">
        <f t="shared" ca="1" si="653"/>
        <v>Supercritical</v>
      </c>
      <c r="AS1338">
        <f t="shared" ca="1" si="654"/>
        <v>3.8148159832266538E-3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191</v>
      </c>
      <c r="I1339">
        <v>2E-3</v>
      </c>
      <c r="J1339">
        <f t="shared" si="655"/>
        <v>1</v>
      </c>
      <c r="K1339">
        <f t="shared" si="656"/>
        <v>51</v>
      </c>
      <c r="L1339">
        <f t="shared" ca="1" si="657"/>
        <v>0.05</v>
      </c>
      <c r="M1339">
        <f t="shared" ca="1" si="630"/>
        <v>0.26</v>
      </c>
      <c r="N1339">
        <f t="shared" ca="1" si="631"/>
        <v>4.9056603773584909E-2</v>
      </c>
      <c r="O1339">
        <f t="shared" ca="1" si="632"/>
        <v>196.15384615384616</v>
      </c>
      <c r="P1339">
        <f t="shared" ca="1" si="633"/>
        <v>632.01749999999993</v>
      </c>
      <c r="Q1339">
        <f t="shared" ca="1" si="634"/>
        <v>2593.0945316486623</v>
      </c>
      <c r="R1339">
        <f t="shared" ca="1" si="635"/>
        <v>482.07306851378365</v>
      </c>
      <c r="S1339">
        <f t="shared" ca="1" si="636"/>
        <v>280.07692026646265</v>
      </c>
      <c r="T1339">
        <f t="shared" ca="1" si="637"/>
        <v>1019.7665564573041</v>
      </c>
      <c r="U1339">
        <f t="shared" ca="1" si="658"/>
        <v>-482.07910543722301</v>
      </c>
      <c r="V1339">
        <f t="shared" ca="1" si="659"/>
        <v>0</v>
      </c>
      <c r="W1339">
        <f t="shared" ca="1" si="638"/>
        <v>0.05</v>
      </c>
      <c r="X1339">
        <f t="shared" ca="1" si="639"/>
        <v>0.26</v>
      </c>
      <c r="Y1339">
        <f t="shared" ca="1" si="640"/>
        <v>4.9056603773584909E-2</v>
      </c>
      <c r="Z1339">
        <f t="shared" ca="1" si="641"/>
        <v>196.15384615384616</v>
      </c>
      <c r="AA1339">
        <f t="shared" ca="1" si="642"/>
        <v>632.01749999999993</v>
      </c>
      <c r="AB1339">
        <f t="shared" ca="1" si="643"/>
        <v>2593.0945316486623</v>
      </c>
      <c r="AC1339">
        <f t="shared" ca="1" si="644"/>
        <v>482.07306851378365</v>
      </c>
      <c r="AD1339">
        <f t="shared" ca="1" si="645"/>
        <v>280.07692026646265</v>
      </c>
      <c r="AE1339">
        <f t="shared" ca="1" si="646"/>
        <v>1019.7665564573041</v>
      </c>
      <c r="AF1339">
        <f t="shared" ca="1" si="647"/>
        <v>482.5611785058345</v>
      </c>
      <c r="AG1339">
        <f t="shared" ca="1" si="648"/>
        <v>0</v>
      </c>
      <c r="AH1339">
        <f ca="1">IF(V32="Supercritical",L1339,IF(V32="Subcritical",W1339,IF(AND(V1339=1,AG1339=1),IF(T1339&gt;=AE1339,L1339,W1339),IF(V1339=1,L1339,IF(AG1339=1,W1339,MAX($D$16,POWER((ABS(K1339)^2)/($I$5*MAX(F1339,0.1)^2),1/3)))))))</f>
        <v>2.1403668656741068</v>
      </c>
      <c r="AI1339">
        <f t="shared" ca="1" si="649"/>
        <v>634.10786686567405</v>
      </c>
      <c r="AJ1339">
        <f t="shared" ca="1" si="650"/>
        <v>635.17805029851115</v>
      </c>
      <c r="AM1339">
        <v>0</v>
      </c>
      <c r="AN1339">
        <v>0</v>
      </c>
      <c r="AO1339">
        <f t="shared" si="651"/>
        <v>0</v>
      </c>
      <c r="AP1339">
        <f t="shared" si="660"/>
        <v>0</v>
      </c>
      <c r="AQ1339">
        <f t="shared" ca="1" si="652"/>
        <v>0.99999999999999978</v>
      </c>
      <c r="AR1339" t="str">
        <f t="shared" ca="1" si="653"/>
        <v>Supercritical</v>
      </c>
      <c r="AS1339">
        <f t="shared" ca="1" si="654"/>
        <v>3.8148159832266538E-3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191</v>
      </c>
      <c r="I1340">
        <v>2E-3</v>
      </c>
      <c r="J1340">
        <f t="shared" si="655"/>
        <v>1.0010000000002037</v>
      </c>
      <c r="K1340">
        <f t="shared" si="656"/>
        <v>51</v>
      </c>
      <c r="L1340">
        <f t="shared" ca="1" si="657"/>
        <v>0.05</v>
      </c>
      <c r="M1340">
        <f t="shared" ca="1" si="630"/>
        <v>0.26</v>
      </c>
      <c r="N1340">
        <f t="shared" ca="1" si="631"/>
        <v>4.9056603773584909E-2</v>
      </c>
      <c r="O1340">
        <f t="shared" ca="1" si="632"/>
        <v>196.15384615384616</v>
      </c>
      <c r="P1340">
        <f t="shared" ca="1" si="633"/>
        <v>632.01699999999994</v>
      </c>
      <c r="Q1340">
        <f t="shared" ca="1" si="634"/>
        <v>2593.0940316486622</v>
      </c>
      <c r="R1340">
        <f t="shared" ca="1" si="635"/>
        <v>482.07306851378365</v>
      </c>
      <c r="S1340">
        <f t="shared" ca="1" si="636"/>
        <v>280.07692026646265</v>
      </c>
      <c r="T1340">
        <f t="shared" ca="1" si="637"/>
        <v>1019.7665564573041</v>
      </c>
      <c r="U1340">
        <f t="shared" ca="1" si="658"/>
        <v>-482.5611785058345</v>
      </c>
      <c r="V1340">
        <f t="shared" ca="1" si="659"/>
        <v>0</v>
      </c>
      <c r="W1340">
        <f t="shared" ca="1" si="638"/>
        <v>0.05</v>
      </c>
      <c r="X1340">
        <f t="shared" ca="1" si="639"/>
        <v>0.26</v>
      </c>
      <c r="Y1340">
        <f t="shared" ca="1" si="640"/>
        <v>4.9056603773584909E-2</v>
      </c>
      <c r="Z1340">
        <f t="shared" ca="1" si="641"/>
        <v>196.15384615384616</v>
      </c>
      <c r="AA1340">
        <f t="shared" ca="1" si="642"/>
        <v>632.01699999999994</v>
      </c>
      <c r="AB1340">
        <f t="shared" ca="1" si="643"/>
        <v>2593.0940316486622</v>
      </c>
      <c r="AC1340">
        <f t="shared" ca="1" si="644"/>
        <v>482.07306851378365</v>
      </c>
      <c r="AD1340">
        <f t="shared" ca="1" si="645"/>
        <v>280.07692026646265</v>
      </c>
      <c r="AE1340">
        <f t="shared" ca="1" si="646"/>
        <v>1019.7665564573041</v>
      </c>
      <c r="AF1340">
        <f t="shared" ca="1" si="647"/>
        <v>482.25887083179032</v>
      </c>
      <c r="AG1340">
        <f t="shared" ca="1" si="648"/>
        <v>0</v>
      </c>
      <c r="AH1340">
        <f ca="1">IF(V32="Supercritical",L1340,IF(V32="Subcritical",W1340,IF(AND(V1340=1,AG1340=1),IF(T1340&gt;=AE1340,L1340,W1340),IF(V1340=1,L1340,IF(AG1340=1,W1340,MAX($D$16,POWER((ABS(K1340)^2)/($I$5*MAX(F1340,0.1)^2),1/3)))))))</f>
        <v>2.1403668656741068</v>
      </c>
      <c r="AI1340">
        <f t="shared" ca="1" si="649"/>
        <v>634.10736686567407</v>
      </c>
      <c r="AJ1340">
        <f t="shared" ca="1" si="650"/>
        <v>635.17755029851116</v>
      </c>
      <c r="AM1340">
        <v>0</v>
      </c>
      <c r="AN1340">
        <v>0</v>
      </c>
      <c r="AO1340">
        <f t="shared" si="651"/>
        <v>0</v>
      </c>
      <c r="AP1340">
        <f t="shared" si="660"/>
        <v>0</v>
      </c>
      <c r="AQ1340">
        <f t="shared" ca="1" si="652"/>
        <v>0.99999999999999978</v>
      </c>
      <c r="AR1340" t="str">
        <f t="shared" ca="1" si="653"/>
        <v>Supercritical</v>
      </c>
      <c r="AS1340">
        <f t="shared" ca="1" si="654"/>
        <v>3.8148159832266538E-3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191</v>
      </c>
      <c r="I1341">
        <v>5.7000000000000002E-2</v>
      </c>
      <c r="J1341">
        <f t="shared" si="655"/>
        <v>1</v>
      </c>
      <c r="K1341">
        <f t="shared" si="656"/>
        <v>51</v>
      </c>
      <c r="L1341">
        <f t="shared" ca="1" si="657"/>
        <v>0.05</v>
      </c>
      <c r="M1341">
        <f t="shared" ca="1" si="630"/>
        <v>0.26</v>
      </c>
      <c r="N1341">
        <f t="shared" ca="1" si="631"/>
        <v>4.9056603773584909E-2</v>
      </c>
      <c r="O1341">
        <f t="shared" ca="1" si="632"/>
        <v>196.15384615384616</v>
      </c>
      <c r="P1341">
        <f t="shared" ca="1" si="633"/>
        <v>632.01649999999995</v>
      </c>
      <c r="Q1341">
        <f t="shared" ca="1" si="634"/>
        <v>2593.0935316486621</v>
      </c>
      <c r="R1341">
        <f t="shared" ca="1" si="635"/>
        <v>482.07306851378365</v>
      </c>
      <c r="S1341">
        <f t="shared" ca="1" si="636"/>
        <v>280.07692026646265</v>
      </c>
      <c r="T1341">
        <f t="shared" ca="1" si="637"/>
        <v>1019.7665564573041</v>
      </c>
      <c r="U1341">
        <f t="shared" ca="1" si="658"/>
        <v>-482.25887083179032</v>
      </c>
      <c r="V1341">
        <f t="shared" ca="1" si="659"/>
        <v>0</v>
      </c>
      <c r="W1341">
        <f t="shared" ca="1" si="638"/>
        <v>0.05</v>
      </c>
      <c r="X1341">
        <f t="shared" ca="1" si="639"/>
        <v>0.26</v>
      </c>
      <c r="Y1341">
        <f t="shared" ca="1" si="640"/>
        <v>4.9056603773584909E-2</v>
      </c>
      <c r="Z1341">
        <f t="shared" ca="1" si="641"/>
        <v>196.15384615384616</v>
      </c>
      <c r="AA1341">
        <f t="shared" ca="1" si="642"/>
        <v>632.01649999999995</v>
      </c>
      <c r="AB1341">
        <f t="shared" ca="1" si="643"/>
        <v>2593.0935316486621</v>
      </c>
      <c r="AC1341">
        <f t="shared" ca="1" si="644"/>
        <v>482.07306851378365</v>
      </c>
      <c r="AD1341">
        <f t="shared" ca="1" si="645"/>
        <v>280.07692026646265</v>
      </c>
      <c r="AE1341">
        <f t="shared" ca="1" si="646"/>
        <v>1019.7665564573041</v>
      </c>
      <c r="AF1341">
        <f t="shared" ca="1" si="647"/>
        <v>482.25887083179032</v>
      </c>
      <c r="AG1341">
        <f t="shared" ca="1" si="648"/>
        <v>0</v>
      </c>
      <c r="AH1341">
        <f ca="1">IF(V32="Supercritical",L1341,IF(V32="Subcritical",W1341,IF(AND(V1341=1,AG1341=1),IF(T1341&gt;=AE1341,L1341,W1341),IF(V1341=1,L1341,IF(AG1341=1,W1341,MAX($D$16,POWER((ABS(K1341)^2)/($I$5*MAX(F1341,0.1)^2),1/3)))))))</f>
        <v>2.1403668656741068</v>
      </c>
      <c r="AI1341">
        <f t="shared" ca="1" si="649"/>
        <v>634.10686686567408</v>
      </c>
      <c r="AJ1341">
        <f t="shared" ca="1" si="650"/>
        <v>635.17705029851118</v>
      </c>
      <c r="AM1341">
        <v>0</v>
      </c>
      <c r="AN1341">
        <v>0</v>
      </c>
      <c r="AO1341">
        <f t="shared" si="651"/>
        <v>0</v>
      </c>
      <c r="AP1341">
        <f t="shared" si="660"/>
        <v>0</v>
      </c>
      <c r="AQ1341">
        <f t="shared" ca="1" si="652"/>
        <v>0.99999999999999978</v>
      </c>
      <c r="AR1341" t="str">
        <f t="shared" ca="1" si="653"/>
        <v>Supercritical</v>
      </c>
      <c r="AS1341">
        <f t="shared" ca="1" si="654"/>
        <v>3.8148159832266538E-3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191</v>
      </c>
      <c r="I1342">
        <v>5.7000000000000002E-2</v>
      </c>
      <c r="J1342">
        <f t="shared" si="655"/>
        <v>1</v>
      </c>
      <c r="K1342">
        <f t="shared" si="656"/>
        <v>51</v>
      </c>
      <c r="L1342">
        <f t="shared" ca="1" si="657"/>
        <v>0.05</v>
      </c>
      <c r="M1342">
        <f t="shared" ca="1" si="630"/>
        <v>0.26</v>
      </c>
      <c r="N1342">
        <f t="shared" ca="1" si="631"/>
        <v>4.9056603773584909E-2</v>
      </c>
      <c r="O1342">
        <f t="shared" ca="1" si="632"/>
        <v>196.15384615384616</v>
      </c>
      <c r="P1342">
        <f t="shared" ca="1" si="633"/>
        <v>632.01599999999996</v>
      </c>
      <c r="Q1342">
        <f t="shared" ca="1" si="634"/>
        <v>2593.093031648662</v>
      </c>
      <c r="R1342">
        <f t="shared" ca="1" si="635"/>
        <v>482.07306851378365</v>
      </c>
      <c r="S1342">
        <f t="shared" ca="1" si="636"/>
        <v>280.07692026646265</v>
      </c>
      <c r="T1342">
        <f t="shared" ca="1" si="637"/>
        <v>1019.7665564573041</v>
      </c>
      <c r="U1342">
        <f t="shared" ca="1" si="658"/>
        <v>-482.25887083179032</v>
      </c>
      <c r="V1342">
        <f t="shared" ca="1" si="659"/>
        <v>0</v>
      </c>
      <c r="W1342">
        <f t="shared" ca="1" si="638"/>
        <v>0.05</v>
      </c>
      <c r="X1342">
        <f t="shared" ca="1" si="639"/>
        <v>0.26</v>
      </c>
      <c r="Y1342">
        <f t="shared" ca="1" si="640"/>
        <v>4.9056603773584909E-2</v>
      </c>
      <c r="Z1342">
        <f t="shared" ca="1" si="641"/>
        <v>196.15384615384616</v>
      </c>
      <c r="AA1342">
        <f t="shared" ca="1" si="642"/>
        <v>632.01599999999996</v>
      </c>
      <c r="AB1342">
        <f t="shared" ca="1" si="643"/>
        <v>2593.093031648662</v>
      </c>
      <c r="AC1342">
        <f t="shared" ca="1" si="644"/>
        <v>482.07306851378365</v>
      </c>
      <c r="AD1342">
        <f t="shared" ca="1" si="645"/>
        <v>280.07692026646265</v>
      </c>
      <c r="AE1342">
        <f t="shared" ca="1" si="646"/>
        <v>1019.7665564573041</v>
      </c>
      <c r="AF1342">
        <f t="shared" ca="1" si="647"/>
        <v>481.59049544517165</v>
      </c>
      <c r="AG1342">
        <f t="shared" ca="1" si="648"/>
        <v>0</v>
      </c>
      <c r="AH1342">
        <f ca="1">IF(V32="Supercritical",L1342,IF(V32="Subcritical",W1342,IF(AND(V1342=1,AG1342=1),IF(T1342&gt;=AE1342,L1342,W1342),IF(V1342=1,L1342,IF(AG1342=1,W1342,MAX($D$16,POWER((ABS(K1342)^2)/($I$5*MAX(F1342,0.1)^2),1/3)))))))</f>
        <v>2.1403668656741068</v>
      </c>
      <c r="AI1342">
        <f t="shared" ca="1" si="649"/>
        <v>634.10636686567409</v>
      </c>
      <c r="AJ1342">
        <f t="shared" ca="1" si="650"/>
        <v>635.17655029851119</v>
      </c>
      <c r="AM1342">
        <v>0</v>
      </c>
      <c r="AN1342">
        <v>0</v>
      </c>
      <c r="AO1342">
        <f t="shared" si="651"/>
        <v>0</v>
      </c>
      <c r="AP1342">
        <f t="shared" si="660"/>
        <v>0</v>
      </c>
      <c r="AQ1342">
        <f t="shared" ca="1" si="652"/>
        <v>0.99999999999999978</v>
      </c>
      <c r="AR1342" t="str">
        <f t="shared" ca="1" si="653"/>
        <v>Supercritical</v>
      </c>
      <c r="AS1342">
        <f t="shared" ca="1" si="654"/>
        <v>3.8148159832266538E-3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191</v>
      </c>
      <c r="I1343">
        <v>0</v>
      </c>
      <c r="J1343">
        <f t="shared" si="655"/>
        <v>0.99899999999979627</v>
      </c>
      <c r="K1343">
        <f t="shared" si="656"/>
        <v>51</v>
      </c>
      <c r="L1343">
        <f t="shared" ca="1" si="657"/>
        <v>0.05</v>
      </c>
      <c r="M1343">
        <f t="shared" ca="1" si="630"/>
        <v>0.26</v>
      </c>
      <c r="N1343">
        <f t="shared" ca="1" si="631"/>
        <v>4.9056603773584909E-2</v>
      </c>
      <c r="O1343">
        <f t="shared" ca="1" si="632"/>
        <v>196.15384615384616</v>
      </c>
      <c r="P1343">
        <f t="shared" ca="1" si="633"/>
        <v>632.01549999999997</v>
      </c>
      <c r="Q1343">
        <f t="shared" ca="1" si="634"/>
        <v>2593.0925316486619</v>
      </c>
      <c r="R1343">
        <f t="shared" ca="1" si="635"/>
        <v>482.07306851378365</v>
      </c>
      <c r="S1343">
        <f t="shared" ca="1" si="636"/>
        <v>280.07692026646265</v>
      </c>
      <c r="T1343">
        <f t="shared" ca="1" si="637"/>
        <v>1019.7665564573041</v>
      </c>
      <c r="U1343">
        <f t="shared" ca="1" si="658"/>
        <v>-481.59049544517165</v>
      </c>
      <c r="V1343">
        <f t="shared" ca="1" si="659"/>
        <v>0</v>
      </c>
      <c r="W1343">
        <f t="shared" ca="1" si="638"/>
        <v>0.05</v>
      </c>
      <c r="X1343">
        <f t="shared" ca="1" si="639"/>
        <v>0.26</v>
      </c>
      <c r="Y1343">
        <f t="shared" ca="1" si="640"/>
        <v>4.9056603773584909E-2</v>
      </c>
      <c r="Z1343">
        <f t="shared" ca="1" si="641"/>
        <v>196.15384615384616</v>
      </c>
      <c r="AA1343">
        <f t="shared" ca="1" si="642"/>
        <v>632.01549999999997</v>
      </c>
      <c r="AB1343">
        <f t="shared" ca="1" si="643"/>
        <v>2593.0925316486619</v>
      </c>
      <c r="AC1343">
        <f t="shared" ca="1" si="644"/>
        <v>482.07306851378365</v>
      </c>
      <c r="AD1343">
        <f t="shared" ca="1" si="645"/>
        <v>280.07692026646265</v>
      </c>
      <c r="AE1343">
        <f t="shared" ca="1" si="646"/>
        <v>1019.7665564573041</v>
      </c>
      <c r="AF1343">
        <f t="shared" ca="1" si="647"/>
        <v>482.07256851378406</v>
      </c>
      <c r="AG1343">
        <f t="shared" ca="1" si="648"/>
        <v>0</v>
      </c>
      <c r="AH1343">
        <f ca="1">IF(V32="Supercritical",L1343,IF(V32="Subcritical",W1343,IF(AND(V1343=1,AG1343=1),IF(T1343&gt;=AE1343,L1343,W1343),IF(V1343=1,L1343,IF(AG1343=1,W1343,MAX($D$16,POWER((ABS(K1343)^2)/($I$5*MAX(F1343,0.1)^2),1/3)))))))</f>
        <v>2.1403668656741068</v>
      </c>
      <c r="AI1343">
        <f t="shared" ca="1" si="649"/>
        <v>634.1058668656741</v>
      </c>
      <c r="AJ1343">
        <f t="shared" ca="1" si="650"/>
        <v>635.1760502985112</v>
      </c>
      <c r="AM1343">
        <v>0</v>
      </c>
      <c r="AN1343">
        <v>0</v>
      </c>
      <c r="AO1343">
        <f t="shared" si="651"/>
        <v>0</v>
      </c>
      <c r="AP1343">
        <f t="shared" si="660"/>
        <v>0</v>
      </c>
      <c r="AQ1343">
        <f t="shared" ca="1" si="652"/>
        <v>0.99999999999999978</v>
      </c>
      <c r="AR1343" t="str">
        <f t="shared" ca="1" si="653"/>
        <v>Supercritical</v>
      </c>
      <c r="AS1343">
        <f t="shared" ca="1" si="654"/>
        <v>3.8148159832266538E-3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191</v>
      </c>
      <c r="I1344">
        <v>0</v>
      </c>
      <c r="J1344">
        <f t="shared" si="655"/>
        <v>1</v>
      </c>
      <c r="K1344">
        <f t="shared" si="656"/>
        <v>51</v>
      </c>
      <c r="L1344">
        <f t="shared" ca="1" si="657"/>
        <v>0.05</v>
      </c>
      <c r="M1344">
        <f t="shared" ca="1" si="630"/>
        <v>0.26</v>
      </c>
      <c r="N1344">
        <f t="shared" ca="1" si="631"/>
        <v>4.9056603773584909E-2</v>
      </c>
      <c r="O1344">
        <f t="shared" ca="1" si="632"/>
        <v>196.15384615384616</v>
      </c>
      <c r="P1344">
        <f t="shared" ca="1" si="633"/>
        <v>632.01499999999999</v>
      </c>
      <c r="Q1344">
        <f t="shared" ca="1" si="634"/>
        <v>2593.0920316486622</v>
      </c>
      <c r="R1344">
        <f t="shared" ca="1" si="635"/>
        <v>482.07306851378365</v>
      </c>
      <c r="S1344">
        <f t="shared" ca="1" si="636"/>
        <v>280.07692026646265</v>
      </c>
      <c r="T1344">
        <f t="shared" ca="1" si="637"/>
        <v>1019.7665564573041</v>
      </c>
      <c r="U1344">
        <f t="shared" ca="1" si="658"/>
        <v>-482.07256851378406</v>
      </c>
      <c r="V1344">
        <f t="shared" ca="1" si="659"/>
        <v>0</v>
      </c>
      <c r="W1344">
        <f t="shared" ca="1" si="638"/>
        <v>0.05</v>
      </c>
      <c r="X1344">
        <f t="shared" ca="1" si="639"/>
        <v>0.26</v>
      </c>
      <c r="Y1344">
        <f t="shared" ca="1" si="640"/>
        <v>4.9056603773584909E-2</v>
      </c>
      <c r="Z1344">
        <f t="shared" ca="1" si="641"/>
        <v>196.15384615384616</v>
      </c>
      <c r="AA1344">
        <f t="shared" ca="1" si="642"/>
        <v>632.01499999999999</v>
      </c>
      <c r="AB1344">
        <f t="shared" ca="1" si="643"/>
        <v>2593.0920316486622</v>
      </c>
      <c r="AC1344">
        <f t="shared" ca="1" si="644"/>
        <v>482.07306851378365</v>
      </c>
      <c r="AD1344">
        <f t="shared" ca="1" si="645"/>
        <v>280.07692026646265</v>
      </c>
      <c r="AE1344">
        <f t="shared" ca="1" si="646"/>
        <v>1019.7665564573041</v>
      </c>
      <c r="AF1344">
        <f t="shared" ca="1" si="647"/>
        <v>482.25887083179032</v>
      </c>
      <c r="AG1344">
        <f t="shared" ca="1" si="648"/>
        <v>0</v>
      </c>
      <c r="AH1344">
        <f ca="1">IF(V32="Supercritical",L1344,IF(V32="Subcritical",W1344,IF(AND(V1344=1,AG1344=1),IF(T1344&gt;=AE1344,L1344,W1344),IF(V1344=1,L1344,IF(AG1344=1,W1344,MAX($D$16,POWER((ABS(K1344)^2)/($I$5*MAX(F1344,0.1)^2),1/3)))))))</f>
        <v>2.1403668656741068</v>
      </c>
      <c r="AI1344">
        <f t="shared" ca="1" si="649"/>
        <v>634.10536686567411</v>
      </c>
      <c r="AJ1344">
        <f t="shared" ca="1" si="650"/>
        <v>635.17555029851121</v>
      </c>
      <c r="AM1344">
        <v>0</v>
      </c>
      <c r="AN1344">
        <v>0</v>
      </c>
      <c r="AO1344">
        <f t="shared" si="651"/>
        <v>0</v>
      </c>
      <c r="AP1344">
        <f t="shared" si="660"/>
        <v>0</v>
      </c>
      <c r="AQ1344">
        <f t="shared" ca="1" si="652"/>
        <v>0.99999999999999978</v>
      </c>
      <c r="AR1344" t="str">
        <f t="shared" ca="1" si="653"/>
        <v>Supercritical</v>
      </c>
      <c r="AS1344">
        <f t="shared" ca="1" si="654"/>
        <v>3.8148159832266538E-3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191</v>
      </c>
      <c r="I1345">
        <v>5.7000000000000002E-2</v>
      </c>
      <c r="J1345">
        <f t="shared" si="655"/>
        <v>1</v>
      </c>
      <c r="K1345">
        <f t="shared" si="656"/>
        <v>51</v>
      </c>
      <c r="L1345">
        <f t="shared" ca="1" si="657"/>
        <v>0.05</v>
      </c>
      <c r="M1345">
        <f t="shared" ca="1" si="630"/>
        <v>0.26</v>
      </c>
      <c r="N1345">
        <f t="shared" ca="1" si="631"/>
        <v>4.9056603773584909E-2</v>
      </c>
      <c r="O1345">
        <f t="shared" ca="1" si="632"/>
        <v>196.15384615384616</v>
      </c>
      <c r="P1345">
        <f t="shared" ca="1" si="633"/>
        <v>632.0145</v>
      </c>
      <c r="Q1345">
        <f t="shared" ca="1" si="634"/>
        <v>2593.0915316486621</v>
      </c>
      <c r="R1345">
        <f t="shared" ca="1" si="635"/>
        <v>482.07306851378365</v>
      </c>
      <c r="S1345">
        <f t="shared" ca="1" si="636"/>
        <v>280.07692026646265</v>
      </c>
      <c r="T1345">
        <f t="shared" ca="1" si="637"/>
        <v>1019.7665564573041</v>
      </c>
      <c r="U1345">
        <f t="shared" ca="1" si="658"/>
        <v>-482.25887083179032</v>
      </c>
      <c r="V1345">
        <f t="shared" ca="1" si="659"/>
        <v>0</v>
      </c>
      <c r="W1345">
        <f t="shared" ca="1" si="638"/>
        <v>0.05</v>
      </c>
      <c r="X1345">
        <f t="shared" ca="1" si="639"/>
        <v>0.26</v>
      </c>
      <c r="Y1345">
        <f t="shared" ca="1" si="640"/>
        <v>4.9056603773584909E-2</v>
      </c>
      <c r="Z1345">
        <f t="shared" ca="1" si="641"/>
        <v>196.15384615384616</v>
      </c>
      <c r="AA1345">
        <f t="shared" ca="1" si="642"/>
        <v>632.0145</v>
      </c>
      <c r="AB1345">
        <f t="shared" ca="1" si="643"/>
        <v>2593.0915316486621</v>
      </c>
      <c r="AC1345">
        <f t="shared" ca="1" si="644"/>
        <v>482.07306851378365</v>
      </c>
      <c r="AD1345">
        <f t="shared" ca="1" si="645"/>
        <v>280.07692026646265</v>
      </c>
      <c r="AE1345">
        <f t="shared" ca="1" si="646"/>
        <v>1019.7665564573041</v>
      </c>
      <c r="AF1345">
        <f t="shared" ca="1" si="647"/>
        <v>482.25887083179032</v>
      </c>
      <c r="AG1345">
        <f t="shared" ca="1" si="648"/>
        <v>0</v>
      </c>
      <c r="AH1345">
        <f ca="1">IF(V32="Supercritical",L1345,IF(V32="Subcritical",W1345,IF(AND(V1345=1,AG1345=1),IF(T1345&gt;=AE1345,L1345,W1345),IF(V1345=1,L1345,IF(AG1345=1,W1345,MAX($D$16,POWER((ABS(K1345)^2)/($I$5*MAX(F1345,0.1)^2),1/3)))))))</f>
        <v>2.1403668656741068</v>
      </c>
      <c r="AI1345">
        <f t="shared" ca="1" si="649"/>
        <v>634.10486686567413</v>
      </c>
      <c r="AJ1345">
        <f t="shared" ca="1" si="650"/>
        <v>635.17505029851122</v>
      </c>
      <c r="AM1345">
        <v>0</v>
      </c>
      <c r="AN1345">
        <v>0</v>
      </c>
      <c r="AO1345">
        <f t="shared" si="651"/>
        <v>0</v>
      </c>
      <c r="AP1345">
        <f t="shared" si="660"/>
        <v>0</v>
      </c>
      <c r="AQ1345">
        <f t="shared" ca="1" si="652"/>
        <v>0.99999999999999978</v>
      </c>
      <c r="AR1345" t="str">
        <f t="shared" ca="1" si="653"/>
        <v>Supercritical</v>
      </c>
      <c r="AS1345">
        <f t="shared" ca="1" si="654"/>
        <v>3.8148159832266538E-3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191</v>
      </c>
      <c r="I1346">
        <v>5.7000000000000002E-2</v>
      </c>
      <c r="J1346">
        <f t="shared" si="655"/>
        <v>1</v>
      </c>
      <c r="K1346">
        <f t="shared" si="656"/>
        <v>51</v>
      </c>
      <c r="L1346">
        <f t="shared" ca="1" si="657"/>
        <v>0.05</v>
      </c>
      <c r="M1346">
        <f t="shared" ca="1" si="630"/>
        <v>0.26</v>
      </c>
      <c r="N1346">
        <f t="shared" ca="1" si="631"/>
        <v>4.9056603773584909E-2</v>
      </c>
      <c r="O1346">
        <f t="shared" ca="1" si="632"/>
        <v>196.15384615384616</v>
      </c>
      <c r="P1346">
        <f t="shared" ca="1" si="633"/>
        <v>632.01400000000001</v>
      </c>
      <c r="Q1346">
        <f t="shared" ca="1" si="634"/>
        <v>2593.091031648662</v>
      </c>
      <c r="R1346">
        <f t="shared" ca="1" si="635"/>
        <v>482.07306851378365</v>
      </c>
      <c r="S1346">
        <f t="shared" ca="1" si="636"/>
        <v>280.07692026646265</v>
      </c>
      <c r="T1346">
        <f t="shared" ca="1" si="637"/>
        <v>1019.7665564573041</v>
      </c>
      <c r="U1346">
        <f t="shared" ca="1" si="658"/>
        <v>-482.25887083179032</v>
      </c>
      <c r="V1346">
        <f t="shared" ca="1" si="659"/>
        <v>0</v>
      </c>
      <c r="W1346">
        <f t="shared" ca="1" si="638"/>
        <v>0.05</v>
      </c>
      <c r="X1346">
        <f t="shared" ca="1" si="639"/>
        <v>0.26</v>
      </c>
      <c r="Y1346">
        <f t="shared" ca="1" si="640"/>
        <v>4.9056603773584909E-2</v>
      </c>
      <c r="Z1346">
        <f t="shared" ca="1" si="641"/>
        <v>196.15384615384616</v>
      </c>
      <c r="AA1346">
        <f t="shared" ca="1" si="642"/>
        <v>632.01400000000001</v>
      </c>
      <c r="AB1346">
        <f t="shared" ca="1" si="643"/>
        <v>2593.091031648662</v>
      </c>
      <c r="AC1346">
        <f t="shared" ca="1" si="644"/>
        <v>482.07306851378365</v>
      </c>
      <c r="AD1346">
        <f t="shared" ca="1" si="645"/>
        <v>280.07692026646265</v>
      </c>
      <c r="AE1346">
        <f t="shared" ca="1" si="646"/>
        <v>1019.7665564573041</v>
      </c>
      <c r="AF1346">
        <f t="shared" ca="1" si="647"/>
        <v>482.07256851378361</v>
      </c>
      <c r="AG1346">
        <f t="shared" ca="1" si="648"/>
        <v>0</v>
      </c>
      <c r="AH1346">
        <f ca="1">IF(V32="Supercritical",L1346,IF(V32="Subcritical",W1346,IF(AND(V1346=1,AG1346=1),IF(T1346&gt;=AE1346,L1346,W1346),IF(V1346=1,L1346,IF(AG1346=1,W1346,MAX($D$16,POWER((ABS(K1346)^2)/($I$5*MAX(F1346,0.1)^2),1/3)))))))</f>
        <v>2.1403668656741068</v>
      </c>
      <c r="AI1346">
        <f t="shared" ca="1" si="649"/>
        <v>634.10436686567414</v>
      </c>
      <c r="AJ1346">
        <f t="shared" ca="1" si="650"/>
        <v>635.17455029851124</v>
      </c>
      <c r="AM1346">
        <v>0</v>
      </c>
      <c r="AN1346">
        <v>0</v>
      </c>
      <c r="AO1346">
        <f t="shared" si="651"/>
        <v>0</v>
      </c>
      <c r="AP1346">
        <f t="shared" si="660"/>
        <v>0</v>
      </c>
      <c r="AQ1346">
        <f t="shared" ca="1" si="652"/>
        <v>0.99999999999999978</v>
      </c>
      <c r="AR1346" t="str">
        <f t="shared" ca="1" si="653"/>
        <v>Supercritical</v>
      </c>
      <c r="AS1346">
        <f t="shared" ca="1" si="654"/>
        <v>3.8148159832266538E-3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191</v>
      </c>
      <c r="I1347">
        <v>0</v>
      </c>
      <c r="J1347">
        <f t="shared" si="655"/>
        <v>1</v>
      </c>
      <c r="K1347">
        <f t="shared" si="656"/>
        <v>51</v>
      </c>
      <c r="L1347">
        <f t="shared" ca="1" si="657"/>
        <v>0.05</v>
      </c>
      <c r="M1347">
        <f t="shared" ca="1" si="630"/>
        <v>0.26</v>
      </c>
      <c r="N1347">
        <f t="shared" ca="1" si="631"/>
        <v>4.9056603773584909E-2</v>
      </c>
      <c r="O1347">
        <f t="shared" ca="1" si="632"/>
        <v>196.15384615384616</v>
      </c>
      <c r="P1347">
        <f t="shared" ca="1" si="633"/>
        <v>632.01349999999991</v>
      </c>
      <c r="Q1347">
        <f t="shared" ca="1" si="634"/>
        <v>2593.0905316486619</v>
      </c>
      <c r="R1347">
        <f t="shared" ca="1" si="635"/>
        <v>482.07306851378365</v>
      </c>
      <c r="S1347">
        <f t="shared" ca="1" si="636"/>
        <v>280.07692026646265</v>
      </c>
      <c r="T1347">
        <f t="shared" ca="1" si="637"/>
        <v>1019.7665564573041</v>
      </c>
      <c r="U1347">
        <f t="shared" ca="1" si="658"/>
        <v>-482.07256851378361</v>
      </c>
      <c r="V1347">
        <f t="shared" ca="1" si="659"/>
        <v>0</v>
      </c>
      <c r="W1347">
        <f t="shared" ca="1" si="638"/>
        <v>0.05</v>
      </c>
      <c r="X1347">
        <f t="shared" ca="1" si="639"/>
        <v>0.26</v>
      </c>
      <c r="Y1347">
        <f t="shared" ca="1" si="640"/>
        <v>4.9056603773584909E-2</v>
      </c>
      <c r="Z1347">
        <f t="shared" ca="1" si="641"/>
        <v>196.15384615384616</v>
      </c>
      <c r="AA1347">
        <f t="shared" ca="1" si="642"/>
        <v>632.01349999999991</v>
      </c>
      <c r="AB1347">
        <f t="shared" ca="1" si="643"/>
        <v>2593.0905316486619</v>
      </c>
      <c r="AC1347">
        <f t="shared" ca="1" si="644"/>
        <v>482.07306851378365</v>
      </c>
      <c r="AD1347">
        <f t="shared" ca="1" si="645"/>
        <v>280.07692026646265</v>
      </c>
      <c r="AE1347">
        <f t="shared" ca="1" si="646"/>
        <v>1019.7665564573041</v>
      </c>
      <c r="AF1347">
        <f t="shared" ca="1" si="647"/>
        <v>482.25887083179077</v>
      </c>
      <c r="AG1347">
        <f t="shared" ca="1" si="648"/>
        <v>0</v>
      </c>
      <c r="AH1347">
        <f ca="1">IF(V32="Supercritical",L1347,IF(V32="Subcritical",W1347,IF(AND(V1347=1,AG1347=1),IF(T1347&gt;=AE1347,L1347,W1347),IF(V1347=1,L1347,IF(AG1347=1,W1347,MAX($D$16,POWER((ABS(K1347)^2)/($I$5*MAX(F1347,0.1)^2),1/3)))))))</f>
        <v>2.1403668656741068</v>
      </c>
      <c r="AI1347">
        <f t="shared" ca="1" si="649"/>
        <v>634.10386686567404</v>
      </c>
      <c r="AJ1347">
        <f t="shared" ca="1" si="650"/>
        <v>635.17405029851113</v>
      </c>
      <c r="AM1347">
        <v>0</v>
      </c>
      <c r="AN1347">
        <v>0</v>
      </c>
      <c r="AO1347">
        <f t="shared" si="651"/>
        <v>0</v>
      </c>
      <c r="AP1347">
        <f t="shared" si="660"/>
        <v>0</v>
      </c>
      <c r="AQ1347">
        <f t="shared" ca="1" si="652"/>
        <v>0.99999999999999978</v>
      </c>
      <c r="AR1347" t="str">
        <f t="shared" ca="1" si="653"/>
        <v>Supercritical</v>
      </c>
      <c r="AS1347">
        <f t="shared" ca="1" si="654"/>
        <v>3.8148159832266538E-3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191</v>
      </c>
      <c r="I1348">
        <v>5.7000000000000002E-2</v>
      </c>
      <c r="J1348">
        <f t="shared" si="655"/>
        <v>1</v>
      </c>
      <c r="K1348">
        <f t="shared" si="656"/>
        <v>51</v>
      </c>
      <c r="L1348">
        <f t="shared" ca="1" si="657"/>
        <v>0.05</v>
      </c>
      <c r="M1348">
        <f t="shared" ca="1" si="630"/>
        <v>0.26</v>
      </c>
      <c r="N1348">
        <f t="shared" ca="1" si="631"/>
        <v>4.9056603773584909E-2</v>
      </c>
      <c r="O1348">
        <f t="shared" ca="1" si="632"/>
        <v>196.15384615384616</v>
      </c>
      <c r="P1348">
        <f t="shared" ca="1" si="633"/>
        <v>632.01299999999992</v>
      </c>
      <c r="Q1348">
        <f t="shared" ca="1" si="634"/>
        <v>2593.0900316486623</v>
      </c>
      <c r="R1348">
        <f t="shared" ca="1" si="635"/>
        <v>482.07306851378365</v>
      </c>
      <c r="S1348">
        <f t="shared" ca="1" si="636"/>
        <v>280.07692026646265</v>
      </c>
      <c r="T1348">
        <f t="shared" ca="1" si="637"/>
        <v>1019.7665564573041</v>
      </c>
      <c r="U1348">
        <f t="shared" ca="1" si="658"/>
        <v>-482.25887083179077</v>
      </c>
      <c r="V1348">
        <f t="shared" ca="1" si="659"/>
        <v>0</v>
      </c>
      <c r="W1348">
        <f t="shared" ca="1" si="638"/>
        <v>0.05</v>
      </c>
      <c r="X1348">
        <f t="shared" ca="1" si="639"/>
        <v>0.26</v>
      </c>
      <c r="Y1348">
        <f t="shared" ca="1" si="640"/>
        <v>4.9056603773584909E-2</v>
      </c>
      <c r="Z1348">
        <f t="shared" ca="1" si="641"/>
        <v>196.15384615384616</v>
      </c>
      <c r="AA1348">
        <f t="shared" ca="1" si="642"/>
        <v>632.01299999999992</v>
      </c>
      <c r="AB1348">
        <f t="shared" ca="1" si="643"/>
        <v>2593.0900316486623</v>
      </c>
      <c r="AC1348">
        <f t="shared" ca="1" si="644"/>
        <v>482.07306851378365</v>
      </c>
      <c r="AD1348">
        <f t="shared" ca="1" si="645"/>
        <v>280.07692026646265</v>
      </c>
      <c r="AE1348">
        <f t="shared" ca="1" si="646"/>
        <v>1019.7665564573041</v>
      </c>
      <c r="AF1348">
        <f t="shared" ca="1" si="647"/>
        <v>482.26867621694828</v>
      </c>
      <c r="AG1348">
        <f t="shared" ca="1" si="648"/>
        <v>0</v>
      </c>
      <c r="AH1348">
        <f ca="1">IF(V32="Supercritical",L1348,IF(V32="Subcritical",W1348,IF(AND(V1348=1,AG1348=1),IF(T1348&gt;=AE1348,L1348,W1348),IF(V1348=1,L1348,IF(AG1348=1,W1348,MAX($D$16,POWER((ABS(K1348)^2)/($I$5*MAX(F1348,0.1)^2),1/3)))))))</f>
        <v>2.1403668656741068</v>
      </c>
      <c r="AI1348">
        <f t="shared" ca="1" si="649"/>
        <v>634.10336686567405</v>
      </c>
      <c r="AJ1348">
        <f t="shared" ca="1" si="650"/>
        <v>635.17355029851115</v>
      </c>
      <c r="AM1348">
        <v>0</v>
      </c>
      <c r="AN1348">
        <v>0</v>
      </c>
      <c r="AO1348">
        <f t="shared" si="651"/>
        <v>0</v>
      </c>
      <c r="AP1348">
        <f t="shared" si="660"/>
        <v>0</v>
      </c>
      <c r="AQ1348">
        <f t="shared" ca="1" si="652"/>
        <v>0.99999999999999978</v>
      </c>
      <c r="AR1348" t="str">
        <f t="shared" ca="1" si="653"/>
        <v>Supercritical</v>
      </c>
      <c r="AS1348">
        <f t="shared" ca="1" si="654"/>
        <v>3.8148159832266538E-3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191</v>
      </c>
      <c r="I1349">
        <v>0.06</v>
      </c>
      <c r="J1349">
        <f t="shared" si="655"/>
        <v>1</v>
      </c>
      <c r="K1349">
        <f t="shared" si="656"/>
        <v>51</v>
      </c>
      <c r="L1349">
        <f t="shared" ca="1" si="657"/>
        <v>0.05</v>
      </c>
      <c r="M1349">
        <f t="shared" ca="1" si="630"/>
        <v>0.26</v>
      </c>
      <c r="N1349">
        <f t="shared" ca="1" si="631"/>
        <v>4.9056603773584909E-2</v>
      </c>
      <c r="O1349">
        <f t="shared" ca="1" si="632"/>
        <v>196.15384615384616</v>
      </c>
      <c r="P1349">
        <f t="shared" ca="1" si="633"/>
        <v>632.01249999999993</v>
      </c>
      <c r="Q1349">
        <f t="shared" ca="1" si="634"/>
        <v>2593.0895316486622</v>
      </c>
      <c r="R1349">
        <f t="shared" ca="1" si="635"/>
        <v>482.07306851378365</v>
      </c>
      <c r="S1349">
        <f t="shared" ca="1" si="636"/>
        <v>280.07692026646265</v>
      </c>
      <c r="T1349">
        <f t="shared" ca="1" si="637"/>
        <v>1019.7665564573041</v>
      </c>
      <c r="U1349">
        <f t="shared" ca="1" si="658"/>
        <v>-482.26867621694828</v>
      </c>
      <c r="V1349">
        <f t="shared" ca="1" si="659"/>
        <v>0</v>
      </c>
      <c r="W1349">
        <f t="shared" ca="1" si="638"/>
        <v>0.05</v>
      </c>
      <c r="X1349">
        <f t="shared" ca="1" si="639"/>
        <v>0.26</v>
      </c>
      <c r="Y1349">
        <f t="shared" ca="1" si="640"/>
        <v>4.9056603773584909E-2</v>
      </c>
      <c r="Z1349">
        <f t="shared" ca="1" si="641"/>
        <v>196.15384615384616</v>
      </c>
      <c r="AA1349">
        <f t="shared" ca="1" si="642"/>
        <v>632.01249999999993</v>
      </c>
      <c r="AB1349">
        <f t="shared" ca="1" si="643"/>
        <v>2593.0895316486622</v>
      </c>
      <c r="AC1349">
        <f t="shared" ca="1" si="644"/>
        <v>482.07306851378365</v>
      </c>
      <c r="AD1349">
        <f t="shared" ca="1" si="645"/>
        <v>280.07692026646265</v>
      </c>
      <c r="AE1349">
        <f t="shared" ca="1" si="646"/>
        <v>1019.7665564573041</v>
      </c>
      <c r="AF1349">
        <f t="shared" ca="1" si="647"/>
        <v>482.5611785058345</v>
      </c>
      <c r="AG1349">
        <f t="shared" ca="1" si="648"/>
        <v>0</v>
      </c>
      <c r="AH1349">
        <f ca="1">IF(V32="Supercritical",L1349,IF(V32="Subcritical",W1349,IF(AND(V1349=1,AG1349=1),IF(T1349&gt;=AE1349,L1349,W1349),IF(V1349=1,L1349,IF(AG1349=1,W1349,MAX($D$16,POWER((ABS(K1349)^2)/($I$5*MAX(F1349,0.1)^2),1/3)))))))</f>
        <v>2.1403668656741068</v>
      </c>
      <c r="AI1349">
        <f t="shared" ca="1" si="649"/>
        <v>634.10286686567406</v>
      </c>
      <c r="AJ1349">
        <f t="shared" ca="1" si="650"/>
        <v>635.17305029851116</v>
      </c>
      <c r="AM1349">
        <v>0</v>
      </c>
      <c r="AN1349">
        <v>0</v>
      </c>
      <c r="AO1349">
        <f t="shared" si="651"/>
        <v>0</v>
      </c>
      <c r="AP1349">
        <f t="shared" si="660"/>
        <v>0</v>
      </c>
      <c r="AQ1349">
        <f t="shared" ca="1" si="652"/>
        <v>0.99999999999999978</v>
      </c>
      <c r="AR1349" t="str">
        <f t="shared" ca="1" si="653"/>
        <v>Supercritical</v>
      </c>
      <c r="AS1349">
        <f t="shared" ca="1" si="654"/>
        <v>3.8148159832266538E-3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191</v>
      </c>
      <c r="I1350">
        <v>2E-3</v>
      </c>
      <c r="J1350">
        <f t="shared" si="655"/>
        <v>1.0010000000002037</v>
      </c>
      <c r="K1350">
        <f t="shared" si="656"/>
        <v>51</v>
      </c>
      <c r="L1350">
        <f t="shared" ca="1" si="657"/>
        <v>0.05</v>
      </c>
      <c r="M1350">
        <f t="shared" ca="1" si="630"/>
        <v>0.26</v>
      </c>
      <c r="N1350">
        <f t="shared" ca="1" si="631"/>
        <v>4.9056603773584909E-2</v>
      </c>
      <c r="O1350">
        <f t="shared" ca="1" si="632"/>
        <v>196.15384615384616</v>
      </c>
      <c r="P1350">
        <f t="shared" ca="1" si="633"/>
        <v>632.01199999999994</v>
      </c>
      <c r="Q1350">
        <f t="shared" ca="1" si="634"/>
        <v>2593.0890316486621</v>
      </c>
      <c r="R1350">
        <f t="shared" ca="1" si="635"/>
        <v>482.07306851378365</v>
      </c>
      <c r="S1350">
        <f t="shared" ca="1" si="636"/>
        <v>280.07692026646265</v>
      </c>
      <c r="T1350">
        <f t="shared" ca="1" si="637"/>
        <v>1019.7665564573041</v>
      </c>
      <c r="U1350">
        <f t="shared" ca="1" si="658"/>
        <v>-482.5611785058345</v>
      </c>
      <c r="V1350">
        <f t="shared" ca="1" si="659"/>
        <v>0</v>
      </c>
      <c r="W1350">
        <f t="shared" ca="1" si="638"/>
        <v>0.05</v>
      </c>
      <c r="X1350">
        <f t="shared" ca="1" si="639"/>
        <v>0.26</v>
      </c>
      <c r="Y1350">
        <f t="shared" ca="1" si="640"/>
        <v>4.9056603773584909E-2</v>
      </c>
      <c r="Z1350">
        <f t="shared" ca="1" si="641"/>
        <v>196.15384615384616</v>
      </c>
      <c r="AA1350">
        <f t="shared" ca="1" si="642"/>
        <v>632.01199999999994</v>
      </c>
      <c r="AB1350">
        <f t="shared" ca="1" si="643"/>
        <v>2593.0890316486621</v>
      </c>
      <c r="AC1350">
        <f t="shared" ca="1" si="644"/>
        <v>482.07306851378365</v>
      </c>
      <c r="AD1350">
        <f t="shared" ca="1" si="645"/>
        <v>280.07692026646265</v>
      </c>
      <c r="AE1350">
        <f t="shared" ca="1" si="646"/>
        <v>1019.7665564573041</v>
      </c>
      <c r="AF1350">
        <f t="shared" ca="1" si="647"/>
        <v>482.07256851378361</v>
      </c>
      <c r="AG1350">
        <f t="shared" ca="1" si="648"/>
        <v>0</v>
      </c>
      <c r="AH1350">
        <f ca="1">IF(V32="Supercritical",L1350,IF(V32="Subcritical",W1350,IF(AND(V1350=1,AG1350=1),IF(T1350&gt;=AE1350,L1350,W1350),IF(V1350=1,L1350,IF(AG1350=1,W1350,MAX($D$16,POWER((ABS(K1350)^2)/($I$5*MAX(F1350,0.1)^2),1/3)))))))</f>
        <v>2.1403668656741068</v>
      </c>
      <c r="AI1350">
        <f t="shared" ca="1" si="649"/>
        <v>634.10236686567407</v>
      </c>
      <c r="AJ1350">
        <f t="shared" ca="1" si="650"/>
        <v>635.17255029851117</v>
      </c>
      <c r="AM1350">
        <v>0</v>
      </c>
      <c r="AN1350">
        <v>0</v>
      </c>
      <c r="AO1350">
        <f t="shared" si="651"/>
        <v>0</v>
      </c>
      <c r="AP1350">
        <f t="shared" si="660"/>
        <v>0</v>
      </c>
      <c r="AQ1350">
        <f t="shared" ca="1" si="652"/>
        <v>0.99999999999999978</v>
      </c>
      <c r="AR1350" t="str">
        <f t="shared" ca="1" si="653"/>
        <v>Supercritical</v>
      </c>
      <c r="AS1350">
        <f t="shared" ca="1" si="654"/>
        <v>3.8148159832266538E-3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191</v>
      </c>
      <c r="I1351">
        <v>0</v>
      </c>
      <c r="J1351">
        <f t="shared" si="655"/>
        <v>1</v>
      </c>
      <c r="K1351">
        <f t="shared" si="656"/>
        <v>51</v>
      </c>
      <c r="L1351">
        <f t="shared" ca="1" si="657"/>
        <v>0.05</v>
      </c>
      <c r="M1351">
        <f t="shared" ca="1" si="630"/>
        <v>0.26</v>
      </c>
      <c r="N1351">
        <f t="shared" ca="1" si="631"/>
        <v>4.9056603773584909E-2</v>
      </c>
      <c r="O1351">
        <f t="shared" ca="1" si="632"/>
        <v>196.15384615384616</v>
      </c>
      <c r="P1351">
        <f t="shared" ca="1" si="633"/>
        <v>632.01149999999996</v>
      </c>
      <c r="Q1351">
        <f t="shared" ca="1" si="634"/>
        <v>2593.088531648662</v>
      </c>
      <c r="R1351">
        <f t="shared" ca="1" si="635"/>
        <v>482.07306851378365</v>
      </c>
      <c r="S1351">
        <f t="shared" ca="1" si="636"/>
        <v>280.07692026646265</v>
      </c>
      <c r="T1351">
        <f t="shared" ca="1" si="637"/>
        <v>1019.7665564573041</v>
      </c>
      <c r="U1351">
        <f t="shared" ca="1" si="658"/>
        <v>-482.07256851378361</v>
      </c>
      <c r="V1351">
        <f t="shared" ca="1" si="659"/>
        <v>0</v>
      </c>
      <c r="W1351">
        <f t="shared" ca="1" si="638"/>
        <v>0.05</v>
      </c>
      <c r="X1351">
        <f t="shared" ca="1" si="639"/>
        <v>0.26</v>
      </c>
      <c r="Y1351">
        <f t="shared" ca="1" si="640"/>
        <v>4.9056603773584909E-2</v>
      </c>
      <c r="Z1351">
        <f t="shared" ca="1" si="641"/>
        <v>196.15384615384616</v>
      </c>
      <c r="AA1351">
        <f t="shared" ca="1" si="642"/>
        <v>632.01149999999996</v>
      </c>
      <c r="AB1351">
        <f t="shared" ca="1" si="643"/>
        <v>2593.088531648662</v>
      </c>
      <c r="AC1351">
        <f t="shared" ca="1" si="644"/>
        <v>482.07306851378365</v>
      </c>
      <c r="AD1351">
        <f t="shared" ca="1" si="645"/>
        <v>280.07692026646265</v>
      </c>
      <c r="AE1351">
        <f t="shared" ca="1" si="646"/>
        <v>1019.7665564573041</v>
      </c>
      <c r="AF1351">
        <f t="shared" ca="1" si="647"/>
        <v>481.77679776317837</v>
      </c>
      <c r="AG1351">
        <f t="shared" ca="1" si="648"/>
        <v>0</v>
      </c>
      <c r="AH1351">
        <f ca="1">IF(V32="Supercritical",L1351,IF(V32="Subcritical",W1351,IF(AND(V1351=1,AG1351=1),IF(T1351&gt;=AE1351,L1351,W1351),IF(V1351=1,L1351,IF(AG1351=1,W1351,MAX($D$16,POWER((ABS(K1351)^2)/($I$5*MAX(F1351,0.1)^2),1/3)))))))</f>
        <v>2.1403668656741068</v>
      </c>
      <c r="AI1351">
        <f t="shared" ca="1" si="649"/>
        <v>634.10186686567408</v>
      </c>
      <c r="AJ1351">
        <f t="shared" ca="1" si="650"/>
        <v>635.17205029851118</v>
      </c>
      <c r="AM1351">
        <v>0</v>
      </c>
      <c r="AN1351">
        <v>0</v>
      </c>
      <c r="AO1351">
        <f t="shared" si="651"/>
        <v>0</v>
      </c>
      <c r="AP1351">
        <f t="shared" si="660"/>
        <v>0</v>
      </c>
      <c r="AQ1351">
        <f t="shared" ca="1" si="652"/>
        <v>0.99999999999999978</v>
      </c>
      <c r="AR1351" t="str">
        <f t="shared" ca="1" si="653"/>
        <v>Supercritical</v>
      </c>
      <c r="AS1351">
        <f t="shared" ca="1" si="654"/>
        <v>3.8148159832266538E-3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191</v>
      </c>
      <c r="I1352">
        <v>5.7000000000000002E-2</v>
      </c>
      <c r="J1352">
        <f t="shared" si="655"/>
        <v>0.99899999999979627</v>
      </c>
      <c r="K1352">
        <f t="shared" si="656"/>
        <v>51</v>
      </c>
      <c r="L1352">
        <f t="shared" ca="1" si="657"/>
        <v>0.05</v>
      </c>
      <c r="M1352">
        <f t="shared" ca="1" si="630"/>
        <v>0.26</v>
      </c>
      <c r="N1352">
        <f t="shared" ca="1" si="631"/>
        <v>4.9056603773584909E-2</v>
      </c>
      <c r="O1352">
        <f t="shared" ca="1" si="632"/>
        <v>196.15384615384616</v>
      </c>
      <c r="P1352">
        <f t="shared" ca="1" si="633"/>
        <v>632.01099999999997</v>
      </c>
      <c r="Q1352">
        <f t="shared" ca="1" si="634"/>
        <v>2593.0880316486619</v>
      </c>
      <c r="R1352">
        <f t="shared" ca="1" si="635"/>
        <v>482.07306851378365</v>
      </c>
      <c r="S1352">
        <f t="shared" ca="1" si="636"/>
        <v>280.07692026646265</v>
      </c>
      <c r="T1352">
        <f t="shared" ca="1" si="637"/>
        <v>1019.7665564573041</v>
      </c>
      <c r="U1352">
        <f t="shared" ca="1" si="658"/>
        <v>-481.77679776317837</v>
      </c>
      <c r="V1352">
        <f t="shared" ca="1" si="659"/>
        <v>0</v>
      </c>
      <c r="W1352">
        <f t="shared" ca="1" si="638"/>
        <v>0.05</v>
      </c>
      <c r="X1352">
        <f t="shared" ca="1" si="639"/>
        <v>0.26</v>
      </c>
      <c r="Y1352">
        <f t="shared" ca="1" si="640"/>
        <v>4.9056603773584909E-2</v>
      </c>
      <c r="Z1352">
        <f t="shared" ca="1" si="641"/>
        <v>196.15384615384616</v>
      </c>
      <c r="AA1352">
        <f t="shared" ca="1" si="642"/>
        <v>632.01099999999997</v>
      </c>
      <c r="AB1352">
        <f t="shared" ca="1" si="643"/>
        <v>2593.0880316486619</v>
      </c>
      <c r="AC1352">
        <f t="shared" ca="1" si="644"/>
        <v>482.07306851378365</v>
      </c>
      <c r="AD1352">
        <f t="shared" ca="1" si="645"/>
        <v>280.07692026646265</v>
      </c>
      <c r="AE1352">
        <f t="shared" ca="1" si="646"/>
        <v>1019.7665564573041</v>
      </c>
      <c r="AF1352">
        <f t="shared" ca="1" si="647"/>
        <v>482.25887083179077</v>
      </c>
      <c r="AG1352">
        <f t="shared" ca="1" si="648"/>
        <v>0</v>
      </c>
      <c r="AH1352">
        <f ca="1">IF(V32="Supercritical",L1352,IF(V32="Subcritical",W1352,IF(AND(V1352=1,AG1352=1),IF(T1352&gt;=AE1352,L1352,W1352),IF(V1352=1,L1352,IF(AG1352=1,W1352,MAX($D$16,POWER((ABS(K1352)^2)/($I$5*MAX(F1352,0.1)^2),1/3)))))))</f>
        <v>2.1403668656741068</v>
      </c>
      <c r="AI1352">
        <f t="shared" ca="1" si="649"/>
        <v>634.10136686567409</v>
      </c>
      <c r="AJ1352">
        <f t="shared" ca="1" si="650"/>
        <v>635.17155029851119</v>
      </c>
      <c r="AM1352">
        <v>0</v>
      </c>
      <c r="AN1352">
        <v>0</v>
      </c>
      <c r="AO1352">
        <f t="shared" si="651"/>
        <v>0</v>
      </c>
      <c r="AP1352">
        <f t="shared" si="660"/>
        <v>0</v>
      </c>
      <c r="AQ1352">
        <f t="shared" ca="1" si="652"/>
        <v>0.99999999999999978</v>
      </c>
      <c r="AR1352" t="str">
        <f t="shared" ca="1" si="653"/>
        <v>Supercritical</v>
      </c>
      <c r="AS1352">
        <f t="shared" ca="1" si="654"/>
        <v>3.8148159832266538E-3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191</v>
      </c>
      <c r="I1353">
        <v>5.7000000000000002E-2</v>
      </c>
      <c r="J1353">
        <f t="shared" si="655"/>
        <v>1</v>
      </c>
      <c r="K1353">
        <f t="shared" si="656"/>
        <v>51</v>
      </c>
      <c r="L1353">
        <f t="shared" ca="1" si="657"/>
        <v>0.05</v>
      </c>
      <c r="M1353">
        <f t="shared" ca="1" si="630"/>
        <v>0.26</v>
      </c>
      <c r="N1353">
        <f t="shared" ca="1" si="631"/>
        <v>4.9056603773584909E-2</v>
      </c>
      <c r="O1353">
        <f t="shared" ca="1" si="632"/>
        <v>196.15384615384616</v>
      </c>
      <c r="P1353">
        <f t="shared" ca="1" si="633"/>
        <v>632.01049999999998</v>
      </c>
      <c r="Q1353">
        <f t="shared" ca="1" si="634"/>
        <v>2593.0875316486622</v>
      </c>
      <c r="R1353">
        <f t="shared" ca="1" si="635"/>
        <v>482.07306851378365</v>
      </c>
      <c r="S1353">
        <f t="shared" ca="1" si="636"/>
        <v>280.07692026646265</v>
      </c>
      <c r="T1353">
        <f t="shared" ca="1" si="637"/>
        <v>1019.7665564573041</v>
      </c>
      <c r="U1353">
        <f t="shared" ca="1" si="658"/>
        <v>-482.25887083179077</v>
      </c>
      <c r="V1353">
        <f t="shared" ca="1" si="659"/>
        <v>0</v>
      </c>
      <c r="W1353">
        <f t="shared" ca="1" si="638"/>
        <v>0.05</v>
      </c>
      <c r="X1353">
        <f t="shared" ca="1" si="639"/>
        <v>0.26</v>
      </c>
      <c r="Y1353">
        <f t="shared" ca="1" si="640"/>
        <v>4.9056603773584909E-2</v>
      </c>
      <c r="Z1353">
        <f t="shared" ca="1" si="641"/>
        <v>196.15384615384616</v>
      </c>
      <c r="AA1353">
        <f t="shared" ca="1" si="642"/>
        <v>632.01049999999998</v>
      </c>
      <c r="AB1353">
        <f t="shared" ca="1" si="643"/>
        <v>2593.0875316486622</v>
      </c>
      <c r="AC1353">
        <f t="shared" ca="1" si="644"/>
        <v>482.07306851378365</v>
      </c>
      <c r="AD1353">
        <f t="shared" ca="1" si="645"/>
        <v>280.07692026646265</v>
      </c>
      <c r="AE1353">
        <f t="shared" ca="1" si="646"/>
        <v>1019.7665564573041</v>
      </c>
      <c r="AF1353">
        <f t="shared" ca="1" si="647"/>
        <v>482.07256851378361</v>
      </c>
      <c r="AG1353">
        <f t="shared" ca="1" si="648"/>
        <v>0</v>
      </c>
      <c r="AH1353">
        <f ca="1">IF(V32="Supercritical",L1353,IF(V32="Subcritical",W1353,IF(AND(V1353=1,AG1353=1),IF(T1353&gt;=AE1353,L1353,W1353),IF(V1353=1,L1353,IF(AG1353=1,W1353,MAX($D$16,POWER((ABS(K1353)^2)/($I$5*MAX(F1353,0.1)^2),1/3)))))))</f>
        <v>2.1403668656741068</v>
      </c>
      <c r="AI1353">
        <f t="shared" ca="1" si="649"/>
        <v>634.10086686567411</v>
      </c>
      <c r="AJ1353">
        <f t="shared" ca="1" si="650"/>
        <v>635.1710502985112</v>
      </c>
      <c r="AM1353">
        <v>0</v>
      </c>
      <c r="AN1353">
        <v>0</v>
      </c>
      <c r="AO1353">
        <f t="shared" si="651"/>
        <v>0</v>
      </c>
      <c r="AP1353">
        <f t="shared" si="660"/>
        <v>0</v>
      </c>
      <c r="AQ1353">
        <f t="shared" ca="1" si="652"/>
        <v>0.99999999999999978</v>
      </c>
      <c r="AR1353" t="str">
        <f t="shared" ca="1" si="653"/>
        <v>Supercritical</v>
      </c>
      <c r="AS1353">
        <f t="shared" ca="1" si="654"/>
        <v>3.8148159832266538E-3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191</v>
      </c>
      <c r="I1354">
        <v>0</v>
      </c>
      <c r="J1354">
        <f t="shared" si="655"/>
        <v>1</v>
      </c>
      <c r="K1354">
        <f t="shared" si="656"/>
        <v>51</v>
      </c>
      <c r="L1354">
        <f t="shared" ca="1" si="657"/>
        <v>0.05</v>
      </c>
      <c r="M1354">
        <f t="shared" ca="1" si="630"/>
        <v>0.26</v>
      </c>
      <c r="N1354">
        <f t="shared" ca="1" si="631"/>
        <v>4.9056603773584909E-2</v>
      </c>
      <c r="O1354">
        <f t="shared" ca="1" si="632"/>
        <v>196.15384615384616</v>
      </c>
      <c r="P1354">
        <f t="shared" ca="1" si="633"/>
        <v>632.01</v>
      </c>
      <c r="Q1354">
        <f t="shared" ca="1" si="634"/>
        <v>2593.0870316486621</v>
      </c>
      <c r="R1354">
        <f t="shared" ca="1" si="635"/>
        <v>482.07306851378365</v>
      </c>
      <c r="S1354">
        <f t="shared" ca="1" si="636"/>
        <v>280.07692026646265</v>
      </c>
      <c r="T1354">
        <f t="shared" ca="1" si="637"/>
        <v>1019.7665564573041</v>
      </c>
      <c r="U1354">
        <f t="shared" ca="1" si="658"/>
        <v>-482.07256851378361</v>
      </c>
      <c r="V1354">
        <f t="shared" ca="1" si="659"/>
        <v>0</v>
      </c>
      <c r="W1354">
        <f t="shared" ca="1" si="638"/>
        <v>0.05</v>
      </c>
      <c r="X1354">
        <f t="shared" ca="1" si="639"/>
        <v>0.26</v>
      </c>
      <c r="Y1354">
        <f t="shared" ca="1" si="640"/>
        <v>4.9056603773584909E-2</v>
      </c>
      <c r="Z1354">
        <f t="shared" ca="1" si="641"/>
        <v>196.15384615384616</v>
      </c>
      <c r="AA1354">
        <f t="shared" ca="1" si="642"/>
        <v>632.01</v>
      </c>
      <c r="AB1354">
        <f t="shared" ca="1" si="643"/>
        <v>2593.0870316486621</v>
      </c>
      <c r="AC1354">
        <f t="shared" ca="1" si="644"/>
        <v>482.07306851378365</v>
      </c>
      <c r="AD1354">
        <f t="shared" ca="1" si="645"/>
        <v>280.07692026646265</v>
      </c>
      <c r="AE1354">
        <f t="shared" ca="1" si="646"/>
        <v>1019.7665564573041</v>
      </c>
      <c r="AF1354">
        <f t="shared" ca="1" si="647"/>
        <v>482.07256851378361</v>
      </c>
      <c r="AG1354">
        <f t="shared" ca="1" si="648"/>
        <v>0</v>
      </c>
      <c r="AH1354">
        <f ca="1">IF(V32="Supercritical",L1354,IF(V32="Subcritical",W1354,IF(AND(V1354=1,AG1354=1),IF(T1354&gt;=AE1354,L1354,W1354),IF(V1354=1,L1354,IF(AG1354=1,W1354,MAX($D$16,POWER((ABS(K1354)^2)/($I$5*MAX(F1354,0.1)^2),1/3)))))))</f>
        <v>2.1403668656741068</v>
      </c>
      <c r="AI1354">
        <f t="shared" ca="1" si="649"/>
        <v>634.10036686567412</v>
      </c>
      <c r="AJ1354">
        <f t="shared" ca="1" si="650"/>
        <v>635.17055029851122</v>
      </c>
      <c r="AM1354">
        <v>0</v>
      </c>
      <c r="AN1354">
        <v>0</v>
      </c>
      <c r="AO1354">
        <f t="shared" si="651"/>
        <v>0</v>
      </c>
      <c r="AP1354">
        <f t="shared" si="660"/>
        <v>0</v>
      </c>
      <c r="AQ1354">
        <f t="shared" ca="1" si="652"/>
        <v>0.99999999999999978</v>
      </c>
      <c r="AR1354" t="str">
        <f t="shared" ca="1" si="653"/>
        <v>Supercritical</v>
      </c>
      <c r="AS1354">
        <f t="shared" ca="1" si="654"/>
        <v>3.8148159832266538E-3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191</v>
      </c>
      <c r="I1355">
        <v>0</v>
      </c>
      <c r="J1355">
        <f t="shared" si="655"/>
        <v>1</v>
      </c>
      <c r="K1355">
        <f t="shared" si="656"/>
        <v>51</v>
      </c>
      <c r="L1355">
        <f t="shared" ca="1" si="657"/>
        <v>0.05</v>
      </c>
      <c r="M1355">
        <f t="shared" ca="1" si="630"/>
        <v>0.26</v>
      </c>
      <c r="N1355">
        <f t="shared" ca="1" si="631"/>
        <v>4.9056603773584909E-2</v>
      </c>
      <c r="O1355">
        <f t="shared" ca="1" si="632"/>
        <v>196.15384615384616</v>
      </c>
      <c r="P1355">
        <f t="shared" ca="1" si="633"/>
        <v>632.0095</v>
      </c>
      <c r="Q1355">
        <f t="shared" ca="1" si="634"/>
        <v>2593.086531648662</v>
      </c>
      <c r="R1355">
        <f t="shared" ca="1" si="635"/>
        <v>482.07306851378365</v>
      </c>
      <c r="S1355">
        <f t="shared" ca="1" si="636"/>
        <v>280.07692026646265</v>
      </c>
      <c r="T1355">
        <f t="shared" ca="1" si="637"/>
        <v>1019.7665564573041</v>
      </c>
      <c r="U1355">
        <f t="shared" ca="1" si="658"/>
        <v>-482.07256851378361</v>
      </c>
      <c r="V1355">
        <f t="shared" ca="1" si="659"/>
        <v>0</v>
      </c>
      <c r="W1355">
        <f t="shared" ca="1" si="638"/>
        <v>0.05</v>
      </c>
      <c r="X1355">
        <f t="shared" ca="1" si="639"/>
        <v>0.26</v>
      </c>
      <c r="Y1355">
        <f t="shared" ca="1" si="640"/>
        <v>4.9056603773584909E-2</v>
      </c>
      <c r="Z1355">
        <f t="shared" ca="1" si="641"/>
        <v>196.15384615384616</v>
      </c>
      <c r="AA1355">
        <f t="shared" ca="1" si="642"/>
        <v>632.0095</v>
      </c>
      <c r="AB1355">
        <f t="shared" ca="1" si="643"/>
        <v>2593.086531648662</v>
      </c>
      <c r="AC1355">
        <f t="shared" ca="1" si="644"/>
        <v>482.07306851378365</v>
      </c>
      <c r="AD1355">
        <f t="shared" ca="1" si="645"/>
        <v>280.07692026646265</v>
      </c>
      <c r="AE1355">
        <f t="shared" ca="1" si="646"/>
        <v>1019.7665564573041</v>
      </c>
      <c r="AF1355">
        <f t="shared" ca="1" si="647"/>
        <v>482.25887083179032</v>
      </c>
      <c r="AG1355">
        <f t="shared" ca="1" si="648"/>
        <v>0</v>
      </c>
      <c r="AH1355">
        <f ca="1">IF(V32="Supercritical",L1355,IF(V32="Subcritical",W1355,IF(AND(V1355=1,AG1355=1),IF(T1355&gt;=AE1355,L1355,W1355),IF(V1355=1,L1355,IF(AG1355=1,W1355,MAX($D$16,POWER((ABS(K1355)^2)/($I$5*MAX(F1355,0.1)^2),1/3)))))))</f>
        <v>2.1403668656741068</v>
      </c>
      <c r="AI1355">
        <f t="shared" ca="1" si="649"/>
        <v>634.09986686567413</v>
      </c>
      <c r="AJ1355">
        <f t="shared" ca="1" si="650"/>
        <v>635.17005029851123</v>
      </c>
      <c r="AM1355">
        <v>0</v>
      </c>
      <c r="AN1355">
        <v>0</v>
      </c>
      <c r="AO1355">
        <f t="shared" si="651"/>
        <v>0</v>
      </c>
      <c r="AP1355">
        <f t="shared" si="660"/>
        <v>0</v>
      </c>
      <c r="AQ1355">
        <f t="shared" ca="1" si="652"/>
        <v>0.99999999999999978</v>
      </c>
      <c r="AR1355" t="str">
        <f t="shared" ca="1" si="653"/>
        <v>Supercritical</v>
      </c>
      <c r="AS1355">
        <f t="shared" ca="1" si="654"/>
        <v>3.8148159832266538E-3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191</v>
      </c>
      <c r="I1356">
        <v>5.7000000000000002E-2</v>
      </c>
      <c r="J1356">
        <f t="shared" si="655"/>
        <v>1</v>
      </c>
      <c r="K1356">
        <f t="shared" si="656"/>
        <v>51</v>
      </c>
      <c r="L1356">
        <f t="shared" ca="1" si="657"/>
        <v>0.05</v>
      </c>
      <c r="M1356">
        <f t="shared" ca="1" si="630"/>
        <v>0.26</v>
      </c>
      <c r="N1356">
        <f t="shared" ca="1" si="631"/>
        <v>4.9056603773584909E-2</v>
      </c>
      <c r="O1356">
        <f t="shared" ca="1" si="632"/>
        <v>196.15384615384616</v>
      </c>
      <c r="P1356">
        <f t="shared" ca="1" si="633"/>
        <v>632.0089999999999</v>
      </c>
      <c r="Q1356">
        <f t="shared" ca="1" si="634"/>
        <v>2593.0860316486619</v>
      </c>
      <c r="R1356">
        <f t="shared" ca="1" si="635"/>
        <v>482.07306851378365</v>
      </c>
      <c r="S1356">
        <f t="shared" ca="1" si="636"/>
        <v>280.07692026646265</v>
      </c>
      <c r="T1356">
        <f t="shared" ca="1" si="637"/>
        <v>1019.7665564573041</v>
      </c>
      <c r="U1356">
        <f t="shared" ca="1" si="658"/>
        <v>-482.25887083179032</v>
      </c>
      <c r="V1356">
        <f t="shared" ca="1" si="659"/>
        <v>0</v>
      </c>
      <c r="W1356">
        <f t="shared" ca="1" si="638"/>
        <v>0.05</v>
      </c>
      <c r="X1356">
        <f t="shared" ca="1" si="639"/>
        <v>0.26</v>
      </c>
      <c r="Y1356">
        <f t="shared" ca="1" si="640"/>
        <v>4.9056603773584909E-2</v>
      </c>
      <c r="Z1356">
        <f t="shared" ca="1" si="641"/>
        <v>196.15384615384616</v>
      </c>
      <c r="AA1356">
        <f t="shared" ca="1" si="642"/>
        <v>632.0089999999999</v>
      </c>
      <c r="AB1356">
        <f t="shared" ca="1" si="643"/>
        <v>2593.0860316486619</v>
      </c>
      <c r="AC1356">
        <f t="shared" ca="1" si="644"/>
        <v>482.07306851378365</v>
      </c>
      <c r="AD1356">
        <f t="shared" ca="1" si="645"/>
        <v>280.07692026646265</v>
      </c>
      <c r="AE1356">
        <f t="shared" ca="1" si="646"/>
        <v>1019.7665564573041</v>
      </c>
      <c r="AF1356">
        <f t="shared" ca="1" si="647"/>
        <v>482.25887083179077</v>
      </c>
      <c r="AG1356">
        <f t="shared" ca="1" si="648"/>
        <v>0</v>
      </c>
      <c r="AH1356">
        <f ca="1">IF(V32="Supercritical",L1356,IF(V32="Subcritical",W1356,IF(AND(V1356=1,AG1356=1),IF(T1356&gt;=AE1356,L1356,W1356),IF(V1356=1,L1356,IF(AG1356=1,W1356,MAX($D$16,POWER((ABS(K1356)^2)/($I$5*MAX(F1356,0.1)^2),1/3)))))))</f>
        <v>2.1403668656741068</v>
      </c>
      <c r="AI1356">
        <f t="shared" ca="1" si="649"/>
        <v>634.09936686567403</v>
      </c>
      <c r="AJ1356">
        <f t="shared" ca="1" si="650"/>
        <v>635.16955029851113</v>
      </c>
      <c r="AM1356">
        <v>0</v>
      </c>
      <c r="AN1356">
        <v>0</v>
      </c>
      <c r="AO1356">
        <f t="shared" si="651"/>
        <v>0</v>
      </c>
      <c r="AP1356">
        <f t="shared" si="660"/>
        <v>0</v>
      </c>
      <c r="AQ1356">
        <f t="shared" ca="1" si="652"/>
        <v>0.99999999999999978</v>
      </c>
      <c r="AR1356" t="str">
        <f t="shared" ca="1" si="653"/>
        <v>Supercritical</v>
      </c>
      <c r="AS1356">
        <f t="shared" ca="1" si="654"/>
        <v>3.8148159832266538E-3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191</v>
      </c>
      <c r="I1357">
        <v>5.7000000000000002E-2</v>
      </c>
      <c r="J1357">
        <f t="shared" si="655"/>
        <v>1</v>
      </c>
      <c r="K1357">
        <f t="shared" si="656"/>
        <v>51</v>
      </c>
      <c r="L1357">
        <f t="shared" ca="1" si="657"/>
        <v>0.05</v>
      </c>
      <c r="M1357">
        <f t="shared" ca="1" si="630"/>
        <v>0.26</v>
      </c>
      <c r="N1357">
        <f t="shared" ca="1" si="631"/>
        <v>4.9056603773584909E-2</v>
      </c>
      <c r="O1357">
        <f t="shared" ca="1" si="632"/>
        <v>196.15384615384616</v>
      </c>
      <c r="P1357">
        <f t="shared" ca="1" si="633"/>
        <v>632.00849999999991</v>
      </c>
      <c r="Q1357">
        <f t="shared" ca="1" si="634"/>
        <v>2593.0855316486623</v>
      </c>
      <c r="R1357">
        <f t="shared" ca="1" si="635"/>
        <v>482.07306851378365</v>
      </c>
      <c r="S1357">
        <f t="shared" ca="1" si="636"/>
        <v>280.07692026646265</v>
      </c>
      <c r="T1357">
        <f t="shared" ca="1" si="637"/>
        <v>1019.7665564573041</v>
      </c>
      <c r="U1357">
        <f t="shared" ca="1" si="658"/>
        <v>-482.25887083179077</v>
      </c>
      <c r="V1357">
        <f t="shared" ca="1" si="659"/>
        <v>0</v>
      </c>
      <c r="W1357">
        <f t="shared" ca="1" si="638"/>
        <v>0.05</v>
      </c>
      <c r="X1357">
        <f t="shared" ca="1" si="639"/>
        <v>0.26</v>
      </c>
      <c r="Y1357">
        <f t="shared" ca="1" si="640"/>
        <v>4.9056603773584909E-2</v>
      </c>
      <c r="Z1357">
        <f t="shared" ca="1" si="641"/>
        <v>196.15384615384616</v>
      </c>
      <c r="AA1357">
        <f t="shared" ca="1" si="642"/>
        <v>632.00849999999991</v>
      </c>
      <c r="AB1357">
        <f t="shared" ca="1" si="643"/>
        <v>2593.0855316486623</v>
      </c>
      <c r="AC1357">
        <f t="shared" ca="1" si="644"/>
        <v>482.07306851378365</v>
      </c>
      <c r="AD1357">
        <f t="shared" ca="1" si="645"/>
        <v>280.07692026646265</v>
      </c>
      <c r="AE1357">
        <f t="shared" ca="1" si="646"/>
        <v>1019.7665564573041</v>
      </c>
      <c r="AF1357">
        <f t="shared" ca="1" si="647"/>
        <v>482.07910543722255</v>
      </c>
      <c r="AG1357">
        <f t="shared" ca="1" si="648"/>
        <v>0</v>
      </c>
      <c r="AH1357">
        <f ca="1">IF(V32="Supercritical",L1357,IF(V32="Subcritical",W1357,IF(AND(V1357=1,AG1357=1),IF(T1357&gt;=AE1357,L1357,W1357),IF(V1357=1,L1357,IF(AG1357=1,W1357,MAX($D$16,POWER((ABS(K1357)^2)/($I$5*MAX(F1357,0.1)^2),1/3)))))))</f>
        <v>2.1403668656741068</v>
      </c>
      <c r="AI1357">
        <f t="shared" ca="1" si="649"/>
        <v>634.09886686567404</v>
      </c>
      <c r="AJ1357">
        <f t="shared" ca="1" si="650"/>
        <v>635.16905029851114</v>
      </c>
      <c r="AM1357">
        <v>0</v>
      </c>
      <c r="AN1357">
        <v>0</v>
      </c>
      <c r="AO1357">
        <f t="shared" si="651"/>
        <v>0</v>
      </c>
      <c r="AP1357">
        <f t="shared" si="660"/>
        <v>0</v>
      </c>
      <c r="AQ1357">
        <f t="shared" ca="1" si="652"/>
        <v>0.99999999999999978</v>
      </c>
      <c r="AR1357" t="str">
        <f t="shared" ca="1" si="653"/>
        <v>Supercritical</v>
      </c>
      <c r="AS1357">
        <f t="shared" ca="1" si="654"/>
        <v>3.8148159832266538E-3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191</v>
      </c>
      <c r="I1358">
        <v>2E-3</v>
      </c>
      <c r="J1358">
        <f t="shared" si="655"/>
        <v>1</v>
      </c>
      <c r="K1358">
        <f t="shared" si="656"/>
        <v>51</v>
      </c>
      <c r="L1358">
        <f t="shared" ca="1" si="657"/>
        <v>0.05</v>
      </c>
      <c r="M1358">
        <f t="shared" ca="1" si="630"/>
        <v>0.26</v>
      </c>
      <c r="N1358">
        <f t="shared" ca="1" si="631"/>
        <v>4.9056603773584909E-2</v>
      </c>
      <c r="O1358">
        <f t="shared" ca="1" si="632"/>
        <v>196.15384615384616</v>
      </c>
      <c r="P1358">
        <f t="shared" ca="1" si="633"/>
        <v>632.00799999999992</v>
      </c>
      <c r="Q1358">
        <f t="shared" ca="1" si="634"/>
        <v>2593.0850316486622</v>
      </c>
      <c r="R1358">
        <f t="shared" ca="1" si="635"/>
        <v>482.07306851378365</v>
      </c>
      <c r="S1358">
        <f t="shared" ca="1" si="636"/>
        <v>280.07692026646265</v>
      </c>
      <c r="T1358">
        <f t="shared" ca="1" si="637"/>
        <v>1019.7665564573041</v>
      </c>
      <c r="U1358">
        <f t="shared" ca="1" si="658"/>
        <v>-482.07910543722255</v>
      </c>
      <c r="V1358">
        <f t="shared" ca="1" si="659"/>
        <v>0</v>
      </c>
      <c r="W1358">
        <f t="shared" ca="1" si="638"/>
        <v>0.05</v>
      </c>
      <c r="X1358">
        <f t="shared" ca="1" si="639"/>
        <v>0.26</v>
      </c>
      <c r="Y1358">
        <f t="shared" ca="1" si="640"/>
        <v>4.9056603773584909E-2</v>
      </c>
      <c r="Z1358">
        <f t="shared" ca="1" si="641"/>
        <v>196.15384615384616</v>
      </c>
      <c r="AA1358">
        <f t="shared" ca="1" si="642"/>
        <v>632.00799999999992</v>
      </c>
      <c r="AB1358">
        <f t="shared" ca="1" si="643"/>
        <v>2593.0850316486622</v>
      </c>
      <c r="AC1358">
        <f t="shared" ca="1" si="644"/>
        <v>482.07306851378365</v>
      </c>
      <c r="AD1358">
        <f t="shared" ca="1" si="645"/>
        <v>280.07692026646265</v>
      </c>
      <c r="AE1358">
        <f t="shared" ca="1" si="646"/>
        <v>1019.7665564573041</v>
      </c>
      <c r="AF1358">
        <f t="shared" ca="1" si="647"/>
        <v>482.5611785058345</v>
      </c>
      <c r="AG1358">
        <f t="shared" ca="1" si="648"/>
        <v>0</v>
      </c>
      <c r="AH1358">
        <f ca="1">IF(V32="Supercritical",L1358,IF(V32="Subcritical",W1358,IF(AND(V1358=1,AG1358=1),IF(T1358&gt;=AE1358,L1358,W1358),IF(V1358=1,L1358,IF(AG1358=1,W1358,MAX($D$16,POWER((ABS(K1358)^2)/($I$5*MAX(F1358,0.1)^2),1/3)))))))</f>
        <v>2.1403668656741068</v>
      </c>
      <c r="AI1358">
        <f t="shared" ca="1" si="649"/>
        <v>634.09836686567405</v>
      </c>
      <c r="AJ1358">
        <f t="shared" ca="1" si="650"/>
        <v>635.16855029851115</v>
      </c>
      <c r="AM1358">
        <v>0</v>
      </c>
      <c r="AN1358">
        <v>0</v>
      </c>
      <c r="AO1358">
        <f t="shared" si="651"/>
        <v>0</v>
      </c>
      <c r="AP1358">
        <f t="shared" si="660"/>
        <v>0</v>
      </c>
      <c r="AQ1358">
        <f t="shared" ca="1" si="652"/>
        <v>0.99999999999999978</v>
      </c>
      <c r="AR1358" t="str">
        <f t="shared" ca="1" si="653"/>
        <v>Supercritical</v>
      </c>
      <c r="AS1358">
        <f t="shared" ca="1" si="654"/>
        <v>3.8148159832266538E-3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191</v>
      </c>
      <c r="I1359">
        <v>2E-3</v>
      </c>
      <c r="J1359">
        <f t="shared" si="655"/>
        <v>1.0010000000002037</v>
      </c>
      <c r="K1359">
        <f t="shared" si="656"/>
        <v>51</v>
      </c>
      <c r="L1359">
        <f t="shared" ca="1" si="657"/>
        <v>0.05</v>
      </c>
      <c r="M1359">
        <f t="shared" ca="1" si="630"/>
        <v>0.26</v>
      </c>
      <c r="N1359">
        <f t="shared" ca="1" si="631"/>
        <v>4.9056603773584909E-2</v>
      </c>
      <c r="O1359">
        <f t="shared" ca="1" si="632"/>
        <v>196.15384615384616</v>
      </c>
      <c r="P1359">
        <f t="shared" ca="1" si="633"/>
        <v>632.00749999999994</v>
      </c>
      <c r="Q1359">
        <f t="shared" ca="1" si="634"/>
        <v>2593.0845316486621</v>
      </c>
      <c r="R1359">
        <f t="shared" ca="1" si="635"/>
        <v>482.07306851378365</v>
      </c>
      <c r="S1359">
        <f t="shared" ca="1" si="636"/>
        <v>280.07692026646265</v>
      </c>
      <c r="T1359">
        <f t="shared" ca="1" si="637"/>
        <v>1019.7665564573041</v>
      </c>
      <c r="U1359">
        <f t="shared" ca="1" si="658"/>
        <v>-482.5611785058345</v>
      </c>
      <c r="V1359">
        <f t="shared" ca="1" si="659"/>
        <v>0</v>
      </c>
      <c r="W1359">
        <f t="shared" ca="1" si="638"/>
        <v>0.05</v>
      </c>
      <c r="X1359">
        <f t="shared" ca="1" si="639"/>
        <v>0.26</v>
      </c>
      <c r="Y1359">
        <f t="shared" ca="1" si="640"/>
        <v>4.9056603773584909E-2</v>
      </c>
      <c r="Z1359">
        <f t="shared" ca="1" si="641"/>
        <v>196.15384615384616</v>
      </c>
      <c r="AA1359">
        <f t="shared" ca="1" si="642"/>
        <v>632.00749999999994</v>
      </c>
      <c r="AB1359">
        <f t="shared" ca="1" si="643"/>
        <v>2593.0845316486621</v>
      </c>
      <c r="AC1359">
        <f t="shared" ca="1" si="644"/>
        <v>482.07306851378365</v>
      </c>
      <c r="AD1359">
        <f t="shared" ca="1" si="645"/>
        <v>280.07692026646265</v>
      </c>
      <c r="AE1359">
        <f t="shared" ca="1" si="646"/>
        <v>1019.7665564573041</v>
      </c>
      <c r="AF1359">
        <f t="shared" ca="1" si="647"/>
        <v>482.25887083179032</v>
      </c>
      <c r="AG1359">
        <f t="shared" ca="1" si="648"/>
        <v>0</v>
      </c>
      <c r="AH1359">
        <f ca="1">IF(V32="Supercritical",L1359,IF(V32="Subcritical",W1359,IF(AND(V1359=1,AG1359=1),IF(T1359&gt;=AE1359,L1359,W1359),IF(V1359=1,L1359,IF(AG1359=1,W1359,MAX($D$16,POWER((ABS(K1359)^2)/($I$5*MAX(F1359,0.1)^2),1/3)))))))</f>
        <v>2.1403668656741068</v>
      </c>
      <c r="AI1359">
        <f t="shared" ca="1" si="649"/>
        <v>634.09786686567406</v>
      </c>
      <c r="AJ1359">
        <f t="shared" ca="1" si="650"/>
        <v>635.16805029851116</v>
      </c>
      <c r="AM1359">
        <v>0</v>
      </c>
      <c r="AN1359">
        <v>0</v>
      </c>
      <c r="AO1359">
        <f t="shared" si="651"/>
        <v>0</v>
      </c>
      <c r="AP1359">
        <f t="shared" si="660"/>
        <v>0</v>
      </c>
      <c r="AQ1359">
        <f t="shared" ca="1" si="652"/>
        <v>0.99999999999999978</v>
      </c>
      <c r="AR1359" t="str">
        <f t="shared" ca="1" si="653"/>
        <v>Supercritical</v>
      </c>
      <c r="AS1359">
        <f t="shared" ca="1" si="654"/>
        <v>3.8148159832266538E-3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191</v>
      </c>
      <c r="I1360">
        <v>5.7000000000000002E-2</v>
      </c>
      <c r="J1360">
        <f t="shared" si="655"/>
        <v>1</v>
      </c>
      <c r="K1360">
        <f t="shared" si="656"/>
        <v>51</v>
      </c>
      <c r="L1360">
        <f t="shared" ca="1" si="657"/>
        <v>0.05</v>
      </c>
      <c r="M1360">
        <f t="shared" ca="1" si="630"/>
        <v>0.26</v>
      </c>
      <c r="N1360">
        <f t="shared" ca="1" si="631"/>
        <v>4.9056603773584909E-2</v>
      </c>
      <c r="O1360">
        <f t="shared" ca="1" si="632"/>
        <v>196.15384615384616</v>
      </c>
      <c r="P1360">
        <f t="shared" ca="1" si="633"/>
        <v>632.00699999999995</v>
      </c>
      <c r="Q1360">
        <f t="shared" ca="1" si="634"/>
        <v>2593.0840316486619</v>
      </c>
      <c r="R1360">
        <f t="shared" ca="1" si="635"/>
        <v>482.07306851378365</v>
      </c>
      <c r="S1360">
        <f t="shared" ca="1" si="636"/>
        <v>280.07692026646265</v>
      </c>
      <c r="T1360">
        <f t="shared" ca="1" si="637"/>
        <v>1019.7665564573041</v>
      </c>
      <c r="U1360">
        <f t="shared" ca="1" si="658"/>
        <v>-482.25887083179032</v>
      </c>
      <c r="V1360">
        <f t="shared" ca="1" si="659"/>
        <v>0</v>
      </c>
      <c r="W1360">
        <f t="shared" ca="1" si="638"/>
        <v>0.05</v>
      </c>
      <c r="X1360">
        <f t="shared" ca="1" si="639"/>
        <v>0.26</v>
      </c>
      <c r="Y1360">
        <f t="shared" ca="1" si="640"/>
        <v>4.9056603773584909E-2</v>
      </c>
      <c r="Z1360">
        <f t="shared" ca="1" si="641"/>
        <v>196.15384615384616</v>
      </c>
      <c r="AA1360">
        <f t="shared" ca="1" si="642"/>
        <v>632.00699999999995</v>
      </c>
      <c r="AB1360">
        <f t="shared" ca="1" si="643"/>
        <v>2593.0840316486619</v>
      </c>
      <c r="AC1360">
        <f t="shared" ca="1" si="644"/>
        <v>482.07306851378365</v>
      </c>
      <c r="AD1360">
        <f t="shared" ca="1" si="645"/>
        <v>280.07692026646265</v>
      </c>
      <c r="AE1360">
        <f t="shared" ca="1" si="646"/>
        <v>1019.7665564573041</v>
      </c>
      <c r="AF1360">
        <f t="shared" ca="1" si="647"/>
        <v>482.25887083179032</v>
      </c>
      <c r="AG1360">
        <f t="shared" ca="1" si="648"/>
        <v>0</v>
      </c>
      <c r="AH1360">
        <f ca="1">IF(V32="Supercritical",L1360,IF(V32="Subcritical",W1360,IF(AND(V1360=1,AG1360=1),IF(T1360&gt;=AE1360,L1360,W1360),IF(V1360=1,L1360,IF(AG1360=1,W1360,MAX($D$16,POWER((ABS(K1360)^2)/($I$5*MAX(F1360,0.1)^2),1/3)))))))</f>
        <v>2.1403668656741068</v>
      </c>
      <c r="AI1360">
        <f t="shared" ca="1" si="649"/>
        <v>634.09736686567408</v>
      </c>
      <c r="AJ1360">
        <f t="shared" ca="1" si="650"/>
        <v>635.16755029851117</v>
      </c>
      <c r="AM1360">
        <v>0</v>
      </c>
      <c r="AN1360">
        <v>0</v>
      </c>
      <c r="AO1360">
        <f t="shared" si="651"/>
        <v>0</v>
      </c>
      <c r="AP1360">
        <f t="shared" si="660"/>
        <v>0</v>
      </c>
      <c r="AQ1360">
        <f t="shared" ca="1" si="652"/>
        <v>0.99999999999999978</v>
      </c>
      <c r="AR1360" t="str">
        <f t="shared" ca="1" si="653"/>
        <v>Supercritical</v>
      </c>
      <c r="AS1360">
        <f t="shared" ca="1" si="654"/>
        <v>3.8148159832266538E-3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191</v>
      </c>
      <c r="I1361">
        <v>5.7000000000000002E-2</v>
      </c>
      <c r="J1361">
        <f t="shared" si="655"/>
        <v>1</v>
      </c>
      <c r="K1361">
        <f t="shared" si="656"/>
        <v>51</v>
      </c>
      <c r="L1361">
        <f t="shared" ca="1" si="657"/>
        <v>0.05</v>
      </c>
      <c r="M1361">
        <f t="shared" ca="1" si="630"/>
        <v>0.26</v>
      </c>
      <c r="N1361">
        <f t="shared" ca="1" si="631"/>
        <v>4.9056603773584909E-2</v>
      </c>
      <c r="O1361">
        <f t="shared" ca="1" si="632"/>
        <v>196.15384615384616</v>
      </c>
      <c r="P1361">
        <f t="shared" ca="1" si="633"/>
        <v>632.00649999999996</v>
      </c>
      <c r="Q1361">
        <f t="shared" ca="1" si="634"/>
        <v>2593.0835316486618</v>
      </c>
      <c r="R1361">
        <f t="shared" ca="1" si="635"/>
        <v>482.07306851378365</v>
      </c>
      <c r="S1361">
        <f t="shared" ca="1" si="636"/>
        <v>280.07692026646265</v>
      </c>
      <c r="T1361">
        <f t="shared" ca="1" si="637"/>
        <v>1019.7665564573041</v>
      </c>
      <c r="U1361">
        <f t="shared" ca="1" si="658"/>
        <v>-482.25887083179032</v>
      </c>
      <c r="V1361">
        <f t="shared" ca="1" si="659"/>
        <v>0</v>
      </c>
      <c r="W1361">
        <f t="shared" ca="1" si="638"/>
        <v>0.05</v>
      </c>
      <c r="X1361">
        <f t="shared" ca="1" si="639"/>
        <v>0.26</v>
      </c>
      <c r="Y1361">
        <f t="shared" ca="1" si="640"/>
        <v>4.9056603773584909E-2</v>
      </c>
      <c r="Z1361">
        <f t="shared" ca="1" si="641"/>
        <v>196.15384615384616</v>
      </c>
      <c r="AA1361">
        <f t="shared" ca="1" si="642"/>
        <v>632.00649999999996</v>
      </c>
      <c r="AB1361">
        <f t="shared" ca="1" si="643"/>
        <v>2593.0835316486618</v>
      </c>
      <c r="AC1361">
        <f t="shared" ca="1" si="644"/>
        <v>482.07306851378365</v>
      </c>
      <c r="AD1361">
        <f t="shared" ca="1" si="645"/>
        <v>280.07692026646265</v>
      </c>
      <c r="AE1361">
        <f t="shared" ca="1" si="646"/>
        <v>1019.7665564573041</v>
      </c>
      <c r="AF1361">
        <f t="shared" ca="1" si="647"/>
        <v>481.59049544517211</v>
      </c>
      <c r="AG1361">
        <f t="shared" ca="1" si="648"/>
        <v>0</v>
      </c>
      <c r="AH1361">
        <f ca="1">IF(V32="Supercritical",L1361,IF(V32="Subcritical",W1361,IF(AND(V1361=1,AG1361=1),IF(T1361&gt;=AE1361,L1361,W1361),IF(V1361=1,L1361,IF(AG1361=1,W1361,MAX($D$16,POWER((ABS(K1361)^2)/($I$5*MAX(F1361,0.1)^2),1/3)))))))</f>
        <v>2.1403668656741068</v>
      </c>
      <c r="AI1361">
        <f t="shared" ca="1" si="649"/>
        <v>634.09686686567409</v>
      </c>
      <c r="AJ1361">
        <f t="shared" ca="1" si="650"/>
        <v>635.16705029851119</v>
      </c>
      <c r="AM1361">
        <v>0</v>
      </c>
      <c r="AN1361">
        <v>0</v>
      </c>
      <c r="AO1361">
        <f t="shared" si="651"/>
        <v>0</v>
      </c>
      <c r="AP1361">
        <f t="shared" si="660"/>
        <v>0</v>
      </c>
      <c r="AQ1361">
        <f t="shared" ca="1" si="652"/>
        <v>0.99999999999999978</v>
      </c>
      <c r="AR1361" t="str">
        <f t="shared" ca="1" si="653"/>
        <v>Supercritical</v>
      </c>
      <c r="AS1361">
        <f t="shared" ca="1" si="654"/>
        <v>3.8148159832266538E-3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191</v>
      </c>
      <c r="I1362">
        <v>0</v>
      </c>
      <c r="J1362">
        <f t="shared" si="655"/>
        <v>0.99899999999979627</v>
      </c>
      <c r="K1362">
        <f t="shared" si="656"/>
        <v>51</v>
      </c>
      <c r="L1362">
        <f t="shared" ca="1" si="657"/>
        <v>0.05</v>
      </c>
      <c r="M1362">
        <f t="shared" ca="1" si="630"/>
        <v>0.26</v>
      </c>
      <c r="N1362">
        <f t="shared" ca="1" si="631"/>
        <v>4.9056603773584909E-2</v>
      </c>
      <c r="O1362">
        <f t="shared" ca="1" si="632"/>
        <v>196.15384615384616</v>
      </c>
      <c r="P1362">
        <f t="shared" ca="1" si="633"/>
        <v>632.00599999999997</v>
      </c>
      <c r="Q1362">
        <f t="shared" ca="1" si="634"/>
        <v>2593.0830316486622</v>
      </c>
      <c r="R1362">
        <f t="shared" ca="1" si="635"/>
        <v>482.07306851378365</v>
      </c>
      <c r="S1362">
        <f t="shared" ca="1" si="636"/>
        <v>280.07692026646265</v>
      </c>
      <c r="T1362">
        <f t="shared" ca="1" si="637"/>
        <v>1019.7665564573041</v>
      </c>
      <c r="U1362">
        <f t="shared" ca="1" si="658"/>
        <v>-481.59049544517211</v>
      </c>
      <c r="V1362">
        <f t="shared" ca="1" si="659"/>
        <v>0</v>
      </c>
      <c r="W1362">
        <f t="shared" ca="1" si="638"/>
        <v>0.05</v>
      </c>
      <c r="X1362">
        <f t="shared" ca="1" si="639"/>
        <v>0.26</v>
      </c>
      <c r="Y1362">
        <f t="shared" ca="1" si="640"/>
        <v>4.9056603773584909E-2</v>
      </c>
      <c r="Z1362">
        <f t="shared" ca="1" si="641"/>
        <v>196.15384615384616</v>
      </c>
      <c r="AA1362">
        <f t="shared" ca="1" si="642"/>
        <v>632.00599999999997</v>
      </c>
      <c r="AB1362">
        <f t="shared" ca="1" si="643"/>
        <v>2593.0830316486622</v>
      </c>
      <c r="AC1362">
        <f t="shared" ca="1" si="644"/>
        <v>482.07306851378365</v>
      </c>
      <c r="AD1362">
        <f t="shared" ca="1" si="645"/>
        <v>280.07692026646265</v>
      </c>
      <c r="AE1362">
        <f t="shared" ca="1" si="646"/>
        <v>1019.7665564573041</v>
      </c>
      <c r="AF1362">
        <f t="shared" ca="1" si="647"/>
        <v>482.07256851378361</v>
      </c>
      <c r="AG1362">
        <f t="shared" ca="1" si="648"/>
        <v>0</v>
      </c>
      <c r="AH1362">
        <f ca="1">IF(V32="Supercritical",L1362,IF(V32="Subcritical",W1362,IF(AND(V1362=1,AG1362=1),IF(T1362&gt;=AE1362,L1362,W1362),IF(V1362=1,L1362,IF(AG1362=1,W1362,MAX($D$16,POWER((ABS(K1362)^2)/($I$5*MAX(F1362,0.1)^2),1/3)))))))</f>
        <v>2.1403668656741068</v>
      </c>
      <c r="AI1362">
        <f t="shared" ca="1" si="649"/>
        <v>634.0963668656741</v>
      </c>
      <c r="AJ1362">
        <f t="shared" ca="1" si="650"/>
        <v>635.1665502985112</v>
      </c>
      <c r="AM1362">
        <v>0</v>
      </c>
      <c r="AN1362">
        <v>0</v>
      </c>
      <c r="AO1362">
        <f t="shared" si="651"/>
        <v>0</v>
      </c>
      <c r="AP1362">
        <f t="shared" si="660"/>
        <v>0</v>
      </c>
      <c r="AQ1362">
        <f t="shared" ca="1" si="652"/>
        <v>0.99999999999999978</v>
      </c>
      <c r="AR1362" t="str">
        <f t="shared" ca="1" si="653"/>
        <v>Supercritical</v>
      </c>
      <c r="AS1362">
        <f t="shared" ca="1" si="654"/>
        <v>3.8148159832266538E-3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191</v>
      </c>
      <c r="I1363">
        <v>0</v>
      </c>
      <c r="J1363">
        <f t="shared" si="655"/>
        <v>1</v>
      </c>
      <c r="K1363">
        <f t="shared" si="656"/>
        <v>51</v>
      </c>
      <c r="L1363">
        <f t="shared" ca="1" si="657"/>
        <v>0.05</v>
      </c>
      <c r="M1363">
        <f t="shared" ca="1" si="630"/>
        <v>0.26</v>
      </c>
      <c r="N1363">
        <f t="shared" ca="1" si="631"/>
        <v>4.9056603773584909E-2</v>
      </c>
      <c r="O1363">
        <f t="shared" ca="1" si="632"/>
        <v>196.15384615384616</v>
      </c>
      <c r="P1363">
        <f t="shared" ca="1" si="633"/>
        <v>632.00549999999998</v>
      </c>
      <c r="Q1363">
        <f t="shared" ca="1" si="634"/>
        <v>2593.0825316486621</v>
      </c>
      <c r="R1363">
        <f t="shared" ca="1" si="635"/>
        <v>482.07306851378365</v>
      </c>
      <c r="S1363">
        <f t="shared" ca="1" si="636"/>
        <v>280.07692026646265</v>
      </c>
      <c r="T1363">
        <f t="shared" ca="1" si="637"/>
        <v>1019.7665564573041</v>
      </c>
      <c r="U1363">
        <f t="shared" ca="1" si="658"/>
        <v>-482.07256851378361</v>
      </c>
      <c r="V1363">
        <f t="shared" ca="1" si="659"/>
        <v>0</v>
      </c>
      <c r="W1363">
        <f t="shared" ca="1" si="638"/>
        <v>0.05</v>
      </c>
      <c r="X1363">
        <f t="shared" ca="1" si="639"/>
        <v>0.26</v>
      </c>
      <c r="Y1363">
        <f t="shared" ca="1" si="640"/>
        <v>4.9056603773584909E-2</v>
      </c>
      <c r="Z1363">
        <f t="shared" ca="1" si="641"/>
        <v>196.15384615384616</v>
      </c>
      <c r="AA1363">
        <f t="shared" ca="1" si="642"/>
        <v>632.00549999999998</v>
      </c>
      <c r="AB1363">
        <f t="shared" ca="1" si="643"/>
        <v>2593.0825316486621</v>
      </c>
      <c r="AC1363">
        <f t="shared" ca="1" si="644"/>
        <v>482.07306851378365</v>
      </c>
      <c r="AD1363">
        <f t="shared" ca="1" si="645"/>
        <v>280.07692026646265</v>
      </c>
      <c r="AE1363">
        <f t="shared" ca="1" si="646"/>
        <v>1019.7665564573041</v>
      </c>
      <c r="AF1363">
        <f t="shared" ca="1" si="647"/>
        <v>482.25887083179032</v>
      </c>
      <c r="AG1363">
        <f t="shared" ca="1" si="648"/>
        <v>0</v>
      </c>
      <c r="AH1363">
        <f ca="1">IF(V32="Supercritical",L1363,IF(V32="Subcritical",W1363,IF(AND(V1363=1,AG1363=1),IF(T1363&gt;=AE1363,L1363,W1363),IF(V1363=1,L1363,IF(AG1363=1,W1363,MAX($D$16,POWER((ABS(K1363)^2)/($I$5*MAX(F1363,0.1)^2),1/3)))))))</f>
        <v>2.1403668656741068</v>
      </c>
      <c r="AI1363">
        <f t="shared" ca="1" si="649"/>
        <v>634.09586686567411</v>
      </c>
      <c r="AJ1363">
        <f t="shared" ca="1" si="650"/>
        <v>635.16605029851121</v>
      </c>
      <c r="AM1363">
        <v>0</v>
      </c>
      <c r="AN1363">
        <v>0</v>
      </c>
      <c r="AO1363">
        <f t="shared" si="651"/>
        <v>0</v>
      </c>
      <c r="AP1363">
        <f t="shared" si="660"/>
        <v>0</v>
      </c>
      <c r="AQ1363">
        <f t="shared" ca="1" si="652"/>
        <v>0.99999999999999978</v>
      </c>
      <c r="AR1363" t="str">
        <f t="shared" ca="1" si="653"/>
        <v>Supercritical</v>
      </c>
      <c r="AS1363">
        <f t="shared" ca="1" si="654"/>
        <v>3.8148159832266538E-3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191</v>
      </c>
      <c r="I1364">
        <v>5.7000000000000002E-2</v>
      </c>
      <c r="J1364">
        <f t="shared" si="655"/>
        <v>1</v>
      </c>
      <c r="K1364">
        <f t="shared" si="656"/>
        <v>51</v>
      </c>
      <c r="L1364">
        <f t="shared" ca="1" si="657"/>
        <v>0.05</v>
      </c>
      <c r="M1364">
        <f t="shared" ca="1" si="630"/>
        <v>0.26</v>
      </c>
      <c r="N1364">
        <f t="shared" ca="1" si="631"/>
        <v>4.9056603773584909E-2</v>
      </c>
      <c r="O1364">
        <f t="shared" ca="1" si="632"/>
        <v>196.15384615384616</v>
      </c>
      <c r="P1364">
        <f t="shared" ca="1" si="633"/>
        <v>632.005</v>
      </c>
      <c r="Q1364">
        <f t="shared" ca="1" si="634"/>
        <v>2593.082031648662</v>
      </c>
      <c r="R1364">
        <f t="shared" ca="1" si="635"/>
        <v>482.07306851378365</v>
      </c>
      <c r="S1364">
        <f t="shared" ca="1" si="636"/>
        <v>280.07692026646265</v>
      </c>
      <c r="T1364">
        <f t="shared" ca="1" si="637"/>
        <v>1019.7665564573041</v>
      </c>
      <c r="U1364">
        <f t="shared" ca="1" si="658"/>
        <v>-482.25887083179032</v>
      </c>
      <c r="V1364">
        <f t="shared" ca="1" si="659"/>
        <v>0</v>
      </c>
      <c r="W1364">
        <f t="shared" ca="1" si="638"/>
        <v>0.05</v>
      </c>
      <c r="X1364">
        <f t="shared" ca="1" si="639"/>
        <v>0.26</v>
      </c>
      <c r="Y1364">
        <f t="shared" ca="1" si="640"/>
        <v>4.9056603773584909E-2</v>
      </c>
      <c r="Z1364">
        <f t="shared" ca="1" si="641"/>
        <v>196.15384615384616</v>
      </c>
      <c r="AA1364">
        <f t="shared" ca="1" si="642"/>
        <v>632.005</v>
      </c>
      <c r="AB1364">
        <f t="shared" ca="1" si="643"/>
        <v>2593.082031648662</v>
      </c>
      <c r="AC1364">
        <f t="shared" ca="1" si="644"/>
        <v>482.07306851378365</v>
      </c>
      <c r="AD1364">
        <f t="shared" ca="1" si="645"/>
        <v>280.07692026646265</v>
      </c>
      <c r="AE1364">
        <f t="shared" ca="1" si="646"/>
        <v>1019.7665564573041</v>
      </c>
      <c r="AF1364">
        <f t="shared" ca="1" si="647"/>
        <v>482.25887083179077</v>
      </c>
      <c r="AG1364">
        <f t="shared" ca="1" si="648"/>
        <v>0</v>
      </c>
      <c r="AH1364">
        <f ca="1">IF(V32="Supercritical",L1364,IF(V32="Subcritical",W1364,IF(AND(V1364=1,AG1364=1),IF(T1364&gt;=AE1364,L1364,W1364),IF(V1364=1,L1364,IF(AG1364=1,W1364,MAX($D$16,POWER((ABS(K1364)^2)/($I$5*MAX(F1364,0.1)^2),1/3)))))))</f>
        <v>2.1403668656741068</v>
      </c>
      <c r="AI1364">
        <f t="shared" ca="1" si="649"/>
        <v>634.09536686567412</v>
      </c>
      <c r="AJ1364">
        <f t="shared" ca="1" si="650"/>
        <v>635.16555029851122</v>
      </c>
      <c r="AM1364">
        <v>0</v>
      </c>
      <c r="AN1364">
        <v>0</v>
      </c>
      <c r="AO1364">
        <f t="shared" si="651"/>
        <v>0</v>
      </c>
      <c r="AP1364">
        <f t="shared" si="660"/>
        <v>0</v>
      </c>
      <c r="AQ1364">
        <f t="shared" ca="1" si="652"/>
        <v>0.99999999999999978</v>
      </c>
      <c r="AR1364" t="str">
        <f t="shared" ca="1" si="653"/>
        <v>Supercritical</v>
      </c>
      <c r="AS1364">
        <f t="shared" ca="1" si="654"/>
        <v>3.8148159832266538E-3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191</v>
      </c>
      <c r="I1365">
        <v>5.7000000000000002E-2</v>
      </c>
      <c r="J1365">
        <f t="shared" si="655"/>
        <v>1</v>
      </c>
      <c r="K1365">
        <f t="shared" si="656"/>
        <v>51</v>
      </c>
      <c r="L1365">
        <f t="shared" ca="1" si="657"/>
        <v>0.05</v>
      </c>
      <c r="M1365">
        <f t="shared" ca="1" si="630"/>
        <v>0.26</v>
      </c>
      <c r="N1365">
        <f t="shared" ca="1" si="631"/>
        <v>4.9056603773584909E-2</v>
      </c>
      <c r="O1365">
        <f t="shared" ca="1" si="632"/>
        <v>196.15384615384616</v>
      </c>
      <c r="P1365">
        <f t="shared" ca="1" si="633"/>
        <v>632.00450000000001</v>
      </c>
      <c r="Q1365">
        <f t="shared" ca="1" si="634"/>
        <v>2593.0815316486623</v>
      </c>
      <c r="R1365">
        <f t="shared" ca="1" si="635"/>
        <v>482.07306851378365</v>
      </c>
      <c r="S1365">
        <f t="shared" ca="1" si="636"/>
        <v>280.07692026646265</v>
      </c>
      <c r="T1365">
        <f t="shared" ca="1" si="637"/>
        <v>1019.7665564573041</v>
      </c>
      <c r="U1365">
        <f t="shared" ca="1" si="658"/>
        <v>-482.25887083179077</v>
      </c>
      <c r="V1365">
        <f t="shared" ca="1" si="659"/>
        <v>0</v>
      </c>
      <c r="W1365">
        <f t="shared" ca="1" si="638"/>
        <v>0.05</v>
      </c>
      <c r="X1365">
        <f t="shared" ca="1" si="639"/>
        <v>0.26</v>
      </c>
      <c r="Y1365">
        <f t="shared" ca="1" si="640"/>
        <v>4.9056603773584909E-2</v>
      </c>
      <c r="Z1365">
        <f t="shared" ca="1" si="641"/>
        <v>196.15384615384616</v>
      </c>
      <c r="AA1365">
        <f t="shared" ca="1" si="642"/>
        <v>632.00450000000001</v>
      </c>
      <c r="AB1365">
        <f t="shared" ca="1" si="643"/>
        <v>2593.0815316486623</v>
      </c>
      <c r="AC1365">
        <f t="shared" ca="1" si="644"/>
        <v>482.07306851378365</v>
      </c>
      <c r="AD1365">
        <f t="shared" ca="1" si="645"/>
        <v>280.07692026646265</v>
      </c>
      <c r="AE1365">
        <f t="shared" ca="1" si="646"/>
        <v>1019.7665564573041</v>
      </c>
      <c r="AF1365">
        <f t="shared" ca="1" si="647"/>
        <v>482.07256851378361</v>
      </c>
      <c r="AG1365">
        <f t="shared" ca="1" si="648"/>
        <v>0</v>
      </c>
      <c r="AH1365">
        <f ca="1">IF(V32="Supercritical",L1365,IF(V32="Subcritical",W1365,IF(AND(V1365=1,AG1365=1),IF(T1365&gt;=AE1365,L1365,W1365),IF(V1365=1,L1365,IF(AG1365=1,W1365,MAX($D$16,POWER((ABS(K1365)^2)/($I$5*MAX(F1365,0.1)^2),1/3)))))))</f>
        <v>2.1403668656741068</v>
      </c>
      <c r="AI1365">
        <f t="shared" ca="1" si="649"/>
        <v>634.09486686567413</v>
      </c>
      <c r="AJ1365">
        <f t="shared" ca="1" si="650"/>
        <v>635.16505029851123</v>
      </c>
      <c r="AM1365">
        <v>0</v>
      </c>
      <c r="AN1365">
        <v>0</v>
      </c>
      <c r="AO1365">
        <f t="shared" si="651"/>
        <v>0</v>
      </c>
      <c r="AP1365">
        <f t="shared" si="660"/>
        <v>0</v>
      </c>
      <c r="AQ1365">
        <f t="shared" ca="1" si="652"/>
        <v>0.99999999999999978</v>
      </c>
      <c r="AR1365" t="str">
        <f t="shared" ca="1" si="653"/>
        <v>Supercritical</v>
      </c>
      <c r="AS1365">
        <f t="shared" ca="1" si="654"/>
        <v>3.8148159832266538E-3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191</v>
      </c>
      <c r="I1366">
        <v>0</v>
      </c>
      <c r="J1366">
        <f t="shared" si="655"/>
        <v>1</v>
      </c>
      <c r="K1366">
        <f t="shared" si="656"/>
        <v>51</v>
      </c>
      <c r="L1366">
        <f t="shared" ca="1" si="657"/>
        <v>0.05</v>
      </c>
      <c r="M1366">
        <f t="shared" ref="M1366:M1429" ca="1" si="661">((F1366)+(G1366)*(L1366))*(L1366)</f>
        <v>0.26</v>
      </c>
      <c r="N1366">
        <f t="shared" ref="N1366:N1429" ca="1" si="662">(((F1366)+(G1366)*(L1366))*(L1366))/MAX((F1366)+2*(L1366)*SQRT(1+(G1366)^2),0.000001)</f>
        <v>4.9056603773584909E-2</v>
      </c>
      <c r="O1366">
        <f t="shared" ref="O1366:O1429" ca="1" si="663">ABS(K1366)/MAX(((F1366)+(G1366)*(L1366))*(L1366),0.000001)</f>
        <v>196.15384615384616</v>
      </c>
      <c r="P1366">
        <f t="shared" ref="P1366:P1429" ca="1" si="664">E1366+L1366</f>
        <v>632.00399999999991</v>
      </c>
      <c r="Q1366">
        <f t="shared" ref="Q1366:Q1429" ca="1" si="665">P1366+((ABS(K1366)/MAX(((F1366)+(G1366)*(L1366))*(L1366),0.000001))^2)/(2*$I$5)</f>
        <v>2593.0810316486622</v>
      </c>
      <c r="R1366">
        <f t="shared" ref="R1366:R1429" ca="1" si="666">((ABS(K1366)*$D$6)/(MAX(((F1366)+(G1366)*(L1366))*(L1366),0.000001)*MAX(((((F1366)+(G1366)*(L1366))*(L1366))/MAX((F1366)+2*(L1366)*SQRT(1+(G1366)^2),0.000001))^(2/3),0.000001)))^2</f>
        <v>482.07306851378365</v>
      </c>
      <c r="S1366">
        <f t="shared" ref="S1366:S1429" ca="1" si="667">ABS(ABS(K1366)/MAX(((F1366)+(G1366)*(L1366))*(L1366),0.000001))/SQRT($I$5*MAX((((F1366)+(G1366)*(L1366))*(L1366))/MAX((F1366)+2*(G1366)*(L1366),0.000001),0.000001))</f>
        <v>280.07692026646265</v>
      </c>
      <c r="T1366">
        <f t="shared" ref="T1366:T1429" ca="1" si="668">((F1366)*(L1366)^2)/2+(G1366)*(L1366)^3/3+(ABS(K1366)^2)/($I$5*MAX(((F1366)+(G1366)*(L1366))*(L1366),0.000001))</f>
        <v>1019.7665564573041</v>
      </c>
      <c r="U1366">
        <f t="shared" ca="1" si="658"/>
        <v>-482.07256851378361</v>
      </c>
      <c r="V1366">
        <f t="shared" ca="1" si="659"/>
        <v>0</v>
      </c>
      <c r="W1366">
        <f t="shared" ref="W1366:W1429" ca="1" si="669">IF(OR($D$20=0,AG1367=0),W1367,IF(OR(W1366=0,AD1367&gt;1),MAX($D$16,POWER((ABS(K1366)^2)/($I$5*MAX(F1366,0.1)^2),1/3)),IF(AF1366&gt;0,MAX($D$16,W1366+((AF1366)*$D$18*IF((AD1366)&lt;1,1,-1))),IF(AF1366&lt;0,IF(ABS((MAX($D$16,POWER((ABS(K1366)^2)/($I$5*MAX(F1366,0.1)^2),1/3)))-W1366)&gt;$D$19,MAX($D$16,W1366+($D$18*((MAX($D$16,POWER((ABS(K1366)^2)/($I$5*MAX(F1366,0.1)^2),1/3)))-W1366))),MAX($D$16,POWER((ABS(K1366)^2)/($I$5*MAX(F1366,0.1)^2),1/3))),W1366))))</f>
        <v>0.05</v>
      </c>
      <c r="X1366">
        <f t="shared" ref="X1366:X1429" ca="1" si="670">((F1366)+(G1366)*(W1366))*(W1366)</f>
        <v>0.26</v>
      </c>
      <c r="Y1366">
        <f t="shared" ref="Y1366:Y1429" ca="1" si="671">(((F1366)+(G1366)*(W1366))*(W1366))/MAX((F1366)+2*(W1366)*SQRT(1+(G1366)^2),0.000001)</f>
        <v>4.9056603773584909E-2</v>
      </c>
      <c r="Z1366">
        <f t="shared" ref="Z1366:Z1429" ca="1" si="672">ABS(K1366)/MAX(((F1366)+(G1366)*(W1366))*(W1366),0.000001)</f>
        <v>196.15384615384616</v>
      </c>
      <c r="AA1366">
        <f t="shared" ref="AA1366:AA1429" ca="1" si="673">E1366+W1366</f>
        <v>632.00399999999991</v>
      </c>
      <c r="AB1366">
        <f t="shared" ref="AB1366:AB1429" ca="1" si="674">AA1366+((ABS(K1366)/MAX(((F1366)+(G1366)*(W1366))*(W1366),0.000001))^2)/(2*$I$5)</f>
        <v>2593.0810316486622</v>
      </c>
      <c r="AC1366">
        <f t="shared" ref="AC1366:AC1429" ca="1" si="675">((ABS(K1366)*$D$6)/(MAX(((F1366)+(G1366)*(W1366))*(W1366),0.000001)*MAX(((((F1366)+(G1366)*(W1366))*(W1366))/MAX((F1366)+2*(W1366)*SQRT(1+(G1366)^2),0.000001))^(2/3),0.000001)))^2</f>
        <v>482.07306851378365</v>
      </c>
      <c r="AD1366">
        <f t="shared" ref="AD1366:AD1429" ca="1" si="676">ABS(ABS(K1366)/MAX(((F1366)+(G1366)*(W1366))*(W1366),0.000001))/SQRT($I$5*MAX((((F1366)+(G1366)*(W1366))*(W1366))/MAX((F1366)+2*(G1366)*(W1366),0.000001),0.000001))</f>
        <v>280.07692026646265</v>
      </c>
      <c r="AE1366">
        <f t="shared" ref="AE1366:AE1429" ca="1" si="677">((F1366)*(W1366)^2)/2+(G1366)*(W1366)^3/3+(ABS(K1366)^2)/($I$5*MAX(((F1366)+(G1366)*(W1366))*(W1366),0.000001))</f>
        <v>1019.7665564573041</v>
      </c>
      <c r="AF1366">
        <f t="shared" ref="AF1366:AF1429" ca="1" si="678">AB1367+(((AC1366+AC1367)/2)*J1367)+(IF(Z1366&gt;Z1367,$D$8*((Z1366^2-Z1367^2)/(2*$I$5)),$D$9*((Z1367^2-Z1366^2)/(2*$I$5)))+($D$10*(ABS(I1367)/90)*(MAX(Z1366^2,Z1367^2)/(2*$I$5))))-AB1366</f>
        <v>482.07910543722255</v>
      </c>
      <c r="AG1366">
        <f t="shared" ref="AG1366:AG1429" ca="1" si="679">IF(ROUND(AD1366,3)=1,1,IF(AND(ABS(AF1366)&lt;$D$19,AD1366&lt;1),1,0))</f>
        <v>0</v>
      </c>
      <c r="AH1366">
        <f ca="1">IF(V32="Supercritical",L1366,IF(V32="Subcritical",W1366,IF(AND(V1366=1,AG1366=1),IF(T1366&gt;=AE1366,L1366,W1366),IF(V1366=1,L1366,IF(AG1366=1,W1366,MAX($D$16,POWER((ABS(K1366)^2)/($I$5*MAX(F1366,0.1)^2),1/3)))))))</f>
        <v>2.1403668656741068</v>
      </c>
      <c r="AI1366">
        <f t="shared" ref="AI1366:AI1429" ca="1" si="680">E1366+AH1366</f>
        <v>634.09436686567403</v>
      </c>
      <c r="AJ1366">
        <f t="shared" ref="AJ1366:AJ1429" ca="1" si="681">AI1366+((ABS(K1366)/MAX(((F1366)+(G1366)*(AH1366))*(AH1366),0.000001))^2)/(2*$I$5)</f>
        <v>635.16455029851113</v>
      </c>
      <c r="AM1366">
        <v>0</v>
      </c>
      <c r="AN1366">
        <v>0</v>
      </c>
      <c r="AO1366">
        <f t="shared" ref="AO1366:AO1429" si="682">AM1366+AN1366</f>
        <v>0</v>
      </c>
      <c r="AP1366">
        <f t="shared" si="660"/>
        <v>0</v>
      </c>
      <c r="AQ1366">
        <f t="shared" ref="AQ1366:AQ1429" ca="1" si="683">ABS(ABS(K1366)/MAX(((F1366)+(G1366)*(AH1366))*(AH1366),0.000001))/SQRT($I$5*MAX((((F1366)+(G1366)*(AH1366))*(AH1366))/MAX((F1366)+2*(G1366)*(AH1366),0.000001),0.000001))</f>
        <v>0.99999999999999978</v>
      </c>
      <c r="AR1366" t="str">
        <f t="shared" ref="AR1366:AR1429" ca="1" si="684">IF(AQ1366&lt;1,"Subcritical","Supercritical")</f>
        <v>Supercritical</v>
      </c>
      <c r="AS1366">
        <f t="shared" ref="AS1366:AS1429" ca="1" si="685">((ABS(K1366)*$D$6)/(MAX(((F1366)+(G1366)*(AH1366))*(AH1366),0.000001)*MAX(((((F1366)+(G1366)*(AH1366))*(AH1366))/MAX((F1366)+2*(AH1366)*SQRT(1+(G1366)^2),0.000001))^(2/3),0.000001)))^2</f>
        <v>3.8148159832266538E-3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191</v>
      </c>
      <c r="I1367">
        <v>2E-3</v>
      </c>
      <c r="J1367">
        <f t="shared" ref="J1367:J1430" si="686">B1367-B1366</f>
        <v>1</v>
      </c>
      <c r="K1367">
        <f t="shared" ref="K1367:K1430" si="687">MAX(0,K1366-AO1366)</f>
        <v>51</v>
      </c>
      <c r="L1367">
        <f t="shared" ref="L1367:L1430" ca="1" si="688">IF(OR($D$20=0,V1366=0),L1366,IF(OR(L1367=0,S1366&lt;1,S1367&lt;1),MAX($D$16,POWER((ABS(K1367)^2)/($I$5*MAX(F1367,0.1)^2),1/3)),IF(U1367&gt;0,MAX($D$16,L1367+((U1367)*$D$18*IF((S1367)&lt;1,1,-1))),IF(U1367&lt;0,IF(ABS((MAX($D$16,POWER((ABS(K1367)^2)/($I$5*MAX(F1367,0.1)^2),1/3)))-L1367)&gt;$D$19,MAX($D$16,L1367+($D$18*((MAX($D$16,POWER((ABS(K1367)^2)/($I$5*MAX(F1367,0.1)^2),1/3)))-L1367))),MAX($D$16,POWER((ABS(K1367)^2)/($I$5*MAX(F1367,0.1)^2),1/3))),L1367))))</f>
        <v>0.05</v>
      </c>
      <c r="M1367">
        <f t="shared" ca="1" si="661"/>
        <v>0.26</v>
      </c>
      <c r="N1367">
        <f t="shared" ca="1" si="662"/>
        <v>4.9056603773584909E-2</v>
      </c>
      <c r="O1367">
        <f t="shared" ca="1" si="663"/>
        <v>196.15384615384616</v>
      </c>
      <c r="P1367">
        <f t="shared" ca="1" si="664"/>
        <v>632.00349999999992</v>
      </c>
      <c r="Q1367">
        <f t="shared" ca="1" si="665"/>
        <v>2593.0805316486621</v>
      </c>
      <c r="R1367">
        <f t="shared" ca="1" si="666"/>
        <v>482.07306851378365</v>
      </c>
      <c r="S1367">
        <f t="shared" ca="1" si="667"/>
        <v>280.07692026646265</v>
      </c>
      <c r="T1367">
        <f t="shared" ca="1" si="668"/>
        <v>1019.7665564573041</v>
      </c>
      <c r="U1367">
        <f t="shared" ref="U1367:U1430" ca="1" si="689">Q1366-(((R1366+R1367)/2)*J1367)-(IF(O1366&gt;O1367,$D$8*((O1366^2-O1367^2)/(2*$I$5)),$D$9*((O1367^2-O1366^2)/(2*$I$5)))+($D$10*(ABS(I1367)/90)*(MAX(O1366^2,O1367^2)/(2*$I$5))))-Q1367</f>
        <v>-482.07910543722255</v>
      </c>
      <c r="V1367">
        <f t="shared" ref="V1367:V1430" ca="1" si="690">IF(ROUND(S1367,3)=1,1,IF(AND(ABS(U1367)&lt;$D$19,S1367&gt;1),1,0))</f>
        <v>0</v>
      </c>
      <c r="W1367">
        <f t="shared" ca="1" si="669"/>
        <v>0.05</v>
      </c>
      <c r="X1367">
        <f t="shared" ca="1" si="670"/>
        <v>0.26</v>
      </c>
      <c r="Y1367">
        <f t="shared" ca="1" si="671"/>
        <v>4.9056603773584909E-2</v>
      </c>
      <c r="Z1367">
        <f t="shared" ca="1" si="672"/>
        <v>196.15384615384616</v>
      </c>
      <c r="AA1367">
        <f t="shared" ca="1" si="673"/>
        <v>632.00349999999992</v>
      </c>
      <c r="AB1367">
        <f t="shared" ca="1" si="674"/>
        <v>2593.0805316486621</v>
      </c>
      <c r="AC1367">
        <f t="shared" ca="1" si="675"/>
        <v>482.07306851378365</v>
      </c>
      <c r="AD1367">
        <f t="shared" ca="1" si="676"/>
        <v>280.07692026646265</v>
      </c>
      <c r="AE1367">
        <f t="shared" ca="1" si="677"/>
        <v>1019.7665564573041</v>
      </c>
      <c r="AF1367">
        <f t="shared" ca="1" si="678"/>
        <v>482.75074928556023</v>
      </c>
      <c r="AG1367">
        <f t="shared" ca="1" si="679"/>
        <v>0</v>
      </c>
      <c r="AH1367">
        <f ca="1">IF(V32="Supercritical",L1367,IF(V32="Subcritical",W1367,IF(AND(V1367=1,AG1367=1),IF(T1367&gt;=AE1367,L1367,W1367),IF(V1367=1,L1367,IF(AG1367=1,W1367,MAX($D$16,POWER((ABS(K1367)^2)/($I$5*MAX(F1367,0.1)^2),1/3)))))))</f>
        <v>2.1403668656741068</v>
      </c>
      <c r="AI1367">
        <f t="shared" ca="1" si="680"/>
        <v>634.09386686567404</v>
      </c>
      <c r="AJ1367">
        <f t="shared" ca="1" si="681"/>
        <v>635.16405029851114</v>
      </c>
      <c r="AM1367">
        <v>0</v>
      </c>
      <c r="AN1367">
        <v>0</v>
      </c>
      <c r="AO1367">
        <f t="shared" si="682"/>
        <v>0</v>
      </c>
      <c r="AP1367">
        <f t="shared" ref="AP1367:AP1430" si="691">AP1366+AO1367</f>
        <v>0</v>
      </c>
      <c r="AQ1367">
        <f t="shared" ca="1" si="683"/>
        <v>0.99999999999999978</v>
      </c>
      <c r="AR1367" t="str">
        <f t="shared" ca="1" si="684"/>
        <v>Supercritical</v>
      </c>
      <c r="AS1367">
        <f t="shared" ca="1" si="685"/>
        <v>3.8148159832266538E-3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191</v>
      </c>
      <c r="I1368">
        <v>0.06</v>
      </c>
      <c r="J1368">
        <f t="shared" si="686"/>
        <v>1.0010000000002037</v>
      </c>
      <c r="K1368">
        <f t="shared" si="687"/>
        <v>51</v>
      </c>
      <c r="L1368">
        <f t="shared" ca="1" si="688"/>
        <v>0.05</v>
      </c>
      <c r="M1368">
        <f t="shared" ca="1" si="661"/>
        <v>0.26</v>
      </c>
      <c r="N1368">
        <f t="shared" ca="1" si="662"/>
        <v>4.9056603773584909E-2</v>
      </c>
      <c r="O1368">
        <f t="shared" ca="1" si="663"/>
        <v>196.15384615384616</v>
      </c>
      <c r="P1368">
        <f t="shared" ca="1" si="664"/>
        <v>632.00299999999993</v>
      </c>
      <c r="Q1368">
        <f t="shared" ca="1" si="665"/>
        <v>2593.080031648662</v>
      </c>
      <c r="R1368">
        <f t="shared" ca="1" si="666"/>
        <v>482.07306851378365</v>
      </c>
      <c r="S1368">
        <f t="shared" ca="1" si="667"/>
        <v>280.07692026646265</v>
      </c>
      <c r="T1368">
        <f t="shared" ca="1" si="668"/>
        <v>1019.7665564573041</v>
      </c>
      <c r="U1368">
        <f t="shared" ca="1" si="689"/>
        <v>-482.75074928556023</v>
      </c>
      <c r="V1368">
        <f t="shared" ca="1" si="690"/>
        <v>0</v>
      </c>
      <c r="W1368">
        <f t="shared" ca="1" si="669"/>
        <v>0.05</v>
      </c>
      <c r="X1368">
        <f t="shared" ca="1" si="670"/>
        <v>0.26</v>
      </c>
      <c r="Y1368">
        <f t="shared" ca="1" si="671"/>
        <v>4.9056603773584909E-2</v>
      </c>
      <c r="Z1368">
        <f t="shared" ca="1" si="672"/>
        <v>196.15384615384616</v>
      </c>
      <c r="AA1368">
        <f t="shared" ca="1" si="673"/>
        <v>632.00299999999993</v>
      </c>
      <c r="AB1368">
        <f t="shared" ca="1" si="674"/>
        <v>2593.080031648662</v>
      </c>
      <c r="AC1368">
        <f t="shared" ca="1" si="675"/>
        <v>482.07306851378365</v>
      </c>
      <c r="AD1368">
        <f t="shared" ca="1" si="676"/>
        <v>280.07692026646265</v>
      </c>
      <c r="AE1368">
        <f t="shared" ca="1" si="677"/>
        <v>1019.7665564573041</v>
      </c>
      <c r="AF1368">
        <f t="shared" ca="1" si="678"/>
        <v>482.25887083179032</v>
      </c>
      <c r="AG1368">
        <f t="shared" ca="1" si="679"/>
        <v>0</v>
      </c>
      <c r="AH1368">
        <f ca="1">IF(V32="Supercritical",L1368,IF(V32="Subcritical",W1368,IF(AND(V1368=1,AG1368=1),IF(T1368&gt;=AE1368,L1368,W1368),IF(V1368=1,L1368,IF(AG1368=1,W1368,MAX($D$16,POWER((ABS(K1368)^2)/($I$5*MAX(F1368,0.1)^2),1/3)))))))</f>
        <v>2.1403668656741068</v>
      </c>
      <c r="AI1368">
        <f t="shared" ca="1" si="680"/>
        <v>634.09336686567406</v>
      </c>
      <c r="AJ1368">
        <f t="shared" ca="1" si="681"/>
        <v>635.16355029851115</v>
      </c>
      <c r="AM1368">
        <v>0</v>
      </c>
      <c r="AN1368">
        <v>0</v>
      </c>
      <c r="AO1368">
        <f t="shared" si="682"/>
        <v>0</v>
      </c>
      <c r="AP1368">
        <f t="shared" si="691"/>
        <v>0</v>
      </c>
      <c r="AQ1368">
        <f t="shared" ca="1" si="683"/>
        <v>0.99999999999999978</v>
      </c>
      <c r="AR1368" t="str">
        <f t="shared" ca="1" si="684"/>
        <v>Supercritical</v>
      </c>
      <c r="AS1368">
        <f t="shared" ca="1" si="685"/>
        <v>3.8148159832266538E-3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191</v>
      </c>
      <c r="I1369">
        <v>5.7000000000000002E-2</v>
      </c>
      <c r="J1369">
        <f t="shared" si="686"/>
        <v>1</v>
      </c>
      <c r="K1369">
        <f t="shared" si="687"/>
        <v>51</v>
      </c>
      <c r="L1369">
        <f t="shared" ca="1" si="688"/>
        <v>0.05</v>
      </c>
      <c r="M1369">
        <f t="shared" ca="1" si="661"/>
        <v>0.26</v>
      </c>
      <c r="N1369">
        <f t="shared" ca="1" si="662"/>
        <v>4.9056603773584909E-2</v>
      </c>
      <c r="O1369">
        <f t="shared" ca="1" si="663"/>
        <v>196.15384615384616</v>
      </c>
      <c r="P1369">
        <f t="shared" ca="1" si="664"/>
        <v>632.00249999999994</v>
      </c>
      <c r="Q1369">
        <f t="shared" ca="1" si="665"/>
        <v>2593.0795316486619</v>
      </c>
      <c r="R1369">
        <f t="shared" ca="1" si="666"/>
        <v>482.07306851378365</v>
      </c>
      <c r="S1369">
        <f t="shared" ca="1" si="667"/>
        <v>280.07692026646265</v>
      </c>
      <c r="T1369">
        <f t="shared" ca="1" si="668"/>
        <v>1019.7665564573041</v>
      </c>
      <c r="U1369">
        <f t="shared" ca="1" si="689"/>
        <v>-482.25887083179032</v>
      </c>
      <c r="V1369">
        <f t="shared" ca="1" si="690"/>
        <v>0</v>
      </c>
      <c r="W1369">
        <f t="shared" ca="1" si="669"/>
        <v>0.05</v>
      </c>
      <c r="X1369">
        <f t="shared" ca="1" si="670"/>
        <v>0.26</v>
      </c>
      <c r="Y1369">
        <f t="shared" ca="1" si="671"/>
        <v>4.9056603773584909E-2</v>
      </c>
      <c r="Z1369">
        <f t="shared" ca="1" si="672"/>
        <v>196.15384615384616</v>
      </c>
      <c r="AA1369">
        <f t="shared" ca="1" si="673"/>
        <v>632.00249999999994</v>
      </c>
      <c r="AB1369">
        <f t="shared" ca="1" si="674"/>
        <v>2593.0795316486619</v>
      </c>
      <c r="AC1369">
        <f t="shared" ca="1" si="675"/>
        <v>482.07306851378365</v>
      </c>
      <c r="AD1369">
        <f t="shared" ca="1" si="676"/>
        <v>280.07692026646265</v>
      </c>
      <c r="AE1369">
        <f t="shared" ca="1" si="677"/>
        <v>1019.7665564573041</v>
      </c>
      <c r="AF1369">
        <f t="shared" ca="1" si="678"/>
        <v>482.07256851378361</v>
      </c>
      <c r="AG1369">
        <f t="shared" ca="1" si="679"/>
        <v>0</v>
      </c>
      <c r="AH1369">
        <f ca="1">IF(V32="Supercritical",L1369,IF(V32="Subcritical",W1369,IF(AND(V1369=1,AG1369=1),IF(T1369&gt;=AE1369,L1369,W1369),IF(V1369=1,L1369,IF(AG1369=1,W1369,MAX($D$16,POWER((ABS(K1369)^2)/($I$5*MAX(F1369,0.1)^2),1/3)))))))</f>
        <v>2.1403668656741068</v>
      </c>
      <c r="AI1369">
        <f t="shared" ca="1" si="680"/>
        <v>634.09286686567407</v>
      </c>
      <c r="AJ1369">
        <f t="shared" ca="1" si="681"/>
        <v>635.16305029851117</v>
      </c>
      <c r="AM1369">
        <v>0</v>
      </c>
      <c r="AN1369">
        <v>0</v>
      </c>
      <c r="AO1369">
        <f t="shared" si="682"/>
        <v>0</v>
      </c>
      <c r="AP1369">
        <f t="shared" si="691"/>
        <v>0</v>
      </c>
      <c r="AQ1369">
        <f t="shared" ca="1" si="683"/>
        <v>0.99999999999999978</v>
      </c>
      <c r="AR1369" t="str">
        <f t="shared" ca="1" si="684"/>
        <v>Supercritical</v>
      </c>
      <c r="AS1369">
        <f t="shared" ca="1" si="685"/>
        <v>3.8148159832266538E-3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191</v>
      </c>
      <c r="I1370">
        <v>0</v>
      </c>
      <c r="J1370">
        <f t="shared" si="686"/>
        <v>1</v>
      </c>
      <c r="K1370">
        <f t="shared" si="687"/>
        <v>51</v>
      </c>
      <c r="L1370">
        <f t="shared" ca="1" si="688"/>
        <v>0.05</v>
      </c>
      <c r="M1370">
        <f t="shared" ca="1" si="661"/>
        <v>0.26</v>
      </c>
      <c r="N1370">
        <f t="shared" ca="1" si="662"/>
        <v>4.9056603773584909E-2</v>
      </c>
      <c r="O1370">
        <f t="shared" ca="1" si="663"/>
        <v>196.15384615384616</v>
      </c>
      <c r="P1370">
        <f t="shared" ca="1" si="664"/>
        <v>632.00199999999995</v>
      </c>
      <c r="Q1370">
        <f t="shared" ca="1" si="665"/>
        <v>2593.0790316486618</v>
      </c>
      <c r="R1370">
        <f t="shared" ca="1" si="666"/>
        <v>482.07306851378365</v>
      </c>
      <c r="S1370">
        <f t="shared" ca="1" si="667"/>
        <v>280.07692026646265</v>
      </c>
      <c r="T1370">
        <f t="shared" ca="1" si="668"/>
        <v>1019.7665564573041</v>
      </c>
      <c r="U1370">
        <f t="shared" ca="1" si="689"/>
        <v>-482.07256851378361</v>
      </c>
      <c r="V1370">
        <f t="shared" ca="1" si="690"/>
        <v>0</v>
      </c>
      <c r="W1370">
        <f t="shared" ca="1" si="669"/>
        <v>0.05</v>
      </c>
      <c r="X1370">
        <f t="shared" ca="1" si="670"/>
        <v>0.26</v>
      </c>
      <c r="Y1370">
        <f t="shared" ca="1" si="671"/>
        <v>4.9056603773584909E-2</v>
      </c>
      <c r="Z1370">
        <f t="shared" ca="1" si="672"/>
        <v>196.15384615384616</v>
      </c>
      <c r="AA1370">
        <f t="shared" ca="1" si="673"/>
        <v>632.00199999999995</v>
      </c>
      <c r="AB1370">
        <f t="shared" ca="1" si="674"/>
        <v>2593.0790316486618</v>
      </c>
      <c r="AC1370">
        <f t="shared" ca="1" si="675"/>
        <v>482.07306851378365</v>
      </c>
      <c r="AD1370">
        <f t="shared" ca="1" si="676"/>
        <v>280.07692026646265</v>
      </c>
      <c r="AE1370">
        <f t="shared" ca="1" si="677"/>
        <v>1019.7665564573041</v>
      </c>
      <c r="AF1370">
        <f t="shared" ca="1" si="678"/>
        <v>481.59049544517211</v>
      </c>
      <c r="AG1370">
        <f t="shared" ca="1" si="679"/>
        <v>0</v>
      </c>
      <c r="AH1370">
        <f ca="1">IF(V32="Supercritical",L1370,IF(V32="Subcritical",W1370,IF(AND(V1370=1,AG1370=1),IF(T1370&gt;=AE1370,L1370,W1370),IF(V1370=1,L1370,IF(AG1370=1,W1370,MAX($D$16,POWER((ABS(K1370)^2)/($I$5*MAX(F1370,0.1)^2),1/3)))))))</f>
        <v>2.1403668656741068</v>
      </c>
      <c r="AI1370">
        <f t="shared" ca="1" si="680"/>
        <v>634.09236686567408</v>
      </c>
      <c r="AJ1370">
        <f t="shared" ca="1" si="681"/>
        <v>635.16255029851118</v>
      </c>
      <c r="AM1370">
        <v>0</v>
      </c>
      <c r="AN1370">
        <v>0</v>
      </c>
      <c r="AO1370">
        <f t="shared" si="682"/>
        <v>0</v>
      </c>
      <c r="AP1370">
        <f t="shared" si="691"/>
        <v>0</v>
      </c>
      <c r="AQ1370">
        <f t="shared" ca="1" si="683"/>
        <v>0.99999999999999978</v>
      </c>
      <c r="AR1370" t="str">
        <f t="shared" ca="1" si="684"/>
        <v>Supercritical</v>
      </c>
      <c r="AS1370">
        <f t="shared" ca="1" si="685"/>
        <v>3.8148159832266538E-3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191</v>
      </c>
      <c r="I1371">
        <v>0</v>
      </c>
      <c r="J1371">
        <f t="shared" si="686"/>
        <v>0.99899999999979627</v>
      </c>
      <c r="K1371">
        <f t="shared" si="687"/>
        <v>51</v>
      </c>
      <c r="L1371">
        <f t="shared" ca="1" si="688"/>
        <v>0.05</v>
      </c>
      <c r="M1371">
        <f t="shared" ca="1" si="661"/>
        <v>0.26</v>
      </c>
      <c r="N1371">
        <f t="shared" ca="1" si="662"/>
        <v>4.9056603773584909E-2</v>
      </c>
      <c r="O1371">
        <f t="shared" ca="1" si="663"/>
        <v>196.15384615384616</v>
      </c>
      <c r="P1371">
        <f t="shared" ca="1" si="664"/>
        <v>632.00149999999996</v>
      </c>
      <c r="Q1371">
        <f t="shared" ca="1" si="665"/>
        <v>2593.0785316486622</v>
      </c>
      <c r="R1371">
        <f t="shared" ca="1" si="666"/>
        <v>482.07306851378365</v>
      </c>
      <c r="S1371">
        <f t="shared" ca="1" si="667"/>
        <v>280.07692026646265</v>
      </c>
      <c r="T1371">
        <f t="shared" ca="1" si="668"/>
        <v>1019.7665564573041</v>
      </c>
      <c r="U1371">
        <f t="shared" ca="1" si="689"/>
        <v>-481.59049544517211</v>
      </c>
      <c r="V1371">
        <f t="shared" ca="1" si="690"/>
        <v>0</v>
      </c>
      <c r="W1371">
        <f t="shared" ca="1" si="669"/>
        <v>0.05</v>
      </c>
      <c r="X1371">
        <f t="shared" ca="1" si="670"/>
        <v>0.26</v>
      </c>
      <c r="Y1371">
        <f t="shared" ca="1" si="671"/>
        <v>4.9056603773584909E-2</v>
      </c>
      <c r="Z1371">
        <f t="shared" ca="1" si="672"/>
        <v>196.15384615384616</v>
      </c>
      <c r="AA1371">
        <f t="shared" ca="1" si="673"/>
        <v>632.00149999999996</v>
      </c>
      <c r="AB1371">
        <f t="shared" ca="1" si="674"/>
        <v>2593.0785316486622</v>
      </c>
      <c r="AC1371">
        <f t="shared" ca="1" si="675"/>
        <v>482.07306851378365</v>
      </c>
      <c r="AD1371">
        <f t="shared" ca="1" si="676"/>
        <v>280.07692026646265</v>
      </c>
      <c r="AE1371">
        <f t="shared" ca="1" si="677"/>
        <v>1019.7665564573041</v>
      </c>
      <c r="AF1371">
        <f t="shared" ca="1" si="678"/>
        <v>482.25887083179032</v>
      </c>
      <c r="AG1371">
        <f t="shared" ca="1" si="679"/>
        <v>0</v>
      </c>
      <c r="AH1371">
        <f ca="1">IF(V32="Supercritical",L1371,IF(V32="Subcritical",W1371,IF(AND(V1371=1,AG1371=1),IF(T1371&gt;=AE1371,L1371,W1371),IF(V1371=1,L1371,IF(AG1371=1,W1371,MAX($D$16,POWER((ABS(K1371)^2)/($I$5*MAX(F1371,0.1)^2),1/3)))))))</f>
        <v>2.1403668656741068</v>
      </c>
      <c r="AI1371">
        <f t="shared" ca="1" si="680"/>
        <v>634.09186686567409</v>
      </c>
      <c r="AJ1371">
        <f t="shared" ca="1" si="681"/>
        <v>635.16205029851119</v>
      </c>
      <c r="AM1371">
        <v>0</v>
      </c>
      <c r="AN1371">
        <v>0</v>
      </c>
      <c r="AO1371">
        <f t="shared" si="682"/>
        <v>0</v>
      </c>
      <c r="AP1371">
        <f t="shared" si="691"/>
        <v>0</v>
      </c>
      <c r="AQ1371">
        <f t="shared" ca="1" si="683"/>
        <v>0.99999999999999978</v>
      </c>
      <c r="AR1371" t="str">
        <f t="shared" ca="1" si="684"/>
        <v>Supercritical</v>
      </c>
      <c r="AS1371">
        <f t="shared" ca="1" si="685"/>
        <v>3.8148159832266538E-3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191</v>
      </c>
      <c r="I1372">
        <v>5.7000000000000002E-2</v>
      </c>
      <c r="J1372">
        <f t="shared" si="686"/>
        <v>1</v>
      </c>
      <c r="K1372">
        <f t="shared" si="687"/>
        <v>51</v>
      </c>
      <c r="L1372">
        <f t="shared" ca="1" si="688"/>
        <v>0.05</v>
      </c>
      <c r="M1372">
        <f t="shared" ca="1" si="661"/>
        <v>0.26</v>
      </c>
      <c r="N1372">
        <f t="shared" ca="1" si="662"/>
        <v>4.9056603773584909E-2</v>
      </c>
      <c r="O1372">
        <f t="shared" ca="1" si="663"/>
        <v>196.15384615384616</v>
      </c>
      <c r="P1372">
        <f t="shared" ca="1" si="664"/>
        <v>632.00099999999998</v>
      </c>
      <c r="Q1372">
        <f t="shared" ca="1" si="665"/>
        <v>2593.0780316486621</v>
      </c>
      <c r="R1372">
        <f t="shared" ca="1" si="666"/>
        <v>482.07306851378365</v>
      </c>
      <c r="S1372">
        <f t="shared" ca="1" si="667"/>
        <v>280.07692026646265</v>
      </c>
      <c r="T1372">
        <f t="shared" ca="1" si="668"/>
        <v>1019.7665564573041</v>
      </c>
      <c r="U1372">
        <f t="shared" ca="1" si="689"/>
        <v>-482.25887083179032</v>
      </c>
      <c r="V1372">
        <f t="shared" ca="1" si="690"/>
        <v>0</v>
      </c>
      <c r="W1372">
        <f t="shared" ca="1" si="669"/>
        <v>0.05</v>
      </c>
      <c r="X1372">
        <f t="shared" ca="1" si="670"/>
        <v>0.26</v>
      </c>
      <c r="Y1372">
        <f t="shared" ca="1" si="671"/>
        <v>4.9056603773584909E-2</v>
      </c>
      <c r="Z1372">
        <f t="shared" ca="1" si="672"/>
        <v>196.15384615384616</v>
      </c>
      <c r="AA1372">
        <f t="shared" ca="1" si="673"/>
        <v>632.00099999999998</v>
      </c>
      <c r="AB1372">
        <f t="shared" ca="1" si="674"/>
        <v>2593.0780316486621</v>
      </c>
      <c r="AC1372">
        <f t="shared" ca="1" si="675"/>
        <v>482.07306851378365</v>
      </c>
      <c r="AD1372">
        <f t="shared" ca="1" si="676"/>
        <v>280.07692026646265</v>
      </c>
      <c r="AE1372">
        <f t="shared" ca="1" si="677"/>
        <v>1019.7665564573041</v>
      </c>
      <c r="AF1372">
        <f t="shared" ca="1" si="678"/>
        <v>482.25887083179032</v>
      </c>
      <c r="AG1372">
        <f t="shared" ca="1" si="679"/>
        <v>0</v>
      </c>
      <c r="AH1372">
        <f ca="1">IF(V32="Supercritical",L1372,IF(V32="Subcritical",W1372,IF(AND(V1372=1,AG1372=1),IF(T1372&gt;=AE1372,L1372,W1372),IF(V1372=1,L1372,IF(AG1372=1,W1372,MAX($D$16,POWER((ABS(K1372)^2)/($I$5*MAX(F1372,0.1)^2),1/3)))))))</f>
        <v>2.1403668656741068</v>
      </c>
      <c r="AI1372">
        <f t="shared" ca="1" si="680"/>
        <v>634.0913668656741</v>
      </c>
      <c r="AJ1372">
        <f t="shared" ca="1" si="681"/>
        <v>635.1615502985112</v>
      </c>
      <c r="AM1372">
        <v>0</v>
      </c>
      <c r="AN1372">
        <v>0</v>
      </c>
      <c r="AO1372">
        <f t="shared" si="682"/>
        <v>0</v>
      </c>
      <c r="AP1372">
        <f t="shared" si="691"/>
        <v>0</v>
      </c>
      <c r="AQ1372">
        <f t="shared" ca="1" si="683"/>
        <v>0.99999999999999978</v>
      </c>
      <c r="AR1372" t="str">
        <f t="shared" ca="1" si="684"/>
        <v>Supercritical</v>
      </c>
      <c r="AS1372">
        <f t="shared" ca="1" si="685"/>
        <v>3.8148159832266538E-3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191</v>
      </c>
      <c r="I1373">
        <v>5.7000000000000002E-2</v>
      </c>
      <c r="J1373">
        <f t="shared" si="686"/>
        <v>1</v>
      </c>
      <c r="K1373">
        <f t="shared" si="687"/>
        <v>51</v>
      </c>
      <c r="L1373">
        <f t="shared" ca="1" si="688"/>
        <v>0.05</v>
      </c>
      <c r="M1373">
        <f t="shared" ca="1" si="661"/>
        <v>0.26</v>
      </c>
      <c r="N1373">
        <f t="shared" ca="1" si="662"/>
        <v>4.9056603773584909E-2</v>
      </c>
      <c r="O1373">
        <f t="shared" ca="1" si="663"/>
        <v>196.15384615384616</v>
      </c>
      <c r="P1373">
        <f t="shared" ca="1" si="664"/>
        <v>632.00049999999999</v>
      </c>
      <c r="Q1373">
        <f t="shared" ca="1" si="665"/>
        <v>2593.077531648662</v>
      </c>
      <c r="R1373">
        <f t="shared" ca="1" si="666"/>
        <v>482.07306851378365</v>
      </c>
      <c r="S1373">
        <f t="shared" ca="1" si="667"/>
        <v>280.07692026646265</v>
      </c>
      <c r="T1373">
        <f t="shared" ca="1" si="668"/>
        <v>1019.7665564573041</v>
      </c>
      <c r="U1373">
        <f t="shared" ca="1" si="689"/>
        <v>-482.25887083179032</v>
      </c>
      <c r="V1373">
        <f t="shared" ca="1" si="690"/>
        <v>0</v>
      </c>
      <c r="W1373">
        <f t="shared" ca="1" si="669"/>
        <v>0.05</v>
      </c>
      <c r="X1373">
        <f t="shared" ca="1" si="670"/>
        <v>0.26</v>
      </c>
      <c r="Y1373">
        <f t="shared" ca="1" si="671"/>
        <v>4.9056603773584909E-2</v>
      </c>
      <c r="Z1373">
        <f t="shared" ca="1" si="672"/>
        <v>196.15384615384616</v>
      </c>
      <c r="AA1373">
        <f t="shared" ca="1" si="673"/>
        <v>632.00049999999999</v>
      </c>
      <c r="AB1373">
        <f t="shared" ca="1" si="674"/>
        <v>2593.077531648662</v>
      </c>
      <c r="AC1373">
        <f t="shared" ca="1" si="675"/>
        <v>482.07306851378365</v>
      </c>
      <c r="AD1373">
        <f t="shared" ca="1" si="676"/>
        <v>280.07692026646265</v>
      </c>
      <c r="AE1373">
        <f t="shared" ca="1" si="677"/>
        <v>1019.7665564573041</v>
      </c>
      <c r="AF1373">
        <f t="shared" ca="1" si="678"/>
        <v>482.07256851378406</v>
      </c>
      <c r="AG1373">
        <f t="shared" ca="1" si="679"/>
        <v>0</v>
      </c>
      <c r="AH1373">
        <f ca="1">IF(V32="Supercritical",L1373,IF(V32="Subcritical",W1373,IF(AND(V1373=1,AG1373=1),IF(T1373&gt;=AE1373,L1373,W1373),IF(V1373=1,L1373,IF(AG1373=1,W1373,MAX($D$16,POWER((ABS(K1373)^2)/($I$5*MAX(F1373,0.1)^2),1/3)))))))</f>
        <v>2.1403668656741068</v>
      </c>
      <c r="AI1373">
        <f t="shared" ca="1" si="680"/>
        <v>634.09086686567412</v>
      </c>
      <c r="AJ1373">
        <f t="shared" ca="1" si="681"/>
        <v>635.16105029851121</v>
      </c>
      <c r="AM1373">
        <v>0</v>
      </c>
      <c r="AN1373">
        <v>0</v>
      </c>
      <c r="AO1373">
        <f t="shared" si="682"/>
        <v>0</v>
      </c>
      <c r="AP1373">
        <f t="shared" si="691"/>
        <v>0</v>
      </c>
      <c r="AQ1373">
        <f t="shared" ca="1" si="683"/>
        <v>0.99999999999999978</v>
      </c>
      <c r="AR1373" t="str">
        <f t="shared" ca="1" si="684"/>
        <v>Supercritical</v>
      </c>
      <c r="AS1373">
        <f t="shared" ca="1" si="685"/>
        <v>3.8148159832266538E-3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191</v>
      </c>
      <c r="I1374">
        <v>0</v>
      </c>
      <c r="J1374">
        <f t="shared" si="686"/>
        <v>1</v>
      </c>
      <c r="K1374">
        <f t="shared" si="687"/>
        <v>51</v>
      </c>
      <c r="L1374">
        <f t="shared" ca="1" si="688"/>
        <v>0.05</v>
      </c>
      <c r="M1374">
        <f t="shared" ca="1" si="661"/>
        <v>0.26</v>
      </c>
      <c r="N1374">
        <f t="shared" ca="1" si="662"/>
        <v>4.9056603773584909E-2</v>
      </c>
      <c r="O1374">
        <f t="shared" ca="1" si="663"/>
        <v>196.15384615384616</v>
      </c>
      <c r="P1374">
        <f t="shared" ca="1" si="664"/>
        <v>632</v>
      </c>
      <c r="Q1374">
        <f t="shared" ca="1" si="665"/>
        <v>2593.0770316486623</v>
      </c>
      <c r="R1374">
        <f t="shared" ca="1" si="666"/>
        <v>482.07306851378365</v>
      </c>
      <c r="S1374">
        <f t="shared" ca="1" si="667"/>
        <v>280.07692026646265</v>
      </c>
      <c r="T1374">
        <f t="shared" ca="1" si="668"/>
        <v>1019.7665564573041</v>
      </c>
      <c r="U1374">
        <f t="shared" ca="1" si="689"/>
        <v>-482.07256851378406</v>
      </c>
      <c r="V1374">
        <f t="shared" ca="1" si="690"/>
        <v>0</v>
      </c>
      <c r="W1374">
        <f t="shared" ca="1" si="669"/>
        <v>0.05</v>
      </c>
      <c r="X1374">
        <f t="shared" ca="1" si="670"/>
        <v>0.26</v>
      </c>
      <c r="Y1374">
        <f t="shared" ca="1" si="671"/>
        <v>4.9056603773584909E-2</v>
      </c>
      <c r="Z1374">
        <f t="shared" ca="1" si="672"/>
        <v>196.15384615384616</v>
      </c>
      <c r="AA1374">
        <f t="shared" ca="1" si="673"/>
        <v>632</v>
      </c>
      <c r="AB1374">
        <f t="shared" ca="1" si="674"/>
        <v>2593.0770316486623</v>
      </c>
      <c r="AC1374">
        <f t="shared" ca="1" si="675"/>
        <v>482.07306851378365</v>
      </c>
      <c r="AD1374">
        <f t="shared" ca="1" si="676"/>
        <v>280.07692026646265</v>
      </c>
      <c r="AE1374">
        <f t="shared" ca="1" si="677"/>
        <v>1019.7665564573041</v>
      </c>
      <c r="AF1374">
        <f t="shared" ca="1" si="678"/>
        <v>482.25887083179032</v>
      </c>
      <c r="AG1374">
        <f t="shared" ca="1" si="679"/>
        <v>0</v>
      </c>
      <c r="AH1374">
        <f ca="1">IF(V32="Supercritical",L1374,IF(V32="Subcritical",W1374,IF(AND(V1374=1,AG1374=1),IF(T1374&gt;=AE1374,L1374,W1374),IF(V1374=1,L1374,IF(AG1374=1,W1374,MAX($D$16,POWER((ABS(K1374)^2)/($I$5*MAX(F1374,0.1)^2),1/3)))))))</f>
        <v>2.1403668656741068</v>
      </c>
      <c r="AI1374">
        <f t="shared" ca="1" si="680"/>
        <v>634.09036686567413</v>
      </c>
      <c r="AJ1374">
        <f t="shared" ca="1" si="681"/>
        <v>635.16055029851123</v>
      </c>
      <c r="AM1374">
        <v>0</v>
      </c>
      <c r="AN1374">
        <v>0</v>
      </c>
      <c r="AO1374">
        <f t="shared" si="682"/>
        <v>0</v>
      </c>
      <c r="AP1374">
        <f t="shared" si="691"/>
        <v>0</v>
      </c>
      <c r="AQ1374">
        <f t="shared" ca="1" si="683"/>
        <v>0.99999999999999978</v>
      </c>
      <c r="AR1374" t="str">
        <f t="shared" ca="1" si="684"/>
        <v>Supercritical</v>
      </c>
      <c r="AS1374">
        <f t="shared" ca="1" si="685"/>
        <v>3.8148159832266538E-3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191</v>
      </c>
      <c r="I1375">
        <v>5.7000000000000002E-2</v>
      </c>
      <c r="J1375">
        <f t="shared" si="686"/>
        <v>1</v>
      </c>
      <c r="K1375">
        <f t="shared" si="687"/>
        <v>51</v>
      </c>
      <c r="L1375">
        <f t="shared" ca="1" si="688"/>
        <v>0.05</v>
      </c>
      <c r="M1375">
        <f t="shared" ca="1" si="661"/>
        <v>0.26</v>
      </c>
      <c r="N1375">
        <f t="shared" ca="1" si="662"/>
        <v>4.9056603773584909E-2</v>
      </c>
      <c r="O1375">
        <f t="shared" ca="1" si="663"/>
        <v>196.15384615384616</v>
      </c>
      <c r="P1375">
        <f t="shared" ca="1" si="664"/>
        <v>631.9994999999999</v>
      </c>
      <c r="Q1375">
        <f t="shared" ca="1" si="665"/>
        <v>2593.0765316486622</v>
      </c>
      <c r="R1375">
        <f t="shared" ca="1" si="666"/>
        <v>482.07306851378365</v>
      </c>
      <c r="S1375">
        <f t="shared" ca="1" si="667"/>
        <v>280.07692026646265</v>
      </c>
      <c r="T1375">
        <f t="shared" ca="1" si="668"/>
        <v>1019.7665564573041</v>
      </c>
      <c r="U1375">
        <f t="shared" ca="1" si="689"/>
        <v>-482.25887083179032</v>
      </c>
      <c r="V1375">
        <f t="shared" ca="1" si="690"/>
        <v>0</v>
      </c>
      <c r="W1375">
        <f t="shared" ca="1" si="669"/>
        <v>0.05</v>
      </c>
      <c r="X1375">
        <f t="shared" ca="1" si="670"/>
        <v>0.26</v>
      </c>
      <c r="Y1375">
        <f t="shared" ca="1" si="671"/>
        <v>4.9056603773584909E-2</v>
      </c>
      <c r="Z1375">
        <f t="shared" ca="1" si="672"/>
        <v>196.15384615384616</v>
      </c>
      <c r="AA1375">
        <f t="shared" ca="1" si="673"/>
        <v>631.9994999999999</v>
      </c>
      <c r="AB1375">
        <f t="shared" ca="1" si="674"/>
        <v>2593.0765316486622</v>
      </c>
      <c r="AC1375">
        <f t="shared" ca="1" si="675"/>
        <v>482.07306851378365</v>
      </c>
      <c r="AD1375">
        <f t="shared" ca="1" si="676"/>
        <v>280.07692026646265</v>
      </c>
      <c r="AE1375">
        <f t="shared" ca="1" si="677"/>
        <v>1019.7665564573041</v>
      </c>
      <c r="AF1375">
        <f t="shared" ca="1" si="678"/>
        <v>482.25887083179032</v>
      </c>
      <c r="AG1375">
        <f t="shared" ca="1" si="679"/>
        <v>0</v>
      </c>
      <c r="AH1375">
        <f ca="1">IF(V32="Supercritical",L1375,IF(V32="Subcritical",W1375,IF(AND(V1375=1,AG1375=1),IF(T1375&gt;=AE1375,L1375,W1375),IF(V1375=1,L1375,IF(AG1375=1,W1375,MAX($D$16,POWER((ABS(K1375)^2)/($I$5*MAX(F1375,0.1)^2),1/3)))))))</f>
        <v>2.1403668656741068</v>
      </c>
      <c r="AI1375">
        <f t="shared" ca="1" si="680"/>
        <v>634.08986686567403</v>
      </c>
      <c r="AJ1375">
        <f t="shared" ca="1" si="681"/>
        <v>635.16005029851112</v>
      </c>
      <c r="AM1375">
        <v>0</v>
      </c>
      <c r="AN1375">
        <v>0</v>
      </c>
      <c r="AO1375">
        <f t="shared" si="682"/>
        <v>0</v>
      </c>
      <c r="AP1375">
        <f t="shared" si="691"/>
        <v>0</v>
      </c>
      <c r="AQ1375">
        <f t="shared" ca="1" si="683"/>
        <v>0.99999999999999978</v>
      </c>
      <c r="AR1375" t="str">
        <f t="shared" ca="1" si="684"/>
        <v>Supercritical</v>
      </c>
      <c r="AS1375">
        <f t="shared" ca="1" si="685"/>
        <v>3.8148159832266538E-3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191</v>
      </c>
      <c r="I1376">
        <v>5.7000000000000002E-2</v>
      </c>
      <c r="J1376">
        <f t="shared" si="686"/>
        <v>1</v>
      </c>
      <c r="K1376">
        <f t="shared" si="687"/>
        <v>51</v>
      </c>
      <c r="L1376">
        <f t="shared" ca="1" si="688"/>
        <v>0.05</v>
      </c>
      <c r="M1376">
        <f t="shared" ca="1" si="661"/>
        <v>0.26</v>
      </c>
      <c r="N1376">
        <f t="shared" ca="1" si="662"/>
        <v>4.9056603773584909E-2</v>
      </c>
      <c r="O1376">
        <f t="shared" ca="1" si="663"/>
        <v>196.15384615384616</v>
      </c>
      <c r="P1376">
        <f t="shared" ca="1" si="664"/>
        <v>631.99899999999991</v>
      </c>
      <c r="Q1376">
        <f t="shared" ca="1" si="665"/>
        <v>2593.0760316486621</v>
      </c>
      <c r="R1376">
        <f t="shared" ca="1" si="666"/>
        <v>482.07306851378365</v>
      </c>
      <c r="S1376">
        <f t="shared" ca="1" si="667"/>
        <v>280.07692026646265</v>
      </c>
      <c r="T1376">
        <f t="shared" ca="1" si="668"/>
        <v>1019.7665564573041</v>
      </c>
      <c r="U1376">
        <f t="shared" ca="1" si="689"/>
        <v>-482.25887083179032</v>
      </c>
      <c r="V1376">
        <f t="shared" ca="1" si="690"/>
        <v>0</v>
      </c>
      <c r="W1376">
        <f t="shared" ca="1" si="669"/>
        <v>0.05</v>
      </c>
      <c r="X1376">
        <f t="shared" ca="1" si="670"/>
        <v>0.26</v>
      </c>
      <c r="Y1376">
        <f t="shared" ca="1" si="671"/>
        <v>4.9056603773584909E-2</v>
      </c>
      <c r="Z1376">
        <f t="shared" ca="1" si="672"/>
        <v>196.15384615384616</v>
      </c>
      <c r="AA1376">
        <f t="shared" ca="1" si="673"/>
        <v>631.99899999999991</v>
      </c>
      <c r="AB1376">
        <f t="shared" ca="1" si="674"/>
        <v>2593.0760316486621</v>
      </c>
      <c r="AC1376">
        <f t="shared" ca="1" si="675"/>
        <v>482.07306851378365</v>
      </c>
      <c r="AD1376">
        <f t="shared" ca="1" si="676"/>
        <v>280.07692026646265</v>
      </c>
      <c r="AE1376">
        <f t="shared" ca="1" si="677"/>
        <v>1019.7665564573041</v>
      </c>
      <c r="AF1376">
        <f t="shared" ca="1" si="678"/>
        <v>482.07910543722255</v>
      </c>
      <c r="AG1376">
        <f t="shared" ca="1" si="679"/>
        <v>0</v>
      </c>
      <c r="AH1376">
        <f ca="1">IF(V32="Supercritical",L1376,IF(V32="Subcritical",W1376,IF(AND(V1376=1,AG1376=1),IF(T1376&gt;=AE1376,L1376,W1376),IF(V1376=1,L1376,IF(AG1376=1,W1376,MAX($D$16,POWER((ABS(K1376)^2)/($I$5*MAX(F1376,0.1)^2),1/3)))))))</f>
        <v>2.1403668656741068</v>
      </c>
      <c r="AI1376">
        <f t="shared" ca="1" si="680"/>
        <v>634.08936686567404</v>
      </c>
      <c r="AJ1376">
        <f t="shared" ca="1" si="681"/>
        <v>635.15955029851114</v>
      </c>
      <c r="AM1376">
        <v>0</v>
      </c>
      <c r="AN1376">
        <v>0</v>
      </c>
      <c r="AO1376">
        <f t="shared" si="682"/>
        <v>0</v>
      </c>
      <c r="AP1376">
        <f t="shared" si="691"/>
        <v>0</v>
      </c>
      <c r="AQ1376">
        <f t="shared" ca="1" si="683"/>
        <v>0.99999999999999978</v>
      </c>
      <c r="AR1376" t="str">
        <f t="shared" ca="1" si="684"/>
        <v>Supercritical</v>
      </c>
      <c r="AS1376">
        <f t="shared" ca="1" si="685"/>
        <v>3.8148159832266538E-3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191</v>
      </c>
      <c r="I1377">
        <v>2E-3</v>
      </c>
      <c r="J1377">
        <f t="shared" si="686"/>
        <v>1</v>
      </c>
      <c r="K1377">
        <f t="shared" si="687"/>
        <v>51</v>
      </c>
      <c r="L1377">
        <f t="shared" ca="1" si="688"/>
        <v>0.05</v>
      </c>
      <c r="M1377">
        <f t="shared" ca="1" si="661"/>
        <v>0.26</v>
      </c>
      <c r="N1377">
        <f t="shared" ca="1" si="662"/>
        <v>4.9056603773584909E-2</v>
      </c>
      <c r="O1377">
        <f t="shared" ca="1" si="663"/>
        <v>196.15384615384616</v>
      </c>
      <c r="P1377">
        <f t="shared" ca="1" si="664"/>
        <v>631.99849999999992</v>
      </c>
      <c r="Q1377">
        <f t="shared" ca="1" si="665"/>
        <v>2593.075531648662</v>
      </c>
      <c r="R1377">
        <f t="shared" ca="1" si="666"/>
        <v>482.07306851378365</v>
      </c>
      <c r="S1377">
        <f t="shared" ca="1" si="667"/>
        <v>280.07692026646265</v>
      </c>
      <c r="T1377">
        <f t="shared" ca="1" si="668"/>
        <v>1019.7665564573041</v>
      </c>
      <c r="U1377">
        <f t="shared" ca="1" si="689"/>
        <v>-482.07910543722255</v>
      </c>
      <c r="V1377">
        <f t="shared" ca="1" si="690"/>
        <v>0</v>
      </c>
      <c r="W1377">
        <f t="shared" ca="1" si="669"/>
        <v>0.05</v>
      </c>
      <c r="X1377">
        <f t="shared" ca="1" si="670"/>
        <v>0.26</v>
      </c>
      <c r="Y1377">
        <f t="shared" ca="1" si="671"/>
        <v>4.9056603773584909E-2</v>
      </c>
      <c r="Z1377">
        <f t="shared" ca="1" si="672"/>
        <v>196.15384615384616</v>
      </c>
      <c r="AA1377">
        <f t="shared" ca="1" si="673"/>
        <v>631.99849999999992</v>
      </c>
      <c r="AB1377">
        <f t="shared" ca="1" si="674"/>
        <v>2593.075531648662</v>
      </c>
      <c r="AC1377">
        <f t="shared" ca="1" si="675"/>
        <v>482.07306851378365</v>
      </c>
      <c r="AD1377">
        <f t="shared" ca="1" si="676"/>
        <v>280.07692026646265</v>
      </c>
      <c r="AE1377">
        <f t="shared" ca="1" si="677"/>
        <v>1019.7665564573041</v>
      </c>
      <c r="AF1377">
        <f t="shared" ca="1" si="678"/>
        <v>482.5611785058345</v>
      </c>
      <c r="AG1377">
        <f t="shared" ca="1" si="679"/>
        <v>0</v>
      </c>
      <c r="AH1377">
        <f ca="1">IF(V32="Supercritical",L1377,IF(V32="Subcritical",W1377,IF(AND(V1377=1,AG1377=1),IF(T1377&gt;=AE1377,L1377,W1377),IF(V1377=1,L1377,IF(AG1377=1,W1377,MAX($D$16,POWER((ABS(K1377)^2)/($I$5*MAX(F1377,0.1)^2),1/3)))))))</f>
        <v>2.1403668656741068</v>
      </c>
      <c r="AI1377">
        <f t="shared" ca="1" si="680"/>
        <v>634.08886686567405</v>
      </c>
      <c r="AJ1377">
        <f t="shared" ca="1" si="681"/>
        <v>635.15905029851115</v>
      </c>
      <c r="AM1377">
        <v>0</v>
      </c>
      <c r="AN1377">
        <v>0</v>
      </c>
      <c r="AO1377">
        <f t="shared" si="682"/>
        <v>0</v>
      </c>
      <c r="AP1377">
        <f t="shared" si="691"/>
        <v>0</v>
      </c>
      <c r="AQ1377">
        <f t="shared" ca="1" si="683"/>
        <v>0.99999999999999978</v>
      </c>
      <c r="AR1377" t="str">
        <f t="shared" ca="1" si="684"/>
        <v>Supercritical</v>
      </c>
      <c r="AS1377">
        <f t="shared" ca="1" si="685"/>
        <v>3.8148159832266538E-3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191</v>
      </c>
      <c r="I1378">
        <v>2E-3</v>
      </c>
      <c r="J1378">
        <f t="shared" si="686"/>
        <v>1.0010000000002037</v>
      </c>
      <c r="K1378">
        <f t="shared" si="687"/>
        <v>51</v>
      </c>
      <c r="L1378">
        <f t="shared" ca="1" si="688"/>
        <v>0.05</v>
      </c>
      <c r="M1378">
        <f t="shared" ca="1" si="661"/>
        <v>0.26</v>
      </c>
      <c r="N1378">
        <f t="shared" ca="1" si="662"/>
        <v>4.9056603773584909E-2</v>
      </c>
      <c r="O1378">
        <f t="shared" ca="1" si="663"/>
        <v>196.15384615384616</v>
      </c>
      <c r="P1378">
        <f t="shared" ca="1" si="664"/>
        <v>631.99799999999993</v>
      </c>
      <c r="Q1378">
        <f t="shared" ca="1" si="665"/>
        <v>2593.0750316486619</v>
      </c>
      <c r="R1378">
        <f t="shared" ca="1" si="666"/>
        <v>482.07306851378365</v>
      </c>
      <c r="S1378">
        <f t="shared" ca="1" si="667"/>
        <v>280.07692026646265</v>
      </c>
      <c r="T1378">
        <f t="shared" ca="1" si="668"/>
        <v>1019.7665564573041</v>
      </c>
      <c r="U1378">
        <f t="shared" ca="1" si="689"/>
        <v>-482.5611785058345</v>
      </c>
      <c r="V1378">
        <f t="shared" ca="1" si="690"/>
        <v>0</v>
      </c>
      <c r="W1378">
        <f t="shared" ca="1" si="669"/>
        <v>0.05</v>
      </c>
      <c r="X1378">
        <f t="shared" ca="1" si="670"/>
        <v>0.26</v>
      </c>
      <c r="Y1378">
        <f t="shared" ca="1" si="671"/>
        <v>4.9056603773584909E-2</v>
      </c>
      <c r="Z1378">
        <f t="shared" ca="1" si="672"/>
        <v>196.15384615384616</v>
      </c>
      <c r="AA1378">
        <f t="shared" ca="1" si="673"/>
        <v>631.99799999999993</v>
      </c>
      <c r="AB1378">
        <f t="shared" ca="1" si="674"/>
        <v>2593.0750316486619</v>
      </c>
      <c r="AC1378">
        <f t="shared" ca="1" si="675"/>
        <v>482.07306851378365</v>
      </c>
      <c r="AD1378">
        <f t="shared" ca="1" si="676"/>
        <v>280.07692026646265</v>
      </c>
      <c r="AE1378">
        <f t="shared" ca="1" si="677"/>
        <v>1019.7665564573041</v>
      </c>
      <c r="AF1378">
        <f t="shared" ca="1" si="678"/>
        <v>482.25887083179032</v>
      </c>
      <c r="AG1378">
        <f t="shared" ca="1" si="679"/>
        <v>0</v>
      </c>
      <c r="AH1378">
        <f ca="1">IF(V32="Supercritical",L1378,IF(V32="Subcritical",W1378,IF(AND(V1378=1,AG1378=1),IF(T1378&gt;=AE1378,L1378,W1378),IF(V1378=1,L1378,IF(AG1378=1,W1378,MAX($D$16,POWER((ABS(K1378)^2)/($I$5*MAX(F1378,0.1)^2),1/3)))))))</f>
        <v>2.1403668656741068</v>
      </c>
      <c r="AI1378">
        <f t="shared" ca="1" si="680"/>
        <v>634.08836686567406</v>
      </c>
      <c r="AJ1378">
        <f t="shared" ca="1" si="681"/>
        <v>635.15855029851116</v>
      </c>
      <c r="AM1378">
        <v>0</v>
      </c>
      <c r="AN1378">
        <v>0</v>
      </c>
      <c r="AO1378">
        <f t="shared" si="682"/>
        <v>0</v>
      </c>
      <c r="AP1378">
        <f t="shared" si="691"/>
        <v>0</v>
      </c>
      <c r="AQ1378">
        <f t="shared" ca="1" si="683"/>
        <v>0.99999999999999978</v>
      </c>
      <c r="AR1378" t="str">
        <f t="shared" ca="1" si="684"/>
        <v>Supercritical</v>
      </c>
      <c r="AS1378">
        <f t="shared" ca="1" si="685"/>
        <v>3.8148159832266538E-3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191</v>
      </c>
      <c r="I1379">
        <v>5.7000000000000002E-2</v>
      </c>
      <c r="J1379">
        <f t="shared" si="686"/>
        <v>1</v>
      </c>
      <c r="K1379">
        <f t="shared" si="687"/>
        <v>51</v>
      </c>
      <c r="L1379">
        <f t="shared" ca="1" si="688"/>
        <v>0.05</v>
      </c>
      <c r="M1379">
        <f t="shared" ca="1" si="661"/>
        <v>0.26</v>
      </c>
      <c r="N1379">
        <f t="shared" ca="1" si="662"/>
        <v>4.9056603773584909E-2</v>
      </c>
      <c r="O1379">
        <f t="shared" ca="1" si="663"/>
        <v>196.15384615384616</v>
      </c>
      <c r="P1379">
        <f t="shared" ca="1" si="664"/>
        <v>631.99749999999995</v>
      </c>
      <c r="Q1379">
        <f t="shared" ca="1" si="665"/>
        <v>2593.0745316486618</v>
      </c>
      <c r="R1379">
        <f t="shared" ca="1" si="666"/>
        <v>482.07306851378365</v>
      </c>
      <c r="S1379">
        <f t="shared" ca="1" si="667"/>
        <v>280.07692026646265</v>
      </c>
      <c r="T1379">
        <f t="shared" ca="1" si="668"/>
        <v>1019.7665564573041</v>
      </c>
      <c r="U1379">
        <f t="shared" ca="1" si="689"/>
        <v>-482.25887083179032</v>
      </c>
      <c r="V1379">
        <f t="shared" ca="1" si="690"/>
        <v>0</v>
      </c>
      <c r="W1379">
        <f t="shared" ca="1" si="669"/>
        <v>0.05</v>
      </c>
      <c r="X1379">
        <f t="shared" ca="1" si="670"/>
        <v>0.26</v>
      </c>
      <c r="Y1379">
        <f t="shared" ca="1" si="671"/>
        <v>4.9056603773584909E-2</v>
      </c>
      <c r="Z1379">
        <f t="shared" ca="1" si="672"/>
        <v>196.15384615384616</v>
      </c>
      <c r="AA1379">
        <f t="shared" ca="1" si="673"/>
        <v>631.99749999999995</v>
      </c>
      <c r="AB1379">
        <f t="shared" ca="1" si="674"/>
        <v>2593.0745316486618</v>
      </c>
      <c r="AC1379">
        <f t="shared" ca="1" si="675"/>
        <v>482.07306851378365</v>
      </c>
      <c r="AD1379">
        <f t="shared" ca="1" si="676"/>
        <v>280.07692026646265</v>
      </c>
      <c r="AE1379">
        <f t="shared" ca="1" si="677"/>
        <v>1019.7665564573041</v>
      </c>
      <c r="AF1379">
        <f t="shared" ca="1" si="678"/>
        <v>482.25887083179077</v>
      </c>
      <c r="AG1379">
        <f t="shared" ca="1" si="679"/>
        <v>0</v>
      </c>
      <c r="AH1379">
        <f ca="1">IF(V32="Supercritical",L1379,IF(V32="Subcritical",W1379,IF(AND(V1379=1,AG1379=1),IF(T1379&gt;=AE1379,L1379,W1379),IF(V1379=1,L1379,IF(AG1379=1,W1379,MAX($D$16,POWER((ABS(K1379)^2)/($I$5*MAX(F1379,0.1)^2),1/3)))))))</f>
        <v>2.1403668656741068</v>
      </c>
      <c r="AI1379">
        <f t="shared" ca="1" si="680"/>
        <v>634.08786686567407</v>
      </c>
      <c r="AJ1379">
        <f t="shared" ca="1" si="681"/>
        <v>635.15805029851117</v>
      </c>
      <c r="AM1379">
        <v>0</v>
      </c>
      <c r="AN1379">
        <v>0</v>
      </c>
      <c r="AO1379">
        <f t="shared" si="682"/>
        <v>0</v>
      </c>
      <c r="AP1379">
        <f t="shared" si="691"/>
        <v>0</v>
      </c>
      <c r="AQ1379">
        <f t="shared" ca="1" si="683"/>
        <v>0.99999999999999978</v>
      </c>
      <c r="AR1379" t="str">
        <f t="shared" ca="1" si="684"/>
        <v>Supercritical</v>
      </c>
      <c r="AS1379">
        <f t="shared" ca="1" si="685"/>
        <v>3.8148159832266538E-3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191</v>
      </c>
      <c r="I1380">
        <v>5.7000000000000002E-2</v>
      </c>
      <c r="J1380">
        <f t="shared" si="686"/>
        <v>1</v>
      </c>
      <c r="K1380">
        <f t="shared" si="687"/>
        <v>51</v>
      </c>
      <c r="L1380">
        <f t="shared" ca="1" si="688"/>
        <v>0.05</v>
      </c>
      <c r="M1380">
        <f t="shared" ca="1" si="661"/>
        <v>0.26</v>
      </c>
      <c r="N1380">
        <f t="shared" ca="1" si="662"/>
        <v>4.9056603773584909E-2</v>
      </c>
      <c r="O1380">
        <f t="shared" ca="1" si="663"/>
        <v>196.15384615384616</v>
      </c>
      <c r="P1380">
        <f t="shared" ca="1" si="664"/>
        <v>631.99699999999996</v>
      </c>
      <c r="Q1380">
        <f t="shared" ca="1" si="665"/>
        <v>2593.0740316486622</v>
      </c>
      <c r="R1380">
        <f t="shared" ca="1" si="666"/>
        <v>482.07306851378365</v>
      </c>
      <c r="S1380">
        <f t="shared" ca="1" si="667"/>
        <v>280.07692026646265</v>
      </c>
      <c r="T1380">
        <f t="shared" ca="1" si="668"/>
        <v>1019.7665564573041</v>
      </c>
      <c r="U1380">
        <f t="shared" ca="1" si="689"/>
        <v>-482.25887083179077</v>
      </c>
      <c r="V1380">
        <f t="shared" ca="1" si="690"/>
        <v>0</v>
      </c>
      <c r="W1380">
        <f t="shared" ca="1" si="669"/>
        <v>0.05</v>
      </c>
      <c r="X1380">
        <f t="shared" ca="1" si="670"/>
        <v>0.26</v>
      </c>
      <c r="Y1380">
        <f t="shared" ca="1" si="671"/>
        <v>4.9056603773584909E-2</v>
      </c>
      <c r="Z1380">
        <f t="shared" ca="1" si="672"/>
        <v>196.15384615384616</v>
      </c>
      <c r="AA1380">
        <f t="shared" ca="1" si="673"/>
        <v>631.99699999999996</v>
      </c>
      <c r="AB1380">
        <f t="shared" ca="1" si="674"/>
        <v>2593.0740316486622</v>
      </c>
      <c r="AC1380">
        <f t="shared" ca="1" si="675"/>
        <v>482.07306851378365</v>
      </c>
      <c r="AD1380">
        <f t="shared" ca="1" si="676"/>
        <v>280.07692026646265</v>
      </c>
      <c r="AE1380">
        <f t="shared" ca="1" si="677"/>
        <v>1019.7665564573041</v>
      </c>
      <c r="AF1380">
        <f t="shared" ca="1" si="678"/>
        <v>481.59049544517165</v>
      </c>
      <c r="AG1380">
        <f t="shared" ca="1" si="679"/>
        <v>0</v>
      </c>
      <c r="AH1380">
        <f ca="1">IF(V32="Supercritical",L1380,IF(V32="Subcritical",W1380,IF(AND(V1380=1,AG1380=1),IF(T1380&gt;=AE1380,L1380,W1380),IF(V1380=1,L1380,IF(AG1380=1,W1380,MAX($D$16,POWER((ABS(K1380)^2)/($I$5*MAX(F1380,0.1)^2),1/3)))))))</f>
        <v>2.1403668656741068</v>
      </c>
      <c r="AI1380">
        <f t="shared" ca="1" si="680"/>
        <v>634.08736686567408</v>
      </c>
      <c r="AJ1380">
        <f t="shared" ca="1" si="681"/>
        <v>635.15755029851118</v>
      </c>
      <c r="AM1380">
        <v>0</v>
      </c>
      <c r="AN1380">
        <v>0</v>
      </c>
      <c r="AO1380">
        <f t="shared" si="682"/>
        <v>0</v>
      </c>
      <c r="AP1380">
        <f t="shared" si="691"/>
        <v>0</v>
      </c>
      <c r="AQ1380">
        <f t="shared" ca="1" si="683"/>
        <v>0.99999999999999978</v>
      </c>
      <c r="AR1380" t="str">
        <f t="shared" ca="1" si="684"/>
        <v>Supercritical</v>
      </c>
      <c r="AS1380">
        <f t="shared" ca="1" si="685"/>
        <v>3.8148159832266538E-3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191</v>
      </c>
      <c r="I1381">
        <v>0</v>
      </c>
      <c r="J1381">
        <f t="shared" si="686"/>
        <v>0.99899999999979627</v>
      </c>
      <c r="K1381">
        <f t="shared" si="687"/>
        <v>51</v>
      </c>
      <c r="L1381">
        <f t="shared" ca="1" si="688"/>
        <v>0.05</v>
      </c>
      <c r="M1381">
        <f t="shared" ca="1" si="661"/>
        <v>0.26</v>
      </c>
      <c r="N1381">
        <f t="shared" ca="1" si="662"/>
        <v>4.9056603773584909E-2</v>
      </c>
      <c r="O1381">
        <f t="shared" ca="1" si="663"/>
        <v>196.15384615384616</v>
      </c>
      <c r="P1381">
        <f t="shared" ca="1" si="664"/>
        <v>631.99649999999997</v>
      </c>
      <c r="Q1381">
        <f t="shared" ca="1" si="665"/>
        <v>2593.0735316486621</v>
      </c>
      <c r="R1381">
        <f t="shared" ca="1" si="666"/>
        <v>482.07306851378365</v>
      </c>
      <c r="S1381">
        <f t="shared" ca="1" si="667"/>
        <v>280.07692026646265</v>
      </c>
      <c r="T1381">
        <f t="shared" ca="1" si="668"/>
        <v>1019.7665564573041</v>
      </c>
      <c r="U1381">
        <f t="shared" ca="1" si="689"/>
        <v>-481.59049544517165</v>
      </c>
      <c r="V1381">
        <f t="shared" ca="1" si="690"/>
        <v>0</v>
      </c>
      <c r="W1381">
        <f t="shared" ca="1" si="669"/>
        <v>0.05</v>
      </c>
      <c r="X1381">
        <f t="shared" ca="1" si="670"/>
        <v>0.26</v>
      </c>
      <c r="Y1381">
        <f t="shared" ca="1" si="671"/>
        <v>4.9056603773584909E-2</v>
      </c>
      <c r="Z1381">
        <f t="shared" ca="1" si="672"/>
        <v>196.15384615384616</v>
      </c>
      <c r="AA1381">
        <f t="shared" ca="1" si="673"/>
        <v>631.99649999999997</v>
      </c>
      <c r="AB1381">
        <f t="shared" ca="1" si="674"/>
        <v>2593.0735316486621</v>
      </c>
      <c r="AC1381">
        <f t="shared" ca="1" si="675"/>
        <v>482.07306851378365</v>
      </c>
      <c r="AD1381">
        <f t="shared" ca="1" si="676"/>
        <v>280.07692026646265</v>
      </c>
      <c r="AE1381">
        <f t="shared" ca="1" si="677"/>
        <v>1019.7665564573041</v>
      </c>
      <c r="AF1381">
        <f t="shared" ca="1" si="678"/>
        <v>482.07256851378361</v>
      </c>
      <c r="AG1381">
        <f t="shared" ca="1" si="679"/>
        <v>0</v>
      </c>
      <c r="AH1381">
        <f ca="1">IF(V32="Supercritical",L1381,IF(V32="Subcritical",W1381,IF(AND(V1381=1,AG1381=1),IF(T1381&gt;=AE1381,L1381,W1381),IF(V1381=1,L1381,IF(AG1381=1,W1381,MAX($D$16,POWER((ABS(K1381)^2)/($I$5*MAX(F1381,0.1)^2),1/3)))))))</f>
        <v>2.1403668656741068</v>
      </c>
      <c r="AI1381">
        <f t="shared" ca="1" si="680"/>
        <v>634.0868668656741</v>
      </c>
      <c r="AJ1381">
        <f t="shared" ca="1" si="681"/>
        <v>635.15705029851119</v>
      </c>
      <c r="AM1381">
        <v>0</v>
      </c>
      <c r="AN1381">
        <v>0</v>
      </c>
      <c r="AO1381">
        <f t="shared" si="682"/>
        <v>0</v>
      </c>
      <c r="AP1381">
        <f t="shared" si="691"/>
        <v>0</v>
      </c>
      <c r="AQ1381">
        <f t="shared" ca="1" si="683"/>
        <v>0.99999999999999978</v>
      </c>
      <c r="AR1381" t="str">
        <f t="shared" ca="1" si="684"/>
        <v>Supercritical</v>
      </c>
      <c r="AS1381">
        <f t="shared" ca="1" si="685"/>
        <v>3.8148159832266538E-3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191</v>
      </c>
      <c r="I1382">
        <v>0</v>
      </c>
      <c r="J1382">
        <f t="shared" si="686"/>
        <v>1</v>
      </c>
      <c r="K1382">
        <f t="shared" si="687"/>
        <v>51</v>
      </c>
      <c r="L1382">
        <f t="shared" ca="1" si="688"/>
        <v>0.05</v>
      </c>
      <c r="M1382">
        <f t="shared" ca="1" si="661"/>
        <v>0.26</v>
      </c>
      <c r="N1382">
        <f t="shared" ca="1" si="662"/>
        <v>4.9056603773584909E-2</v>
      </c>
      <c r="O1382">
        <f t="shared" ca="1" si="663"/>
        <v>196.15384615384616</v>
      </c>
      <c r="P1382">
        <f t="shared" ca="1" si="664"/>
        <v>631.99599999999998</v>
      </c>
      <c r="Q1382">
        <f t="shared" ca="1" si="665"/>
        <v>2593.073031648662</v>
      </c>
      <c r="R1382">
        <f t="shared" ca="1" si="666"/>
        <v>482.07306851378365</v>
      </c>
      <c r="S1382">
        <f t="shared" ca="1" si="667"/>
        <v>280.07692026646265</v>
      </c>
      <c r="T1382">
        <f t="shared" ca="1" si="668"/>
        <v>1019.7665564573041</v>
      </c>
      <c r="U1382">
        <f t="shared" ca="1" si="689"/>
        <v>-482.07256851378361</v>
      </c>
      <c r="V1382">
        <f t="shared" ca="1" si="690"/>
        <v>0</v>
      </c>
      <c r="W1382">
        <f t="shared" ca="1" si="669"/>
        <v>0.05</v>
      </c>
      <c r="X1382">
        <f t="shared" ca="1" si="670"/>
        <v>0.26</v>
      </c>
      <c r="Y1382">
        <f t="shared" ca="1" si="671"/>
        <v>4.9056603773584909E-2</v>
      </c>
      <c r="Z1382">
        <f t="shared" ca="1" si="672"/>
        <v>196.15384615384616</v>
      </c>
      <c r="AA1382">
        <f t="shared" ca="1" si="673"/>
        <v>631.99599999999998</v>
      </c>
      <c r="AB1382">
        <f t="shared" ca="1" si="674"/>
        <v>2593.073031648662</v>
      </c>
      <c r="AC1382">
        <f t="shared" ca="1" si="675"/>
        <v>482.07306851378365</v>
      </c>
      <c r="AD1382">
        <f t="shared" ca="1" si="676"/>
        <v>280.07692026646265</v>
      </c>
      <c r="AE1382">
        <f t="shared" ca="1" si="677"/>
        <v>1019.7665564573041</v>
      </c>
      <c r="AF1382">
        <f t="shared" ca="1" si="678"/>
        <v>482.25887083179077</v>
      </c>
      <c r="AG1382">
        <f t="shared" ca="1" si="679"/>
        <v>0</v>
      </c>
      <c r="AH1382">
        <f ca="1">IF(V32="Supercritical",L1382,IF(V32="Subcritical",W1382,IF(AND(V1382=1,AG1382=1),IF(T1382&gt;=AE1382,L1382,W1382),IF(V1382=1,L1382,IF(AG1382=1,W1382,MAX($D$16,POWER((ABS(K1382)^2)/($I$5*MAX(F1382,0.1)^2),1/3)))))))</f>
        <v>2.1403668656741068</v>
      </c>
      <c r="AI1382">
        <f t="shared" ca="1" si="680"/>
        <v>634.08636686567411</v>
      </c>
      <c r="AJ1382">
        <f t="shared" ca="1" si="681"/>
        <v>635.15655029851121</v>
      </c>
      <c r="AM1382">
        <v>0</v>
      </c>
      <c r="AN1382">
        <v>0</v>
      </c>
      <c r="AO1382">
        <f t="shared" si="682"/>
        <v>0</v>
      </c>
      <c r="AP1382">
        <f t="shared" si="691"/>
        <v>0</v>
      </c>
      <c r="AQ1382">
        <f t="shared" ca="1" si="683"/>
        <v>0.99999999999999978</v>
      </c>
      <c r="AR1382" t="str">
        <f t="shared" ca="1" si="684"/>
        <v>Supercritical</v>
      </c>
      <c r="AS1382">
        <f t="shared" ca="1" si="685"/>
        <v>3.8148159832266538E-3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191</v>
      </c>
      <c r="I1383">
        <v>5.7000000000000002E-2</v>
      </c>
      <c r="J1383">
        <f t="shared" si="686"/>
        <v>1</v>
      </c>
      <c r="K1383">
        <f t="shared" si="687"/>
        <v>51</v>
      </c>
      <c r="L1383">
        <f t="shared" ca="1" si="688"/>
        <v>0.05</v>
      </c>
      <c r="M1383">
        <f t="shared" ca="1" si="661"/>
        <v>0.26</v>
      </c>
      <c r="N1383">
        <f t="shared" ca="1" si="662"/>
        <v>4.9056603773584909E-2</v>
      </c>
      <c r="O1383">
        <f t="shared" ca="1" si="663"/>
        <v>196.15384615384616</v>
      </c>
      <c r="P1383">
        <f t="shared" ca="1" si="664"/>
        <v>631.99549999999999</v>
      </c>
      <c r="Q1383">
        <f t="shared" ca="1" si="665"/>
        <v>2593.0725316486623</v>
      </c>
      <c r="R1383">
        <f t="shared" ca="1" si="666"/>
        <v>482.07306851378365</v>
      </c>
      <c r="S1383">
        <f t="shared" ca="1" si="667"/>
        <v>280.07692026646265</v>
      </c>
      <c r="T1383">
        <f t="shared" ca="1" si="668"/>
        <v>1019.7665564573041</v>
      </c>
      <c r="U1383">
        <f t="shared" ca="1" si="689"/>
        <v>-482.25887083179077</v>
      </c>
      <c r="V1383">
        <f t="shared" ca="1" si="690"/>
        <v>0</v>
      </c>
      <c r="W1383">
        <f t="shared" ca="1" si="669"/>
        <v>0.05</v>
      </c>
      <c r="X1383">
        <f t="shared" ca="1" si="670"/>
        <v>0.26</v>
      </c>
      <c r="Y1383">
        <f t="shared" ca="1" si="671"/>
        <v>4.9056603773584909E-2</v>
      </c>
      <c r="Z1383">
        <f t="shared" ca="1" si="672"/>
        <v>196.15384615384616</v>
      </c>
      <c r="AA1383">
        <f t="shared" ca="1" si="673"/>
        <v>631.99549999999999</v>
      </c>
      <c r="AB1383">
        <f t="shared" ca="1" si="674"/>
        <v>2593.0725316486623</v>
      </c>
      <c r="AC1383">
        <f t="shared" ca="1" si="675"/>
        <v>482.07306851378365</v>
      </c>
      <c r="AD1383">
        <f t="shared" ca="1" si="676"/>
        <v>280.07692026646265</v>
      </c>
      <c r="AE1383">
        <f t="shared" ca="1" si="677"/>
        <v>1019.7665564573041</v>
      </c>
      <c r="AF1383">
        <f t="shared" ca="1" si="678"/>
        <v>482.25887083179032</v>
      </c>
      <c r="AG1383">
        <f t="shared" ca="1" si="679"/>
        <v>0</v>
      </c>
      <c r="AH1383">
        <f ca="1">IF(V32="Supercritical",L1383,IF(V32="Subcritical",W1383,IF(AND(V1383=1,AG1383=1),IF(T1383&gt;=AE1383,L1383,W1383),IF(V1383=1,L1383,IF(AG1383=1,W1383,MAX($D$16,POWER((ABS(K1383)^2)/($I$5*MAX(F1383,0.1)^2),1/3)))))))</f>
        <v>2.1403668656741068</v>
      </c>
      <c r="AI1383">
        <f t="shared" ca="1" si="680"/>
        <v>634.08586686567412</v>
      </c>
      <c r="AJ1383">
        <f t="shared" ca="1" si="681"/>
        <v>635.15605029851122</v>
      </c>
      <c r="AM1383">
        <v>0</v>
      </c>
      <c r="AN1383">
        <v>0</v>
      </c>
      <c r="AO1383">
        <f t="shared" si="682"/>
        <v>0</v>
      </c>
      <c r="AP1383">
        <f t="shared" si="691"/>
        <v>0</v>
      </c>
      <c r="AQ1383">
        <f t="shared" ca="1" si="683"/>
        <v>0.99999999999999978</v>
      </c>
      <c r="AR1383" t="str">
        <f t="shared" ca="1" si="684"/>
        <v>Supercritical</v>
      </c>
      <c r="AS1383">
        <f t="shared" ca="1" si="685"/>
        <v>3.8148159832266538E-3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191</v>
      </c>
      <c r="I1384">
        <v>5.7000000000000002E-2</v>
      </c>
      <c r="J1384">
        <f t="shared" si="686"/>
        <v>1</v>
      </c>
      <c r="K1384">
        <f t="shared" si="687"/>
        <v>51</v>
      </c>
      <c r="L1384">
        <f t="shared" ca="1" si="688"/>
        <v>0.05</v>
      </c>
      <c r="M1384">
        <f t="shared" ca="1" si="661"/>
        <v>0.26</v>
      </c>
      <c r="N1384">
        <f t="shared" ca="1" si="662"/>
        <v>4.9056603773584909E-2</v>
      </c>
      <c r="O1384">
        <f t="shared" ca="1" si="663"/>
        <v>196.15384615384616</v>
      </c>
      <c r="P1384">
        <f t="shared" ca="1" si="664"/>
        <v>631.995</v>
      </c>
      <c r="Q1384">
        <f t="shared" ca="1" si="665"/>
        <v>2593.0720316486622</v>
      </c>
      <c r="R1384">
        <f t="shared" ca="1" si="666"/>
        <v>482.07306851378365</v>
      </c>
      <c r="S1384">
        <f t="shared" ca="1" si="667"/>
        <v>280.07692026646265</v>
      </c>
      <c r="T1384">
        <f t="shared" ca="1" si="668"/>
        <v>1019.7665564573041</v>
      </c>
      <c r="U1384">
        <f t="shared" ca="1" si="689"/>
        <v>-482.25887083179032</v>
      </c>
      <c r="V1384">
        <f t="shared" ca="1" si="690"/>
        <v>0</v>
      </c>
      <c r="W1384">
        <f t="shared" ca="1" si="669"/>
        <v>0.05</v>
      </c>
      <c r="X1384">
        <f t="shared" ca="1" si="670"/>
        <v>0.26</v>
      </c>
      <c r="Y1384">
        <f t="shared" ca="1" si="671"/>
        <v>4.9056603773584909E-2</v>
      </c>
      <c r="Z1384">
        <f t="shared" ca="1" si="672"/>
        <v>196.15384615384616</v>
      </c>
      <c r="AA1384">
        <f t="shared" ca="1" si="673"/>
        <v>631.995</v>
      </c>
      <c r="AB1384">
        <f t="shared" ca="1" si="674"/>
        <v>2593.0720316486622</v>
      </c>
      <c r="AC1384">
        <f t="shared" ca="1" si="675"/>
        <v>482.07306851378365</v>
      </c>
      <c r="AD1384">
        <f t="shared" ca="1" si="676"/>
        <v>280.07692026646265</v>
      </c>
      <c r="AE1384">
        <f t="shared" ca="1" si="677"/>
        <v>1019.7665564573041</v>
      </c>
      <c r="AF1384">
        <f t="shared" ca="1" si="678"/>
        <v>482.07256851378361</v>
      </c>
      <c r="AG1384">
        <f t="shared" ca="1" si="679"/>
        <v>0</v>
      </c>
      <c r="AH1384">
        <f ca="1">IF(V32="Supercritical",L1384,IF(V32="Subcritical",W1384,IF(AND(V1384=1,AG1384=1),IF(T1384&gt;=AE1384,L1384,W1384),IF(V1384=1,L1384,IF(AG1384=1,W1384,MAX($D$16,POWER((ABS(K1384)^2)/($I$5*MAX(F1384,0.1)^2),1/3)))))))</f>
        <v>2.1403668656741068</v>
      </c>
      <c r="AI1384">
        <f t="shared" ca="1" si="680"/>
        <v>634.08536686567413</v>
      </c>
      <c r="AJ1384">
        <f t="shared" ca="1" si="681"/>
        <v>635.15555029851123</v>
      </c>
      <c r="AM1384">
        <v>0</v>
      </c>
      <c r="AN1384">
        <v>0</v>
      </c>
      <c r="AO1384">
        <f t="shared" si="682"/>
        <v>0</v>
      </c>
      <c r="AP1384">
        <f t="shared" si="691"/>
        <v>0</v>
      </c>
      <c r="AQ1384">
        <f t="shared" ca="1" si="683"/>
        <v>0.99999999999999978</v>
      </c>
      <c r="AR1384" t="str">
        <f t="shared" ca="1" si="684"/>
        <v>Supercritical</v>
      </c>
      <c r="AS1384">
        <f t="shared" ca="1" si="685"/>
        <v>3.8148159832266538E-3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191</v>
      </c>
      <c r="I1385">
        <v>0</v>
      </c>
      <c r="J1385">
        <f t="shared" si="686"/>
        <v>1</v>
      </c>
      <c r="K1385">
        <f t="shared" si="687"/>
        <v>51</v>
      </c>
      <c r="L1385">
        <f t="shared" ca="1" si="688"/>
        <v>0.05</v>
      </c>
      <c r="M1385">
        <f t="shared" ca="1" si="661"/>
        <v>0.26</v>
      </c>
      <c r="N1385">
        <f t="shared" ca="1" si="662"/>
        <v>4.9056603773584909E-2</v>
      </c>
      <c r="O1385">
        <f t="shared" ca="1" si="663"/>
        <v>196.15384615384616</v>
      </c>
      <c r="P1385">
        <f t="shared" ca="1" si="664"/>
        <v>631.9944999999999</v>
      </c>
      <c r="Q1385">
        <f t="shared" ca="1" si="665"/>
        <v>2593.0715316486621</v>
      </c>
      <c r="R1385">
        <f t="shared" ca="1" si="666"/>
        <v>482.07306851378365</v>
      </c>
      <c r="S1385">
        <f t="shared" ca="1" si="667"/>
        <v>280.07692026646265</v>
      </c>
      <c r="T1385">
        <f t="shared" ca="1" si="668"/>
        <v>1019.7665564573041</v>
      </c>
      <c r="U1385">
        <f t="shared" ca="1" si="689"/>
        <v>-482.07256851378361</v>
      </c>
      <c r="V1385">
        <f t="shared" ca="1" si="690"/>
        <v>0</v>
      </c>
      <c r="W1385">
        <f t="shared" ca="1" si="669"/>
        <v>0.05</v>
      </c>
      <c r="X1385">
        <f t="shared" ca="1" si="670"/>
        <v>0.26</v>
      </c>
      <c r="Y1385">
        <f t="shared" ca="1" si="671"/>
        <v>4.9056603773584909E-2</v>
      </c>
      <c r="Z1385">
        <f t="shared" ca="1" si="672"/>
        <v>196.15384615384616</v>
      </c>
      <c r="AA1385">
        <f t="shared" ca="1" si="673"/>
        <v>631.9944999999999</v>
      </c>
      <c r="AB1385">
        <f t="shared" ca="1" si="674"/>
        <v>2593.0715316486621</v>
      </c>
      <c r="AC1385">
        <f t="shared" ca="1" si="675"/>
        <v>482.07306851378365</v>
      </c>
      <c r="AD1385">
        <f t="shared" ca="1" si="676"/>
        <v>280.07692026646265</v>
      </c>
      <c r="AE1385">
        <f t="shared" ca="1" si="677"/>
        <v>1019.7665564573041</v>
      </c>
      <c r="AF1385">
        <f t="shared" ca="1" si="678"/>
        <v>482.07910543722255</v>
      </c>
      <c r="AG1385">
        <f t="shared" ca="1" si="679"/>
        <v>0</v>
      </c>
      <c r="AH1385">
        <f ca="1">IF(V32="Supercritical",L1385,IF(V32="Subcritical",W1385,IF(AND(V1385=1,AG1385=1),IF(T1385&gt;=AE1385,L1385,W1385),IF(V1385=1,L1385,IF(AG1385=1,W1385,MAX($D$16,POWER((ABS(K1385)^2)/($I$5*MAX(F1385,0.1)^2),1/3)))))))</f>
        <v>2.1403668656741068</v>
      </c>
      <c r="AI1385">
        <f t="shared" ca="1" si="680"/>
        <v>634.08486686567403</v>
      </c>
      <c r="AJ1385">
        <f t="shared" ca="1" si="681"/>
        <v>635.15505029851113</v>
      </c>
      <c r="AM1385">
        <v>0</v>
      </c>
      <c r="AN1385">
        <v>0</v>
      </c>
      <c r="AO1385">
        <f t="shared" si="682"/>
        <v>0</v>
      </c>
      <c r="AP1385">
        <f t="shared" si="691"/>
        <v>0</v>
      </c>
      <c r="AQ1385">
        <f t="shared" ca="1" si="683"/>
        <v>0.99999999999999978</v>
      </c>
      <c r="AR1385" t="str">
        <f t="shared" ca="1" si="684"/>
        <v>Supercritical</v>
      </c>
      <c r="AS1385">
        <f t="shared" ca="1" si="685"/>
        <v>3.8148159832266538E-3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191</v>
      </c>
      <c r="I1386">
        <v>2E-3</v>
      </c>
      <c r="J1386">
        <f t="shared" si="686"/>
        <v>1</v>
      </c>
      <c r="K1386">
        <f t="shared" si="687"/>
        <v>51</v>
      </c>
      <c r="L1386">
        <f t="shared" ca="1" si="688"/>
        <v>0.05</v>
      </c>
      <c r="M1386">
        <f t="shared" ca="1" si="661"/>
        <v>0.26</v>
      </c>
      <c r="N1386">
        <f t="shared" ca="1" si="662"/>
        <v>4.9056603773584909E-2</v>
      </c>
      <c r="O1386">
        <f t="shared" ca="1" si="663"/>
        <v>196.15384615384616</v>
      </c>
      <c r="P1386">
        <f t="shared" ca="1" si="664"/>
        <v>631.99399999999991</v>
      </c>
      <c r="Q1386">
        <f t="shared" ca="1" si="665"/>
        <v>2593.071031648662</v>
      </c>
      <c r="R1386">
        <f t="shared" ca="1" si="666"/>
        <v>482.07306851378365</v>
      </c>
      <c r="S1386">
        <f t="shared" ca="1" si="667"/>
        <v>280.07692026646265</v>
      </c>
      <c r="T1386">
        <f t="shared" ca="1" si="668"/>
        <v>1019.7665564573041</v>
      </c>
      <c r="U1386">
        <f t="shared" ca="1" si="689"/>
        <v>-482.07910543722255</v>
      </c>
      <c r="V1386">
        <f t="shared" ca="1" si="690"/>
        <v>0</v>
      </c>
      <c r="W1386">
        <f t="shared" ca="1" si="669"/>
        <v>0.05</v>
      </c>
      <c r="X1386">
        <f t="shared" ca="1" si="670"/>
        <v>0.26</v>
      </c>
      <c r="Y1386">
        <f t="shared" ca="1" si="671"/>
        <v>4.9056603773584909E-2</v>
      </c>
      <c r="Z1386">
        <f t="shared" ca="1" si="672"/>
        <v>196.15384615384616</v>
      </c>
      <c r="AA1386">
        <f t="shared" ca="1" si="673"/>
        <v>631.99399999999991</v>
      </c>
      <c r="AB1386">
        <f t="shared" ca="1" si="674"/>
        <v>2593.071031648662</v>
      </c>
      <c r="AC1386">
        <f t="shared" ca="1" si="675"/>
        <v>482.07306851378365</v>
      </c>
      <c r="AD1386">
        <f t="shared" ca="1" si="676"/>
        <v>280.07692026646265</v>
      </c>
      <c r="AE1386">
        <f t="shared" ca="1" si="677"/>
        <v>1019.7665564573041</v>
      </c>
      <c r="AF1386">
        <f t="shared" ca="1" si="678"/>
        <v>482.75074928556023</v>
      </c>
      <c r="AG1386">
        <f t="shared" ca="1" si="679"/>
        <v>0</v>
      </c>
      <c r="AH1386">
        <f ca="1">IF(V32="Supercritical",L1386,IF(V32="Subcritical",W1386,IF(AND(V1386=1,AG1386=1),IF(T1386&gt;=AE1386,L1386,W1386),IF(V1386=1,L1386,IF(AG1386=1,W1386,MAX($D$16,POWER((ABS(K1386)^2)/($I$5*MAX(F1386,0.1)^2),1/3)))))))</f>
        <v>2.1403668656741068</v>
      </c>
      <c r="AI1386">
        <f t="shared" ca="1" si="680"/>
        <v>634.08436686567404</v>
      </c>
      <c r="AJ1386">
        <f t="shared" ca="1" si="681"/>
        <v>635.15455029851114</v>
      </c>
      <c r="AM1386">
        <v>0</v>
      </c>
      <c r="AN1386">
        <v>0</v>
      </c>
      <c r="AO1386">
        <f t="shared" si="682"/>
        <v>0</v>
      </c>
      <c r="AP1386">
        <f t="shared" si="691"/>
        <v>0</v>
      </c>
      <c r="AQ1386">
        <f t="shared" ca="1" si="683"/>
        <v>0.99999999999999978</v>
      </c>
      <c r="AR1386" t="str">
        <f t="shared" ca="1" si="684"/>
        <v>Supercritical</v>
      </c>
      <c r="AS1386">
        <f t="shared" ca="1" si="685"/>
        <v>3.8148159832266538E-3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191</v>
      </c>
      <c r="I1387">
        <v>0.06</v>
      </c>
      <c r="J1387">
        <f t="shared" si="686"/>
        <v>1.0010000000002037</v>
      </c>
      <c r="K1387">
        <f t="shared" si="687"/>
        <v>51</v>
      </c>
      <c r="L1387">
        <f t="shared" ca="1" si="688"/>
        <v>0.05</v>
      </c>
      <c r="M1387">
        <f t="shared" ca="1" si="661"/>
        <v>0.26</v>
      </c>
      <c r="N1387">
        <f t="shared" ca="1" si="662"/>
        <v>4.9056603773584909E-2</v>
      </c>
      <c r="O1387">
        <f t="shared" ca="1" si="663"/>
        <v>196.15384615384616</v>
      </c>
      <c r="P1387">
        <f t="shared" ca="1" si="664"/>
        <v>631.99349999999993</v>
      </c>
      <c r="Q1387">
        <f t="shared" ca="1" si="665"/>
        <v>2593.0705316486619</v>
      </c>
      <c r="R1387">
        <f t="shared" ca="1" si="666"/>
        <v>482.07306851378365</v>
      </c>
      <c r="S1387">
        <f t="shared" ca="1" si="667"/>
        <v>280.07692026646265</v>
      </c>
      <c r="T1387">
        <f t="shared" ca="1" si="668"/>
        <v>1019.7665564573041</v>
      </c>
      <c r="U1387">
        <f t="shared" ca="1" si="689"/>
        <v>-482.75074928556023</v>
      </c>
      <c r="V1387">
        <f t="shared" ca="1" si="690"/>
        <v>0</v>
      </c>
      <c r="W1387">
        <f t="shared" ca="1" si="669"/>
        <v>0.05</v>
      </c>
      <c r="X1387">
        <f t="shared" ca="1" si="670"/>
        <v>0.26</v>
      </c>
      <c r="Y1387">
        <f t="shared" ca="1" si="671"/>
        <v>4.9056603773584909E-2</v>
      </c>
      <c r="Z1387">
        <f t="shared" ca="1" si="672"/>
        <v>196.15384615384616</v>
      </c>
      <c r="AA1387">
        <f t="shared" ca="1" si="673"/>
        <v>631.99349999999993</v>
      </c>
      <c r="AB1387">
        <f t="shared" ca="1" si="674"/>
        <v>2593.0705316486619</v>
      </c>
      <c r="AC1387">
        <f t="shared" ca="1" si="675"/>
        <v>482.07306851378365</v>
      </c>
      <c r="AD1387">
        <f t="shared" ca="1" si="676"/>
        <v>280.07692026646265</v>
      </c>
      <c r="AE1387">
        <f t="shared" ca="1" si="677"/>
        <v>1019.7665564573041</v>
      </c>
      <c r="AF1387">
        <f t="shared" ca="1" si="678"/>
        <v>482.25887083179032</v>
      </c>
      <c r="AG1387">
        <f t="shared" ca="1" si="679"/>
        <v>0</v>
      </c>
      <c r="AH1387">
        <f ca="1">IF(V32="Supercritical",L1387,IF(V32="Subcritical",W1387,IF(AND(V1387=1,AG1387=1),IF(T1387&gt;=AE1387,L1387,W1387),IF(V1387=1,L1387,IF(AG1387=1,W1387,MAX($D$16,POWER((ABS(K1387)^2)/($I$5*MAX(F1387,0.1)^2),1/3)))))))</f>
        <v>2.1403668656741068</v>
      </c>
      <c r="AI1387">
        <f t="shared" ca="1" si="680"/>
        <v>634.08386686567405</v>
      </c>
      <c r="AJ1387">
        <f t="shared" ca="1" si="681"/>
        <v>635.15405029851115</v>
      </c>
      <c r="AM1387">
        <v>0</v>
      </c>
      <c r="AN1387">
        <v>0</v>
      </c>
      <c r="AO1387">
        <f t="shared" si="682"/>
        <v>0</v>
      </c>
      <c r="AP1387">
        <f t="shared" si="691"/>
        <v>0</v>
      </c>
      <c r="AQ1387">
        <f t="shared" ca="1" si="683"/>
        <v>0.99999999999999978</v>
      </c>
      <c r="AR1387" t="str">
        <f t="shared" ca="1" si="684"/>
        <v>Supercritical</v>
      </c>
      <c r="AS1387">
        <f t="shared" ca="1" si="685"/>
        <v>3.8148159832266538E-3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191</v>
      </c>
      <c r="I1388">
        <v>5.7000000000000002E-2</v>
      </c>
      <c r="J1388">
        <f t="shared" si="686"/>
        <v>1</v>
      </c>
      <c r="K1388">
        <f t="shared" si="687"/>
        <v>51</v>
      </c>
      <c r="L1388">
        <f t="shared" ca="1" si="688"/>
        <v>0.05</v>
      </c>
      <c r="M1388">
        <f t="shared" ca="1" si="661"/>
        <v>0.26</v>
      </c>
      <c r="N1388">
        <f t="shared" ca="1" si="662"/>
        <v>4.9056603773584909E-2</v>
      </c>
      <c r="O1388">
        <f t="shared" ca="1" si="663"/>
        <v>196.15384615384616</v>
      </c>
      <c r="P1388">
        <f t="shared" ca="1" si="664"/>
        <v>631.99299999999994</v>
      </c>
      <c r="Q1388">
        <f t="shared" ca="1" si="665"/>
        <v>2593.0700316486618</v>
      </c>
      <c r="R1388">
        <f t="shared" ca="1" si="666"/>
        <v>482.07306851378365</v>
      </c>
      <c r="S1388">
        <f t="shared" ca="1" si="667"/>
        <v>280.07692026646265</v>
      </c>
      <c r="T1388">
        <f t="shared" ca="1" si="668"/>
        <v>1019.7665564573041</v>
      </c>
      <c r="U1388">
        <f t="shared" ca="1" si="689"/>
        <v>-482.25887083179032</v>
      </c>
      <c r="V1388">
        <f t="shared" ca="1" si="690"/>
        <v>0</v>
      </c>
      <c r="W1388">
        <f t="shared" ca="1" si="669"/>
        <v>0.05</v>
      </c>
      <c r="X1388">
        <f t="shared" ca="1" si="670"/>
        <v>0.26</v>
      </c>
      <c r="Y1388">
        <f t="shared" ca="1" si="671"/>
        <v>4.9056603773584909E-2</v>
      </c>
      <c r="Z1388">
        <f t="shared" ca="1" si="672"/>
        <v>196.15384615384616</v>
      </c>
      <c r="AA1388">
        <f t="shared" ca="1" si="673"/>
        <v>631.99299999999994</v>
      </c>
      <c r="AB1388">
        <f t="shared" ca="1" si="674"/>
        <v>2593.0700316486618</v>
      </c>
      <c r="AC1388">
        <f t="shared" ca="1" si="675"/>
        <v>482.07306851378365</v>
      </c>
      <c r="AD1388">
        <f t="shared" ca="1" si="676"/>
        <v>280.07692026646265</v>
      </c>
      <c r="AE1388">
        <f t="shared" ca="1" si="677"/>
        <v>1019.7665564573041</v>
      </c>
      <c r="AF1388">
        <f t="shared" ca="1" si="678"/>
        <v>482.07256851378406</v>
      </c>
      <c r="AG1388">
        <f t="shared" ca="1" si="679"/>
        <v>0</v>
      </c>
      <c r="AH1388">
        <f ca="1">IF(V32="Supercritical",L1388,IF(V32="Subcritical",W1388,IF(AND(V1388=1,AG1388=1),IF(T1388&gt;=AE1388,L1388,W1388),IF(V1388=1,L1388,IF(AG1388=1,W1388,MAX($D$16,POWER((ABS(K1388)^2)/($I$5*MAX(F1388,0.1)^2),1/3)))))))</f>
        <v>2.1403668656741068</v>
      </c>
      <c r="AI1388">
        <f t="shared" ca="1" si="680"/>
        <v>634.08336686567407</v>
      </c>
      <c r="AJ1388">
        <f t="shared" ca="1" si="681"/>
        <v>635.15355029851116</v>
      </c>
      <c r="AM1388">
        <v>0</v>
      </c>
      <c r="AN1388">
        <v>0</v>
      </c>
      <c r="AO1388">
        <f t="shared" si="682"/>
        <v>0</v>
      </c>
      <c r="AP1388">
        <f t="shared" si="691"/>
        <v>0</v>
      </c>
      <c r="AQ1388">
        <f t="shared" ca="1" si="683"/>
        <v>0.99999999999999978</v>
      </c>
      <c r="AR1388" t="str">
        <f t="shared" ca="1" si="684"/>
        <v>Supercritical</v>
      </c>
      <c r="AS1388">
        <f t="shared" ca="1" si="685"/>
        <v>3.8148159832266538E-3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191</v>
      </c>
      <c r="I1389">
        <v>0</v>
      </c>
      <c r="J1389">
        <f t="shared" si="686"/>
        <v>1</v>
      </c>
      <c r="K1389">
        <f t="shared" si="687"/>
        <v>51</v>
      </c>
      <c r="L1389">
        <f t="shared" ca="1" si="688"/>
        <v>0.05</v>
      </c>
      <c r="M1389">
        <f t="shared" ca="1" si="661"/>
        <v>0.26</v>
      </c>
      <c r="N1389">
        <f t="shared" ca="1" si="662"/>
        <v>4.9056603773584909E-2</v>
      </c>
      <c r="O1389">
        <f t="shared" ca="1" si="663"/>
        <v>196.15384615384616</v>
      </c>
      <c r="P1389">
        <f t="shared" ca="1" si="664"/>
        <v>631.99249999999995</v>
      </c>
      <c r="Q1389">
        <f t="shared" ca="1" si="665"/>
        <v>2593.0695316486622</v>
      </c>
      <c r="R1389">
        <f t="shared" ca="1" si="666"/>
        <v>482.07306851378365</v>
      </c>
      <c r="S1389">
        <f t="shared" ca="1" si="667"/>
        <v>280.07692026646265</v>
      </c>
      <c r="T1389">
        <f t="shared" ca="1" si="668"/>
        <v>1019.7665564573041</v>
      </c>
      <c r="U1389">
        <f t="shared" ca="1" si="689"/>
        <v>-482.07256851378406</v>
      </c>
      <c r="V1389">
        <f t="shared" ca="1" si="690"/>
        <v>0</v>
      </c>
      <c r="W1389">
        <f t="shared" ca="1" si="669"/>
        <v>0.05</v>
      </c>
      <c r="X1389">
        <f t="shared" ca="1" si="670"/>
        <v>0.26</v>
      </c>
      <c r="Y1389">
        <f t="shared" ca="1" si="671"/>
        <v>4.9056603773584909E-2</v>
      </c>
      <c r="Z1389">
        <f t="shared" ca="1" si="672"/>
        <v>196.15384615384616</v>
      </c>
      <c r="AA1389">
        <f t="shared" ca="1" si="673"/>
        <v>631.99249999999995</v>
      </c>
      <c r="AB1389">
        <f t="shared" ca="1" si="674"/>
        <v>2593.0695316486622</v>
      </c>
      <c r="AC1389">
        <f t="shared" ca="1" si="675"/>
        <v>482.07306851378365</v>
      </c>
      <c r="AD1389">
        <f t="shared" ca="1" si="676"/>
        <v>280.07692026646265</v>
      </c>
      <c r="AE1389">
        <f t="shared" ca="1" si="677"/>
        <v>1019.7665564573041</v>
      </c>
      <c r="AF1389">
        <f t="shared" ca="1" si="678"/>
        <v>481.59049544517165</v>
      </c>
      <c r="AG1389">
        <f t="shared" ca="1" si="679"/>
        <v>0</v>
      </c>
      <c r="AH1389">
        <f ca="1">IF(V32="Supercritical",L1389,IF(V32="Subcritical",W1389,IF(AND(V1389=1,AG1389=1),IF(T1389&gt;=AE1389,L1389,W1389),IF(V1389=1,L1389,IF(AG1389=1,W1389,MAX($D$16,POWER((ABS(K1389)^2)/($I$5*MAX(F1389,0.1)^2),1/3)))))))</f>
        <v>2.1403668656741068</v>
      </c>
      <c r="AI1389">
        <f t="shared" ca="1" si="680"/>
        <v>634.08286686567408</v>
      </c>
      <c r="AJ1389">
        <f t="shared" ca="1" si="681"/>
        <v>635.15305029851118</v>
      </c>
      <c r="AM1389">
        <v>0</v>
      </c>
      <c r="AN1389">
        <v>0</v>
      </c>
      <c r="AO1389">
        <f t="shared" si="682"/>
        <v>0</v>
      </c>
      <c r="AP1389">
        <f t="shared" si="691"/>
        <v>0</v>
      </c>
      <c r="AQ1389">
        <f t="shared" ca="1" si="683"/>
        <v>0.99999999999999978</v>
      </c>
      <c r="AR1389" t="str">
        <f t="shared" ca="1" si="684"/>
        <v>Supercritical</v>
      </c>
      <c r="AS1389">
        <f t="shared" ca="1" si="685"/>
        <v>3.8148159832266538E-3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191</v>
      </c>
      <c r="I1390">
        <v>0</v>
      </c>
      <c r="J1390">
        <f t="shared" si="686"/>
        <v>0.99899999999979627</v>
      </c>
      <c r="K1390">
        <f t="shared" si="687"/>
        <v>51</v>
      </c>
      <c r="L1390">
        <f t="shared" ca="1" si="688"/>
        <v>0.05</v>
      </c>
      <c r="M1390">
        <f t="shared" ca="1" si="661"/>
        <v>0.26</v>
      </c>
      <c r="N1390">
        <f t="shared" ca="1" si="662"/>
        <v>4.9056603773584909E-2</v>
      </c>
      <c r="O1390">
        <f t="shared" ca="1" si="663"/>
        <v>196.15384615384616</v>
      </c>
      <c r="P1390">
        <f t="shared" ca="1" si="664"/>
        <v>631.99199999999996</v>
      </c>
      <c r="Q1390">
        <f t="shared" ca="1" si="665"/>
        <v>2593.0690316486621</v>
      </c>
      <c r="R1390">
        <f t="shared" ca="1" si="666"/>
        <v>482.07306851378365</v>
      </c>
      <c r="S1390">
        <f t="shared" ca="1" si="667"/>
        <v>280.07692026646265</v>
      </c>
      <c r="T1390">
        <f t="shared" ca="1" si="668"/>
        <v>1019.7665564573041</v>
      </c>
      <c r="U1390">
        <f t="shared" ca="1" si="689"/>
        <v>-481.59049544517165</v>
      </c>
      <c r="V1390">
        <f t="shared" ca="1" si="690"/>
        <v>0</v>
      </c>
      <c r="W1390">
        <f t="shared" ca="1" si="669"/>
        <v>0.05</v>
      </c>
      <c r="X1390">
        <f t="shared" ca="1" si="670"/>
        <v>0.26</v>
      </c>
      <c r="Y1390">
        <f t="shared" ca="1" si="671"/>
        <v>4.9056603773584909E-2</v>
      </c>
      <c r="Z1390">
        <f t="shared" ca="1" si="672"/>
        <v>196.15384615384616</v>
      </c>
      <c r="AA1390">
        <f t="shared" ca="1" si="673"/>
        <v>631.99199999999996</v>
      </c>
      <c r="AB1390">
        <f t="shared" ca="1" si="674"/>
        <v>2593.0690316486621</v>
      </c>
      <c r="AC1390">
        <f t="shared" ca="1" si="675"/>
        <v>482.07306851378365</v>
      </c>
      <c r="AD1390">
        <f t="shared" ca="1" si="676"/>
        <v>280.07692026646265</v>
      </c>
      <c r="AE1390">
        <f t="shared" ca="1" si="677"/>
        <v>1019.7665564573041</v>
      </c>
      <c r="AF1390">
        <f t="shared" ca="1" si="678"/>
        <v>482.25887083179032</v>
      </c>
      <c r="AG1390">
        <f t="shared" ca="1" si="679"/>
        <v>0</v>
      </c>
      <c r="AH1390">
        <f ca="1">IF(V32="Supercritical",L1390,IF(V32="Subcritical",W1390,IF(AND(V1390=1,AG1390=1),IF(T1390&gt;=AE1390,L1390,W1390),IF(V1390=1,L1390,IF(AG1390=1,W1390,MAX($D$16,POWER((ABS(K1390)^2)/($I$5*MAX(F1390,0.1)^2),1/3)))))))</f>
        <v>2.1403668656741068</v>
      </c>
      <c r="AI1390">
        <f t="shared" ca="1" si="680"/>
        <v>634.08236686567409</v>
      </c>
      <c r="AJ1390">
        <f t="shared" ca="1" si="681"/>
        <v>635.15255029851119</v>
      </c>
      <c r="AM1390">
        <v>0</v>
      </c>
      <c r="AN1390">
        <v>0</v>
      </c>
      <c r="AO1390">
        <f t="shared" si="682"/>
        <v>0</v>
      </c>
      <c r="AP1390">
        <f t="shared" si="691"/>
        <v>0</v>
      </c>
      <c r="AQ1390">
        <f t="shared" ca="1" si="683"/>
        <v>0.99999999999999978</v>
      </c>
      <c r="AR1390" t="str">
        <f t="shared" ca="1" si="684"/>
        <v>Supercritical</v>
      </c>
      <c r="AS1390">
        <f t="shared" ca="1" si="685"/>
        <v>3.8148159832266538E-3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191</v>
      </c>
      <c r="I1391">
        <v>5.7000000000000002E-2</v>
      </c>
      <c r="J1391">
        <f t="shared" si="686"/>
        <v>1</v>
      </c>
      <c r="K1391">
        <f t="shared" si="687"/>
        <v>51</v>
      </c>
      <c r="L1391">
        <f t="shared" ca="1" si="688"/>
        <v>0.05</v>
      </c>
      <c r="M1391">
        <f t="shared" ca="1" si="661"/>
        <v>0.26</v>
      </c>
      <c r="N1391">
        <f t="shared" ca="1" si="662"/>
        <v>4.9056603773584909E-2</v>
      </c>
      <c r="O1391">
        <f t="shared" ca="1" si="663"/>
        <v>196.15384615384616</v>
      </c>
      <c r="P1391">
        <f t="shared" ca="1" si="664"/>
        <v>631.99149999999997</v>
      </c>
      <c r="Q1391">
        <f t="shared" ca="1" si="665"/>
        <v>2593.068531648662</v>
      </c>
      <c r="R1391">
        <f t="shared" ca="1" si="666"/>
        <v>482.07306851378365</v>
      </c>
      <c r="S1391">
        <f t="shared" ca="1" si="667"/>
        <v>280.07692026646265</v>
      </c>
      <c r="T1391">
        <f t="shared" ca="1" si="668"/>
        <v>1019.7665564573041</v>
      </c>
      <c r="U1391">
        <f t="shared" ca="1" si="689"/>
        <v>-482.25887083179032</v>
      </c>
      <c r="V1391">
        <f t="shared" ca="1" si="690"/>
        <v>0</v>
      </c>
      <c r="W1391">
        <f t="shared" ca="1" si="669"/>
        <v>0.05</v>
      </c>
      <c r="X1391">
        <f t="shared" ca="1" si="670"/>
        <v>0.26</v>
      </c>
      <c r="Y1391">
        <f t="shared" ca="1" si="671"/>
        <v>4.9056603773584909E-2</v>
      </c>
      <c r="Z1391">
        <f t="shared" ca="1" si="672"/>
        <v>196.15384615384616</v>
      </c>
      <c r="AA1391">
        <f t="shared" ca="1" si="673"/>
        <v>631.99149999999997</v>
      </c>
      <c r="AB1391">
        <f t="shared" ca="1" si="674"/>
        <v>2593.068531648662</v>
      </c>
      <c r="AC1391">
        <f t="shared" ca="1" si="675"/>
        <v>482.07306851378365</v>
      </c>
      <c r="AD1391">
        <f t="shared" ca="1" si="676"/>
        <v>280.07692026646265</v>
      </c>
      <c r="AE1391">
        <f t="shared" ca="1" si="677"/>
        <v>1019.7665564573041</v>
      </c>
      <c r="AF1391">
        <f t="shared" ca="1" si="678"/>
        <v>482.25887083179077</v>
      </c>
      <c r="AG1391">
        <f t="shared" ca="1" si="679"/>
        <v>0</v>
      </c>
      <c r="AH1391">
        <f ca="1">IF(V32="Supercritical",L1391,IF(V32="Subcritical",W1391,IF(AND(V1391=1,AG1391=1),IF(T1391&gt;=AE1391,L1391,W1391),IF(V1391=1,L1391,IF(AG1391=1,W1391,MAX($D$16,POWER((ABS(K1391)^2)/($I$5*MAX(F1391,0.1)^2),1/3)))))))</f>
        <v>2.1403668656741068</v>
      </c>
      <c r="AI1391">
        <f t="shared" ca="1" si="680"/>
        <v>634.0818668656741</v>
      </c>
      <c r="AJ1391">
        <f t="shared" ca="1" si="681"/>
        <v>635.1520502985112</v>
      </c>
      <c r="AM1391">
        <v>0</v>
      </c>
      <c r="AN1391">
        <v>0</v>
      </c>
      <c r="AO1391">
        <f t="shared" si="682"/>
        <v>0</v>
      </c>
      <c r="AP1391">
        <f t="shared" si="691"/>
        <v>0</v>
      </c>
      <c r="AQ1391">
        <f t="shared" ca="1" si="683"/>
        <v>0.99999999999999978</v>
      </c>
      <c r="AR1391" t="str">
        <f t="shared" ca="1" si="684"/>
        <v>Supercritical</v>
      </c>
      <c r="AS1391">
        <f t="shared" ca="1" si="685"/>
        <v>3.8148159832266538E-3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191</v>
      </c>
      <c r="I1392">
        <v>5.7000000000000002E-2</v>
      </c>
      <c r="J1392">
        <f t="shared" si="686"/>
        <v>1</v>
      </c>
      <c r="K1392">
        <f t="shared" si="687"/>
        <v>51</v>
      </c>
      <c r="L1392">
        <f t="shared" ca="1" si="688"/>
        <v>0.05</v>
      </c>
      <c r="M1392">
        <f t="shared" ca="1" si="661"/>
        <v>0.26</v>
      </c>
      <c r="N1392">
        <f t="shared" ca="1" si="662"/>
        <v>4.9056603773584909E-2</v>
      </c>
      <c r="O1392">
        <f t="shared" ca="1" si="663"/>
        <v>196.15384615384616</v>
      </c>
      <c r="P1392">
        <f t="shared" ca="1" si="664"/>
        <v>631.99099999999999</v>
      </c>
      <c r="Q1392">
        <f t="shared" ca="1" si="665"/>
        <v>2593.0680316486623</v>
      </c>
      <c r="R1392">
        <f t="shared" ca="1" si="666"/>
        <v>482.07306851378365</v>
      </c>
      <c r="S1392">
        <f t="shared" ca="1" si="667"/>
        <v>280.07692026646265</v>
      </c>
      <c r="T1392">
        <f t="shared" ca="1" si="668"/>
        <v>1019.7665564573041</v>
      </c>
      <c r="U1392">
        <f t="shared" ca="1" si="689"/>
        <v>-482.25887083179077</v>
      </c>
      <c r="V1392">
        <f t="shared" ca="1" si="690"/>
        <v>0</v>
      </c>
      <c r="W1392">
        <f t="shared" ca="1" si="669"/>
        <v>0.05</v>
      </c>
      <c r="X1392">
        <f t="shared" ca="1" si="670"/>
        <v>0.26</v>
      </c>
      <c r="Y1392">
        <f t="shared" ca="1" si="671"/>
        <v>4.9056603773584909E-2</v>
      </c>
      <c r="Z1392">
        <f t="shared" ca="1" si="672"/>
        <v>196.15384615384616</v>
      </c>
      <c r="AA1392">
        <f t="shared" ca="1" si="673"/>
        <v>631.99099999999999</v>
      </c>
      <c r="AB1392">
        <f t="shared" ca="1" si="674"/>
        <v>2593.0680316486623</v>
      </c>
      <c r="AC1392">
        <f t="shared" ca="1" si="675"/>
        <v>482.07306851378365</v>
      </c>
      <c r="AD1392">
        <f t="shared" ca="1" si="676"/>
        <v>280.07692026646265</v>
      </c>
      <c r="AE1392">
        <f t="shared" ca="1" si="677"/>
        <v>1019.7665564573041</v>
      </c>
      <c r="AF1392">
        <f t="shared" ca="1" si="678"/>
        <v>482.07256851378361</v>
      </c>
      <c r="AG1392">
        <f t="shared" ca="1" si="679"/>
        <v>0</v>
      </c>
      <c r="AH1392">
        <f ca="1">IF(V32="Supercritical",L1392,IF(V32="Subcritical",W1392,IF(AND(V1392=1,AG1392=1),IF(T1392&gt;=AE1392,L1392,W1392),IF(V1392=1,L1392,IF(AG1392=1,W1392,MAX($D$16,POWER((ABS(K1392)^2)/($I$5*MAX(F1392,0.1)^2),1/3)))))))</f>
        <v>2.1403668656741068</v>
      </c>
      <c r="AI1392">
        <f t="shared" ca="1" si="680"/>
        <v>634.08136686567411</v>
      </c>
      <c r="AJ1392">
        <f t="shared" ca="1" si="681"/>
        <v>635.15155029851121</v>
      </c>
      <c r="AM1392">
        <v>0</v>
      </c>
      <c r="AN1392">
        <v>0</v>
      </c>
      <c r="AO1392">
        <f t="shared" si="682"/>
        <v>0</v>
      </c>
      <c r="AP1392">
        <f t="shared" si="691"/>
        <v>0</v>
      </c>
      <c r="AQ1392">
        <f t="shared" ca="1" si="683"/>
        <v>0.99999999999999978</v>
      </c>
      <c r="AR1392" t="str">
        <f t="shared" ca="1" si="684"/>
        <v>Supercritical</v>
      </c>
      <c r="AS1392">
        <f t="shared" ca="1" si="685"/>
        <v>3.8148159832266538E-3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191</v>
      </c>
      <c r="I1393">
        <v>0</v>
      </c>
      <c r="J1393">
        <f t="shared" si="686"/>
        <v>1</v>
      </c>
      <c r="K1393">
        <f t="shared" si="687"/>
        <v>51</v>
      </c>
      <c r="L1393">
        <f t="shared" ca="1" si="688"/>
        <v>0.05</v>
      </c>
      <c r="M1393">
        <f t="shared" ca="1" si="661"/>
        <v>0.26</v>
      </c>
      <c r="N1393">
        <f t="shared" ca="1" si="662"/>
        <v>4.9056603773584909E-2</v>
      </c>
      <c r="O1393">
        <f t="shared" ca="1" si="663"/>
        <v>196.15384615384616</v>
      </c>
      <c r="P1393">
        <f t="shared" ca="1" si="664"/>
        <v>631.9905</v>
      </c>
      <c r="Q1393">
        <f t="shared" ca="1" si="665"/>
        <v>2593.0675316486622</v>
      </c>
      <c r="R1393">
        <f t="shared" ca="1" si="666"/>
        <v>482.07306851378365</v>
      </c>
      <c r="S1393">
        <f t="shared" ca="1" si="667"/>
        <v>280.07692026646265</v>
      </c>
      <c r="T1393">
        <f t="shared" ca="1" si="668"/>
        <v>1019.7665564573041</v>
      </c>
      <c r="U1393">
        <f t="shared" ca="1" si="689"/>
        <v>-482.07256851378361</v>
      </c>
      <c r="V1393">
        <f t="shared" ca="1" si="690"/>
        <v>0</v>
      </c>
      <c r="W1393">
        <f t="shared" ca="1" si="669"/>
        <v>0.05</v>
      </c>
      <c r="X1393">
        <f t="shared" ca="1" si="670"/>
        <v>0.26</v>
      </c>
      <c r="Y1393">
        <f t="shared" ca="1" si="671"/>
        <v>4.9056603773584909E-2</v>
      </c>
      <c r="Z1393">
        <f t="shared" ca="1" si="672"/>
        <v>196.15384615384616</v>
      </c>
      <c r="AA1393">
        <f t="shared" ca="1" si="673"/>
        <v>631.9905</v>
      </c>
      <c r="AB1393">
        <f t="shared" ca="1" si="674"/>
        <v>2593.0675316486622</v>
      </c>
      <c r="AC1393">
        <f t="shared" ca="1" si="675"/>
        <v>482.07306851378365</v>
      </c>
      <c r="AD1393">
        <f t="shared" ca="1" si="676"/>
        <v>280.07692026646265</v>
      </c>
      <c r="AE1393">
        <f t="shared" ca="1" si="677"/>
        <v>1019.7665564573041</v>
      </c>
      <c r="AF1393">
        <f t="shared" ca="1" si="678"/>
        <v>482.07256851378361</v>
      </c>
      <c r="AG1393">
        <f t="shared" ca="1" si="679"/>
        <v>0</v>
      </c>
      <c r="AH1393">
        <f ca="1">IF(V32="Supercritical",L1393,IF(V32="Subcritical",W1393,IF(AND(V1393=1,AG1393=1),IF(T1393&gt;=AE1393,L1393,W1393),IF(V1393=1,L1393,IF(AG1393=1,W1393,MAX($D$16,POWER((ABS(K1393)^2)/($I$5*MAX(F1393,0.1)^2),1/3)))))))</f>
        <v>2.1403668656741068</v>
      </c>
      <c r="AI1393">
        <f t="shared" ca="1" si="680"/>
        <v>634.08086686567412</v>
      </c>
      <c r="AJ1393">
        <f t="shared" ca="1" si="681"/>
        <v>635.15105029851122</v>
      </c>
      <c r="AM1393">
        <v>0</v>
      </c>
      <c r="AN1393">
        <v>0</v>
      </c>
      <c r="AO1393">
        <f t="shared" si="682"/>
        <v>0</v>
      </c>
      <c r="AP1393">
        <f t="shared" si="691"/>
        <v>0</v>
      </c>
      <c r="AQ1393">
        <f t="shared" ca="1" si="683"/>
        <v>0.99999999999999978</v>
      </c>
      <c r="AR1393" t="str">
        <f t="shared" ca="1" si="684"/>
        <v>Supercritical</v>
      </c>
      <c r="AS1393">
        <f t="shared" ca="1" si="685"/>
        <v>3.8148159832266538E-3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191</v>
      </c>
      <c r="I1394">
        <v>0</v>
      </c>
      <c r="J1394">
        <f t="shared" si="686"/>
        <v>1</v>
      </c>
      <c r="K1394">
        <f t="shared" si="687"/>
        <v>51</v>
      </c>
      <c r="L1394">
        <f t="shared" ca="1" si="688"/>
        <v>0.05</v>
      </c>
      <c r="M1394">
        <f t="shared" ca="1" si="661"/>
        <v>0.26</v>
      </c>
      <c r="N1394">
        <f t="shared" ca="1" si="662"/>
        <v>4.9056603773584909E-2</v>
      </c>
      <c r="O1394">
        <f t="shared" ca="1" si="663"/>
        <v>196.15384615384616</v>
      </c>
      <c r="P1394">
        <f t="shared" ca="1" si="664"/>
        <v>631.99</v>
      </c>
      <c r="Q1394">
        <f t="shared" ca="1" si="665"/>
        <v>2593.0670316486621</v>
      </c>
      <c r="R1394">
        <f t="shared" ca="1" si="666"/>
        <v>482.07306851378365</v>
      </c>
      <c r="S1394">
        <f t="shared" ca="1" si="667"/>
        <v>280.07692026646265</v>
      </c>
      <c r="T1394">
        <f t="shared" ca="1" si="668"/>
        <v>1019.7665564573041</v>
      </c>
      <c r="U1394">
        <f t="shared" ca="1" si="689"/>
        <v>-482.07256851378361</v>
      </c>
      <c r="V1394">
        <f t="shared" ca="1" si="690"/>
        <v>0</v>
      </c>
      <c r="W1394">
        <f t="shared" ca="1" si="669"/>
        <v>0.05</v>
      </c>
      <c r="X1394">
        <f t="shared" ca="1" si="670"/>
        <v>0.26</v>
      </c>
      <c r="Y1394">
        <f t="shared" ca="1" si="671"/>
        <v>4.9056603773584909E-2</v>
      </c>
      <c r="Z1394">
        <f t="shared" ca="1" si="672"/>
        <v>196.15384615384616</v>
      </c>
      <c r="AA1394">
        <f t="shared" ca="1" si="673"/>
        <v>631.99</v>
      </c>
      <c r="AB1394">
        <f t="shared" ca="1" si="674"/>
        <v>2593.0670316486621</v>
      </c>
      <c r="AC1394">
        <f t="shared" ca="1" si="675"/>
        <v>482.07306851378365</v>
      </c>
      <c r="AD1394">
        <f t="shared" ca="1" si="676"/>
        <v>280.07692026646265</v>
      </c>
      <c r="AE1394">
        <f t="shared" ca="1" si="677"/>
        <v>1019.7665564573041</v>
      </c>
      <c r="AF1394">
        <f t="shared" ca="1" si="678"/>
        <v>482.25887083179032</v>
      </c>
      <c r="AG1394">
        <f t="shared" ca="1" si="679"/>
        <v>0</v>
      </c>
      <c r="AH1394">
        <f ca="1">IF(V32="Supercritical",L1394,IF(V32="Subcritical",W1394,IF(AND(V1394=1,AG1394=1),IF(T1394&gt;=AE1394,L1394,W1394),IF(V1394=1,L1394,IF(AG1394=1,W1394,MAX($D$16,POWER((ABS(K1394)^2)/($I$5*MAX(F1394,0.1)^2),1/3)))))))</f>
        <v>2.1403668656741068</v>
      </c>
      <c r="AI1394">
        <f t="shared" ca="1" si="680"/>
        <v>634.08036686567414</v>
      </c>
      <c r="AJ1394">
        <f t="shared" ca="1" si="681"/>
        <v>635.15055029851123</v>
      </c>
      <c r="AM1394">
        <v>0</v>
      </c>
      <c r="AN1394">
        <v>0</v>
      </c>
      <c r="AO1394">
        <f t="shared" si="682"/>
        <v>0</v>
      </c>
      <c r="AP1394">
        <f t="shared" si="691"/>
        <v>0</v>
      </c>
      <c r="AQ1394">
        <f t="shared" ca="1" si="683"/>
        <v>0.99999999999999978</v>
      </c>
      <c r="AR1394" t="str">
        <f t="shared" ca="1" si="684"/>
        <v>Supercritical</v>
      </c>
      <c r="AS1394">
        <f t="shared" ca="1" si="685"/>
        <v>3.8148159832266538E-3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191</v>
      </c>
      <c r="I1395">
        <v>5.7000000000000002E-2</v>
      </c>
      <c r="J1395">
        <f t="shared" si="686"/>
        <v>1</v>
      </c>
      <c r="K1395">
        <f t="shared" si="687"/>
        <v>51</v>
      </c>
      <c r="L1395">
        <f t="shared" ca="1" si="688"/>
        <v>0.05</v>
      </c>
      <c r="M1395">
        <f t="shared" ca="1" si="661"/>
        <v>0.26</v>
      </c>
      <c r="N1395">
        <f t="shared" ca="1" si="662"/>
        <v>4.9056603773584909E-2</v>
      </c>
      <c r="O1395">
        <f t="shared" ca="1" si="663"/>
        <v>196.15384615384616</v>
      </c>
      <c r="P1395">
        <f t="shared" ca="1" si="664"/>
        <v>631.98949999999991</v>
      </c>
      <c r="Q1395">
        <f t="shared" ca="1" si="665"/>
        <v>2593.066531648662</v>
      </c>
      <c r="R1395">
        <f t="shared" ca="1" si="666"/>
        <v>482.07306851378365</v>
      </c>
      <c r="S1395">
        <f t="shared" ca="1" si="667"/>
        <v>280.07692026646265</v>
      </c>
      <c r="T1395">
        <f t="shared" ca="1" si="668"/>
        <v>1019.7665564573041</v>
      </c>
      <c r="U1395">
        <f t="shared" ca="1" si="689"/>
        <v>-482.25887083179032</v>
      </c>
      <c r="V1395">
        <f t="shared" ca="1" si="690"/>
        <v>0</v>
      </c>
      <c r="W1395">
        <f t="shared" ca="1" si="669"/>
        <v>0.05</v>
      </c>
      <c r="X1395">
        <f t="shared" ca="1" si="670"/>
        <v>0.26</v>
      </c>
      <c r="Y1395">
        <f t="shared" ca="1" si="671"/>
        <v>4.9056603773584909E-2</v>
      </c>
      <c r="Z1395">
        <f t="shared" ca="1" si="672"/>
        <v>196.15384615384616</v>
      </c>
      <c r="AA1395">
        <f t="shared" ca="1" si="673"/>
        <v>631.98949999999991</v>
      </c>
      <c r="AB1395">
        <f t="shared" ca="1" si="674"/>
        <v>2593.066531648662</v>
      </c>
      <c r="AC1395">
        <f t="shared" ca="1" si="675"/>
        <v>482.07306851378365</v>
      </c>
      <c r="AD1395">
        <f t="shared" ca="1" si="676"/>
        <v>280.07692026646265</v>
      </c>
      <c r="AE1395">
        <f t="shared" ca="1" si="677"/>
        <v>1019.7665564573041</v>
      </c>
      <c r="AF1395">
        <f t="shared" ca="1" si="678"/>
        <v>482.26867621694828</v>
      </c>
      <c r="AG1395">
        <f t="shared" ca="1" si="679"/>
        <v>0</v>
      </c>
      <c r="AH1395">
        <f ca="1">IF(V32="Supercritical",L1395,IF(V32="Subcritical",W1395,IF(AND(V1395=1,AG1395=1),IF(T1395&gt;=AE1395,L1395,W1395),IF(V1395=1,L1395,IF(AG1395=1,W1395,MAX($D$16,POWER((ABS(K1395)^2)/($I$5*MAX(F1395,0.1)^2),1/3)))))))</f>
        <v>2.1403668656741068</v>
      </c>
      <c r="AI1395">
        <f t="shared" ca="1" si="680"/>
        <v>634.07986686567403</v>
      </c>
      <c r="AJ1395">
        <f t="shared" ca="1" si="681"/>
        <v>635.15005029851113</v>
      </c>
      <c r="AM1395">
        <v>0</v>
      </c>
      <c r="AN1395">
        <v>0</v>
      </c>
      <c r="AO1395">
        <f t="shared" si="682"/>
        <v>0</v>
      </c>
      <c r="AP1395">
        <f t="shared" si="691"/>
        <v>0</v>
      </c>
      <c r="AQ1395">
        <f t="shared" ca="1" si="683"/>
        <v>0.99999999999999978</v>
      </c>
      <c r="AR1395" t="str">
        <f t="shared" ca="1" si="684"/>
        <v>Supercritical</v>
      </c>
      <c r="AS1395">
        <f t="shared" ca="1" si="685"/>
        <v>3.8148159832266538E-3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191</v>
      </c>
      <c r="I1396">
        <v>0.06</v>
      </c>
      <c r="J1396">
        <f t="shared" si="686"/>
        <v>1</v>
      </c>
      <c r="K1396">
        <f t="shared" si="687"/>
        <v>51</v>
      </c>
      <c r="L1396">
        <f t="shared" ca="1" si="688"/>
        <v>0.05</v>
      </c>
      <c r="M1396">
        <f t="shared" ca="1" si="661"/>
        <v>0.26</v>
      </c>
      <c r="N1396">
        <f t="shared" ca="1" si="662"/>
        <v>4.9056603773584909E-2</v>
      </c>
      <c r="O1396">
        <f t="shared" ca="1" si="663"/>
        <v>196.15384615384616</v>
      </c>
      <c r="P1396">
        <f t="shared" ca="1" si="664"/>
        <v>631.98899999999992</v>
      </c>
      <c r="Q1396">
        <f t="shared" ca="1" si="665"/>
        <v>2593.0660316486619</v>
      </c>
      <c r="R1396">
        <f t="shared" ca="1" si="666"/>
        <v>482.07306851378365</v>
      </c>
      <c r="S1396">
        <f t="shared" ca="1" si="667"/>
        <v>280.07692026646265</v>
      </c>
      <c r="T1396">
        <f t="shared" ca="1" si="668"/>
        <v>1019.7665564573041</v>
      </c>
      <c r="U1396">
        <f t="shared" ca="1" si="689"/>
        <v>-482.26867621694828</v>
      </c>
      <c r="V1396">
        <f t="shared" ca="1" si="690"/>
        <v>0</v>
      </c>
      <c r="W1396">
        <f t="shared" ca="1" si="669"/>
        <v>0.05</v>
      </c>
      <c r="X1396">
        <f t="shared" ca="1" si="670"/>
        <v>0.26</v>
      </c>
      <c r="Y1396">
        <f t="shared" ca="1" si="671"/>
        <v>4.9056603773584909E-2</v>
      </c>
      <c r="Z1396">
        <f t="shared" ca="1" si="672"/>
        <v>196.15384615384616</v>
      </c>
      <c r="AA1396">
        <f t="shared" ca="1" si="673"/>
        <v>631.98899999999992</v>
      </c>
      <c r="AB1396">
        <f t="shared" ca="1" si="674"/>
        <v>2593.0660316486619</v>
      </c>
      <c r="AC1396">
        <f t="shared" ca="1" si="675"/>
        <v>482.07306851378365</v>
      </c>
      <c r="AD1396">
        <f t="shared" ca="1" si="676"/>
        <v>280.07692026646265</v>
      </c>
      <c r="AE1396">
        <f t="shared" ca="1" si="677"/>
        <v>1019.7665564573041</v>
      </c>
      <c r="AF1396">
        <f t="shared" ca="1" si="678"/>
        <v>482.5611785058345</v>
      </c>
      <c r="AG1396">
        <f t="shared" ca="1" si="679"/>
        <v>0</v>
      </c>
      <c r="AH1396">
        <f ca="1">IF(V32="Supercritical",L1396,IF(V32="Subcritical",W1396,IF(AND(V1396=1,AG1396=1),IF(T1396&gt;=AE1396,L1396,W1396),IF(V1396=1,L1396,IF(AG1396=1,W1396,MAX($D$16,POWER((ABS(K1396)^2)/($I$5*MAX(F1396,0.1)^2),1/3)))))))</f>
        <v>2.1403668656741068</v>
      </c>
      <c r="AI1396">
        <f t="shared" ca="1" si="680"/>
        <v>634.07936686567405</v>
      </c>
      <c r="AJ1396">
        <f t="shared" ca="1" si="681"/>
        <v>635.14955029851114</v>
      </c>
      <c r="AM1396">
        <v>0</v>
      </c>
      <c r="AN1396">
        <v>0</v>
      </c>
      <c r="AO1396">
        <f t="shared" si="682"/>
        <v>0</v>
      </c>
      <c r="AP1396">
        <f t="shared" si="691"/>
        <v>0</v>
      </c>
      <c r="AQ1396">
        <f t="shared" ca="1" si="683"/>
        <v>0.99999999999999978</v>
      </c>
      <c r="AR1396" t="str">
        <f t="shared" ca="1" si="684"/>
        <v>Supercritical</v>
      </c>
      <c r="AS1396">
        <f t="shared" ca="1" si="685"/>
        <v>3.8148159832266538E-3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191</v>
      </c>
      <c r="I1397">
        <v>2E-3</v>
      </c>
      <c r="J1397">
        <f t="shared" si="686"/>
        <v>1.0010000000002037</v>
      </c>
      <c r="K1397">
        <f t="shared" si="687"/>
        <v>51</v>
      </c>
      <c r="L1397">
        <f t="shared" ca="1" si="688"/>
        <v>0.05</v>
      </c>
      <c r="M1397">
        <f t="shared" ca="1" si="661"/>
        <v>0.26</v>
      </c>
      <c r="N1397">
        <f t="shared" ca="1" si="662"/>
        <v>4.9056603773584909E-2</v>
      </c>
      <c r="O1397">
        <f t="shared" ca="1" si="663"/>
        <v>196.15384615384616</v>
      </c>
      <c r="P1397">
        <f t="shared" ca="1" si="664"/>
        <v>631.98849999999993</v>
      </c>
      <c r="Q1397">
        <f t="shared" ca="1" si="665"/>
        <v>2593.0655316486618</v>
      </c>
      <c r="R1397">
        <f t="shared" ca="1" si="666"/>
        <v>482.07306851378365</v>
      </c>
      <c r="S1397">
        <f t="shared" ca="1" si="667"/>
        <v>280.07692026646265</v>
      </c>
      <c r="T1397">
        <f t="shared" ca="1" si="668"/>
        <v>1019.7665564573041</v>
      </c>
      <c r="U1397">
        <f t="shared" ca="1" si="689"/>
        <v>-482.5611785058345</v>
      </c>
      <c r="V1397">
        <f t="shared" ca="1" si="690"/>
        <v>0</v>
      </c>
      <c r="W1397">
        <f t="shared" ca="1" si="669"/>
        <v>0.05</v>
      </c>
      <c r="X1397">
        <f t="shared" ca="1" si="670"/>
        <v>0.26</v>
      </c>
      <c r="Y1397">
        <f t="shared" ca="1" si="671"/>
        <v>4.9056603773584909E-2</v>
      </c>
      <c r="Z1397">
        <f t="shared" ca="1" si="672"/>
        <v>196.15384615384616</v>
      </c>
      <c r="AA1397">
        <f t="shared" ca="1" si="673"/>
        <v>631.98849999999993</v>
      </c>
      <c r="AB1397">
        <f t="shared" ca="1" si="674"/>
        <v>2593.0655316486618</v>
      </c>
      <c r="AC1397">
        <f t="shared" ca="1" si="675"/>
        <v>482.07306851378365</v>
      </c>
      <c r="AD1397">
        <f t="shared" ca="1" si="676"/>
        <v>280.07692026646265</v>
      </c>
      <c r="AE1397">
        <f t="shared" ca="1" si="677"/>
        <v>1019.7665564573041</v>
      </c>
      <c r="AF1397">
        <f t="shared" ca="1" si="678"/>
        <v>482.07256851378406</v>
      </c>
      <c r="AG1397">
        <f t="shared" ca="1" si="679"/>
        <v>0</v>
      </c>
      <c r="AH1397">
        <f ca="1">IF(V32="Supercritical",L1397,IF(V32="Subcritical",W1397,IF(AND(V1397=1,AG1397=1),IF(T1397&gt;=AE1397,L1397,W1397),IF(V1397=1,L1397,IF(AG1397=1,W1397,MAX($D$16,POWER((ABS(K1397)^2)/($I$5*MAX(F1397,0.1)^2),1/3)))))))</f>
        <v>2.1403668656741068</v>
      </c>
      <c r="AI1397">
        <f t="shared" ca="1" si="680"/>
        <v>634.07886686567406</v>
      </c>
      <c r="AJ1397">
        <f t="shared" ca="1" si="681"/>
        <v>635.14905029851116</v>
      </c>
      <c r="AM1397">
        <v>0</v>
      </c>
      <c r="AN1397">
        <v>0</v>
      </c>
      <c r="AO1397">
        <f t="shared" si="682"/>
        <v>0</v>
      </c>
      <c r="AP1397">
        <f t="shared" si="691"/>
        <v>0</v>
      </c>
      <c r="AQ1397">
        <f t="shared" ca="1" si="683"/>
        <v>0.99999999999999978</v>
      </c>
      <c r="AR1397" t="str">
        <f t="shared" ca="1" si="684"/>
        <v>Supercritical</v>
      </c>
      <c r="AS1397">
        <f t="shared" ca="1" si="685"/>
        <v>3.8148159832266538E-3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191</v>
      </c>
      <c r="I1398">
        <v>0</v>
      </c>
      <c r="J1398">
        <f t="shared" si="686"/>
        <v>1</v>
      </c>
      <c r="K1398">
        <f t="shared" si="687"/>
        <v>51</v>
      </c>
      <c r="L1398">
        <f t="shared" ca="1" si="688"/>
        <v>0.05</v>
      </c>
      <c r="M1398">
        <f t="shared" ca="1" si="661"/>
        <v>0.26</v>
      </c>
      <c r="N1398">
        <f t="shared" ca="1" si="662"/>
        <v>4.9056603773584909E-2</v>
      </c>
      <c r="O1398">
        <f t="shared" ca="1" si="663"/>
        <v>196.15384615384616</v>
      </c>
      <c r="P1398">
        <f t="shared" ca="1" si="664"/>
        <v>631.98799999999994</v>
      </c>
      <c r="Q1398">
        <f t="shared" ca="1" si="665"/>
        <v>2593.0650316486622</v>
      </c>
      <c r="R1398">
        <f t="shared" ca="1" si="666"/>
        <v>482.07306851378365</v>
      </c>
      <c r="S1398">
        <f t="shared" ca="1" si="667"/>
        <v>280.07692026646265</v>
      </c>
      <c r="T1398">
        <f t="shared" ca="1" si="668"/>
        <v>1019.7665564573041</v>
      </c>
      <c r="U1398">
        <f t="shared" ca="1" si="689"/>
        <v>-482.07256851378406</v>
      </c>
      <c r="V1398">
        <f t="shared" ca="1" si="690"/>
        <v>0</v>
      </c>
      <c r="W1398">
        <f t="shared" ca="1" si="669"/>
        <v>0.05</v>
      </c>
      <c r="X1398">
        <f t="shared" ca="1" si="670"/>
        <v>0.26</v>
      </c>
      <c r="Y1398">
        <f t="shared" ca="1" si="671"/>
        <v>4.9056603773584909E-2</v>
      </c>
      <c r="Z1398">
        <f t="shared" ca="1" si="672"/>
        <v>196.15384615384616</v>
      </c>
      <c r="AA1398">
        <f t="shared" ca="1" si="673"/>
        <v>631.98799999999994</v>
      </c>
      <c r="AB1398">
        <f t="shared" ca="1" si="674"/>
        <v>2593.0650316486622</v>
      </c>
      <c r="AC1398">
        <f t="shared" ca="1" si="675"/>
        <v>482.07306851378365</v>
      </c>
      <c r="AD1398">
        <f t="shared" ca="1" si="676"/>
        <v>280.07692026646265</v>
      </c>
      <c r="AE1398">
        <f t="shared" ca="1" si="677"/>
        <v>1019.7665564573041</v>
      </c>
      <c r="AF1398">
        <f t="shared" ca="1" si="678"/>
        <v>481.77679776317837</v>
      </c>
      <c r="AG1398">
        <f t="shared" ca="1" si="679"/>
        <v>0</v>
      </c>
      <c r="AH1398">
        <f ca="1">IF(V32="Supercritical",L1398,IF(V32="Subcritical",W1398,IF(AND(V1398=1,AG1398=1),IF(T1398&gt;=AE1398,L1398,W1398),IF(V1398=1,L1398,IF(AG1398=1,W1398,MAX($D$16,POWER((ABS(K1398)^2)/($I$5*MAX(F1398,0.1)^2),1/3)))))))</f>
        <v>2.1403668656741068</v>
      </c>
      <c r="AI1398">
        <f t="shared" ca="1" si="680"/>
        <v>634.07836686567407</v>
      </c>
      <c r="AJ1398">
        <f t="shared" ca="1" si="681"/>
        <v>635.14855029851117</v>
      </c>
      <c r="AM1398">
        <v>0</v>
      </c>
      <c r="AN1398">
        <v>0</v>
      </c>
      <c r="AO1398">
        <f t="shared" si="682"/>
        <v>0</v>
      </c>
      <c r="AP1398">
        <f t="shared" si="691"/>
        <v>0</v>
      </c>
      <c r="AQ1398">
        <f t="shared" ca="1" si="683"/>
        <v>0.99999999999999978</v>
      </c>
      <c r="AR1398" t="str">
        <f t="shared" ca="1" si="684"/>
        <v>Supercritical</v>
      </c>
      <c r="AS1398">
        <f t="shared" ca="1" si="685"/>
        <v>3.8148159832266538E-3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191</v>
      </c>
      <c r="I1399">
        <v>5.7000000000000002E-2</v>
      </c>
      <c r="J1399">
        <f t="shared" si="686"/>
        <v>0.99899999999979627</v>
      </c>
      <c r="K1399">
        <f t="shared" si="687"/>
        <v>51</v>
      </c>
      <c r="L1399">
        <f t="shared" ca="1" si="688"/>
        <v>0.05</v>
      </c>
      <c r="M1399">
        <f t="shared" ca="1" si="661"/>
        <v>0.26</v>
      </c>
      <c r="N1399">
        <f t="shared" ca="1" si="662"/>
        <v>4.9056603773584909E-2</v>
      </c>
      <c r="O1399">
        <f t="shared" ca="1" si="663"/>
        <v>196.15384615384616</v>
      </c>
      <c r="P1399">
        <f t="shared" ca="1" si="664"/>
        <v>631.98749999999995</v>
      </c>
      <c r="Q1399">
        <f t="shared" ca="1" si="665"/>
        <v>2593.0645316486621</v>
      </c>
      <c r="R1399">
        <f t="shared" ca="1" si="666"/>
        <v>482.07306851378365</v>
      </c>
      <c r="S1399">
        <f t="shared" ca="1" si="667"/>
        <v>280.07692026646265</v>
      </c>
      <c r="T1399">
        <f t="shared" ca="1" si="668"/>
        <v>1019.7665564573041</v>
      </c>
      <c r="U1399">
        <f t="shared" ca="1" si="689"/>
        <v>-481.77679776317837</v>
      </c>
      <c r="V1399">
        <f t="shared" ca="1" si="690"/>
        <v>0</v>
      </c>
      <c r="W1399">
        <f t="shared" ca="1" si="669"/>
        <v>0.05</v>
      </c>
      <c r="X1399">
        <f t="shared" ca="1" si="670"/>
        <v>0.26</v>
      </c>
      <c r="Y1399">
        <f t="shared" ca="1" si="671"/>
        <v>4.9056603773584909E-2</v>
      </c>
      <c r="Z1399">
        <f t="shared" ca="1" si="672"/>
        <v>196.15384615384616</v>
      </c>
      <c r="AA1399">
        <f t="shared" ca="1" si="673"/>
        <v>631.98749999999995</v>
      </c>
      <c r="AB1399">
        <f t="shared" ca="1" si="674"/>
        <v>2593.0645316486621</v>
      </c>
      <c r="AC1399">
        <f t="shared" ca="1" si="675"/>
        <v>482.07306851378365</v>
      </c>
      <c r="AD1399">
        <f t="shared" ca="1" si="676"/>
        <v>280.07692026646265</v>
      </c>
      <c r="AE1399">
        <f t="shared" ca="1" si="677"/>
        <v>1019.7665564573041</v>
      </c>
      <c r="AF1399">
        <f t="shared" ca="1" si="678"/>
        <v>482.25887083179032</v>
      </c>
      <c r="AG1399">
        <f t="shared" ca="1" si="679"/>
        <v>0</v>
      </c>
      <c r="AH1399">
        <f ca="1">IF(V32="Supercritical",L1399,IF(V32="Subcritical",W1399,IF(AND(V1399=1,AG1399=1),IF(T1399&gt;=AE1399,L1399,W1399),IF(V1399=1,L1399,IF(AG1399=1,W1399,MAX($D$16,POWER((ABS(K1399)^2)/($I$5*MAX(F1399,0.1)^2),1/3)))))))</f>
        <v>2.1403668656741068</v>
      </c>
      <c r="AI1399">
        <f t="shared" ca="1" si="680"/>
        <v>634.07786686567408</v>
      </c>
      <c r="AJ1399">
        <f t="shared" ca="1" si="681"/>
        <v>635.14805029851118</v>
      </c>
      <c r="AM1399">
        <v>0</v>
      </c>
      <c r="AN1399">
        <v>0</v>
      </c>
      <c r="AO1399">
        <f t="shared" si="682"/>
        <v>0</v>
      </c>
      <c r="AP1399">
        <f t="shared" si="691"/>
        <v>0</v>
      </c>
      <c r="AQ1399">
        <f t="shared" ca="1" si="683"/>
        <v>0.99999999999999978</v>
      </c>
      <c r="AR1399" t="str">
        <f t="shared" ca="1" si="684"/>
        <v>Supercritical</v>
      </c>
      <c r="AS1399">
        <f t="shared" ca="1" si="685"/>
        <v>3.8148159832266538E-3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191</v>
      </c>
      <c r="I1400">
        <v>5.7000000000000002E-2</v>
      </c>
      <c r="J1400">
        <f t="shared" si="686"/>
        <v>1</v>
      </c>
      <c r="K1400">
        <f t="shared" si="687"/>
        <v>51</v>
      </c>
      <c r="L1400">
        <f t="shared" ca="1" si="688"/>
        <v>0.05</v>
      </c>
      <c r="M1400">
        <f t="shared" ca="1" si="661"/>
        <v>0.26</v>
      </c>
      <c r="N1400">
        <f t="shared" ca="1" si="662"/>
        <v>4.9056603773584909E-2</v>
      </c>
      <c r="O1400">
        <f t="shared" ca="1" si="663"/>
        <v>196.15384615384616</v>
      </c>
      <c r="P1400">
        <f t="shared" ca="1" si="664"/>
        <v>631.98699999999997</v>
      </c>
      <c r="Q1400">
        <f t="shared" ca="1" si="665"/>
        <v>2593.064031648662</v>
      </c>
      <c r="R1400">
        <f t="shared" ca="1" si="666"/>
        <v>482.07306851378365</v>
      </c>
      <c r="S1400">
        <f t="shared" ca="1" si="667"/>
        <v>280.07692026646265</v>
      </c>
      <c r="T1400">
        <f t="shared" ca="1" si="668"/>
        <v>1019.7665564573041</v>
      </c>
      <c r="U1400">
        <f t="shared" ca="1" si="689"/>
        <v>-482.25887083179032</v>
      </c>
      <c r="V1400">
        <f t="shared" ca="1" si="690"/>
        <v>0</v>
      </c>
      <c r="W1400">
        <f t="shared" ca="1" si="669"/>
        <v>0.2522550450786219</v>
      </c>
      <c r="X1400">
        <f t="shared" ca="1" si="670"/>
        <v>1.3117262344088338</v>
      </c>
      <c r="Y1400">
        <f t="shared" ca="1" si="671"/>
        <v>0.22994546660056417</v>
      </c>
      <c r="Z1400">
        <f t="shared" ca="1" si="672"/>
        <v>38.880064042467353</v>
      </c>
      <c r="AA1400">
        <f t="shared" ca="1" si="673"/>
        <v>632.18925504507865</v>
      </c>
      <c r="AB1400">
        <f t="shared" ca="1" si="674"/>
        <v>709.23611436956196</v>
      </c>
      <c r="AC1400">
        <f t="shared" ca="1" si="675"/>
        <v>2.4143672174212307</v>
      </c>
      <c r="AD1400">
        <f t="shared" ca="1" si="676"/>
        <v>24.715678511308262</v>
      </c>
      <c r="AE1400">
        <f t="shared" ca="1" si="677"/>
        <v>202.29421808965907</v>
      </c>
      <c r="AF1400">
        <f t="shared" ca="1" si="678"/>
        <v>2.4138672174212843</v>
      </c>
      <c r="AG1400">
        <f t="shared" ca="1" si="679"/>
        <v>0</v>
      </c>
      <c r="AH1400">
        <f ca="1">IF(V32="Supercritical",L1400,IF(V32="Subcritical",W1400,IF(AND(V1400=1,AG1400=1),IF(T1400&gt;=AE1400,L1400,W1400),IF(V1400=1,L1400,IF(AG1400=1,W1400,MAX($D$16,POWER((ABS(K1400)^2)/($I$5*MAX(F1400,0.1)^2),1/3)))))))</f>
        <v>2.1403668656741068</v>
      </c>
      <c r="AI1400">
        <f t="shared" ca="1" si="680"/>
        <v>634.07736686567409</v>
      </c>
      <c r="AJ1400">
        <f t="shared" ca="1" si="681"/>
        <v>635.14755029851119</v>
      </c>
      <c r="AM1400">
        <v>0</v>
      </c>
      <c r="AN1400">
        <v>0</v>
      </c>
      <c r="AO1400">
        <f t="shared" si="682"/>
        <v>0</v>
      </c>
      <c r="AP1400">
        <f t="shared" si="691"/>
        <v>0</v>
      </c>
      <c r="AQ1400">
        <f t="shared" ca="1" si="683"/>
        <v>0.99999999999999978</v>
      </c>
      <c r="AR1400" t="str">
        <f t="shared" ca="1" si="684"/>
        <v>Supercritical</v>
      </c>
      <c r="AS1400">
        <f t="shared" ca="1" si="685"/>
        <v>3.8148159832266538E-3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191</v>
      </c>
      <c r="I1401">
        <v>0</v>
      </c>
      <c r="J1401">
        <f t="shared" si="686"/>
        <v>1</v>
      </c>
      <c r="K1401">
        <f t="shared" si="687"/>
        <v>51</v>
      </c>
      <c r="L1401">
        <f t="shared" ca="1" si="688"/>
        <v>0.05</v>
      </c>
      <c r="M1401">
        <f t="shared" ca="1" si="661"/>
        <v>0.26</v>
      </c>
      <c r="N1401">
        <f t="shared" ca="1" si="662"/>
        <v>4.9056603773584909E-2</v>
      </c>
      <c r="O1401">
        <f t="shared" ca="1" si="663"/>
        <v>196.15384615384616</v>
      </c>
      <c r="P1401">
        <f t="shared" ca="1" si="664"/>
        <v>631.98649999999998</v>
      </c>
      <c r="Q1401">
        <f t="shared" ca="1" si="665"/>
        <v>2593.0635316486623</v>
      </c>
      <c r="R1401">
        <f t="shared" ca="1" si="666"/>
        <v>482.07306851378365</v>
      </c>
      <c r="S1401">
        <f t="shared" ca="1" si="667"/>
        <v>280.07692026646265</v>
      </c>
      <c r="T1401">
        <f t="shared" ca="1" si="668"/>
        <v>1019.7665564573041</v>
      </c>
      <c r="U1401">
        <f t="shared" ca="1" si="689"/>
        <v>-482.07256851378406</v>
      </c>
      <c r="V1401">
        <f t="shared" ca="1" si="690"/>
        <v>0</v>
      </c>
      <c r="W1401">
        <f t="shared" ca="1" si="669"/>
        <v>0.05</v>
      </c>
      <c r="X1401">
        <f t="shared" ca="1" si="670"/>
        <v>0.26</v>
      </c>
      <c r="Y1401">
        <f t="shared" ca="1" si="671"/>
        <v>4.9056603773584909E-2</v>
      </c>
      <c r="Z1401">
        <f t="shared" ca="1" si="672"/>
        <v>196.15384615384616</v>
      </c>
      <c r="AA1401">
        <f t="shared" ca="1" si="673"/>
        <v>631.98649999999998</v>
      </c>
      <c r="AB1401">
        <f t="shared" ca="1" si="674"/>
        <v>2593.0635316486623</v>
      </c>
      <c r="AC1401">
        <f t="shared" ca="1" si="675"/>
        <v>482.07306851378365</v>
      </c>
      <c r="AD1401">
        <f t="shared" ca="1" si="676"/>
        <v>280.07692026646265</v>
      </c>
      <c r="AE1401">
        <f t="shared" ca="1" si="677"/>
        <v>1019.7665564573041</v>
      </c>
      <c r="AF1401">
        <f t="shared" ca="1" si="678"/>
        <v>482.25887083179032</v>
      </c>
      <c r="AG1401">
        <f t="shared" ca="1" si="679"/>
        <v>0</v>
      </c>
      <c r="AH1401">
        <f ca="1">IF(V32="Supercritical",L1401,IF(V32="Subcritical",W1401,IF(AND(V1401=1,AG1401=1),IF(T1401&gt;=AE1401,L1401,W1401),IF(V1401=1,L1401,IF(AG1401=1,W1401,MAX($D$16,POWER((ABS(K1401)^2)/($I$5*MAX(F1401,0.1)^2),1/3)))))))</f>
        <v>2.1403668656741068</v>
      </c>
      <c r="AI1401">
        <f t="shared" ca="1" si="680"/>
        <v>634.07686686567411</v>
      </c>
      <c r="AJ1401">
        <f t="shared" ca="1" si="681"/>
        <v>635.1470502985112</v>
      </c>
      <c r="AM1401">
        <v>0</v>
      </c>
      <c r="AN1401">
        <v>0</v>
      </c>
      <c r="AO1401">
        <f t="shared" si="682"/>
        <v>0</v>
      </c>
      <c r="AP1401">
        <f t="shared" si="691"/>
        <v>0</v>
      </c>
      <c r="AQ1401">
        <f t="shared" ca="1" si="683"/>
        <v>0.99999999999999978</v>
      </c>
      <c r="AR1401" t="str">
        <f t="shared" ca="1" si="684"/>
        <v>Supercritical</v>
      </c>
      <c r="AS1401">
        <f t="shared" ca="1" si="685"/>
        <v>3.8148159832266538E-3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191</v>
      </c>
      <c r="I1402">
        <v>5.7000000000000002E-2</v>
      </c>
      <c r="J1402">
        <f t="shared" si="686"/>
        <v>1</v>
      </c>
      <c r="K1402">
        <f t="shared" si="687"/>
        <v>51</v>
      </c>
      <c r="L1402">
        <f t="shared" ca="1" si="688"/>
        <v>0.05</v>
      </c>
      <c r="M1402">
        <f t="shared" ca="1" si="661"/>
        <v>0.26</v>
      </c>
      <c r="N1402">
        <f t="shared" ca="1" si="662"/>
        <v>4.9056603773584909E-2</v>
      </c>
      <c r="O1402">
        <f t="shared" ca="1" si="663"/>
        <v>196.15384615384616</v>
      </c>
      <c r="P1402">
        <f t="shared" ca="1" si="664"/>
        <v>631.98599999999999</v>
      </c>
      <c r="Q1402">
        <f t="shared" ca="1" si="665"/>
        <v>2593.0630316486622</v>
      </c>
      <c r="R1402">
        <f t="shared" ca="1" si="666"/>
        <v>482.07306851378365</v>
      </c>
      <c r="S1402">
        <f t="shared" ca="1" si="667"/>
        <v>280.07692026646265</v>
      </c>
      <c r="T1402">
        <f t="shared" ca="1" si="668"/>
        <v>1019.7665564573041</v>
      </c>
      <c r="U1402">
        <f t="shared" ca="1" si="689"/>
        <v>-482.25887083179032</v>
      </c>
      <c r="V1402">
        <f t="shared" ca="1" si="690"/>
        <v>0</v>
      </c>
      <c r="W1402">
        <f t="shared" ca="1" si="669"/>
        <v>0.05</v>
      </c>
      <c r="X1402">
        <f t="shared" ca="1" si="670"/>
        <v>0.26</v>
      </c>
      <c r="Y1402">
        <f t="shared" ca="1" si="671"/>
        <v>4.9056603773584909E-2</v>
      </c>
      <c r="Z1402">
        <f t="shared" ca="1" si="672"/>
        <v>196.15384615384616</v>
      </c>
      <c r="AA1402">
        <f t="shared" ca="1" si="673"/>
        <v>631.98599999999999</v>
      </c>
      <c r="AB1402">
        <f t="shared" ca="1" si="674"/>
        <v>2593.0630316486622</v>
      </c>
      <c r="AC1402">
        <f t="shared" ca="1" si="675"/>
        <v>482.07306851378365</v>
      </c>
      <c r="AD1402">
        <f t="shared" ca="1" si="676"/>
        <v>280.07692026646265</v>
      </c>
      <c r="AE1402">
        <f t="shared" ca="1" si="677"/>
        <v>1019.7665564573041</v>
      </c>
      <c r="AF1402">
        <f t="shared" ca="1" si="678"/>
        <v>482.25887083179032</v>
      </c>
      <c r="AG1402">
        <f t="shared" ca="1" si="679"/>
        <v>0</v>
      </c>
      <c r="AH1402">
        <f ca="1">IF(V32="Supercritical",L1402,IF(V32="Subcritical",W1402,IF(AND(V1402=1,AG1402=1),IF(T1402&gt;=AE1402,L1402,W1402),IF(V1402=1,L1402,IF(AG1402=1,W1402,MAX($D$16,POWER((ABS(K1402)^2)/($I$5*MAX(F1402,0.1)^2),1/3)))))))</f>
        <v>2.1403668656741068</v>
      </c>
      <c r="AI1402">
        <f t="shared" ca="1" si="680"/>
        <v>634.07636686567412</v>
      </c>
      <c r="AJ1402">
        <f t="shared" ca="1" si="681"/>
        <v>635.14655029851122</v>
      </c>
      <c r="AM1402">
        <v>0</v>
      </c>
      <c r="AN1402">
        <v>0</v>
      </c>
      <c r="AO1402">
        <f t="shared" si="682"/>
        <v>0</v>
      </c>
      <c r="AP1402">
        <f t="shared" si="691"/>
        <v>0</v>
      </c>
      <c r="AQ1402">
        <f t="shared" ca="1" si="683"/>
        <v>0.99999999999999978</v>
      </c>
      <c r="AR1402" t="str">
        <f t="shared" ca="1" si="684"/>
        <v>Supercritical</v>
      </c>
      <c r="AS1402">
        <f t="shared" ca="1" si="685"/>
        <v>3.8148159832266538E-3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191</v>
      </c>
      <c r="I1403">
        <v>5.7000000000000002E-2</v>
      </c>
      <c r="J1403">
        <f t="shared" si="686"/>
        <v>1</v>
      </c>
      <c r="K1403">
        <f t="shared" si="687"/>
        <v>51</v>
      </c>
      <c r="L1403">
        <f t="shared" ca="1" si="688"/>
        <v>0.05</v>
      </c>
      <c r="M1403">
        <f t="shared" ca="1" si="661"/>
        <v>0.26</v>
      </c>
      <c r="N1403">
        <f t="shared" ca="1" si="662"/>
        <v>4.9056603773584909E-2</v>
      </c>
      <c r="O1403">
        <f t="shared" ca="1" si="663"/>
        <v>196.15384615384616</v>
      </c>
      <c r="P1403">
        <f t="shared" ca="1" si="664"/>
        <v>631.9855</v>
      </c>
      <c r="Q1403">
        <f t="shared" ca="1" si="665"/>
        <v>2593.0625316486621</v>
      </c>
      <c r="R1403">
        <f t="shared" ca="1" si="666"/>
        <v>482.07306851378365</v>
      </c>
      <c r="S1403">
        <f t="shared" ca="1" si="667"/>
        <v>280.07692026646265</v>
      </c>
      <c r="T1403">
        <f t="shared" ca="1" si="668"/>
        <v>1019.7665564573041</v>
      </c>
      <c r="U1403">
        <f t="shared" ca="1" si="689"/>
        <v>-482.25887083179032</v>
      </c>
      <c r="V1403">
        <f t="shared" ca="1" si="690"/>
        <v>0</v>
      </c>
      <c r="W1403">
        <f t="shared" ca="1" si="669"/>
        <v>0.24873741575289426</v>
      </c>
      <c r="X1403">
        <f t="shared" ca="1" si="670"/>
        <v>1.2934345619150502</v>
      </c>
      <c r="Y1403">
        <f t="shared" ca="1" si="671"/>
        <v>0.22701891630352455</v>
      </c>
      <c r="Z1403">
        <f t="shared" ca="1" si="672"/>
        <v>39.4299035310219</v>
      </c>
      <c r="AA1403">
        <f t="shared" ca="1" si="673"/>
        <v>632.18423741575293</v>
      </c>
      <c r="AB1403">
        <f t="shared" ca="1" si="674"/>
        <v>711.42568963112979</v>
      </c>
      <c r="AC1403">
        <f t="shared" ca="1" si="675"/>
        <v>2.5259100774159635</v>
      </c>
      <c r="AD1403">
        <f t="shared" ca="1" si="676"/>
        <v>25.241819211227916</v>
      </c>
      <c r="AE1403">
        <f t="shared" ca="1" si="677"/>
        <v>205.14812884860467</v>
      </c>
      <c r="AF1403">
        <f t="shared" ca="1" si="678"/>
        <v>2.5254100774158132</v>
      </c>
      <c r="AG1403">
        <f t="shared" ca="1" si="679"/>
        <v>0</v>
      </c>
      <c r="AH1403">
        <f ca="1">IF(V32="Supercritical",L1403,IF(V32="Subcritical",W1403,IF(AND(V1403=1,AG1403=1),IF(T1403&gt;=AE1403,L1403,W1403),IF(V1403=1,L1403,IF(AG1403=1,W1403,MAX($D$16,POWER((ABS(K1403)^2)/($I$5*MAX(F1403,0.1)^2),1/3)))))))</f>
        <v>2.1403668656741068</v>
      </c>
      <c r="AI1403">
        <f t="shared" ca="1" si="680"/>
        <v>634.07586686567413</v>
      </c>
      <c r="AJ1403">
        <f t="shared" ca="1" si="681"/>
        <v>635.14605029851123</v>
      </c>
      <c r="AM1403">
        <v>0</v>
      </c>
      <c r="AN1403">
        <v>0</v>
      </c>
      <c r="AO1403">
        <f t="shared" si="682"/>
        <v>0</v>
      </c>
      <c r="AP1403">
        <f t="shared" si="691"/>
        <v>0</v>
      </c>
      <c r="AQ1403">
        <f t="shared" ca="1" si="683"/>
        <v>0.99999999999999978</v>
      </c>
      <c r="AR1403" t="str">
        <f t="shared" ca="1" si="684"/>
        <v>Supercritical</v>
      </c>
      <c r="AS1403">
        <f t="shared" ca="1" si="685"/>
        <v>3.8148159832266538E-3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191</v>
      </c>
      <c r="I1404">
        <v>0</v>
      </c>
      <c r="J1404">
        <f t="shared" si="686"/>
        <v>1</v>
      </c>
      <c r="K1404">
        <f t="shared" si="687"/>
        <v>51</v>
      </c>
      <c r="L1404">
        <f t="shared" ca="1" si="688"/>
        <v>0.05</v>
      </c>
      <c r="M1404">
        <f t="shared" ca="1" si="661"/>
        <v>0.26</v>
      </c>
      <c r="N1404">
        <f t="shared" ca="1" si="662"/>
        <v>4.9056603773584909E-2</v>
      </c>
      <c r="O1404">
        <f t="shared" ca="1" si="663"/>
        <v>196.15384615384616</v>
      </c>
      <c r="P1404">
        <f t="shared" ca="1" si="664"/>
        <v>631.9849999999999</v>
      </c>
      <c r="Q1404">
        <f t="shared" ca="1" si="665"/>
        <v>2593.062031648662</v>
      </c>
      <c r="R1404">
        <f t="shared" ca="1" si="666"/>
        <v>482.07306851378365</v>
      </c>
      <c r="S1404">
        <f t="shared" ca="1" si="667"/>
        <v>280.07692026646265</v>
      </c>
      <c r="T1404">
        <f t="shared" ca="1" si="668"/>
        <v>1019.7665564573041</v>
      </c>
      <c r="U1404">
        <f t="shared" ca="1" si="689"/>
        <v>-482.07256851378361</v>
      </c>
      <c r="V1404">
        <f t="shared" ca="1" si="690"/>
        <v>0</v>
      </c>
      <c r="W1404">
        <f t="shared" ca="1" si="669"/>
        <v>0.05</v>
      </c>
      <c r="X1404">
        <f t="shared" ca="1" si="670"/>
        <v>0.26</v>
      </c>
      <c r="Y1404">
        <f t="shared" ca="1" si="671"/>
        <v>4.9056603773584909E-2</v>
      </c>
      <c r="Z1404">
        <f t="shared" ca="1" si="672"/>
        <v>196.15384615384616</v>
      </c>
      <c r="AA1404">
        <f t="shared" ca="1" si="673"/>
        <v>631.9849999999999</v>
      </c>
      <c r="AB1404">
        <f t="shared" ca="1" si="674"/>
        <v>2593.062031648662</v>
      </c>
      <c r="AC1404">
        <f t="shared" ca="1" si="675"/>
        <v>482.07306851378365</v>
      </c>
      <c r="AD1404">
        <f t="shared" ca="1" si="676"/>
        <v>280.07692026646265</v>
      </c>
      <c r="AE1404">
        <f t="shared" ca="1" si="677"/>
        <v>1019.7665564573041</v>
      </c>
      <c r="AF1404">
        <f t="shared" ca="1" si="678"/>
        <v>482.07910543722255</v>
      </c>
      <c r="AG1404">
        <f t="shared" ca="1" si="679"/>
        <v>0</v>
      </c>
      <c r="AH1404">
        <f ca="1">IF(V32="Supercritical",L1404,IF(V32="Subcritical",W1404,IF(AND(V1404=1,AG1404=1),IF(T1404&gt;=AE1404,L1404,W1404),IF(V1404=1,L1404,IF(AG1404=1,W1404,MAX($D$16,POWER((ABS(K1404)^2)/($I$5*MAX(F1404,0.1)^2),1/3)))))))</f>
        <v>2.1403668656741068</v>
      </c>
      <c r="AI1404">
        <f t="shared" ca="1" si="680"/>
        <v>634.07536686567403</v>
      </c>
      <c r="AJ1404">
        <f t="shared" ca="1" si="681"/>
        <v>635.14555029851113</v>
      </c>
      <c r="AM1404">
        <v>0</v>
      </c>
      <c r="AN1404">
        <v>0</v>
      </c>
      <c r="AO1404">
        <f t="shared" si="682"/>
        <v>0</v>
      </c>
      <c r="AP1404">
        <f t="shared" si="691"/>
        <v>0</v>
      </c>
      <c r="AQ1404">
        <f t="shared" ca="1" si="683"/>
        <v>0.99999999999999978</v>
      </c>
      <c r="AR1404" t="str">
        <f t="shared" ca="1" si="684"/>
        <v>Supercritical</v>
      </c>
      <c r="AS1404">
        <f t="shared" ca="1" si="685"/>
        <v>3.8148159832266538E-3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191</v>
      </c>
      <c r="I1405">
        <v>2E-3</v>
      </c>
      <c r="J1405">
        <f t="shared" si="686"/>
        <v>1</v>
      </c>
      <c r="K1405">
        <f t="shared" si="687"/>
        <v>51</v>
      </c>
      <c r="L1405">
        <f t="shared" ca="1" si="688"/>
        <v>0.05</v>
      </c>
      <c r="M1405">
        <f t="shared" ca="1" si="661"/>
        <v>0.26</v>
      </c>
      <c r="N1405">
        <f t="shared" ca="1" si="662"/>
        <v>4.9056603773584909E-2</v>
      </c>
      <c r="O1405">
        <f t="shared" ca="1" si="663"/>
        <v>196.15384615384616</v>
      </c>
      <c r="P1405">
        <f t="shared" ca="1" si="664"/>
        <v>631.98449999999991</v>
      </c>
      <c r="Q1405">
        <f t="shared" ca="1" si="665"/>
        <v>2593.0615316486619</v>
      </c>
      <c r="R1405">
        <f t="shared" ca="1" si="666"/>
        <v>482.07306851378365</v>
      </c>
      <c r="S1405">
        <f t="shared" ca="1" si="667"/>
        <v>280.07692026646265</v>
      </c>
      <c r="T1405">
        <f t="shared" ca="1" si="668"/>
        <v>1019.7665564573041</v>
      </c>
      <c r="U1405">
        <f t="shared" ca="1" si="689"/>
        <v>-482.07910543722255</v>
      </c>
      <c r="V1405">
        <f t="shared" ca="1" si="690"/>
        <v>0</v>
      </c>
      <c r="W1405">
        <f t="shared" ca="1" si="669"/>
        <v>0.24873741575289426</v>
      </c>
      <c r="X1405">
        <f t="shared" ca="1" si="670"/>
        <v>1.2934345619150502</v>
      </c>
      <c r="Y1405">
        <f t="shared" ca="1" si="671"/>
        <v>0.22701891630352455</v>
      </c>
      <c r="Z1405">
        <f t="shared" ca="1" si="672"/>
        <v>39.4299035310219</v>
      </c>
      <c r="AA1405">
        <f t="shared" ca="1" si="673"/>
        <v>632.18323741575284</v>
      </c>
      <c r="AB1405">
        <f t="shared" ca="1" si="674"/>
        <v>711.4246896311297</v>
      </c>
      <c r="AC1405">
        <f t="shared" ca="1" si="675"/>
        <v>2.5259100774159635</v>
      </c>
      <c r="AD1405">
        <f t="shared" ca="1" si="676"/>
        <v>25.241819211227916</v>
      </c>
      <c r="AE1405">
        <f t="shared" ca="1" si="677"/>
        <v>205.14812884860467</v>
      </c>
      <c r="AF1405">
        <f t="shared" ca="1" si="678"/>
        <v>2.5358601327154702</v>
      </c>
      <c r="AG1405">
        <f t="shared" ca="1" si="679"/>
        <v>0</v>
      </c>
      <c r="AH1405">
        <f ca="1">IF(V32="Supercritical",L1405,IF(V32="Subcritical",W1405,IF(AND(V1405=1,AG1405=1),IF(T1405&gt;=AE1405,L1405,W1405),IF(V1405=1,L1405,IF(AG1405=1,W1405,MAX($D$16,POWER((ABS(K1405)^2)/($I$5*MAX(F1405,0.1)^2),1/3)))))))</f>
        <v>2.1403668656741068</v>
      </c>
      <c r="AI1405">
        <f t="shared" ca="1" si="680"/>
        <v>634.07486686567404</v>
      </c>
      <c r="AJ1405">
        <f t="shared" ca="1" si="681"/>
        <v>635.14505029851114</v>
      </c>
      <c r="AM1405">
        <v>0</v>
      </c>
      <c r="AN1405">
        <v>0</v>
      </c>
      <c r="AO1405">
        <f t="shared" si="682"/>
        <v>0</v>
      </c>
      <c r="AP1405">
        <f t="shared" si="691"/>
        <v>0</v>
      </c>
      <c r="AQ1405">
        <f t="shared" ca="1" si="683"/>
        <v>0.99999999999999978</v>
      </c>
      <c r="AR1405" t="str">
        <f t="shared" ca="1" si="684"/>
        <v>Supercritical</v>
      </c>
      <c r="AS1405">
        <f t="shared" ca="1" si="685"/>
        <v>3.8148159832266538E-3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191</v>
      </c>
      <c r="I1406">
        <v>0.06</v>
      </c>
      <c r="J1406">
        <f t="shared" si="686"/>
        <v>1.0010000000002037</v>
      </c>
      <c r="K1406">
        <f t="shared" si="687"/>
        <v>51</v>
      </c>
      <c r="L1406">
        <f t="shared" ca="1" si="688"/>
        <v>0.05</v>
      </c>
      <c r="M1406">
        <f t="shared" ca="1" si="661"/>
        <v>0.26</v>
      </c>
      <c r="N1406">
        <f t="shared" ca="1" si="662"/>
        <v>4.9056603773584909E-2</v>
      </c>
      <c r="O1406">
        <f t="shared" ca="1" si="663"/>
        <v>196.15384615384616</v>
      </c>
      <c r="P1406">
        <f t="shared" ca="1" si="664"/>
        <v>631.98399999999992</v>
      </c>
      <c r="Q1406">
        <f t="shared" ca="1" si="665"/>
        <v>2593.0610316486618</v>
      </c>
      <c r="R1406">
        <f t="shared" ca="1" si="666"/>
        <v>482.07306851378365</v>
      </c>
      <c r="S1406">
        <f t="shared" ca="1" si="667"/>
        <v>280.07692026646265</v>
      </c>
      <c r="T1406">
        <f t="shared" ca="1" si="668"/>
        <v>1019.7665564573041</v>
      </c>
      <c r="U1406">
        <f t="shared" ca="1" si="689"/>
        <v>-482.75074928556023</v>
      </c>
      <c r="V1406">
        <f t="shared" ca="1" si="690"/>
        <v>0</v>
      </c>
      <c r="W1406">
        <f t="shared" ca="1" si="669"/>
        <v>0.05</v>
      </c>
      <c r="X1406">
        <f t="shared" ca="1" si="670"/>
        <v>0.26</v>
      </c>
      <c r="Y1406">
        <f t="shared" ca="1" si="671"/>
        <v>4.9056603773584909E-2</v>
      </c>
      <c r="Z1406">
        <f t="shared" ca="1" si="672"/>
        <v>196.15384615384616</v>
      </c>
      <c r="AA1406">
        <f t="shared" ca="1" si="673"/>
        <v>631.98399999999992</v>
      </c>
      <c r="AB1406">
        <f t="shared" ca="1" si="674"/>
        <v>2593.0610316486618</v>
      </c>
      <c r="AC1406">
        <f t="shared" ca="1" si="675"/>
        <v>482.07306851378365</v>
      </c>
      <c r="AD1406">
        <f t="shared" ca="1" si="676"/>
        <v>280.07692026646265</v>
      </c>
      <c r="AE1406">
        <f t="shared" ca="1" si="677"/>
        <v>1019.7665564573041</v>
      </c>
      <c r="AF1406">
        <f t="shared" ca="1" si="678"/>
        <v>482.25887083179077</v>
      </c>
      <c r="AG1406">
        <f t="shared" ca="1" si="679"/>
        <v>0</v>
      </c>
      <c r="AH1406">
        <f ca="1">IF(V32="Supercritical",L1406,IF(V32="Subcritical",W1406,IF(AND(V1406=1,AG1406=1),IF(T1406&gt;=AE1406,L1406,W1406),IF(V1406=1,L1406,IF(AG1406=1,W1406,MAX($D$16,POWER((ABS(K1406)^2)/($I$5*MAX(F1406,0.1)^2),1/3)))))))</f>
        <v>2.1403668656741068</v>
      </c>
      <c r="AI1406">
        <f t="shared" ca="1" si="680"/>
        <v>634.07436686567405</v>
      </c>
      <c r="AJ1406">
        <f t="shared" ca="1" si="681"/>
        <v>635.14455029851115</v>
      </c>
      <c r="AM1406">
        <v>0</v>
      </c>
      <c r="AN1406">
        <v>0</v>
      </c>
      <c r="AO1406">
        <f t="shared" si="682"/>
        <v>0</v>
      </c>
      <c r="AP1406">
        <f t="shared" si="691"/>
        <v>0</v>
      </c>
      <c r="AQ1406">
        <f t="shared" ca="1" si="683"/>
        <v>0.99999999999999978</v>
      </c>
      <c r="AR1406" t="str">
        <f t="shared" ca="1" si="684"/>
        <v>Supercritical</v>
      </c>
      <c r="AS1406">
        <f t="shared" ca="1" si="685"/>
        <v>3.8148159832266538E-3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191</v>
      </c>
      <c r="I1407">
        <v>5.7000000000000002E-2</v>
      </c>
      <c r="J1407">
        <f t="shared" si="686"/>
        <v>1</v>
      </c>
      <c r="K1407">
        <f t="shared" si="687"/>
        <v>51</v>
      </c>
      <c r="L1407">
        <f t="shared" ca="1" si="688"/>
        <v>0.05</v>
      </c>
      <c r="M1407">
        <f t="shared" ca="1" si="661"/>
        <v>0.26</v>
      </c>
      <c r="N1407">
        <f t="shared" ca="1" si="662"/>
        <v>4.9056603773584909E-2</v>
      </c>
      <c r="O1407">
        <f t="shared" ca="1" si="663"/>
        <v>196.15384615384616</v>
      </c>
      <c r="P1407">
        <f t="shared" ca="1" si="664"/>
        <v>631.98349999999994</v>
      </c>
      <c r="Q1407">
        <f t="shared" ca="1" si="665"/>
        <v>2593.0605316486622</v>
      </c>
      <c r="R1407">
        <f t="shared" ca="1" si="666"/>
        <v>482.07306851378365</v>
      </c>
      <c r="S1407">
        <f t="shared" ca="1" si="667"/>
        <v>280.07692026646265</v>
      </c>
      <c r="T1407">
        <f t="shared" ca="1" si="668"/>
        <v>1019.7665564573041</v>
      </c>
      <c r="U1407">
        <f t="shared" ca="1" si="689"/>
        <v>-482.25887083179077</v>
      </c>
      <c r="V1407">
        <f t="shared" ca="1" si="690"/>
        <v>0</v>
      </c>
      <c r="W1407">
        <f t="shared" ca="1" si="669"/>
        <v>0.24873741575289426</v>
      </c>
      <c r="X1407">
        <f t="shared" ca="1" si="670"/>
        <v>1.2934345619150502</v>
      </c>
      <c r="Y1407">
        <f t="shared" ca="1" si="671"/>
        <v>0.22701891630352455</v>
      </c>
      <c r="Z1407">
        <f t="shared" ca="1" si="672"/>
        <v>39.4299035310219</v>
      </c>
      <c r="AA1407">
        <f t="shared" ca="1" si="673"/>
        <v>632.18223741575287</v>
      </c>
      <c r="AB1407">
        <f t="shared" ca="1" si="674"/>
        <v>711.42368963112972</v>
      </c>
      <c r="AC1407">
        <f t="shared" ca="1" si="675"/>
        <v>2.5259100774159635</v>
      </c>
      <c r="AD1407">
        <f t="shared" ca="1" si="676"/>
        <v>25.241819211227916</v>
      </c>
      <c r="AE1407">
        <f t="shared" ca="1" si="677"/>
        <v>205.14812884860467</v>
      </c>
      <c r="AF1407">
        <f t="shared" ca="1" si="678"/>
        <v>2.5254100774159269</v>
      </c>
      <c r="AG1407">
        <f t="shared" ca="1" si="679"/>
        <v>0</v>
      </c>
      <c r="AH1407">
        <f ca="1">IF(V32="Supercritical",L1407,IF(V32="Subcritical",W1407,IF(AND(V1407=1,AG1407=1),IF(T1407&gt;=AE1407,L1407,W1407),IF(V1407=1,L1407,IF(AG1407=1,W1407,MAX($D$16,POWER((ABS(K1407)^2)/($I$5*MAX(F1407,0.1)^2),1/3)))))))</f>
        <v>2.1403668656741068</v>
      </c>
      <c r="AI1407">
        <f t="shared" ca="1" si="680"/>
        <v>634.07386686567406</v>
      </c>
      <c r="AJ1407">
        <f t="shared" ca="1" si="681"/>
        <v>635.14405029851116</v>
      </c>
      <c r="AM1407">
        <v>0</v>
      </c>
      <c r="AN1407">
        <v>0</v>
      </c>
      <c r="AO1407">
        <f t="shared" si="682"/>
        <v>0</v>
      </c>
      <c r="AP1407">
        <f t="shared" si="691"/>
        <v>0</v>
      </c>
      <c r="AQ1407">
        <f t="shared" ca="1" si="683"/>
        <v>0.99999999999999978</v>
      </c>
      <c r="AR1407" t="str">
        <f t="shared" ca="1" si="684"/>
        <v>Supercritical</v>
      </c>
      <c r="AS1407">
        <f t="shared" ca="1" si="685"/>
        <v>3.8148159832266538E-3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191</v>
      </c>
      <c r="I1408">
        <v>0</v>
      </c>
      <c r="J1408">
        <f t="shared" si="686"/>
        <v>1</v>
      </c>
      <c r="K1408">
        <f t="shared" si="687"/>
        <v>51</v>
      </c>
      <c r="L1408">
        <f t="shared" ca="1" si="688"/>
        <v>0.05</v>
      </c>
      <c r="M1408">
        <f t="shared" ca="1" si="661"/>
        <v>0.26</v>
      </c>
      <c r="N1408">
        <f t="shared" ca="1" si="662"/>
        <v>4.9056603773584909E-2</v>
      </c>
      <c r="O1408">
        <f t="shared" ca="1" si="663"/>
        <v>196.15384615384616</v>
      </c>
      <c r="P1408">
        <f t="shared" ca="1" si="664"/>
        <v>631.98299999999995</v>
      </c>
      <c r="Q1408">
        <f t="shared" ca="1" si="665"/>
        <v>2593.0600316486621</v>
      </c>
      <c r="R1408">
        <f t="shared" ca="1" si="666"/>
        <v>482.07306851378365</v>
      </c>
      <c r="S1408">
        <f t="shared" ca="1" si="667"/>
        <v>280.07692026646265</v>
      </c>
      <c r="T1408">
        <f t="shared" ca="1" si="668"/>
        <v>1019.7665564573041</v>
      </c>
      <c r="U1408">
        <f t="shared" ca="1" si="689"/>
        <v>-482.07256851378361</v>
      </c>
      <c r="V1408">
        <f t="shared" ca="1" si="690"/>
        <v>0</v>
      </c>
      <c r="W1408">
        <f t="shared" ca="1" si="669"/>
        <v>0.05</v>
      </c>
      <c r="X1408">
        <f t="shared" ca="1" si="670"/>
        <v>0.26</v>
      </c>
      <c r="Y1408">
        <f t="shared" ca="1" si="671"/>
        <v>4.9056603773584909E-2</v>
      </c>
      <c r="Z1408">
        <f t="shared" ca="1" si="672"/>
        <v>196.15384615384616</v>
      </c>
      <c r="AA1408">
        <f t="shared" ca="1" si="673"/>
        <v>631.98299999999995</v>
      </c>
      <c r="AB1408">
        <f t="shared" ca="1" si="674"/>
        <v>2593.0600316486621</v>
      </c>
      <c r="AC1408">
        <f t="shared" ca="1" si="675"/>
        <v>482.07306851378365</v>
      </c>
      <c r="AD1408">
        <f t="shared" ca="1" si="676"/>
        <v>280.07692026646265</v>
      </c>
      <c r="AE1408">
        <f t="shared" ca="1" si="677"/>
        <v>1019.7665564573041</v>
      </c>
      <c r="AF1408">
        <f t="shared" ca="1" si="678"/>
        <v>481.59049544517165</v>
      </c>
      <c r="AG1408">
        <f t="shared" ca="1" si="679"/>
        <v>0</v>
      </c>
      <c r="AH1408">
        <f ca="1">IF(V32="Supercritical",L1408,IF(V32="Subcritical",W1408,IF(AND(V1408=1,AG1408=1),IF(T1408&gt;=AE1408,L1408,W1408),IF(V1408=1,L1408,IF(AG1408=1,W1408,MAX($D$16,POWER((ABS(K1408)^2)/($I$5*MAX(F1408,0.1)^2),1/3)))))))</f>
        <v>2.1403668656741068</v>
      </c>
      <c r="AI1408">
        <f t="shared" ca="1" si="680"/>
        <v>634.07336686567407</v>
      </c>
      <c r="AJ1408">
        <f t="shared" ca="1" si="681"/>
        <v>635.14355029851117</v>
      </c>
      <c r="AM1408">
        <v>0</v>
      </c>
      <c r="AN1408">
        <v>0</v>
      </c>
      <c r="AO1408">
        <f t="shared" si="682"/>
        <v>0</v>
      </c>
      <c r="AP1408">
        <f t="shared" si="691"/>
        <v>0</v>
      </c>
      <c r="AQ1408">
        <f t="shared" ca="1" si="683"/>
        <v>0.99999999999999978</v>
      </c>
      <c r="AR1408" t="str">
        <f t="shared" ca="1" si="684"/>
        <v>Supercritical</v>
      </c>
      <c r="AS1408">
        <f t="shared" ca="1" si="685"/>
        <v>3.8148159832266538E-3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191</v>
      </c>
      <c r="I1409">
        <v>0</v>
      </c>
      <c r="J1409">
        <f t="shared" si="686"/>
        <v>0.99899999999979627</v>
      </c>
      <c r="K1409">
        <f t="shared" si="687"/>
        <v>51</v>
      </c>
      <c r="L1409">
        <f t="shared" ca="1" si="688"/>
        <v>0.05</v>
      </c>
      <c r="M1409">
        <f t="shared" ca="1" si="661"/>
        <v>0.26</v>
      </c>
      <c r="N1409">
        <f t="shared" ca="1" si="662"/>
        <v>4.9056603773584909E-2</v>
      </c>
      <c r="O1409">
        <f t="shared" ca="1" si="663"/>
        <v>196.15384615384616</v>
      </c>
      <c r="P1409">
        <f t="shared" ca="1" si="664"/>
        <v>631.98249999999996</v>
      </c>
      <c r="Q1409">
        <f t="shared" ca="1" si="665"/>
        <v>2593.059531648662</v>
      </c>
      <c r="R1409">
        <f t="shared" ca="1" si="666"/>
        <v>482.07306851378365</v>
      </c>
      <c r="S1409">
        <f t="shared" ca="1" si="667"/>
        <v>280.07692026646265</v>
      </c>
      <c r="T1409">
        <f t="shared" ca="1" si="668"/>
        <v>1019.7665564573041</v>
      </c>
      <c r="U1409">
        <f t="shared" ca="1" si="689"/>
        <v>-481.59049544517165</v>
      </c>
      <c r="V1409">
        <f t="shared" ca="1" si="690"/>
        <v>0</v>
      </c>
      <c r="W1409">
        <f t="shared" ca="1" si="669"/>
        <v>0.24873741575289426</v>
      </c>
      <c r="X1409">
        <f t="shared" ca="1" si="670"/>
        <v>1.2934345619150502</v>
      </c>
      <c r="Y1409">
        <f t="shared" ca="1" si="671"/>
        <v>0.22701891630352455</v>
      </c>
      <c r="Z1409">
        <f t="shared" ca="1" si="672"/>
        <v>39.4299035310219</v>
      </c>
      <c r="AA1409">
        <f t="shared" ca="1" si="673"/>
        <v>632.18123741575289</v>
      </c>
      <c r="AB1409">
        <f t="shared" ca="1" si="674"/>
        <v>711.42268963112974</v>
      </c>
      <c r="AC1409">
        <f t="shared" ca="1" si="675"/>
        <v>2.5259100774159635</v>
      </c>
      <c r="AD1409">
        <f t="shared" ca="1" si="676"/>
        <v>25.241819211227916</v>
      </c>
      <c r="AE1409">
        <f t="shared" ca="1" si="677"/>
        <v>205.14812884860467</v>
      </c>
      <c r="AF1409">
        <f t="shared" ca="1" si="678"/>
        <v>2.5329380153764305</v>
      </c>
      <c r="AG1409">
        <f t="shared" ca="1" si="679"/>
        <v>0</v>
      </c>
      <c r="AH1409">
        <f ca="1">IF(V32="Supercritical",L1409,IF(V32="Subcritical",W1409,IF(AND(V1409=1,AG1409=1),IF(T1409&gt;=AE1409,L1409,W1409),IF(V1409=1,L1409,IF(AG1409=1,W1409,MAX($D$16,POWER((ABS(K1409)^2)/($I$5*MAX(F1409,0.1)^2),1/3)))))))</f>
        <v>2.1403668656741068</v>
      </c>
      <c r="AI1409">
        <f t="shared" ca="1" si="680"/>
        <v>634.07286686567409</v>
      </c>
      <c r="AJ1409">
        <f t="shared" ca="1" si="681"/>
        <v>635.14305029851118</v>
      </c>
      <c r="AM1409">
        <v>0</v>
      </c>
      <c r="AN1409">
        <v>0</v>
      </c>
      <c r="AO1409">
        <f t="shared" si="682"/>
        <v>0</v>
      </c>
      <c r="AP1409">
        <f t="shared" si="691"/>
        <v>0</v>
      </c>
      <c r="AQ1409">
        <f t="shared" ca="1" si="683"/>
        <v>0.99999999999999978</v>
      </c>
      <c r="AR1409" t="str">
        <f t="shared" ca="1" si="684"/>
        <v>Supercritical</v>
      </c>
      <c r="AS1409">
        <f t="shared" ca="1" si="685"/>
        <v>3.8148159832266538E-3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191</v>
      </c>
      <c r="I1410">
        <v>5.7000000000000002E-2</v>
      </c>
      <c r="J1410">
        <f t="shared" si="686"/>
        <v>1</v>
      </c>
      <c r="K1410">
        <f t="shared" si="687"/>
        <v>51</v>
      </c>
      <c r="L1410">
        <f t="shared" ca="1" si="688"/>
        <v>0.05</v>
      </c>
      <c r="M1410">
        <f t="shared" ca="1" si="661"/>
        <v>0.26</v>
      </c>
      <c r="N1410">
        <f t="shared" ca="1" si="662"/>
        <v>4.9056603773584909E-2</v>
      </c>
      <c r="O1410">
        <f t="shared" ca="1" si="663"/>
        <v>196.15384615384616</v>
      </c>
      <c r="P1410">
        <f t="shared" ca="1" si="664"/>
        <v>631.98199999999997</v>
      </c>
      <c r="Q1410">
        <f t="shared" ca="1" si="665"/>
        <v>2593.0590316486623</v>
      </c>
      <c r="R1410">
        <f t="shared" ca="1" si="666"/>
        <v>482.07306851378365</v>
      </c>
      <c r="S1410">
        <f t="shared" ca="1" si="667"/>
        <v>280.07692026646265</v>
      </c>
      <c r="T1410">
        <f t="shared" ca="1" si="668"/>
        <v>1019.7665564573041</v>
      </c>
      <c r="U1410">
        <f t="shared" ca="1" si="689"/>
        <v>-482.25887083179077</v>
      </c>
      <c r="V1410">
        <f t="shared" ca="1" si="690"/>
        <v>0</v>
      </c>
      <c r="W1410">
        <f t="shared" ca="1" si="669"/>
        <v>0.05</v>
      </c>
      <c r="X1410">
        <f t="shared" ca="1" si="670"/>
        <v>0.26</v>
      </c>
      <c r="Y1410">
        <f t="shared" ca="1" si="671"/>
        <v>4.9056603773584909E-2</v>
      </c>
      <c r="Z1410">
        <f t="shared" ca="1" si="672"/>
        <v>196.15384615384616</v>
      </c>
      <c r="AA1410">
        <f t="shared" ca="1" si="673"/>
        <v>631.98199999999997</v>
      </c>
      <c r="AB1410">
        <f t="shared" ca="1" si="674"/>
        <v>2593.0590316486623</v>
      </c>
      <c r="AC1410">
        <f t="shared" ca="1" si="675"/>
        <v>482.07306851378365</v>
      </c>
      <c r="AD1410">
        <f t="shared" ca="1" si="676"/>
        <v>280.07692026646265</v>
      </c>
      <c r="AE1410">
        <f t="shared" ca="1" si="677"/>
        <v>1019.7665564573041</v>
      </c>
      <c r="AF1410">
        <f t="shared" ca="1" si="678"/>
        <v>482.25887083179032</v>
      </c>
      <c r="AG1410">
        <f t="shared" ca="1" si="679"/>
        <v>0</v>
      </c>
      <c r="AH1410">
        <f ca="1">IF(V32="Supercritical",L1410,IF(V32="Subcritical",W1410,IF(AND(V1410=1,AG1410=1),IF(T1410&gt;=AE1410,L1410,W1410),IF(V1410=1,L1410,IF(AG1410=1,W1410,MAX($D$16,POWER((ABS(K1410)^2)/($I$5*MAX(F1410,0.1)^2),1/3)))))))</f>
        <v>2.1403668656741068</v>
      </c>
      <c r="AI1410">
        <f t="shared" ca="1" si="680"/>
        <v>634.0723668656741</v>
      </c>
      <c r="AJ1410">
        <f t="shared" ca="1" si="681"/>
        <v>635.1425502985112</v>
      </c>
      <c r="AM1410">
        <v>0</v>
      </c>
      <c r="AN1410">
        <v>0</v>
      </c>
      <c r="AO1410">
        <f t="shared" si="682"/>
        <v>0</v>
      </c>
      <c r="AP1410">
        <f t="shared" si="691"/>
        <v>0</v>
      </c>
      <c r="AQ1410">
        <f t="shared" ca="1" si="683"/>
        <v>0.99999999999999978</v>
      </c>
      <c r="AR1410" t="str">
        <f t="shared" ca="1" si="684"/>
        <v>Supercritical</v>
      </c>
      <c r="AS1410">
        <f t="shared" ca="1" si="685"/>
        <v>3.8148159832266538E-3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191</v>
      </c>
      <c r="I1411">
        <v>5.7000000000000002E-2</v>
      </c>
      <c r="J1411">
        <f t="shared" si="686"/>
        <v>1</v>
      </c>
      <c r="K1411">
        <f t="shared" si="687"/>
        <v>51</v>
      </c>
      <c r="L1411">
        <f t="shared" ca="1" si="688"/>
        <v>0.05</v>
      </c>
      <c r="M1411">
        <f t="shared" ca="1" si="661"/>
        <v>0.26</v>
      </c>
      <c r="N1411">
        <f t="shared" ca="1" si="662"/>
        <v>4.9056603773584909E-2</v>
      </c>
      <c r="O1411">
        <f t="shared" ca="1" si="663"/>
        <v>196.15384615384616</v>
      </c>
      <c r="P1411">
        <f t="shared" ca="1" si="664"/>
        <v>631.98149999999998</v>
      </c>
      <c r="Q1411">
        <f t="shared" ca="1" si="665"/>
        <v>2593.0585316486622</v>
      </c>
      <c r="R1411">
        <f t="shared" ca="1" si="666"/>
        <v>482.07306851378365</v>
      </c>
      <c r="S1411">
        <f t="shared" ca="1" si="667"/>
        <v>280.07692026646265</v>
      </c>
      <c r="T1411">
        <f t="shared" ca="1" si="668"/>
        <v>1019.7665564573041</v>
      </c>
      <c r="U1411">
        <f t="shared" ca="1" si="689"/>
        <v>-482.25887083179032</v>
      </c>
      <c r="V1411">
        <f t="shared" ca="1" si="690"/>
        <v>0</v>
      </c>
      <c r="W1411">
        <f t="shared" ca="1" si="669"/>
        <v>0.24873741575289426</v>
      </c>
      <c r="X1411">
        <f t="shared" ca="1" si="670"/>
        <v>1.2934345619150502</v>
      </c>
      <c r="Y1411">
        <f t="shared" ca="1" si="671"/>
        <v>0.22701891630352455</v>
      </c>
      <c r="Z1411">
        <f t="shared" ca="1" si="672"/>
        <v>39.4299035310219</v>
      </c>
      <c r="AA1411">
        <f t="shared" ca="1" si="673"/>
        <v>632.18023741575291</v>
      </c>
      <c r="AB1411">
        <f t="shared" ca="1" si="674"/>
        <v>711.42168963112977</v>
      </c>
      <c r="AC1411">
        <f t="shared" ca="1" si="675"/>
        <v>2.5259100774159635</v>
      </c>
      <c r="AD1411">
        <f t="shared" ca="1" si="676"/>
        <v>25.241819211227916</v>
      </c>
      <c r="AE1411">
        <f t="shared" ca="1" si="677"/>
        <v>205.14812884860467</v>
      </c>
      <c r="AF1411">
        <f t="shared" ca="1" si="678"/>
        <v>2.5254100774159269</v>
      </c>
      <c r="AG1411">
        <f t="shared" ca="1" si="679"/>
        <v>0</v>
      </c>
      <c r="AH1411">
        <f ca="1">IF(V32="Supercritical",L1411,IF(V32="Subcritical",W1411,IF(AND(V1411=1,AG1411=1),IF(T1411&gt;=AE1411,L1411,W1411),IF(V1411=1,L1411,IF(AG1411=1,W1411,MAX($D$16,POWER((ABS(K1411)^2)/($I$5*MAX(F1411,0.1)^2),1/3)))))))</f>
        <v>2.1403668656741068</v>
      </c>
      <c r="AI1411">
        <f t="shared" ca="1" si="680"/>
        <v>634.07186686567411</v>
      </c>
      <c r="AJ1411">
        <f t="shared" ca="1" si="681"/>
        <v>635.14205029851121</v>
      </c>
      <c r="AM1411">
        <v>0</v>
      </c>
      <c r="AN1411">
        <v>0</v>
      </c>
      <c r="AO1411">
        <f t="shared" si="682"/>
        <v>0</v>
      </c>
      <c r="AP1411">
        <f t="shared" si="691"/>
        <v>0</v>
      </c>
      <c r="AQ1411">
        <f t="shared" ca="1" si="683"/>
        <v>0.99999999999999978</v>
      </c>
      <c r="AR1411" t="str">
        <f t="shared" ca="1" si="684"/>
        <v>Supercritical</v>
      </c>
      <c r="AS1411">
        <f t="shared" ca="1" si="685"/>
        <v>3.8148159832266538E-3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191</v>
      </c>
      <c r="I1412">
        <v>0</v>
      </c>
      <c r="J1412">
        <f t="shared" si="686"/>
        <v>1</v>
      </c>
      <c r="K1412">
        <f t="shared" si="687"/>
        <v>51</v>
      </c>
      <c r="L1412">
        <f t="shared" ca="1" si="688"/>
        <v>0.05</v>
      </c>
      <c r="M1412">
        <f t="shared" ca="1" si="661"/>
        <v>0.26</v>
      </c>
      <c r="N1412">
        <f t="shared" ca="1" si="662"/>
        <v>4.9056603773584909E-2</v>
      </c>
      <c r="O1412">
        <f t="shared" ca="1" si="663"/>
        <v>196.15384615384616</v>
      </c>
      <c r="P1412">
        <f t="shared" ca="1" si="664"/>
        <v>631.98099999999999</v>
      </c>
      <c r="Q1412">
        <f t="shared" ca="1" si="665"/>
        <v>2593.0580316486621</v>
      </c>
      <c r="R1412">
        <f t="shared" ca="1" si="666"/>
        <v>482.07306851378365</v>
      </c>
      <c r="S1412">
        <f t="shared" ca="1" si="667"/>
        <v>280.07692026646265</v>
      </c>
      <c r="T1412">
        <f t="shared" ca="1" si="668"/>
        <v>1019.7665564573041</v>
      </c>
      <c r="U1412">
        <f t="shared" ca="1" si="689"/>
        <v>-482.07256851378361</v>
      </c>
      <c r="V1412">
        <f t="shared" ca="1" si="690"/>
        <v>0</v>
      </c>
      <c r="W1412">
        <f t="shared" ca="1" si="669"/>
        <v>0.4176642191428544</v>
      </c>
      <c r="X1412">
        <f t="shared" ca="1" si="670"/>
        <v>2.1718539395428431</v>
      </c>
      <c r="Y1412">
        <f t="shared" ca="1" si="671"/>
        <v>0.35985679350364275</v>
      </c>
      <c r="Z1412">
        <f t="shared" ca="1" si="672"/>
        <v>23.482242093469264</v>
      </c>
      <c r="AA1412">
        <f t="shared" ca="1" si="673"/>
        <v>632.34866421914285</v>
      </c>
      <c r="AB1412">
        <f t="shared" ca="1" si="674"/>
        <v>660.4534396389339</v>
      </c>
      <c r="AC1412">
        <f t="shared" ca="1" si="675"/>
        <v>0.48471749968386346</v>
      </c>
      <c r="AD1412">
        <f t="shared" ca="1" si="676"/>
        <v>11.600893018412474</v>
      </c>
      <c r="AE1412">
        <f t="shared" ca="1" si="677"/>
        <v>122.53248727075569</v>
      </c>
      <c r="AF1412">
        <f t="shared" ca="1" si="678"/>
        <v>0.48421749968383665</v>
      </c>
      <c r="AG1412">
        <f t="shared" ca="1" si="679"/>
        <v>0</v>
      </c>
      <c r="AH1412">
        <f ca="1">IF(V32="Supercritical",L1412,IF(V32="Subcritical",W1412,IF(AND(V1412=1,AG1412=1),IF(T1412&gt;=AE1412,L1412,W1412),IF(V1412=1,L1412,IF(AG1412=1,W1412,MAX($D$16,POWER((ABS(K1412)^2)/($I$5*MAX(F1412,0.1)^2),1/3)))))))</f>
        <v>2.1403668656741068</v>
      </c>
      <c r="AI1412">
        <f t="shared" ca="1" si="680"/>
        <v>634.07136686567412</v>
      </c>
      <c r="AJ1412">
        <f t="shared" ca="1" si="681"/>
        <v>635.14155029851122</v>
      </c>
      <c r="AM1412">
        <v>0</v>
      </c>
      <c r="AN1412">
        <v>0</v>
      </c>
      <c r="AO1412">
        <f t="shared" si="682"/>
        <v>0</v>
      </c>
      <c r="AP1412">
        <f t="shared" si="691"/>
        <v>0</v>
      </c>
      <c r="AQ1412">
        <f t="shared" ca="1" si="683"/>
        <v>0.99999999999999978</v>
      </c>
      <c r="AR1412" t="str">
        <f t="shared" ca="1" si="684"/>
        <v>Supercritical</v>
      </c>
      <c r="AS1412">
        <f t="shared" ca="1" si="685"/>
        <v>3.8148159832266538E-3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191</v>
      </c>
      <c r="I1413">
        <v>0</v>
      </c>
      <c r="J1413">
        <f t="shared" si="686"/>
        <v>1</v>
      </c>
      <c r="K1413">
        <f t="shared" si="687"/>
        <v>51</v>
      </c>
      <c r="L1413">
        <f t="shared" ca="1" si="688"/>
        <v>0.05</v>
      </c>
      <c r="M1413">
        <f t="shared" ca="1" si="661"/>
        <v>0.26</v>
      </c>
      <c r="N1413">
        <f t="shared" ca="1" si="662"/>
        <v>4.9056603773584909E-2</v>
      </c>
      <c r="O1413">
        <f t="shared" ca="1" si="663"/>
        <v>196.15384615384616</v>
      </c>
      <c r="P1413">
        <f t="shared" ca="1" si="664"/>
        <v>631.98050000000001</v>
      </c>
      <c r="Q1413">
        <f t="shared" ca="1" si="665"/>
        <v>2593.057531648662</v>
      </c>
      <c r="R1413">
        <f t="shared" ca="1" si="666"/>
        <v>482.07306851378365</v>
      </c>
      <c r="S1413">
        <f t="shared" ca="1" si="667"/>
        <v>280.07692026646265</v>
      </c>
      <c r="T1413">
        <f t="shared" ca="1" si="668"/>
        <v>1019.7665564573041</v>
      </c>
      <c r="U1413">
        <f t="shared" ca="1" si="689"/>
        <v>-482.07256851378361</v>
      </c>
      <c r="V1413">
        <f t="shared" ca="1" si="690"/>
        <v>0</v>
      </c>
      <c r="W1413">
        <f t="shared" ca="1" si="669"/>
        <v>0.05</v>
      </c>
      <c r="X1413">
        <f t="shared" ca="1" si="670"/>
        <v>0.26</v>
      </c>
      <c r="Y1413">
        <f t="shared" ca="1" si="671"/>
        <v>4.9056603773584909E-2</v>
      </c>
      <c r="Z1413">
        <f t="shared" ca="1" si="672"/>
        <v>196.15384615384616</v>
      </c>
      <c r="AA1413">
        <f t="shared" ca="1" si="673"/>
        <v>631.98050000000001</v>
      </c>
      <c r="AB1413">
        <f t="shared" ca="1" si="674"/>
        <v>2593.057531648662</v>
      </c>
      <c r="AC1413">
        <f t="shared" ca="1" si="675"/>
        <v>482.07306851378365</v>
      </c>
      <c r="AD1413">
        <f t="shared" ca="1" si="676"/>
        <v>280.07692026646265</v>
      </c>
      <c r="AE1413">
        <f t="shared" ca="1" si="677"/>
        <v>1019.7665564573041</v>
      </c>
      <c r="AF1413">
        <f t="shared" ca="1" si="678"/>
        <v>482.25233390835137</v>
      </c>
      <c r="AG1413">
        <f t="shared" ca="1" si="679"/>
        <v>0</v>
      </c>
      <c r="AH1413">
        <f ca="1">IF(V32="Supercritical",L1413,IF(V32="Subcritical",W1413,IF(AND(V1413=1,AG1413=1),IF(T1413&gt;=AE1413,L1413,W1413),IF(V1413=1,L1413,IF(AG1413=1,W1413,MAX($D$16,POWER((ABS(K1413)^2)/($I$5*MAX(F1413,0.1)^2),1/3)))))))</f>
        <v>2.1403668656741068</v>
      </c>
      <c r="AI1413">
        <f t="shared" ca="1" si="680"/>
        <v>634.07086686567413</v>
      </c>
      <c r="AJ1413">
        <f t="shared" ca="1" si="681"/>
        <v>635.14105029851123</v>
      </c>
      <c r="AM1413">
        <v>0</v>
      </c>
      <c r="AN1413">
        <v>0</v>
      </c>
      <c r="AO1413">
        <f t="shared" si="682"/>
        <v>0</v>
      </c>
      <c r="AP1413">
        <f t="shared" si="691"/>
        <v>0</v>
      </c>
      <c r="AQ1413">
        <f t="shared" ca="1" si="683"/>
        <v>0.99999999999999978</v>
      </c>
      <c r="AR1413" t="str">
        <f t="shared" ca="1" si="684"/>
        <v>Supercritical</v>
      </c>
      <c r="AS1413">
        <f t="shared" ca="1" si="685"/>
        <v>3.8148159832266538E-3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191</v>
      </c>
      <c r="I1414">
        <v>5.5E-2</v>
      </c>
      <c r="J1414">
        <f t="shared" si="686"/>
        <v>1</v>
      </c>
      <c r="K1414">
        <f t="shared" si="687"/>
        <v>51</v>
      </c>
      <c r="L1414">
        <f t="shared" ca="1" si="688"/>
        <v>0.05</v>
      </c>
      <c r="M1414">
        <f t="shared" ca="1" si="661"/>
        <v>0.26</v>
      </c>
      <c r="N1414">
        <f t="shared" ca="1" si="662"/>
        <v>4.9056603773584909E-2</v>
      </c>
      <c r="O1414">
        <f t="shared" ca="1" si="663"/>
        <v>196.15384615384616</v>
      </c>
      <c r="P1414">
        <f t="shared" ca="1" si="664"/>
        <v>631.9799999999999</v>
      </c>
      <c r="Q1414">
        <f t="shared" ca="1" si="665"/>
        <v>2593.0570316486619</v>
      </c>
      <c r="R1414">
        <f t="shared" ca="1" si="666"/>
        <v>482.07306851378365</v>
      </c>
      <c r="S1414">
        <f t="shared" ca="1" si="667"/>
        <v>280.07692026646265</v>
      </c>
      <c r="T1414">
        <f t="shared" ca="1" si="668"/>
        <v>1019.7665564573041</v>
      </c>
      <c r="U1414">
        <f t="shared" ca="1" si="689"/>
        <v>-482.25233390835137</v>
      </c>
      <c r="V1414">
        <f t="shared" ca="1" si="690"/>
        <v>0</v>
      </c>
      <c r="W1414">
        <f t="shared" ca="1" si="669"/>
        <v>0.05</v>
      </c>
      <c r="X1414">
        <f t="shared" ca="1" si="670"/>
        <v>0.26</v>
      </c>
      <c r="Y1414">
        <f t="shared" ca="1" si="671"/>
        <v>4.9056603773584909E-2</v>
      </c>
      <c r="Z1414">
        <f t="shared" ca="1" si="672"/>
        <v>196.15384615384616</v>
      </c>
      <c r="AA1414">
        <f t="shared" ca="1" si="673"/>
        <v>631.9799999999999</v>
      </c>
      <c r="AB1414">
        <f t="shared" ca="1" si="674"/>
        <v>2593.0570316486619</v>
      </c>
      <c r="AC1414">
        <f t="shared" ca="1" si="675"/>
        <v>482.07306851378365</v>
      </c>
      <c r="AD1414">
        <f t="shared" ca="1" si="676"/>
        <v>280.07692026646265</v>
      </c>
      <c r="AE1414">
        <f t="shared" ca="1" si="677"/>
        <v>1019.7665564573041</v>
      </c>
      <c r="AF1414">
        <f t="shared" ca="1" si="678"/>
        <v>482.73440697696333</v>
      </c>
      <c r="AG1414">
        <f t="shared" ca="1" si="679"/>
        <v>0</v>
      </c>
      <c r="AH1414">
        <f ca="1">IF(V32="Supercritical",L1414,IF(V32="Subcritical",W1414,IF(AND(V1414=1,AG1414=1),IF(T1414&gt;=AE1414,L1414,W1414),IF(V1414=1,L1414,IF(AG1414=1,W1414,MAX($D$16,POWER((ABS(K1414)^2)/($I$5*MAX(F1414,0.1)^2),1/3)))))))</f>
        <v>2.1403668656741068</v>
      </c>
      <c r="AI1414">
        <f t="shared" ca="1" si="680"/>
        <v>634.07036686567403</v>
      </c>
      <c r="AJ1414">
        <f t="shared" ca="1" si="681"/>
        <v>635.14055029851113</v>
      </c>
      <c r="AM1414">
        <v>0</v>
      </c>
      <c r="AN1414">
        <v>0</v>
      </c>
      <c r="AO1414">
        <f t="shared" si="682"/>
        <v>0</v>
      </c>
      <c r="AP1414">
        <f t="shared" si="691"/>
        <v>0</v>
      </c>
      <c r="AQ1414">
        <f t="shared" ca="1" si="683"/>
        <v>0.99999999999999978</v>
      </c>
      <c r="AR1414" t="str">
        <f t="shared" ca="1" si="684"/>
        <v>Supercritical</v>
      </c>
      <c r="AS1414">
        <f t="shared" ca="1" si="685"/>
        <v>3.8148159832266538E-3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191</v>
      </c>
      <c r="I1415">
        <v>5.5E-2</v>
      </c>
      <c r="J1415">
        <f t="shared" si="686"/>
        <v>1.0010000000002037</v>
      </c>
      <c r="K1415">
        <f t="shared" si="687"/>
        <v>51</v>
      </c>
      <c r="L1415">
        <f t="shared" ca="1" si="688"/>
        <v>0.05</v>
      </c>
      <c r="M1415">
        <f t="shared" ca="1" si="661"/>
        <v>0.26</v>
      </c>
      <c r="N1415">
        <f t="shared" ca="1" si="662"/>
        <v>4.9056603773584909E-2</v>
      </c>
      <c r="O1415">
        <f t="shared" ca="1" si="663"/>
        <v>196.15384615384616</v>
      </c>
      <c r="P1415">
        <f t="shared" ca="1" si="664"/>
        <v>631.97949999999992</v>
      </c>
      <c r="Q1415">
        <f t="shared" ca="1" si="665"/>
        <v>2593.0565316486618</v>
      </c>
      <c r="R1415">
        <f t="shared" ca="1" si="666"/>
        <v>482.07306851378365</v>
      </c>
      <c r="S1415">
        <f t="shared" ca="1" si="667"/>
        <v>280.07692026646265</v>
      </c>
      <c r="T1415">
        <f t="shared" ca="1" si="668"/>
        <v>1019.7665564573041</v>
      </c>
      <c r="U1415">
        <f t="shared" ca="1" si="689"/>
        <v>-482.73440697696333</v>
      </c>
      <c r="V1415">
        <f t="shared" ca="1" si="690"/>
        <v>0</v>
      </c>
      <c r="W1415">
        <f t="shared" ca="1" si="669"/>
        <v>0.2522550450786219</v>
      </c>
      <c r="X1415">
        <f t="shared" ca="1" si="670"/>
        <v>1.3117262344088338</v>
      </c>
      <c r="Y1415">
        <f t="shared" ca="1" si="671"/>
        <v>0.22994546660056417</v>
      </c>
      <c r="Z1415">
        <f t="shared" ca="1" si="672"/>
        <v>38.880064042467353</v>
      </c>
      <c r="AA1415">
        <f t="shared" ca="1" si="673"/>
        <v>632.1817550450786</v>
      </c>
      <c r="AB1415">
        <f t="shared" ca="1" si="674"/>
        <v>709.22861436956191</v>
      </c>
      <c r="AC1415">
        <f t="shared" ca="1" si="675"/>
        <v>2.4143672174212307</v>
      </c>
      <c r="AD1415">
        <f t="shared" ca="1" si="676"/>
        <v>24.715678511308262</v>
      </c>
      <c r="AE1415">
        <f t="shared" ca="1" si="677"/>
        <v>202.29421808965907</v>
      </c>
      <c r="AF1415">
        <f t="shared" ca="1" si="678"/>
        <v>2.4138672174212843</v>
      </c>
      <c r="AG1415">
        <f t="shared" ca="1" si="679"/>
        <v>0</v>
      </c>
      <c r="AH1415">
        <f ca="1">IF(V32="Supercritical",L1415,IF(V32="Subcritical",W1415,IF(AND(V1415=1,AG1415=1),IF(T1415&gt;=AE1415,L1415,W1415),IF(V1415=1,L1415,IF(AG1415=1,W1415,MAX($D$16,POWER((ABS(K1415)^2)/($I$5*MAX(F1415,0.1)^2),1/3)))))))</f>
        <v>2.1403668656741068</v>
      </c>
      <c r="AI1415">
        <f t="shared" ca="1" si="680"/>
        <v>634.06986686567404</v>
      </c>
      <c r="AJ1415">
        <f t="shared" ca="1" si="681"/>
        <v>635.14005029851114</v>
      </c>
      <c r="AM1415">
        <v>0</v>
      </c>
      <c r="AN1415">
        <v>0</v>
      </c>
      <c r="AO1415">
        <f t="shared" si="682"/>
        <v>0</v>
      </c>
      <c r="AP1415">
        <f t="shared" si="691"/>
        <v>0</v>
      </c>
      <c r="AQ1415">
        <f t="shared" ca="1" si="683"/>
        <v>0.99999999999999978</v>
      </c>
      <c r="AR1415" t="str">
        <f t="shared" ca="1" si="684"/>
        <v>Supercritical</v>
      </c>
      <c r="AS1415">
        <f t="shared" ca="1" si="685"/>
        <v>3.8148159832266538E-3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191</v>
      </c>
      <c r="I1416">
        <v>0</v>
      </c>
      <c r="J1416">
        <f t="shared" si="686"/>
        <v>1</v>
      </c>
      <c r="K1416">
        <f t="shared" si="687"/>
        <v>51</v>
      </c>
      <c r="L1416">
        <f t="shared" ca="1" si="688"/>
        <v>0.05</v>
      </c>
      <c r="M1416">
        <f t="shared" ca="1" si="661"/>
        <v>0.26</v>
      </c>
      <c r="N1416">
        <f t="shared" ca="1" si="662"/>
        <v>4.9056603773584909E-2</v>
      </c>
      <c r="O1416">
        <f t="shared" ca="1" si="663"/>
        <v>196.15384615384616</v>
      </c>
      <c r="P1416">
        <f t="shared" ca="1" si="664"/>
        <v>631.97899999999993</v>
      </c>
      <c r="Q1416">
        <f t="shared" ca="1" si="665"/>
        <v>2593.0560316486622</v>
      </c>
      <c r="R1416">
        <f t="shared" ca="1" si="666"/>
        <v>482.07306851378365</v>
      </c>
      <c r="S1416">
        <f t="shared" ca="1" si="667"/>
        <v>280.07692026646265</v>
      </c>
      <c r="T1416">
        <f t="shared" ca="1" si="668"/>
        <v>1019.7665564573041</v>
      </c>
      <c r="U1416">
        <f t="shared" ca="1" si="689"/>
        <v>-482.07256851378406</v>
      </c>
      <c r="V1416">
        <f t="shared" ca="1" si="690"/>
        <v>0</v>
      </c>
      <c r="W1416">
        <f t="shared" ca="1" si="669"/>
        <v>0.4241718333954505</v>
      </c>
      <c r="X1416">
        <f t="shared" ca="1" si="670"/>
        <v>2.2056935336563428</v>
      </c>
      <c r="Y1416">
        <f t="shared" ca="1" si="671"/>
        <v>0.36467728276866057</v>
      </c>
      <c r="Z1416">
        <f t="shared" ca="1" si="672"/>
        <v>23.121979196927743</v>
      </c>
      <c r="AA1416">
        <f t="shared" ca="1" si="673"/>
        <v>632.35317183339544</v>
      </c>
      <c r="AB1416">
        <f t="shared" ca="1" si="674"/>
        <v>659.60219945740971</v>
      </c>
      <c r="AC1416">
        <f t="shared" ca="1" si="675"/>
        <v>0.46169402064976983</v>
      </c>
      <c r="AD1416">
        <f t="shared" ca="1" si="676"/>
        <v>11.334949491340501</v>
      </c>
      <c r="AE1416">
        <f t="shared" ca="1" si="677"/>
        <v>120.67380459246228</v>
      </c>
      <c r="AF1416">
        <f t="shared" ca="1" si="678"/>
        <v>0.46119402064982751</v>
      </c>
      <c r="AG1416">
        <f t="shared" ca="1" si="679"/>
        <v>0</v>
      </c>
      <c r="AH1416">
        <f ca="1">IF(V32="Supercritical",L1416,IF(V32="Subcritical",W1416,IF(AND(V1416=1,AG1416=1),IF(T1416&gt;=AE1416,L1416,W1416),IF(V1416=1,L1416,IF(AG1416=1,W1416,MAX($D$16,POWER((ABS(K1416)^2)/($I$5*MAX(F1416,0.1)^2),1/3)))))))</f>
        <v>2.1403668656741068</v>
      </c>
      <c r="AI1416">
        <f t="shared" ca="1" si="680"/>
        <v>634.06936686567406</v>
      </c>
      <c r="AJ1416">
        <f t="shared" ca="1" si="681"/>
        <v>635.13955029851115</v>
      </c>
      <c r="AM1416">
        <v>0</v>
      </c>
      <c r="AN1416">
        <v>0</v>
      </c>
      <c r="AO1416">
        <f t="shared" si="682"/>
        <v>0</v>
      </c>
      <c r="AP1416">
        <f t="shared" si="691"/>
        <v>0</v>
      </c>
      <c r="AQ1416">
        <f t="shared" ca="1" si="683"/>
        <v>0.99999999999999978</v>
      </c>
      <c r="AR1416" t="str">
        <f t="shared" ca="1" si="684"/>
        <v>Supercritical</v>
      </c>
      <c r="AS1416">
        <f t="shared" ca="1" si="685"/>
        <v>3.8148159832266538E-3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191</v>
      </c>
      <c r="I1417">
        <v>0</v>
      </c>
      <c r="J1417">
        <f t="shared" si="686"/>
        <v>1</v>
      </c>
      <c r="K1417">
        <f t="shared" si="687"/>
        <v>51</v>
      </c>
      <c r="L1417">
        <f t="shared" ca="1" si="688"/>
        <v>0.05</v>
      </c>
      <c r="M1417">
        <f t="shared" ca="1" si="661"/>
        <v>0.26</v>
      </c>
      <c r="N1417">
        <f t="shared" ca="1" si="662"/>
        <v>4.9056603773584909E-2</v>
      </c>
      <c r="O1417">
        <f t="shared" ca="1" si="663"/>
        <v>196.15384615384616</v>
      </c>
      <c r="P1417">
        <f t="shared" ca="1" si="664"/>
        <v>631.97849999999994</v>
      </c>
      <c r="Q1417">
        <f t="shared" ca="1" si="665"/>
        <v>2593.0555316486621</v>
      </c>
      <c r="R1417">
        <f t="shared" ca="1" si="666"/>
        <v>482.07306851378365</v>
      </c>
      <c r="S1417">
        <f t="shared" ca="1" si="667"/>
        <v>280.07692026646265</v>
      </c>
      <c r="T1417">
        <f t="shared" ca="1" si="668"/>
        <v>1019.7665564573041</v>
      </c>
      <c r="U1417">
        <f t="shared" ca="1" si="689"/>
        <v>-482.07256851378361</v>
      </c>
      <c r="V1417">
        <f t="shared" ca="1" si="690"/>
        <v>0</v>
      </c>
      <c r="W1417">
        <f t="shared" ca="1" si="669"/>
        <v>0.57030110346475482</v>
      </c>
      <c r="X1417">
        <f t="shared" ca="1" si="670"/>
        <v>2.9655657380167253</v>
      </c>
      <c r="Y1417">
        <f t="shared" ca="1" si="671"/>
        <v>0.46771042264340784</v>
      </c>
      <c r="Z1417">
        <f t="shared" ca="1" si="672"/>
        <v>17.19739318073831</v>
      </c>
      <c r="AA1417">
        <f t="shared" ca="1" si="673"/>
        <v>632.49880110346476</v>
      </c>
      <c r="AB1417">
        <f t="shared" ca="1" si="674"/>
        <v>647.57272221523363</v>
      </c>
      <c r="AC1417">
        <f t="shared" ca="1" si="675"/>
        <v>0.18328982725471843</v>
      </c>
      <c r="AD1417">
        <f t="shared" ca="1" si="676"/>
        <v>7.2706964099909426</v>
      </c>
      <c r="AE1417">
        <f t="shared" ca="1" si="677"/>
        <v>90.251040679651354</v>
      </c>
      <c r="AF1417">
        <f t="shared" ca="1" si="678"/>
        <v>0.18403855993301477</v>
      </c>
      <c r="AG1417">
        <f t="shared" ca="1" si="679"/>
        <v>0</v>
      </c>
      <c r="AH1417">
        <f ca="1">IF(V32="Supercritical",L1417,IF(V32="Subcritical",W1417,IF(AND(V1417=1,AG1417=1),IF(T1417&gt;=AE1417,L1417,W1417),IF(V1417=1,L1417,IF(AG1417=1,W1417,MAX($D$16,POWER((ABS(K1417)^2)/($I$5*MAX(F1417,0.1)^2),1/3)))))))</f>
        <v>2.1403668656741068</v>
      </c>
      <c r="AI1417">
        <f t="shared" ca="1" si="680"/>
        <v>634.06886686567407</v>
      </c>
      <c r="AJ1417">
        <f t="shared" ca="1" si="681"/>
        <v>635.13905029851117</v>
      </c>
      <c r="AM1417">
        <v>0</v>
      </c>
      <c r="AN1417">
        <v>0</v>
      </c>
      <c r="AO1417">
        <f t="shared" si="682"/>
        <v>0</v>
      </c>
      <c r="AP1417">
        <f t="shared" si="691"/>
        <v>0</v>
      </c>
      <c r="AQ1417">
        <f t="shared" ca="1" si="683"/>
        <v>0.99999999999999978</v>
      </c>
      <c r="AR1417" t="str">
        <f t="shared" ca="1" si="684"/>
        <v>Supercritical</v>
      </c>
      <c r="AS1417">
        <f t="shared" ca="1" si="685"/>
        <v>3.8148159832266538E-3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191</v>
      </c>
      <c r="I1418">
        <v>5.7000000000000002E-2</v>
      </c>
      <c r="J1418">
        <f t="shared" si="686"/>
        <v>0.99899999999979627</v>
      </c>
      <c r="K1418">
        <f t="shared" si="687"/>
        <v>51</v>
      </c>
      <c r="L1418">
        <f t="shared" ca="1" si="688"/>
        <v>0.05</v>
      </c>
      <c r="M1418">
        <f t="shared" ca="1" si="661"/>
        <v>0.26</v>
      </c>
      <c r="N1418">
        <f t="shared" ca="1" si="662"/>
        <v>4.9056603773584909E-2</v>
      </c>
      <c r="O1418">
        <f t="shared" ca="1" si="663"/>
        <v>196.15384615384616</v>
      </c>
      <c r="P1418">
        <f t="shared" ca="1" si="664"/>
        <v>631.97799999999995</v>
      </c>
      <c r="Q1418">
        <f t="shared" ca="1" si="665"/>
        <v>2593.055031648662</v>
      </c>
      <c r="R1418">
        <f t="shared" ca="1" si="666"/>
        <v>482.07306851378365</v>
      </c>
      <c r="S1418">
        <f t="shared" ca="1" si="667"/>
        <v>280.07692026646265</v>
      </c>
      <c r="T1418">
        <f t="shared" ca="1" si="668"/>
        <v>1019.7665564573041</v>
      </c>
      <c r="U1418">
        <f t="shared" ca="1" si="689"/>
        <v>-481.77679776317837</v>
      </c>
      <c r="V1418">
        <f t="shared" ca="1" si="690"/>
        <v>0</v>
      </c>
      <c r="W1418">
        <f t="shared" ca="1" si="669"/>
        <v>0.69451098302366343</v>
      </c>
      <c r="X1418">
        <f t="shared" ca="1" si="670"/>
        <v>3.6114571117230501</v>
      </c>
      <c r="Y1418">
        <f t="shared" ca="1" si="671"/>
        <v>0.54810215087043013</v>
      </c>
      <c r="Z1418">
        <f t="shared" ca="1" si="672"/>
        <v>14.121723842282474</v>
      </c>
      <c r="AA1418">
        <f t="shared" ca="1" si="673"/>
        <v>632.62251098302363</v>
      </c>
      <c r="AB1418">
        <f t="shared" ca="1" si="674"/>
        <v>642.78678643040837</v>
      </c>
      <c r="AC1418">
        <f t="shared" ca="1" si="675"/>
        <v>0.10003284142823826</v>
      </c>
      <c r="AD1418">
        <f t="shared" ca="1" si="676"/>
        <v>5.4102041308640567</v>
      </c>
      <c r="AE1418">
        <f t="shared" ca="1" si="677"/>
        <v>74.669788014344746</v>
      </c>
      <c r="AF1418">
        <f t="shared" ca="1" si="678"/>
        <v>0.10049844759578264</v>
      </c>
      <c r="AG1418">
        <f t="shared" ca="1" si="679"/>
        <v>0</v>
      </c>
      <c r="AH1418">
        <f ca="1">IF(V32="Supercritical",L1418,IF(V32="Subcritical",W1418,IF(AND(V1418=1,AG1418=1),IF(T1418&gt;=AE1418,L1418,W1418),IF(V1418=1,L1418,IF(AG1418=1,W1418,MAX($D$16,POWER((ABS(K1418)^2)/($I$5*MAX(F1418,0.1)^2),1/3)))))))</f>
        <v>2.1403668656741068</v>
      </c>
      <c r="AI1418">
        <f t="shared" ca="1" si="680"/>
        <v>634.06836686567408</v>
      </c>
      <c r="AJ1418">
        <f t="shared" ca="1" si="681"/>
        <v>635.13855029851118</v>
      </c>
      <c r="AM1418">
        <v>0</v>
      </c>
      <c r="AN1418">
        <v>0</v>
      </c>
      <c r="AO1418">
        <f t="shared" si="682"/>
        <v>0</v>
      </c>
      <c r="AP1418">
        <f t="shared" si="691"/>
        <v>0</v>
      </c>
      <c r="AQ1418">
        <f t="shared" ca="1" si="683"/>
        <v>0.99999999999999978</v>
      </c>
      <c r="AR1418" t="str">
        <f t="shared" ca="1" si="684"/>
        <v>Supercritical</v>
      </c>
      <c r="AS1418">
        <f t="shared" ca="1" si="685"/>
        <v>3.8148159832266538E-3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191</v>
      </c>
      <c r="I1419">
        <v>5.7000000000000002E-2</v>
      </c>
      <c r="J1419">
        <f t="shared" si="686"/>
        <v>1</v>
      </c>
      <c r="K1419">
        <f t="shared" si="687"/>
        <v>51</v>
      </c>
      <c r="L1419">
        <f t="shared" ca="1" si="688"/>
        <v>0.05</v>
      </c>
      <c r="M1419">
        <f t="shared" ca="1" si="661"/>
        <v>0.26</v>
      </c>
      <c r="N1419">
        <f t="shared" ca="1" si="662"/>
        <v>4.9056603773584909E-2</v>
      </c>
      <c r="O1419">
        <f t="shared" ca="1" si="663"/>
        <v>196.15384615384616</v>
      </c>
      <c r="P1419">
        <f t="shared" ca="1" si="664"/>
        <v>631.97749999999996</v>
      </c>
      <c r="Q1419">
        <f t="shared" ca="1" si="665"/>
        <v>2593.0545316486623</v>
      </c>
      <c r="R1419">
        <f t="shared" ca="1" si="666"/>
        <v>482.07306851378365</v>
      </c>
      <c r="S1419">
        <f t="shared" ca="1" si="667"/>
        <v>280.07692026646265</v>
      </c>
      <c r="T1419">
        <f t="shared" ca="1" si="668"/>
        <v>1019.7665564573041</v>
      </c>
      <c r="U1419">
        <f t="shared" ca="1" si="689"/>
        <v>-482.25887083179077</v>
      </c>
      <c r="V1419">
        <f t="shared" ca="1" si="690"/>
        <v>0</v>
      </c>
      <c r="W1419">
        <f t="shared" ca="1" si="669"/>
        <v>0.8000893806487358</v>
      </c>
      <c r="X1419">
        <f t="shared" ca="1" si="670"/>
        <v>4.1604647793734264</v>
      </c>
      <c r="Y1419">
        <f t="shared" ca="1" si="671"/>
        <v>0.61181697208495311</v>
      </c>
      <c r="Z1419">
        <f t="shared" ca="1" si="672"/>
        <v>12.258245822160449</v>
      </c>
      <c r="AA1419">
        <f t="shared" ca="1" si="673"/>
        <v>632.72758938064874</v>
      </c>
      <c r="AB1419">
        <f t="shared" ca="1" si="674"/>
        <v>640.38633508077692</v>
      </c>
      <c r="AC1419">
        <f t="shared" ca="1" si="675"/>
        <v>6.5094427265961805E-2</v>
      </c>
      <c r="AD1419">
        <f t="shared" ca="1" si="676"/>
        <v>4.3754685795195067</v>
      </c>
      <c r="AE1419">
        <f t="shared" ca="1" si="677"/>
        <v>65.392255323391481</v>
      </c>
      <c r="AF1419">
        <f t="shared" ca="1" si="678"/>
        <v>6.459442726600173E-2</v>
      </c>
      <c r="AG1419">
        <f t="shared" ca="1" si="679"/>
        <v>0</v>
      </c>
      <c r="AH1419">
        <f ca="1">IF(V32="Supercritical",L1419,IF(V32="Subcritical",W1419,IF(AND(V1419=1,AG1419=1),IF(T1419&gt;=AE1419,L1419,W1419),IF(V1419=1,L1419,IF(AG1419=1,W1419,MAX($D$16,POWER((ABS(K1419)^2)/($I$5*MAX(F1419,0.1)^2),1/3)))))))</f>
        <v>2.1403668656741068</v>
      </c>
      <c r="AI1419">
        <f t="shared" ca="1" si="680"/>
        <v>634.06786686567409</v>
      </c>
      <c r="AJ1419">
        <f t="shared" ca="1" si="681"/>
        <v>635.13805029851119</v>
      </c>
      <c r="AM1419">
        <v>0</v>
      </c>
      <c r="AN1419">
        <v>0</v>
      </c>
      <c r="AO1419">
        <f t="shared" si="682"/>
        <v>0</v>
      </c>
      <c r="AP1419">
        <f t="shared" si="691"/>
        <v>0</v>
      </c>
      <c r="AQ1419">
        <f t="shared" ca="1" si="683"/>
        <v>0.99999999999999978</v>
      </c>
      <c r="AR1419" t="str">
        <f t="shared" ca="1" si="684"/>
        <v>Supercritical</v>
      </c>
      <c r="AS1419">
        <f t="shared" ca="1" si="685"/>
        <v>3.8148159832266538E-3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191</v>
      </c>
      <c r="I1420">
        <v>0</v>
      </c>
      <c r="J1420">
        <f t="shared" si="686"/>
        <v>1</v>
      </c>
      <c r="K1420">
        <f t="shared" si="687"/>
        <v>51</v>
      </c>
      <c r="L1420">
        <f t="shared" ca="1" si="688"/>
        <v>0.05</v>
      </c>
      <c r="M1420">
        <f t="shared" ca="1" si="661"/>
        <v>0.26</v>
      </c>
      <c r="N1420">
        <f t="shared" ca="1" si="662"/>
        <v>4.9056603773584909E-2</v>
      </c>
      <c r="O1420">
        <f t="shared" ca="1" si="663"/>
        <v>196.15384615384616</v>
      </c>
      <c r="P1420">
        <f t="shared" ca="1" si="664"/>
        <v>631.97699999999998</v>
      </c>
      <c r="Q1420">
        <f t="shared" ca="1" si="665"/>
        <v>2593.0540316486622</v>
      </c>
      <c r="R1420">
        <f t="shared" ca="1" si="666"/>
        <v>482.07306851378365</v>
      </c>
      <c r="S1420">
        <f t="shared" ca="1" si="667"/>
        <v>280.07692026646265</v>
      </c>
      <c r="T1420">
        <f t="shared" ca="1" si="668"/>
        <v>1019.7665564573041</v>
      </c>
      <c r="U1420">
        <f t="shared" ca="1" si="689"/>
        <v>-482.07256851378361</v>
      </c>
      <c r="V1420">
        <f t="shared" ca="1" si="690"/>
        <v>0</v>
      </c>
      <c r="W1420">
        <f t="shared" ca="1" si="669"/>
        <v>0.88983101863004732</v>
      </c>
      <c r="X1420">
        <f t="shared" ca="1" si="670"/>
        <v>4.6271212968762461</v>
      </c>
      <c r="Y1420">
        <f t="shared" ca="1" si="671"/>
        <v>0.66294345946478639</v>
      </c>
      <c r="Z1420">
        <f t="shared" ca="1" si="672"/>
        <v>11.021971702887912</v>
      </c>
      <c r="AA1420">
        <f t="shared" ca="1" si="673"/>
        <v>632.81683101863007</v>
      </c>
      <c r="AB1420">
        <f t="shared" ca="1" si="674"/>
        <v>639.0086689502948</v>
      </c>
      <c r="AC1420">
        <f t="shared" ca="1" si="675"/>
        <v>4.7285985841521078E-2</v>
      </c>
      <c r="AD1420">
        <f t="shared" ca="1" si="676"/>
        <v>3.7305341301461148</v>
      </c>
      <c r="AE1420">
        <f t="shared" ca="1" si="677"/>
        <v>59.35944834928609</v>
      </c>
      <c r="AF1420">
        <f t="shared" ca="1" si="678"/>
        <v>4.6785985841552247E-2</v>
      </c>
      <c r="AG1420">
        <f t="shared" ca="1" si="679"/>
        <v>0</v>
      </c>
      <c r="AH1420">
        <f ca="1">IF(V32="Supercritical",L1420,IF(V32="Subcritical",W1420,IF(AND(V1420=1,AG1420=1),IF(T1420&gt;=AE1420,L1420,W1420),IF(V1420=1,L1420,IF(AG1420=1,W1420,MAX($D$16,POWER((ABS(K1420)^2)/($I$5*MAX(F1420,0.1)^2),1/3)))))))</f>
        <v>2.1403668656741068</v>
      </c>
      <c r="AI1420">
        <f t="shared" ca="1" si="680"/>
        <v>634.0673668656741</v>
      </c>
      <c r="AJ1420">
        <f t="shared" ca="1" si="681"/>
        <v>635.1375502985112</v>
      </c>
      <c r="AM1420">
        <v>0</v>
      </c>
      <c r="AN1420">
        <v>0</v>
      </c>
      <c r="AO1420">
        <f t="shared" si="682"/>
        <v>0</v>
      </c>
      <c r="AP1420">
        <f t="shared" si="691"/>
        <v>0</v>
      </c>
      <c r="AQ1420">
        <f t="shared" ca="1" si="683"/>
        <v>0.99999999999999978</v>
      </c>
      <c r="AR1420" t="str">
        <f t="shared" ca="1" si="684"/>
        <v>Supercritical</v>
      </c>
      <c r="AS1420">
        <f t="shared" ca="1" si="685"/>
        <v>3.8148159832266538E-3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191</v>
      </c>
      <c r="I1421">
        <v>0</v>
      </c>
      <c r="J1421">
        <f t="shared" si="686"/>
        <v>1</v>
      </c>
      <c r="K1421">
        <f t="shared" si="687"/>
        <v>51</v>
      </c>
      <c r="L1421">
        <f t="shared" ca="1" si="688"/>
        <v>0.05</v>
      </c>
      <c r="M1421">
        <f t="shared" ca="1" si="661"/>
        <v>0.26</v>
      </c>
      <c r="N1421">
        <f t="shared" ca="1" si="662"/>
        <v>4.9056603773584909E-2</v>
      </c>
      <c r="O1421">
        <f t="shared" ca="1" si="663"/>
        <v>196.15384615384616</v>
      </c>
      <c r="P1421">
        <f t="shared" ca="1" si="664"/>
        <v>631.97649999999999</v>
      </c>
      <c r="Q1421">
        <f t="shared" ca="1" si="665"/>
        <v>2593.0535316486621</v>
      </c>
      <c r="R1421">
        <f t="shared" ca="1" si="666"/>
        <v>482.07306851378365</v>
      </c>
      <c r="S1421">
        <f t="shared" ca="1" si="667"/>
        <v>280.07692026646265</v>
      </c>
      <c r="T1421">
        <f t="shared" ca="1" si="668"/>
        <v>1019.7665564573041</v>
      </c>
      <c r="U1421">
        <f t="shared" ca="1" si="689"/>
        <v>-482.07256851378361</v>
      </c>
      <c r="V1421">
        <f t="shared" ca="1" si="690"/>
        <v>0</v>
      </c>
      <c r="W1421">
        <f t="shared" ca="1" si="669"/>
        <v>0.96611141091416208</v>
      </c>
      <c r="X1421">
        <f t="shared" ca="1" si="670"/>
        <v>5.023779336753643</v>
      </c>
      <c r="Y1421">
        <f t="shared" ca="1" si="671"/>
        <v>0.70437778827916819</v>
      </c>
      <c r="Z1421">
        <f t="shared" ca="1" si="672"/>
        <v>10.151719767404455</v>
      </c>
      <c r="AA1421">
        <f t="shared" ca="1" si="673"/>
        <v>632.89261141091424</v>
      </c>
      <c r="AB1421">
        <f t="shared" ca="1" si="674"/>
        <v>638.14528288063445</v>
      </c>
      <c r="AC1421">
        <f t="shared" ca="1" si="675"/>
        <v>3.6998792987708015E-2</v>
      </c>
      <c r="AD1421">
        <f t="shared" ca="1" si="676"/>
        <v>3.2975509255153845</v>
      </c>
      <c r="AE1421">
        <f t="shared" ca="1" si="677"/>
        <v>55.203290056247717</v>
      </c>
      <c r="AF1421">
        <f t="shared" ca="1" si="678"/>
        <v>3.6997796777313852E-2</v>
      </c>
      <c r="AG1421">
        <f t="shared" ca="1" si="679"/>
        <v>0</v>
      </c>
      <c r="AH1421">
        <f ca="1">IF(V32="Supercritical",L1421,IF(V32="Subcritical",W1421,IF(AND(V1421=1,AG1421=1),IF(T1421&gt;=AE1421,L1421,W1421),IF(V1421=1,L1421,IF(AG1421=1,W1421,MAX($D$16,POWER((ABS(K1421)^2)/($I$5*MAX(F1421,0.1)^2),1/3)))))))</f>
        <v>2.1403668656741068</v>
      </c>
      <c r="AI1421">
        <f t="shared" ca="1" si="680"/>
        <v>634.06686686567411</v>
      </c>
      <c r="AJ1421">
        <f t="shared" ca="1" si="681"/>
        <v>635.13705029851121</v>
      </c>
      <c r="AM1421">
        <v>0</v>
      </c>
      <c r="AN1421">
        <v>0</v>
      </c>
      <c r="AO1421">
        <f t="shared" si="682"/>
        <v>0</v>
      </c>
      <c r="AP1421">
        <f t="shared" si="691"/>
        <v>0</v>
      </c>
      <c r="AQ1421">
        <f t="shared" ca="1" si="683"/>
        <v>0.99999999999999978</v>
      </c>
      <c r="AR1421" t="str">
        <f t="shared" ca="1" si="684"/>
        <v>Supercritical</v>
      </c>
      <c r="AS1421">
        <f t="shared" ca="1" si="685"/>
        <v>3.8148159832266538E-3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191</v>
      </c>
      <c r="I1422">
        <v>5.7000000000000002E-2</v>
      </c>
      <c r="J1422">
        <f t="shared" si="686"/>
        <v>1</v>
      </c>
      <c r="K1422">
        <f t="shared" si="687"/>
        <v>51</v>
      </c>
      <c r="L1422">
        <f t="shared" ca="1" si="688"/>
        <v>0.05</v>
      </c>
      <c r="M1422">
        <f t="shared" ca="1" si="661"/>
        <v>0.26</v>
      </c>
      <c r="N1422">
        <f t="shared" ca="1" si="662"/>
        <v>4.9056603773584909E-2</v>
      </c>
      <c r="O1422">
        <f t="shared" ca="1" si="663"/>
        <v>196.15384615384616</v>
      </c>
      <c r="P1422">
        <f t="shared" ca="1" si="664"/>
        <v>631.976</v>
      </c>
      <c r="Q1422">
        <f t="shared" ca="1" si="665"/>
        <v>2593.053031648662</v>
      </c>
      <c r="R1422">
        <f t="shared" ca="1" si="666"/>
        <v>482.07306851378365</v>
      </c>
      <c r="S1422">
        <f t="shared" ca="1" si="667"/>
        <v>280.07692026646265</v>
      </c>
      <c r="T1422">
        <f t="shared" ca="1" si="668"/>
        <v>1019.7665564573041</v>
      </c>
      <c r="U1422">
        <f t="shared" ca="1" si="689"/>
        <v>-482.25887083179032</v>
      </c>
      <c r="V1422">
        <f t="shared" ca="1" si="690"/>
        <v>0</v>
      </c>
      <c r="W1422">
        <f t="shared" ca="1" si="669"/>
        <v>1.0309497443556597</v>
      </c>
      <c r="X1422">
        <f t="shared" ca="1" si="670"/>
        <v>5.3609386706494302</v>
      </c>
      <c r="Y1422">
        <f t="shared" ca="1" si="671"/>
        <v>0.73822815628101868</v>
      </c>
      <c r="Z1422">
        <f t="shared" ca="1" si="672"/>
        <v>9.5132593624358321</v>
      </c>
      <c r="AA1422">
        <f t="shared" ca="1" si="673"/>
        <v>632.95694974435571</v>
      </c>
      <c r="AB1422">
        <f t="shared" ca="1" si="674"/>
        <v>637.56969712952252</v>
      </c>
      <c r="AC1422">
        <f t="shared" ca="1" si="675"/>
        <v>3.0520177288833501E-2</v>
      </c>
      <c r="AD1422">
        <f t="shared" ca="1" si="676"/>
        <v>2.9914109969432796</v>
      </c>
      <c r="AE1422">
        <f t="shared" ca="1" si="677"/>
        <v>52.220740846161902</v>
      </c>
      <c r="AF1422">
        <f t="shared" ca="1" si="678"/>
        <v>3.0458388290412586E-2</v>
      </c>
      <c r="AG1422">
        <f t="shared" ca="1" si="679"/>
        <v>0</v>
      </c>
      <c r="AH1422">
        <f ca="1">IF(V32="Supercritical",L1422,IF(V32="Subcritical",W1422,IF(AND(V1422=1,AG1422=1),IF(T1422&gt;=AE1422,L1422,W1422),IF(V1422=1,L1422,IF(AG1422=1,W1422,MAX($D$16,POWER((ABS(K1422)^2)/($I$5*MAX(F1422,0.1)^2),1/3)))))))</f>
        <v>2.1403668656741068</v>
      </c>
      <c r="AI1422">
        <f t="shared" ca="1" si="680"/>
        <v>634.06636686567413</v>
      </c>
      <c r="AJ1422">
        <f t="shared" ca="1" si="681"/>
        <v>635.13655029851122</v>
      </c>
      <c r="AM1422">
        <v>0</v>
      </c>
      <c r="AN1422">
        <v>0</v>
      </c>
      <c r="AO1422">
        <f t="shared" si="682"/>
        <v>0</v>
      </c>
      <c r="AP1422">
        <f t="shared" si="691"/>
        <v>0</v>
      </c>
      <c r="AQ1422">
        <f t="shared" ca="1" si="683"/>
        <v>0.99999999999999978</v>
      </c>
      <c r="AR1422" t="str">
        <f t="shared" ca="1" si="684"/>
        <v>Supercritical</v>
      </c>
      <c r="AS1422">
        <f t="shared" ca="1" si="685"/>
        <v>3.8148159832266538E-3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191</v>
      </c>
      <c r="I1423">
        <v>5.7000000000000002E-2</v>
      </c>
      <c r="J1423">
        <f t="shared" si="686"/>
        <v>1</v>
      </c>
      <c r="K1423">
        <f t="shared" si="687"/>
        <v>51</v>
      </c>
      <c r="L1423">
        <f t="shared" ca="1" si="688"/>
        <v>0.05</v>
      </c>
      <c r="M1423">
        <f t="shared" ca="1" si="661"/>
        <v>0.26</v>
      </c>
      <c r="N1423">
        <f t="shared" ca="1" si="662"/>
        <v>4.9056603773584909E-2</v>
      </c>
      <c r="O1423">
        <f t="shared" ca="1" si="663"/>
        <v>196.15384615384616</v>
      </c>
      <c r="P1423">
        <f t="shared" ca="1" si="664"/>
        <v>631.97550000000001</v>
      </c>
      <c r="Q1423">
        <f t="shared" ca="1" si="665"/>
        <v>2593.0525316486619</v>
      </c>
      <c r="R1423">
        <f t="shared" ca="1" si="666"/>
        <v>482.07306851378365</v>
      </c>
      <c r="S1423">
        <f t="shared" ca="1" si="667"/>
        <v>280.07692026646265</v>
      </c>
      <c r="T1423">
        <f t="shared" ca="1" si="668"/>
        <v>1019.7665564573041</v>
      </c>
      <c r="U1423">
        <f t="shared" ca="1" si="689"/>
        <v>-482.25887083179032</v>
      </c>
      <c r="V1423">
        <f t="shared" ca="1" si="690"/>
        <v>0</v>
      </c>
      <c r="W1423">
        <f t="shared" ca="1" si="669"/>
        <v>1.0860623277809327</v>
      </c>
      <c r="X1423">
        <f t="shared" ca="1" si="670"/>
        <v>5.6475241044608504</v>
      </c>
      <c r="Y1423">
        <f t="shared" ca="1" si="671"/>
        <v>0.76606465141634605</v>
      </c>
      <c r="Z1423">
        <f t="shared" ca="1" si="672"/>
        <v>9.0305059450239913</v>
      </c>
      <c r="AA1423">
        <f t="shared" ca="1" si="673"/>
        <v>633.01156232778101</v>
      </c>
      <c r="AB1423">
        <f t="shared" ca="1" si="674"/>
        <v>637.1680372321191</v>
      </c>
      <c r="AC1423">
        <f t="shared" ca="1" si="675"/>
        <v>2.6176974686415298E-2</v>
      </c>
      <c r="AD1423">
        <f t="shared" ca="1" si="676"/>
        <v>2.7666244098117265</v>
      </c>
      <c r="AE1423">
        <f t="shared" ca="1" si="677"/>
        <v>50.014366011216957</v>
      </c>
      <c r="AF1423">
        <f t="shared" ca="1" si="678"/>
        <v>2.5690829602694976E-2</v>
      </c>
      <c r="AG1423">
        <f t="shared" ca="1" si="679"/>
        <v>0</v>
      </c>
      <c r="AH1423">
        <f ca="1">IF(V32="Supercritical",L1423,IF(V32="Subcritical",W1423,IF(AND(V1423=1,AG1423=1),IF(T1423&gt;=AE1423,L1423,W1423),IF(V1423=1,L1423,IF(AG1423=1,W1423,MAX($D$16,POWER((ABS(K1423)^2)/($I$5*MAX(F1423,0.1)^2),1/3)))))))</f>
        <v>2.1403668656741068</v>
      </c>
      <c r="AI1423">
        <f t="shared" ca="1" si="680"/>
        <v>634.06586686567414</v>
      </c>
      <c r="AJ1423">
        <f t="shared" ca="1" si="681"/>
        <v>635.13605029851124</v>
      </c>
      <c r="AM1423">
        <v>0</v>
      </c>
      <c r="AN1423">
        <v>0</v>
      </c>
      <c r="AO1423">
        <f t="shared" si="682"/>
        <v>0</v>
      </c>
      <c r="AP1423">
        <f t="shared" si="691"/>
        <v>0</v>
      </c>
      <c r="AQ1423">
        <f t="shared" ca="1" si="683"/>
        <v>0.99999999999999978</v>
      </c>
      <c r="AR1423" t="str">
        <f t="shared" ca="1" si="684"/>
        <v>Supercritical</v>
      </c>
      <c r="AS1423">
        <f t="shared" ca="1" si="685"/>
        <v>3.8148159832266538E-3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191</v>
      </c>
      <c r="I1424">
        <v>2E-3</v>
      </c>
      <c r="J1424">
        <f t="shared" si="686"/>
        <v>1</v>
      </c>
      <c r="K1424">
        <f t="shared" si="687"/>
        <v>51</v>
      </c>
      <c r="L1424">
        <f t="shared" ca="1" si="688"/>
        <v>0.05</v>
      </c>
      <c r="M1424">
        <f t="shared" ca="1" si="661"/>
        <v>0.26</v>
      </c>
      <c r="N1424">
        <f t="shared" ca="1" si="662"/>
        <v>4.9056603773584909E-2</v>
      </c>
      <c r="O1424">
        <f t="shared" ca="1" si="663"/>
        <v>196.15384615384616</v>
      </c>
      <c r="P1424">
        <f t="shared" ca="1" si="664"/>
        <v>631.97499999999991</v>
      </c>
      <c r="Q1424">
        <f t="shared" ca="1" si="665"/>
        <v>2593.0520316486618</v>
      </c>
      <c r="R1424">
        <f t="shared" ca="1" si="666"/>
        <v>482.07306851378365</v>
      </c>
      <c r="S1424">
        <f t="shared" ca="1" si="667"/>
        <v>280.07692026646265</v>
      </c>
      <c r="T1424">
        <f t="shared" ca="1" si="668"/>
        <v>1019.7665564573041</v>
      </c>
      <c r="U1424">
        <f t="shared" ca="1" si="689"/>
        <v>-482.07910543722255</v>
      </c>
      <c r="V1424">
        <f t="shared" ca="1" si="690"/>
        <v>0</v>
      </c>
      <c r="W1424">
        <f t="shared" ca="1" si="669"/>
        <v>1.1329080236924147</v>
      </c>
      <c r="X1424">
        <f t="shared" ca="1" si="670"/>
        <v>5.8911217232005564</v>
      </c>
      <c r="Y1424">
        <f t="shared" ca="1" si="671"/>
        <v>0.78907941018237837</v>
      </c>
      <c r="Z1424">
        <f t="shared" ca="1" si="672"/>
        <v>8.657094929671981</v>
      </c>
      <c r="AA1424">
        <f t="shared" ca="1" si="673"/>
        <v>633.05790802369233</v>
      </c>
      <c r="AB1424">
        <f t="shared" ca="1" si="674"/>
        <v>636.8777496455757</v>
      </c>
      <c r="AC1424">
        <f t="shared" ca="1" si="675"/>
        <v>2.3125932979735309E-2</v>
      </c>
      <c r="AD1424">
        <f t="shared" ca="1" si="676"/>
        <v>2.5968110457898712</v>
      </c>
      <c r="AE1424">
        <f t="shared" ca="1" si="677"/>
        <v>48.343353450107188</v>
      </c>
      <c r="AF1424">
        <f t="shared" ca="1" si="678"/>
        <v>2.2661791718178392E-2</v>
      </c>
      <c r="AG1424">
        <f t="shared" ca="1" si="679"/>
        <v>0</v>
      </c>
      <c r="AH1424">
        <f ca="1">IF(V32="Supercritical",L1424,IF(V32="Subcritical",W1424,IF(AND(V1424=1,AG1424=1),IF(T1424&gt;=AE1424,L1424,W1424),IF(V1424=1,L1424,IF(AG1424=1,W1424,MAX($D$16,POWER((ABS(K1424)^2)/($I$5*MAX(F1424,0.1)^2),1/3)))))))</f>
        <v>2.1403668656741068</v>
      </c>
      <c r="AI1424">
        <f t="shared" ca="1" si="680"/>
        <v>634.06536686567404</v>
      </c>
      <c r="AJ1424">
        <f t="shared" ca="1" si="681"/>
        <v>635.13555029851113</v>
      </c>
      <c r="AM1424">
        <v>0</v>
      </c>
      <c r="AN1424">
        <v>0</v>
      </c>
      <c r="AO1424">
        <f t="shared" si="682"/>
        <v>0</v>
      </c>
      <c r="AP1424">
        <f t="shared" si="691"/>
        <v>0</v>
      </c>
      <c r="AQ1424">
        <f t="shared" ca="1" si="683"/>
        <v>0.99999999999999978</v>
      </c>
      <c r="AR1424" t="str">
        <f t="shared" ca="1" si="684"/>
        <v>Supercritical</v>
      </c>
      <c r="AS1424">
        <f t="shared" ca="1" si="685"/>
        <v>3.8148159832266538E-3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191</v>
      </c>
      <c r="I1425">
        <v>2E-3</v>
      </c>
      <c r="J1425">
        <f t="shared" si="686"/>
        <v>1.0010000000002037</v>
      </c>
      <c r="K1425">
        <f t="shared" si="687"/>
        <v>51</v>
      </c>
      <c r="L1425">
        <f t="shared" ca="1" si="688"/>
        <v>0.05</v>
      </c>
      <c r="M1425">
        <f t="shared" ca="1" si="661"/>
        <v>0.26</v>
      </c>
      <c r="N1425">
        <f t="shared" ca="1" si="662"/>
        <v>4.9056603773584909E-2</v>
      </c>
      <c r="O1425">
        <f t="shared" ca="1" si="663"/>
        <v>196.15384615384616</v>
      </c>
      <c r="P1425">
        <f t="shared" ca="1" si="664"/>
        <v>631.97449999999992</v>
      </c>
      <c r="Q1425">
        <f t="shared" ca="1" si="665"/>
        <v>2593.0515316486621</v>
      </c>
      <c r="R1425">
        <f t="shared" ca="1" si="666"/>
        <v>482.07306851378365</v>
      </c>
      <c r="S1425">
        <f t="shared" ca="1" si="667"/>
        <v>280.07692026646265</v>
      </c>
      <c r="T1425">
        <f t="shared" ca="1" si="668"/>
        <v>1019.7665564573041</v>
      </c>
      <c r="U1425">
        <f t="shared" ca="1" si="689"/>
        <v>-482.56117850583496</v>
      </c>
      <c r="V1425">
        <f t="shared" ca="1" si="690"/>
        <v>0</v>
      </c>
      <c r="W1425">
        <f t="shared" ca="1" si="669"/>
        <v>1.1727268652171743</v>
      </c>
      <c r="X1425">
        <f t="shared" ca="1" si="670"/>
        <v>6.0981796991293065</v>
      </c>
      <c r="Y1425">
        <f t="shared" ca="1" si="671"/>
        <v>0.80819257754275153</v>
      </c>
      <c r="Z1425">
        <f t="shared" ca="1" si="672"/>
        <v>8.3631513855325945</v>
      </c>
      <c r="AA1425">
        <f t="shared" ca="1" si="673"/>
        <v>633.09722686521718</v>
      </c>
      <c r="AB1425">
        <f t="shared" ca="1" si="674"/>
        <v>636.66207401594784</v>
      </c>
      <c r="AC1425">
        <f t="shared" ca="1" si="675"/>
        <v>2.0904315810390546E-2</v>
      </c>
      <c r="AD1425">
        <f t="shared" ca="1" si="676"/>
        <v>2.4656817314200579</v>
      </c>
      <c r="AE1425">
        <f t="shared" ca="1" si="677"/>
        <v>47.053906631214915</v>
      </c>
      <c r="AF1425">
        <f t="shared" ca="1" si="678"/>
        <v>2.074297628973909E-2</v>
      </c>
      <c r="AG1425">
        <f t="shared" ca="1" si="679"/>
        <v>0</v>
      </c>
      <c r="AH1425">
        <f ca="1">IF(V32="Supercritical",L1425,IF(V32="Subcritical",W1425,IF(AND(V1425=1,AG1425=1),IF(T1425&gt;=AE1425,L1425,W1425),IF(V1425=1,L1425,IF(AG1425=1,W1425,MAX($D$16,POWER((ABS(K1425)^2)/($I$5*MAX(F1425,0.1)^2),1/3)))))))</f>
        <v>2.1403668656741068</v>
      </c>
      <c r="AI1425">
        <f t="shared" ca="1" si="680"/>
        <v>634.06486686567405</v>
      </c>
      <c r="AJ1425">
        <f t="shared" ca="1" si="681"/>
        <v>635.13505029851115</v>
      </c>
      <c r="AM1425">
        <v>0</v>
      </c>
      <c r="AN1425">
        <v>0</v>
      </c>
      <c r="AO1425">
        <f t="shared" si="682"/>
        <v>0</v>
      </c>
      <c r="AP1425">
        <f t="shared" si="691"/>
        <v>0</v>
      </c>
      <c r="AQ1425">
        <f t="shared" ca="1" si="683"/>
        <v>0.99999999999999978</v>
      </c>
      <c r="AR1425" t="str">
        <f t="shared" ca="1" si="684"/>
        <v>Supercritical</v>
      </c>
      <c r="AS1425">
        <f t="shared" ca="1" si="685"/>
        <v>3.8148159832266538E-3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191</v>
      </c>
      <c r="I1426">
        <v>5.7000000000000002E-2</v>
      </c>
      <c r="J1426">
        <f t="shared" si="686"/>
        <v>1</v>
      </c>
      <c r="K1426">
        <f t="shared" si="687"/>
        <v>51</v>
      </c>
      <c r="L1426">
        <f t="shared" ca="1" si="688"/>
        <v>0.05</v>
      </c>
      <c r="M1426">
        <f t="shared" ca="1" si="661"/>
        <v>0.26</v>
      </c>
      <c r="N1426">
        <f t="shared" ca="1" si="662"/>
        <v>4.9056603773584909E-2</v>
      </c>
      <c r="O1426">
        <f t="shared" ca="1" si="663"/>
        <v>196.15384615384616</v>
      </c>
      <c r="P1426">
        <f t="shared" ca="1" si="664"/>
        <v>631.97399999999993</v>
      </c>
      <c r="Q1426">
        <f t="shared" ca="1" si="665"/>
        <v>2593.051031648662</v>
      </c>
      <c r="R1426">
        <f t="shared" ca="1" si="666"/>
        <v>482.07306851378365</v>
      </c>
      <c r="S1426">
        <f t="shared" ca="1" si="667"/>
        <v>280.07692026646265</v>
      </c>
      <c r="T1426">
        <f t="shared" ca="1" si="668"/>
        <v>1019.7665564573041</v>
      </c>
      <c r="U1426">
        <f t="shared" ca="1" si="689"/>
        <v>-482.25887083179032</v>
      </c>
      <c r="V1426">
        <f t="shared" ca="1" si="690"/>
        <v>0</v>
      </c>
      <c r="W1426">
        <f t="shared" ca="1" si="669"/>
        <v>1.2065728805132201</v>
      </c>
      <c r="X1426">
        <f t="shared" ca="1" si="670"/>
        <v>6.2741789786687443</v>
      </c>
      <c r="Y1426">
        <f t="shared" ca="1" si="671"/>
        <v>0.82412437323711896</v>
      </c>
      <c r="Z1426">
        <f t="shared" ca="1" si="672"/>
        <v>8.1285535802201778</v>
      </c>
      <c r="AA1426">
        <f t="shared" ca="1" si="673"/>
        <v>633.13057288051323</v>
      </c>
      <c r="AB1426">
        <f t="shared" ca="1" si="674"/>
        <v>636.49822748329154</v>
      </c>
      <c r="AC1426">
        <f t="shared" ca="1" si="675"/>
        <v>1.924060478776362E-2</v>
      </c>
      <c r="AD1426">
        <f t="shared" ca="1" si="676"/>
        <v>2.3626641374040176</v>
      </c>
      <c r="AE1426">
        <f t="shared" ca="1" si="677"/>
        <v>46.043662533911231</v>
      </c>
      <c r="AF1426">
        <f t="shared" ca="1" si="678"/>
        <v>1.9041291370285762E-2</v>
      </c>
      <c r="AG1426">
        <f t="shared" ca="1" si="679"/>
        <v>0</v>
      </c>
      <c r="AH1426">
        <f ca="1">IF(V32="Supercritical",L1426,IF(V32="Subcritical",W1426,IF(AND(V1426=1,AG1426=1),IF(T1426&gt;=AE1426,L1426,W1426),IF(V1426=1,L1426,IF(AG1426=1,W1426,MAX($D$16,POWER((ABS(K1426)^2)/($I$5*MAX(F1426,0.1)^2),1/3)))))))</f>
        <v>2.1403668656741068</v>
      </c>
      <c r="AI1426">
        <f t="shared" ca="1" si="680"/>
        <v>634.06436686567406</v>
      </c>
      <c r="AJ1426">
        <f t="shared" ca="1" si="681"/>
        <v>635.13455029851116</v>
      </c>
      <c r="AM1426">
        <v>0</v>
      </c>
      <c r="AN1426">
        <v>0</v>
      </c>
      <c r="AO1426">
        <f t="shared" si="682"/>
        <v>0</v>
      </c>
      <c r="AP1426">
        <f t="shared" si="691"/>
        <v>0</v>
      </c>
      <c r="AQ1426">
        <f t="shared" ca="1" si="683"/>
        <v>0.99999999999999978</v>
      </c>
      <c r="AR1426" t="str">
        <f t="shared" ca="1" si="684"/>
        <v>Supercritical</v>
      </c>
      <c r="AS1426">
        <f t="shared" ca="1" si="685"/>
        <v>3.8148159832266538E-3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191</v>
      </c>
      <c r="I1427">
        <v>5.7000000000000002E-2</v>
      </c>
      <c r="J1427">
        <f t="shared" si="686"/>
        <v>0.99899999999979627</v>
      </c>
      <c r="K1427">
        <f t="shared" si="687"/>
        <v>51</v>
      </c>
      <c r="L1427">
        <f t="shared" ca="1" si="688"/>
        <v>0.05</v>
      </c>
      <c r="M1427">
        <f t="shared" ca="1" si="661"/>
        <v>0.26</v>
      </c>
      <c r="N1427">
        <f t="shared" ca="1" si="662"/>
        <v>4.9056603773584909E-2</v>
      </c>
      <c r="O1427">
        <f t="shared" ca="1" si="663"/>
        <v>196.15384615384616</v>
      </c>
      <c r="P1427">
        <f t="shared" ca="1" si="664"/>
        <v>631.97349999999994</v>
      </c>
      <c r="Q1427">
        <f t="shared" ca="1" si="665"/>
        <v>2593.0505316486619</v>
      </c>
      <c r="R1427">
        <f t="shared" ca="1" si="666"/>
        <v>482.07306851378365</v>
      </c>
      <c r="S1427">
        <f t="shared" ca="1" si="667"/>
        <v>280.07692026646265</v>
      </c>
      <c r="T1427">
        <f t="shared" ca="1" si="668"/>
        <v>1019.7665564573041</v>
      </c>
      <c r="U1427">
        <f t="shared" ca="1" si="689"/>
        <v>-481.77679776317837</v>
      </c>
      <c r="V1427">
        <f t="shared" ca="1" si="690"/>
        <v>0</v>
      </c>
      <c r="W1427">
        <f t="shared" ca="1" si="669"/>
        <v>1.2353419935148588</v>
      </c>
      <c r="X1427">
        <f t="shared" ca="1" si="670"/>
        <v>6.4237783662772658</v>
      </c>
      <c r="Y1427">
        <f t="shared" ca="1" si="671"/>
        <v>0.83744531480363005</v>
      </c>
      <c r="Z1427">
        <f t="shared" ca="1" si="672"/>
        <v>7.9392527406819182</v>
      </c>
      <c r="AA1427">
        <f t="shared" ca="1" si="673"/>
        <v>633.1588419935149</v>
      </c>
      <c r="AB1427">
        <f t="shared" ca="1" si="674"/>
        <v>636.37146860311861</v>
      </c>
      <c r="AC1427">
        <f t="shared" ca="1" si="675"/>
        <v>1.7966624744541831E-2</v>
      </c>
      <c r="AD1427">
        <f t="shared" ca="1" si="676"/>
        <v>2.2806126111840364</v>
      </c>
      <c r="AE1427">
        <f t="shared" ca="1" si="677"/>
        <v>45.24218421384564</v>
      </c>
      <c r="AF1427">
        <f t="shared" ca="1" si="678"/>
        <v>1.7466624744542969E-2</v>
      </c>
      <c r="AG1427">
        <f t="shared" ca="1" si="679"/>
        <v>0</v>
      </c>
      <c r="AH1427">
        <f ca="1">IF(V32="Supercritical",L1427,IF(V32="Subcritical",W1427,IF(AND(V1427=1,AG1427=1),IF(T1427&gt;=AE1427,L1427,W1427),IF(V1427=1,L1427,IF(AG1427=1,W1427,MAX($D$16,POWER((ABS(K1427)^2)/($I$5*MAX(F1427,0.1)^2),1/3)))))))</f>
        <v>2.1403668656741068</v>
      </c>
      <c r="AI1427">
        <f t="shared" ca="1" si="680"/>
        <v>634.06386686567407</v>
      </c>
      <c r="AJ1427">
        <f t="shared" ca="1" si="681"/>
        <v>635.13405029851117</v>
      </c>
      <c r="AM1427">
        <v>0</v>
      </c>
      <c r="AN1427">
        <v>0</v>
      </c>
      <c r="AO1427">
        <f t="shared" si="682"/>
        <v>0</v>
      </c>
      <c r="AP1427">
        <f t="shared" si="691"/>
        <v>0</v>
      </c>
      <c r="AQ1427">
        <f t="shared" ca="1" si="683"/>
        <v>0.99999999999999978</v>
      </c>
      <c r="AR1427" t="str">
        <f t="shared" ca="1" si="684"/>
        <v>Supercritical</v>
      </c>
      <c r="AS1427">
        <f t="shared" ca="1" si="685"/>
        <v>3.8148159832266538E-3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191</v>
      </c>
      <c r="I1428">
        <v>0</v>
      </c>
      <c r="J1428">
        <f t="shared" si="686"/>
        <v>1</v>
      </c>
      <c r="K1428">
        <f t="shared" si="687"/>
        <v>51</v>
      </c>
      <c r="L1428">
        <f t="shared" ca="1" si="688"/>
        <v>0.05</v>
      </c>
      <c r="M1428">
        <f t="shared" ca="1" si="661"/>
        <v>0.26</v>
      </c>
      <c r="N1428">
        <f t="shared" ca="1" si="662"/>
        <v>4.9056603773584909E-2</v>
      </c>
      <c r="O1428">
        <f t="shared" ca="1" si="663"/>
        <v>196.15384615384616</v>
      </c>
      <c r="P1428">
        <f t="shared" ca="1" si="664"/>
        <v>631.97299999999996</v>
      </c>
      <c r="Q1428">
        <f t="shared" ca="1" si="665"/>
        <v>2593.0500316486623</v>
      </c>
      <c r="R1428">
        <f t="shared" ca="1" si="666"/>
        <v>482.07306851378365</v>
      </c>
      <c r="S1428">
        <f t="shared" ca="1" si="667"/>
        <v>280.07692026646265</v>
      </c>
      <c r="T1428">
        <f t="shared" ca="1" si="668"/>
        <v>1019.7665564573041</v>
      </c>
      <c r="U1428">
        <f t="shared" ca="1" si="689"/>
        <v>-482.07256851378406</v>
      </c>
      <c r="V1428">
        <f t="shared" ca="1" si="690"/>
        <v>0</v>
      </c>
      <c r="W1428">
        <f t="shared" ca="1" si="669"/>
        <v>1.2597957395662518</v>
      </c>
      <c r="X1428">
        <f t="shared" ca="1" si="670"/>
        <v>6.5509378457445093</v>
      </c>
      <c r="Y1428">
        <f t="shared" ca="1" si="671"/>
        <v>0.84861198464360665</v>
      </c>
      <c r="Z1428">
        <f t="shared" ca="1" si="672"/>
        <v>7.785144845043769</v>
      </c>
      <c r="AA1428">
        <f t="shared" ca="1" si="673"/>
        <v>633.18279573956625</v>
      </c>
      <c r="AB1428">
        <f t="shared" ca="1" si="674"/>
        <v>636.27191298005107</v>
      </c>
      <c r="AC1428">
        <f t="shared" ca="1" si="675"/>
        <v>1.6973459350125068E-2</v>
      </c>
      <c r="AD1428">
        <f t="shared" ca="1" si="676"/>
        <v>2.2145328444173287</v>
      </c>
      <c r="AE1428">
        <f t="shared" ca="1" si="677"/>
        <v>44.599651875383429</v>
      </c>
      <c r="AF1428">
        <f t="shared" ca="1" si="678"/>
        <v>1.6766925487900153E-2</v>
      </c>
      <c r="AG1428">
        <f t="shared" ca="1" si="679"/>
        <v>0</v>
      </c>
      <c r="AH1428">
        <f ca="1">IF(V32="Supercritical",L1428,IF(V32="Subcritical",W1428,IF(AND(V1428=1,AG1428=1),IF(T1428&gt;=AE1428,L1428,W1428),IF(V1428=1,L1428,IF(AG1428=1,W1428,MAX($D$16,POWER((ABS(K1428)^2)/($I$5*MAX(F1428,0.1)^2),1/3)))))))</f>
        <v>2.1403668656741068</v>
      </c>
      <c r="AI1428">
        <f t="shared" ca="1" si="680"/>
        <v>634.06336686567408</v>
      </c>
      <c r="AJ1428">
        <f t="shared" ca="1" si="681"/>
        <v>635.13355029851118</v>
      </c>
      <c r="AM1428">
        <v>0</v>
      </c>
      <c r="AN1428">
        <v>0</v>
      </c>
      <c r="AO1428">
        <f t="shared" si="682"/>
        <v>0</v>
      </c>
      <c r="AP1428">
        <f t="shared" si="691"/>
        <v>0</v>
      </c>
      <c r="AQ1428">
        <f t="shared" ca="1" si="683"/>
        <v>0.99999999999999978</v>
      </c>
      <c r="AR1428" t="str">
        <f t="shared" ca="1" si="684"/>
        <v>Supercritical</v>
      </c>
      <c r="AS1428">
        <f t="shared" ca="1" si="685"/>
        <v>3.8148159832266538E-3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191</v>
      </c>
      <c r="I1429">
        <v>5.7000000000000002E-2</v>
      </c>
      <c r="J1429">
        <f t="shared" si="686"/>
        <v>1</v>
      </c>
      <c r="K1429">
        <f t="shared" si="687"/>
        <v>51</v>
      </c>
      <c r="L1429">
        <f t="shared" ca="1" si="688"/>
        <v>0.05</v>
      </c>
      <c r="M1429">
        <f t="shared" ca="1" si="661"/>
        <v>0.26</v>
      </c>
      <c r="N1429">
        <f t="shared" ca="1" si="662"/>
        <v>4.9056603773584909E-2</v>
      </c>
      <c r="O1429">
        <f t="shared" ca="1" si="663"/>
        <v>196.15384615384616</v>
      </c>
      <c r="P1429">
        <f t="shared" ca="1" si="664"/>
        <v>631.97249999999997</v>
      </c>
      <c r="Q1429">
        <f t="shared" ca="1" si="665"/>
        <v>2593.0495316486622</v>
      </c>
      <c r="R1429">
        <f t="shared" ca="1" si="666"/>
        <v>482.07306851378365</v>
      </c>
      <c r="S1429">
        <f t="shared" ca="1" si="667"/>
        <v>280.07692026646265</v>
      </c>
      <c r="T1429">
        <f t="shared" ca="1" si="668"/>
        <v>1019.7665564573041</v>
      </c>
      <c r="U1429">
        <f t="shared" ca="1" si="689"/>
        <v>-482.25887083179032</v>
      </c>
      <c r="V1429">
        <f t="shared" ca="1" si="690"/>
        <v>0</v>
      </c>
      <c r="W1429">
        <f t="shared" ca="1" si="669"/>
        <v>1.280581423709936</v>
      </c>
      <c r="X1429">
        <f t="shared" ca="1" si="670"/>
        <v>6.6590234032916671</v>
      </c>
      <c r="Y1429">
        <f t="shared" ca="1" si="671"/>
        <v>0.85799300107527043</v>
      </c>
      <c r="Z1429">
        <f t="shared" ca="1" si="672"/>
        <v>7.6587807117166529</v>
      </c>
      <c r="AA1429">
        <f t="shared" ca="1" si="673"/>
        <v>633.20308142370993</v>
      </c>
      <c r="AB1429">
        <f t="shared" ca="1" si="674"/>
        <v>636.19273086255612</v>
      </c>
      <c r="AC1429">
        <f t="shared" ca="1" si="675"/>
        <v>1.6187885638415229E-2</v>
      </c>
      <c r="AD1429">
        <f t="shared" ca="1" si="676"/>
        <v>2.1608346351929058</v>
      </c>
      <c r="AE1429">
        <f t="shared" ca="1" si="677"/>
        <v>44.080001996982205</v>
      </c>
      <c r="AF1429">
        <f t="shared" ca="1" si="678"/>
        <v>1.5971902335081722E-2</v>
      </c>
      <c r="AG1429">
        <f t="shared" ca="1" si="679"/>
        <v>0</v>
      </c>
      <c r="AH1429">
        <f ca="1">IF(V32="Supercritical",L1429,IF(V32="Subcritical",W1429,IF(AND(V1429=1,AG1429=1),IF(T1429&gt;=AE1429,L1429,W1429),IF(V1429=1,L1429,IF(AG1429=1,W1429,MAX($D$16,POWER((ABS(K1429)^2)/($I$5*MAX(F1429,0.1)^2),1/3)))))))</f>
        <v>2.1403668656741068</v>
      </c>
      <c r="AI1429">
        <f t="shared" ca="1" si="680"/>
        <v>634.0628668656741</v>
      </c>
      <c r="AJ1429">
        <f t="shared" ca="1" si="681"/>
        <v>635.13305029851119</v>
      </c>
      <c r="AM1429">
        <v>0</v>
      </c>
      <c r="AN1429">
        <v>0</v>
      </c>
      <c r="AO1429">
        <f t="shared" si="682"/>
        <v>0</v>
      </c>
      <c r="AP1429">
        <f t="shared" si="691"/>
        <v>0</v>
      </c>
      <c r="AQ1429">
        <f t="shared" ca="1" si="683"/>
        <v>0.99999999999999978</v>
      </c>
      <c r="AR1429" t="str">
        <f t="shared" ca="1" si="684"/>
        <v>Supercritical</v>
      </c>
      <c r="AS1429">
        <f t="shared" ca="1" si="685"/>
        <v>3.8148159832266538E-3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191</v>
      </c>
      <c r="I1430">
        <v>5.7000000000000002E-2</v>
      </c>
      <c r="J1430">
        <f t="shared" si="686"/>
        <v>1</v>
      </c>
      <c r="K1430">
        <f t="shared" si="687"/>
        <v>51</v>
      </c>
      <c r="L1430">
        <f t="shared" ca="1" si="688"/>
        <v>0.05</v>
      </c>
      <c r="M1430">
        <f t="shared" ref="M1430:M1493" ca="1" si="692">((F1430)+(G1430)*(L1430))*(L1430)</f>
        <v>0.26</v>
      </c>
      <c r="N1430">
        <f t="shared" ref="N1430:N1493" ca="1" si="693">(((F1430)+(G1430)*(L1430))*(L1430))/MAX((F1430)+2*(L1430)*SQRT(1+(G1430)^2),0.000001)</f>
        <v>4.9056603773584909E-2</v>
      </c>
      <c r="O1430">
        <f t="shared" ref="O1430:O1493" ca="1" si="694">ABS(K1430)/MAX(((F1430)+(G1430)*(L1430))*(L1430),0.000001)</f>
        <v>196.15384615384616</v>
      </c>
      <c r="P1430">
        <f t="shared" ref="P1430:P1493" ca="1" si="695">E1430+L1430</f>
        <v>631.97199999999998</v>
      </c>
      <c r="Q1430">
        <f t="shared" ref="Q1430:Q1493" ca="1" si="696">P1430+((ABS(K1430)/MAX(((F1430)+(G1430)*(L1430))*(L1430),0.000001))^2)/(2*$I$5)</f>
        <v>2593.0490316486621</v>
      </c>
      <c r="R1430">
        <f t="shared" ref="R1430:R1493" ca="1" si="697">((ABS(K1430)*$D$6)/(MAX(((F1430)+(G1430)*(L1430))*(L1430),0.000001)*MAX(((((F1430)+(G1430)*(L1430))*(L1430))/MAX((F1430)+2*(L1430)*SQRT(1+(G1430)^2),0.000001))^(2/3),0.000001)))^2</f>
        <v>482.07306851378365</v>
      </c>
      <c r="S1430">
        <f t="shared" ref="S1430:S1493" ca="1" si="698">ABS(ABS(K1430)/MAX(((F1430)+(G1430)*(L1430))*(L1430),0.000001))/SQRT($I$5*MAX((((F1430)+(G1430)*(L1430))*(L1430))/MAX((F1430)+2*(G1430)*(L1430),0.000001),0.000001))</f>
        <v>280.07692026646265</v>
      </c>
      <c r="T1430">
        <f t="shared" ref="T1430:T1493" ca="1" si="699">((F1430)*(L1430)^2)/2+(G1430)*(L1430)^3/3+(ABS(K1430)^2)/($I$5*MAX(((F1430)+(G1430)*(L1430))*(L1430),0.000001))</f>
        <v>1019.7665564573041</v>
      </c>
      <c r="U1430">
        <f t="shared" ca="1" si="689"/>
        <v>-482.25887083179032</v>
      </c>
      <c r="V1430">
        <f t="shared" ca="1" si="690"/>
        <v>0</v>
      </c>
      <c r="W1430">
        <f t="shared" ref="W1430:W1493" ca="1" si="700">IF(OR($D$20=0,AG1431=0),W1431,IF(OR(W1430=0,AD1431&gt;1),MAX($D$16,POWER((ABS(K1430)^2)/($I$5*MAX(F1430,0.1)^2),1/3)),IF(AF1430&gt;0,MAX($D$16,W1430+((AF1430)*$D$18*IF((AD1430)&lt;1,1,-1))),IF(AF1430&lt;0,IF(ABS((MAX($D$16,POWER((ABS(K1430)^2)/($I$5*MAX(F1430,0.1)^2),1/3)))-W1430)&gt;$D$19,MAX($D$16,W1430+($D$18*((MAX($D$16,POWER((ABS(K1430)^2)/($I$5*MAX(F1430,0.1)^2),1/3)))-W1430))),MAX($D$16,POWER((ABS(K1430)^2)/($I$5*MAX(F1430,0.1)^2),1/3))),W1430))))</f>
        <v>1.2982492552320675</v>
      </c>
      <c r="X1430">
        <f t="shared" ref="X1430:X1493" ca="1" si="701">((F1430)+(G1430)*(W1430))*(W1430)</f>
        <v>6.7508961272067509</v>
      </c>
      <c r="Y1430">
        <f t="shared" ref="Y1430:Y1493" ca="1" si="702">(((F1430)+(G1430)*(W1430))*(W1430))/MAX((F1430)+2*(W1430)*SQRT(1+(G1430)^2),0.000001)</f>
        <v>0.86588820842407399</v>
      </c>
      <c r="Z1430">
        <f t="shared" ref="Z1430:Z1493" ca="1" si="703">ABS(K1430)/MAX(((F1430)+(G1430)*(W1430))*(W1430),0.000001)</f>
        <v>7.5545526162764034</v>
      </c>
      <c r="AA1430">
        <f t="shared" ref="AA1430:AA1493" ca="1" si="704">E1430+W1430</f>
        <v>633.22024925523215</v>
      </c>
      <c r="AB1430">
        <f t="shared" ref="AB1430:AB1493" ca="1" si="705">AA1430+((ABS(K1430)/MAX(((F1430)+(G1430)*(W1430))*(W1430),0.000001))^2)/(2*$I$5)</f>
        <v>636.12908030681672</v>
      </c>
      <c r="AC1430">
        <f t="shared" ref="AC1430:AC1493" ca="1" si="706">((ABS(K1430)*$D$6)/(MAX(((F1430)+(G1430)*(W1430))*(W1430),0.000001)*MAX(((((F1430)+(G1430)*(W1430))*(W1430))/MAX((F1430)+2*(W1430)*SQRT(1+(G1430)^2),0.000001))^(2/3),0.000001)))^2</f>
        <v>1.5559092096013681E-2</v>
      </c>
      <c r="AD1430">
        <f t="shared" ref="AD1430:AD1493" ca="1" si="707">ABS(ABS(K1430)/MAX(((F1430)+(G1430)*(W1430))*(W1430),0.000001))/SQRT($I$5*MAX((((F1430)+(G1430)*(W1430))*(W1430))/MAX((F1430)+2*(G1430)*(W1430),0.000001),0.000001))</f>
        <v>2.1168749590410241</v>
      </c>
      <c r="AE1430">
        <f t="shared" ref="AE1430:AE1493" ca="1" si="708">((F1430)*(W1430)^2)/2+(G1430)*(W1430)^3/3+(ABS(K1430)^2)/($I$5*MAX(((F1430)+(G1430)*(W1430))*(W1430),0.000001))</f>
        <v>43.656605496329213</v>
      </c>
      <c r="AF1430">
        <f t="shared" ref="AF1430:AF1493" ca="1" si="709">AB1431+(((AC1430+AC1431)/2)*J1431)+(IF(Z1430&gt;Z1431,$D$8*((Z1430^2-Z1431^2)/(2*$I$5)),$D$9*((Z1431^2-Z1430^2)/(2*$I$5)))+($D$10*(ABS(I1431)/90)*(MAX(Z1430^2,Z1431^2)/(2*$I$5))))-AB1430</f>
        <v>1.5059092096066706E-2</v>
      </c>
      <c r="AG1430">
        <f t="shared" ref="AG1430:AG1493" ca="1" si="710">IF(ROUND(AD1430,3)=1,1,IF(AND(ABS(AF1430)&lt;$D$19,AD1430&lt;1),1,0))</f>
        <v>0</v>
      </c>
      <c r="AH1430">
        <f ca="1">IF(V32="Supercritical",L1430,IF(V32="Subcritical",W1430,IF(AND(V1430=1,AG1430=1),IF(T1430&gt;=AE1430,L1430,W1430),IF(V1430=1,L1430,IF(AG1430=1,W1430,MAX($D$16,POWER((ABS(K1430)^2)/($I$5*MAX(F1430,0.1)^2),1/3)))))))</f>
        <v>2.1403668656741068</v>
      </c>
      <c r="AI1430">
        <f t="shared" ref="AI1430:AI1493" ca="1" si="711">E1430+AH1430</f>
        <v>634.06236686567411</v>
      </c>
      <c r="AJ1430">
        <f t="shared" ref="AJ1430:AJ1493" ca="1" si="712">AI1430+((ABS(K1430)/MAX(((F1430)+(G1430)*(AH1430))*(AH1430),0.000001))^2)/(2*$I$5)</f>
        <v>635.13255029851121</v>
      </c>
      <c r="AM1430">
        <v>0</v>
      </c>
      <c r="AN1430">
        <v>0</v>
      </c>
      <c r="AO1430">
        <f t="shared" ref="AO1430:AO1493" si="713">AM1430+AN1430</f>
        <v>0</v>
      </c>
      <c r="AP1430">
        <f t="shared" si="691"/>
        <v>0</v>
      </c>
      <c r="AQ1430">
        <f t="shared" ref="AQ1430:AQ1493" ca="1" si="714">ABS(ABS(K1430)/MAX(((F1430)+(G1430)*(AH1430))*(AH1430),0.000001))/SQRT($I$5*MAX((((F1430)+(G1430)*(AH1430))*(AH1430))/MAX((F1430)+2*(G1430)*(AH1430),0.000001),0.000001))</f>
        <v>0.99999999999999978</v>
      </c>
      <c r="AR1430" t="str">
        <f t="shared" ref="AR1430:AR1493" ca="1" si="715">IF(AQ1430&lt;1,"Subcritical","Supercritical")</f>
        <v>Supercritical</v>
      </c>
      <c r="AS1430">
        <f t="shared" ref="AS1430:AS1493" ca="1" si="716">((ABS(K1430)*$D$6)/(MAX(((F1430)+(G1430)*(AH1430))*(AH1430),0.000001)*MAX(((((F1430)+(G1430)*(AH1430))*(AH1430))/MAX((F1430)+2*(AH1430)*SQRT(1+(G1430)^2),0.000001))^(2/3),0.000001)))^2</f>
        <v>3.8148159832266538E-3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191</v>
      </c>
      <c r="I1431">
        <v>0</v>
      </c>
      <c r="J1431">
        <f t="shared" ref="J1431:J1494" si="717">B1431-B1430</f>
        <v>1</v>
      </c>
      <c r="K1431">
        <f t="shared" ref="K1431:K1494" si="718">MAX(0,K1430-AO1430)</f>
        <v>51</v>
      </c>
      <c r="L1431">
        <f t="shared" ref="L1431:L1494" ca="1" si="719">IF(OR($D$20=0,V1430=0),L1430,IF(OR(L1431=0,S1430&lt;1,S1431&lt;1),MAX($D$16,POWER((ABS(K1431)^2)/($I$5*MAX(F1431,0.1)^2),1/3)),IF(U1431&gt;0,MAX($D$16,L1431+((U1431)*$D$18*IF((S1431)&lt;1,1,-1))),IF(U1431&lt;0,IF(ABS((MAX($D$16,POWER((ABS(K1431)^2)/($I$5*MAX(F1431,0.1)^2),1/3)))-L1431)&gt;$D$19,MAX($D$16,L1431+($D$18*((MAX($D$16,POWER((ABS(K1431)^2)/($I$5*MAX(F1431,0.1)^2),1/3)))-L1431))),MAX($D$16,POWER((ABS(K1431)^2)/($I$5*MAX(F1431,0.1)^2),1/3))),L1431))))</f>
        <v>0.05</v>
      </c>
      <c r="M1431">
        <f t="shared" ca="1" si="692"/>
        <v>0.26</v>
      </c>
      <c r="N1431">
        <f t="shared" ca="1" si="693"/>
        <v>4.9056603773584909E-2</v>
      </c>
      <c r="O1431">
        <f t="shared" ca="1" si="694"/>
        <v>196.15384615384616</v>
      </c>
      <c r="P1431">
        <f t="shared" ca="1" si="695"/>
        <v>631.97149999999999</v>
      </c>
      <c r="Q1431">
        <f t="shared" ca="1" si="696"/>
        <v>2593.048531648662</v>
      </c>
      <c r="R1431">
        <f t="shared" ca="1" si="697"/>
        <v>482.07306851378365</v>
      </c>
      <c r="S1431">
        <f t="shared" ca="1" si="698"/>
        <v>280.07692026646265</v>
      </c>
      <c r="T1431">
        <f t="shared" ca="1" si="699"/>
        <v>1019.7665564573041</v>
      </c>
      <c r="U1431">
        <f t="shared" ref="U1431:U1494" ca="1" si="720">Q1430-(((R1430+R1431)/2)*J1431)-(IF(O1430&gt;O1431,$D$8*((O1430^2-O1431^2)/(2*$I$5)),$D$9*((O1431^2-O1430^2)/(2*$I$5)))+($D$10*(ABS(I1431)/90)*(MAX(O1430^2,O1431^2)/(2*$I$5))))-Q1431</f>
        <v>-482.07256851378361</v>
      </c>
      <c r="V1431">
        <f t="shared" ref="V1431:V1494" ca="1" si="721">IF(ROUND(S1431,3)=1,1,IF(AND(ABS(U1431)&lt;$D$19,S1431&gt;1),1,0))</f>
        <v>0</v>
      </c>
      <c r="W1431">
        <f t="shared" ca="1" si="700"/>
        <v>1.3132669120258793</v>
      </c>
      <c r="X1431">
        <f t="shared" ca="1" si="701"/>
        <v>6.8289879425345728</v>
      </c>
      <c r="Y1431">
        <f t="shared" ca="1" si="702"/>
        <v>0.87254308178524409</v>
      </c>
      <c r="Z1431">
        <f t="shared" ca="1" si="703"/>
        <v>7.4681637204753057</v>
      </c>
      <c r="AA1431">
        <f t="shared" ca="1" si="704"/>
        <v>633.23476691202586</v>
      </c>
      <c r="AB1431">
        <f t="shared" ca="1" si="705"/>
        <v>636.0774513847997</v>
      </c>
      <c r="AC1431">
        <f t="shared" ca="1" si="706"/>
        <v>1.5050849251342322E-2</v>
      </c>
      <c r="AD1431">
        <f t="shared" ca="1" si="707"/>
        <v>2.080668179359769</v>
      </c>
      <c r="AE1431">
        <f t="shared" ca="1" si="708"/>
        <v>43.309457931783349</v>
      </c>
      <c r="AF1431">
        <f t="shared" ca="1" si="709"/>
        <v>1.4550849251349973E-2</v>
      </c>
      <c r="AG1431">
        <f t="shared" ca="1" si="710"/>
        <v>0</v>
      </c>
      <c r="AH1431">
        <f ca="1">IF(V32="Supercritical",L1431,IF(V32="Subcritical",W1431,IF(AND(V1431=1,AG1431=1),IF(T1431&gt;=AE1431,L1431,W1431),IF(V1431=1,L1431,IF(AG1431=1,W1431,MAX($D$16,POWER((ABS(K1431)^2)/($I$5*MAX(F1431,0.1)^2),1/3)))))))</f>
        <v>2.1403668656741068</v>
      </c>
      <c r="AI1431">
        <f t="shared" ca="1" si="711"/>
        <v>634.06186686567412</v>
      </c>
      <c r="AJ1431">
        <f t="shared" ca="1" si="712"/>
        <v>635.13205029851122</v>
      </c>
      <c r="AM1431">
        <v>0</v>
      </c>
      <c r="AN1431">
        <v>0</v>
      </c>
      <c r="AO1431">
        <f t="shared" si="713"/>
        <v>0</v>
      </c>
      <c r="AP1431">
        <f t="shared" ref="AP1431:AP1494" si="722">AP1430+AO1431</f>
        <v>0</v>
      </c>
      <c r="AQ1431">
        <f t="shared" ca="1" si="714"/>
        <v>0.99999999999999978</v>
      </c>
      <c r="AR1431" t="str">
        <f t="shared" ca="1" si="715"/>
        <v>Supercritical</v>
      </c>
      <c r="AS1431">
        <f t="shared" ca="1" si="716"/>
        <v>3.8148159832266538E-3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191</v>
      </c>
      <c r="I1432">
        <v>0</v>
      </c>
      <c r="J1432">
        <f t="shared" si="717"/>
        <v>1</v>
      </c>
      <c r="K1432">
        <f t="shared" si="718"/>
        <v>51</v>
      </c>
      <c r="L1432">
        <f t="shared" ca="1" si="719"/>
        <v>0.05</v>
      </c>
      <c r="M1432">
        <f t="shared" ca="1" si="692"/>
        <v>0.26</v>
      </c>
      <c r="N1432">
        <f t="shared" ca="1" si="693"/>
        <v>4.9056603773584909E-2</v>
      </c>
      <c r="O1432">
        <f t="shared" ca="1" si="694"/>
        <v>196.15384615384616</v>
      </c>
      <c r="P1432">
        <f t="shared" ca="1" si="695"/>
        <v>631.971</v>
      </c>
      <c r="Q1432">
        <f t="shared" ca="1" si="696"/>
        <v>2593.0480316486619</v>
      </c>
      <c r="R1432">
        <f t="shared" ca="1" si="697"/>
        <v>482.07306851378365</v>
      </c>
      <c r="S1432">
        <f t="shared" ca="1" si="698"/>
        <v>280.07692026646265</v>
      </c>
      <c r="T1432">
        <f t="shared" ca="1" si="699"/>
        <v>1019.7665564573041</v>
      </c>
      <c r="U1432">
        <f t="shared" ca="1" si="720"/>
        <v>-482.07256851378361</v>
      </c>
      <c r="V1432">
        <f t="shared" ca="1" si="721"/>
        <v>0</v>
      </c>
      <c r="W1432">
        <f t="shared" ca="1" si="700"/>
        <v>1.3260319203006192</v>
      </c>
      <c r="X1432">
        <f t="shared" ca="1" si="701"/>
        <v>6.8953659855632203</v>
      </c>
      <c r="Y1432">
        <f t="shared" ca="1" si="702"/>
        <v>0.87815969476825306</v>
      </c>
      <c r="Z1432">
        <f t="shared" ca="1" si="703"/>
        <v>7.3962716564687563</v>
      </c>
      <c r="AA1432">
        <f t="shared" ca="1" si="704"/>
        <v>633.24703192030063</v>
      </c>
      <c r="AB1432">
        <f t="shared" ca="1" si="705"/>
        <v>636.03524978045778</v>
      </c>
      <c r="AC1432">
        <f t="shared" ca="1" si="706"/>
        <v>1.4636713059682836E-2</v>
      </c>
      <c r="AD1432">
        <f t="shared" ca="1" si="707"/>
        <v>2.050696361898344</v>
      </c>
      <c r="AE1432">
        <f t="shared" ca="1" si="708"/>
        <v>43.023302886040796</v>
      </c>
      <c r="AF1432">
        <f t="shared" ca="1" si="709"/>
        <v>1.4392299696737609E-2</v>
      </c>
      <c r="AG1432">
        <f t="shared" ca="1" si="710"/>
        <v>0</v>
      </c>
      <c r="AH1432">
        <f ca="1">IF(V32="Supercritical",L1432,IF(V32="Subcritical",W1432,IF(AND(V1432=1,AG1432=1),IF(T1432&gt;=AE1432,L1432,W1432),IF(V1432=1,L1432,IF(AG1432=1,W1432,MAX($D$16,POWER((ABS(K1432)^2)/($I$5*MAX(F1432,0.1)^2),1/3)))))))</f>
        <v>2.1403668656741068</v>
      </c>
      <c r="AI1432">
        <f t="shared" ca="1" si="711"/>
        <v>634.06136686567413</v>
      </c>
      <c r="AJ1432">
        <f t="shared" ca="1" si="712"/>
        <v>635.13155029851123</v>
      </c>
      <c r="AM1432">
        <v>0</v>
      </c>
      <c r="AN1432">
        <v>0</v>
      </c>
      <c r="AO1432">
        <f t="shared" si="713"/>
        <v>0</v>
      </c>
      <c r="AP1432">
        <f t="shared" si="722"/>
        <v>0</v>
      </c>
      <c r="AQ1432">
        <f t="shared" ca="1" si="714"/>
        <v>0.99999999999999978</v>
      </c>
      <c r="AR1432" t="str">
        <f t="shared" ca="1" si="715"/>
        <v>Supercritical</v>
      </c>
      <c r="AS1432">
        <f t="shared" ca="1" si="716"/>
        <v>3.8148159832266538E-3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191</v>
      </c>
      <c r="I1433">
        <v>5.5E-2</v>
      </c>
      <c r="J1433">
        <f t="shared" si="717"/>
        <v>1</v>
      </c>
      <c r="K1433">
        <f t="shared" si="718"/>
        <v>51</v>
      </c>
      <c r="L1433">
        <f t="shared" ca="1" si="719"/>
        <v>0.05</v>
      </c>
      <c r="M1433">
        <f t="shared" ca="1" si="692"/>
        <v>0.26</v>
      </c>
      <c r="N1433">
        <f t="shared" ca="1" si="693"/>
        <v>4.9056603773584909E-2</v>
      </c>
      <c r="O1433">
        <f t="shared" ca="1" si="694"/>
        <v>196.15384615384616</v>
      </c>
      <c r="P1433">
        <f t="shared" ca="1" si="695"/>
        <v>631.9704999999999</v>
      </c>
      <c r="Q1433">
        <f t="shared" ca="1" si="696"/>
        <v>2593.0475316486618</v>
      </c>
      <c r="R1433">
        <f t="shared" ca="1" si="697"/>
        <v>482.07306851378365</v>
      </c>
      <c r="S1433">
        <f t="shared" ca="1" si="698"/>
        <v>280.07692026646265</v>
      </c>
      <c r="T1433">
        <f t="shared" ca="1" si="699"/>
        <v>1019.7665564573041</v>
      </c>
      <c r="U1433">
        <f t="shared" ca="1" si="720"/>
        <v>-482.25233390835137</v>
      </c>
      <c r="V1433">
        <f t="shared" ca="1" si="721"/>
        <v>0</v>
      </c>
      <c r="W1433">
        <f t="shared" ca="1" si="700"/>
        <v>1.3368821773341482</v>
      </c>
      <c r="X1433">
        <f t="shared" ca="1" si="701"/>
        <v>6.9517873221375703</v>
      </c>
      <c r="Y1433">
        <f t="shared" ca="1" si="702"/>
        <v>0.88290517838724847</v>
      </c>
      <c r="Z1433">
        <f t="shared" ca="1" si="703"/>
        <v>7.3362428447132446</v>
      </c>
      <c r="AA1433">
        <f t="shared" ca="1" si="704"/>
        <v>633.25738217733408</v>
      </c>
      <c r="AB1433">
        <f t="shared" ca="1" si="705"/>
        <v>636.000524841789</v>
      </c>
      <c r="AC1433">
        <f t="shared" ca="1" si="706"/>
        <v>1.4296986176831698E-2</v>
      </c>
      <c r="AD1433">
        <f t="shared" ca="1" si="707"/>
        <v>2.0257816295367994</v>
      </c>
      <c r="AE1433">
        <f t="shared" ca="1" si="708"/>
        <v>42.786349080936908</v>
      </c>
      <c r="AF1433">
        <f t="shared" ca="1" si="709"/>
        <v>1.4062737907238443E-2</v>
      </c>
      <c r="AG1433">
        <f t="shared" ca="1" si="710"/>
        <v>0</v>
      </c>
      <c r="AH1433">
        <f ca="1">IF(V32="Supercritical",L1433,IF(V32="Subcritical",W1433,IF(AND(V1433=1,AG1433=1),IF(T1433&gt;=AE1433,L1433,W1433),IF(V1433=1,L1433,IF(AG1433=1,W1433,MAX($D$16,POWER((ABS(K1433)^2)/($I$5*MAX(F1433,0.1)^2),1/3)))))))</f>
        <v>2.1403668656741068</v>
      </c>
      <c r="AI1433">
        <f t="shared" ca="1" si="711"/>
        <v>634.06086686567403</v>
      </c>
      <c r="AJ1433">
        <f t="shared" ca="1" si="712"/>
        <v>635.13105029851113</v>
      </c>
      <c r="AM1433">
        <v>0</v>
      </c>
      <c r="AN1433">
        <v>0</v>
      </c>
      <c r="AO1433">
        <f t="shared" si="713"/>
        <v>0</v>
      </c>
      <c r="AP1433">
        <f t="shared" si="722"/>
        <v>0</v>
      </c>
      <c r="AQ1433">
        <f t="shared" ca="1" si="714"/>
        <v>0.99999999999999978</v>
      </c>
      <c r="AR1433" t="str">
        <f t="shared" ca="1" si="715"/>
        <v>Supercritical</v>
      </c>
      <c r="AS1433">
        <f t="shared" ca="1" si="716"/>
        <v>3.8148159832266538E-3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191</v>
      </c>
      <c r="I1434">
        <v>5.5E-2</v>
      </c>
      <c r="J1434">
        <f t="shared" si="717"/>
        <v>1.0010000000002037</v>
      </c>
      <c r="K1434">
        <f t="shared" si="718"/>
        <v>51</v>
      </c>
      <c r="L1434">
        <f t="shared" ca="1" si="719"/>
        <v>0.05</v>
      </c>
      <c r="M1434">
        <f t="shared" ca="1" si="692"/>
        <v>0.26</v>
      </c>
      <c r="N1434">
        <f t="shared" ca="1" si="693"/>
        <v>4.9056603773584909E-2</v>
      </c>
      <c r="O1434">
        <f t="shared" ca="1" si="694"/>
        <v>196.15384615384616</v>
      </c>
      <c r="P1434">
        <f t="shared" ca="1" si="695"/>
        <v>631.96999999999991</v>
      </c>
      <c r="Q1434">
        <f t="shared" ca="1" si="696"/>
        <v>2593.0470316486621</v>
      </c>
      <c r="R1434">
        <f t="shared" ca="1" si="697"/>
        <v>482.07306851378365</v>
      </c>
      <c r="S1434">
        <f t="shared" ca="1" si="698"/>
        <v>280.07692026646265</v>
      </c>
      <c r="T1434">
        <f t="shared" ca="1" si="699"/>
        <v>1019.7665564573041</v>
      </c>
      <c r="U1434">
        <f t="shared" ca="1" si="720"/>
        <v>-482.73440697696378</v>
      </c>
      <c r="V1434">
        <f t="shared" ca="1" si="721"/>
        <v>0</v>
      </c>
      <c r="W1434">
        <f t="shared" ca="1" si="700"/>
        <v>1.3461048958126478</v>
      </c>
      <c r="X1434">
        <f t="shared" ca="1" si="701"/>
        <v>6.9997454582257692</v>
      </c>
      <c r="Y1434">
        <f t="shared" ca="1" si="702"/>
        <v>0.88691832110867697</v>
      </c>
      <c r="Z1434">
        <f t="shared" ca="1" si="703"/>
        <v>7.2859792265827634</v>
      </c>
      <c r="AA1434">
        <f t="shared" ca="1" si="704"/>
        <v>633.26610489581265</v>
      </c>
      <c r="AB1434">
        <f t="shared" ca="1" si="705"/>
        <v>635.97178753037917</v>
      </c>
      <c r="AC1434">
        <f t="shared" ca="1" si="706"/>
        <v>1.4016735359892141E-2</v>
      </c>
      <c r="AD1434">
        <f t="shared" ca="1" si="707"/>
        <v>2.004998135442126</v>
      </c>
      <c r="AE1434">
        <f t="shared" ca="1" si="708"/>
        <v>42.589375280794997</v>
      </c>
      <c r="AF1434">
        <f t="shared" ca="1" si="709"/>
        <v>1.3516735359871745E-2</v>
      </c>
      <c r="AG1434">
        <f t="shared" ca="1" si="710"/>
        <v>0</v>
      </c>
      <c r="AH1434">
        <f ca="1">IF(V32="Supercritical",L1434,IF(V32="Subcritical",W1434,IF(AND(V1434=1,AG1434=1),IF(T1434&gt;=AE1434,L1434,W1434),IF(V1434=1,L1434,IF(AG1434=1,W1434,MAX($D$16,POWER((ABS(K1434)^2)/($I$5*MAX(F1434,0.1)^2),1/3)))))))</f>
        <v>2.1403668656741068</v>
      </c>
      <c r="AI1434">
        <f t="shared" ca="1" si="711"/>
        <v>634.06036686567404</v>
      </c>
      <c r="AJ1434">
        <f t="shared" ca="1" si="712"/>
        <v>635.13055029851114</v>
      </c>
      <c r="AM1434">
        <v>0</v>
      </c>
      <c r="AN1434">
        <v>0</v>
      </c>
      <c r="AO1434">
        <f t="shared" si="713"/>
        <v>0</v>
      </c>
      <c r="AP1434">
        <f t="shared" si="722"/>
        <v>0</v>
      </c>
      <c r="AQ1434">
        <f t="shared" ca="1" si="714"/>
        <v>0.99999999999999978</v>
      </c>
      <c r="AR1434" t="str">
        <f t="shared" ca="1" si="715"/>
        <v>Supercritical</v>
      </c>
      <c r="AS1434">
        <f t="shared" ca="1" si="716"/>
        <v>3.8148159832266538E-3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191</v>
      </c>
      <c r="I1435">
        <v>0</v>
      </c>
      <c r="J1435">
        <f t="shared" si="717"/>
        <v>1</v>
      </c>
      <c r="K1435">
        <f t="shared" si="718"/>
        <v>51</v>
      </c>
      <c r="L1435">
        <f t="shared" ca="1" si="719"/>
        <v>0.05</v>
      </c>
      <c r="M1435">
        <f t="shared" ca="1" si="692"/>
        <v>0.26</v>
      </c>
      <c r="N1435">
        <f t="shared" ca="1" si="693"/>
        <v>4.9056603773584909E-2</v>
      </c>
      <c r="O1435">
        <f t="shared" ca="1" si="694"/>
        <v>196.15384615384616</v>
      </c>
      <c r="P1435">
        <f t="shared" ca="1" si="695"/>
        <v>631.96949999999993</v>
      </c>
      <c r="Q1435">
        <f t="shared" ca="1" si="696"/>
        <v>2593.046531648662</v>
      </c>
      <c r="R1435">
        <f t="shared" ca="1" si="697"/>
        <v>482.07306851378365</v>
      </c>
      <c r="S1435">
        <f t="shared" ca="1" si="698"/>
        <v>280.07692026646265</v>
      </c>
      <c r="T1435">
        <f t="shared" ca="1" si="699"/>
        <v>1019.7665564573041</v>
      </c>
      <c r="U1435">
        <f t="shared" ca="1" si="720"/>
        <v>-482.07256851378361</v>
      </c>
      <c r="V1435">
        <f t="shared" ca="1" si="721"/>
        <v>0</v>
      </c>
      <c r="W1435">
        <f t="shared" ca="1" si="700"/>
        <v>1.3539442065193725</v>
      </c>
      <c r="X1435">
        <f t="shared" ca="1" si="701"/>
        <v>7.0405098739007377</v>
      </c>
      <c r="Y1435">
        <f t="shared" ca="1" si="702"/>
        <v>0.89031477256205971</v>
      </c>
      <c r="Z1435">
        <f t="shared" ca="1" si="703"/>
        <v>7.2437935481146996</v>
      </c>
      <c r="AA1435">
        <f t="shared" ca="1" si="704"/>
        <v>633.27344420651934</v>
      </c>
      <c r="AB1435">
        <f t="shared" ca="1" si="705"/>
        <v>635.9478858460559</v>
      </c>
      <c r="AC1435">
        <f t="shared" ca="1" si="706"/>
        <v>1.378446369433361E-2</v>
      </c>
      <c r="AD1435">
        <f t="shared" ca="1" si="707"/>
        <v>1.9876100150592688</v>
      </c>
      <c r="AE1435">
        <f t="shared" ca="1" si="708"/>
        <v>42.425094318012633</v>
      </c>
      <c r="AF1435">
        <f t="shared" ca="1" si="709"/>
        <v>1.328446369439007E-2</v>
      </c>
      <c r="AG1435">
        <f t="shared" ca="1" si="710"/>
        <v>0</v>
      </c>
      <c r="AH1435">
        <f ca="1">IF(V32="Supercritical",L1435,IF(V32="Subcritical",W1435,IF(AND(V1435=1,AG1435=1),IF(T1435&gt;=AE1435,L1435,W1435),IF(V1435=1,L1435,IF(AG1435=1,W1435,MAX($D$16,POWER((ABS(K1435)^2)/($I$5*MAX(F1435,0.1)^2),1/3)))))))</f>
        <v>2.1403668656741068</v>
      </c>
      <c r="AI1435">
        <f t="shared" ca="1" si="711"/>
        <v>634.05986686567405</v>
      </c>
      <c r="AJ1435">
        <f t="shared" ca="1" si="712"/>
        <v>635.13005029851115</v>
      </c>
      <c r="AM1435">
        <v>0</v>
      </c>
      <c r="AN1435">
        <v>0</v>
      </c>
      <c r="AO1435">
        <f t="shared" si="713"/>
        <v>0</v>
      </c>
      <c r="AP1435">
        <f t="shared" si="722"/>
        <v>0</v>
      </c>
      <c r="AQ1435">
        <f t="shared" ca="1" si="714"/>
        <v>0.99999999999999978</v>
      </c>
      <c r="AR1435" t="str">
        <f t="shared" ca="1" si="715"/>
        <v>Supercritical</v>
      </c>
      <c r="AS1435">
        <f t="shared" ca="1" si="716"/>
        <v>3.8148159832266538E-3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191</v>
      </c>
      <c r="I1436">
        <v>0</v>
      </c>
      <c r="J1436">
        <f t="shared" si="717"/>
        <v>1</v>
      </c>
      <c r="K1436">
        <f t="shared" si="718"/>
        <v>51</v>
      </c>
      <c r="L1436">
        <f t="shared" ca="1" si="719"/>
        <v>0.05</v>
      </c>
      <c r="M1436">
        <f t="shared" ca="1" si="692"/>
        <v>0.26</v>
      </c>
      <c r="N1436">
        <f t="shared" ca="1" si="693"/>
        <v>4.9056603773584909E-2</v>
      </c>
      <c r="O1436">
        <f t="shared" ca="1" si="694"/>
        <v>196.15384615384616</v>
      </c>
      <c r="P1436">
        <f t="shared" ca="1" si="695"/>
        <v>631.96899999999994</v>
      </c>
      <c r="Q1436">
        <f t="shared" ca="1" si="696"/>
        <v>2593.0460316486619</v>
      </c>
      <c r="R1436">
        <f t="shared" ca="1" si="697"/>
        <v>482.07306851378365</v>
      </c>
      <c r="S1436">
        <f t="shared" ca="1" si="698"/>
        <v>280.07692026646265</v>
      </c>
      <c r="T1436">
        <f t="shared" ca="1" si="699"/>
        <v>1019.7665564573041</v>
      </c>
      <c r="U1436">
        <f t="shared" ca="1" si="720"/>
        <v>-482.07256851378361</v>
      </c>
      <c r="V1436">
        <f t="shared" ca="1" si="721"/>
        <v>0</v>
      </c>
      <c r="W1436">
        <f t="shared" ca="1" si="700"/>
        <v>1.3606076206200886</v>
      </c>
      <c r="X1436">
        <f t="shared" ca="1" si="701"/>
        <v>7.075159627224461</v>
      </c>
      <c r="Y1436">
        <f t="shared" ca="1" si="702"/>
        <v>0.89319118490671712</v>
      </c>
      <c r="Z1436">
        <f t="shared" ca="1" si="703"/>
        <v>7.2083179302071754</v>
      </c>
      <c r="AA1436">
        <f t="shared" ca="1" si="704"/>
        <v>633.27960762062003</v>
      </c>
      <c r="AB1436">
        <f t="shared" ca="1" si="705"/>
        <v>635.92791788478655</v>
      </c>
      <c r="AC1436">
        <f t="shared" ca="1" si="706"/>
        <v>1.3591200329425783E-2</v>
      </c>
      <c r="AD1436">
        <f t="shared" ca="1" si="707"/>
        <v>1.9730267807937971</v>
      </c>
      <c r="AE1436">
        <f t="shared" ca="1" si="708"/>
        <v>42.287693775742191</v>
      </c>
      <c r="AF1436">
        <f t="shared" ca="1" si="709"/>
        <v>1.332919860419679E-2</v>
      </c>
      <c r="AG1436">
        <f t="shared" ca="1" si="710"/>
        <v>0</v>
      </c>
      <c r="AH1436">
        <f ca="1">IF(V32="Supercritical",L1436,IF(V32="Subcritical",W1436,IF(AND(V1436=1,AG1436=1),IF(T1436&gt;=AE1436,L1436,W1436),IF(V1436=1,L1436,IF(AG1436=1,W1436,MAX($D$16,POWER((ABS(K1436)^2)/($I$5*MAX(F1436,0.1)^2),1/3)))))))</f>
        <v>2.1403668656741068</v>
      </c>
      <c r="AI1436">
        <f t="shared" ca="1" si="711"/>
        <v>634.05936686567406</v>
      </c>
      <c r="AJ1436">
        <f t="shared" ca="1" si="712"/>
        <v>635.12955029851116</v>
      </c>
      <c r="AM1436">
        <v>0</v>
      </c>
      <c r="AN1436">
        <v>0</v>
      </c>
      <c r="AO1436">
        <f t="shared" si="713"/>
        <v>0</v>
      </c>
      <c r="AP1436">
        <f t="shared" si="722"/>
        <v>0</v>
      </c>
      <c r="AQ1436">
        <f t="shared" ca="1" si="714"/>
        <v>0.99999999999999978</v>
      </c>
      <c r="AR1436" t="str">
        <f t="shared" ca="1" si="715"/>
        <v>Supercritical</v>
      </c>
      <c r="AS1436">
        <f t="shared" ca="1" si="716"/>
        <v>3.8148159832266538E-3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191</v>
      </c>
      <c r="I1437">
        <v>5.7000000000000002E-2</v>
      </c>
      <c r="J1437">
        <f t="shared" si="717"/>
        <v>0.99899999999979627</v>
      </c>
      <c r="K1437">
        <f t="shared" si="718"/>
        <v>51</v>
      </c>
      <c r="L1437">
        <f t="shared" ca="1" si="719"/>
        <v>0.05</v>
      </c>
      <c r="M1437">
        <f t="shared" ca="1" si="692"/>
        <v>0.26</v>
      </c>
      <c r="N1437">
        <f t="shared" ca="1" si="693"/>
        <v>4.9056603773584909E-2</v>
      </c>
      <c r="O1437">
        <f t="shared" ca="1" si="694"/>
        <v>196.15384615384616</v>
      </c>
      <c r="P1437">
        <f t="shared" ca="1" si="695"/>
        <v>631.96849999999995</v>
      </c>
      <c r="Q1437">
        <f t="shared" ca="1" si="696"/>
        <v>2593.0455316486623</v>
      </c>
      <c r="R1437">
        <f t="shared" ca="1" si="697"/>
        <v>482.07306851378365</v>
      </c>
      <c r="S1437">
        <f t="shared" ca="1" si="698"/>
        <v>280.07692026646265</v>
      </c>
      <c r="T1437">
        <f t="shared" ca="1" si="699"/>
        <v>1019.7665564573041</v>
      </c>
      <c r="U1437">
        <f t="shared" ca="1" si="720"/>
        <v>-481.77679776317882</v>
      </c>
      <c r="V1437">
        <f t="shared" ca="1" si="721"/>
        <v>0</v>
      </c>
      <c r="W1437">
        <f t="shared" ca="1" si="700"/>
        <v>1.3662715226056972</v>
      </c>
      <c r="X1437">
        <f t="shared" ca="1" si="701"/>
        <v>7.1046119175496258</v>
      </c>
      <c r="Y1437">
        <f t="shared" ca="1" si="702"/>
        <v>0.89562853640465745</v>
      </c>
      <c r="Z1437">
        <f t="shared" ca="1" si="703"/>
        <v>7.178435724831238</v>
      </c>
      <c r="AA1437">
        <f t="shared" ca="1" si="704"/>
        <v>633.28477152260564</v>
      </c>
      <c r="AB1437">
        <f t="shared" ca="1" si="705"/>
        <v>635.91117006773982</v>
      </c>
      <c r="AC1437">
        <f t="shared" ca="1" si="706"/>
        <v>1.3429863139013579E-2</v>
      </c>
      <c r="AD1437">
        <f t="shared" ca="1" si="707"/>
        <v>1.960770680305234</v>
      </c>
      <c r="AE1437">
        <f t="shared" ca="1" si="708"/>
        <v>42.172499279047699</v>
      </c>
      <c r="AF1437">
        <f t="shared" ca="1" si="709"/>
        <v>1.3179371000774154E-2</v>
      </c>
      <c r="AG1437">
        <f t="shared" ca="1" si="710"/>
        <v>0</v>
      </c>
      <c r="AH1437">
        <f ca="1">IF(V32="Supercritical",L1437,IF(V32="Subcritical",W1437,IF(AND(V1437=1,AG1437=1),IF(T1437&gt;=AE1437,L1437,W1437),IF(V1437=1,L1437,IF(AG1437=1,W1437,MAX($D$16,POWER((ABS(K1437)^2)/($I$5*MAX(F1437,0.1)^2),1/3)))))))</f>
        <v>2.1403668656741068</v>
      </c>
      <c r="AI1437">
        <f t="shared" ca="1" si="711"/>
        <v>634.05886686567408</v>
      </c>
      <c r="AJ1437">
        <f t="shared" ca="1" si="712"/>
        <v>635.12905029851117</v>
      </c>
      <c r="AM1437">
        <v>0</v>
      </c>
      <c r="AN1437">
        <v>0</v>
      </c>
      <c r="AO1437">
        <f t="shared" si="713"/>
        <v>0</v>
      </c>
      <c r="AP1437">
        <f t="shared" si="722"/>
        <v>0</v>
      </c>
      <c r="AQ1437">
        <f t="shared" ca="1" si="714"/>
        <v>0.99999999999999978</v>
      </c>
      <c r="AR1437" t="str">
        <f t="shared" ca="1" si="715"/>
        <v>Supercritical</v>
      </c>
      <c r="AS1437">
        <f t="shared" ca="1" si="716"/>
        <v>3.8148159832266538E-3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191</v>
      </c>
      <c r="I1438">
        <v>5.7000000000000002E-2</v>
      </c>
      <c r="J1438">
        <f t="shared" si="717"/>
        <v>1</v>
      </c>
      <c r="K1438">
        <f t="shared" si="718"/>
        <v>51</v>
      </c>
      <c r="L1438">
        <f t="shared" ca="1" si="719"/>
        <v>0.05</v>
      </c>
      <c r="M1438">
        <f t="shared" ca="1" si="692"/>
        <v>0.26</v>
      </c>
      <c r="N1438">
        <f t="shared" ca="1" si="693"/>
        <v>4.9056603773584909E-2</v>
      </c>
      <c r="O1438">
        <f t="shared" ca="1" si="694"/>
        <v>196.15384615384616</v>
      </c>
      <c r="P1438">
        <f t="shared" ca="1" si="695"/>
        <v>631.96799999999996</v>
      </c>
      <c r="Q1438">
        <f t="shared" ca="1" si="696"/>
        <v>2593.0450316486622</v>
      </c>
      <c r="R1438">
        <f t="shared" ca="1" si="697"/>
        <v>482.07306851378365</v>
      </c>
      <c r="S1438">
        <f t="shared" ca="1" si="698"/>
        <v>280.07692026646265</v>
      </c>
      <c r="T1438">
        <f t="shared" ca="1" si="699"/>
        <v>1019.7665564573041</v>
      </c>
      <c r="U1438">
        <f t="shared" ca="1" si="720"/>
        <v>-482.25887083179032</v>
      </c>
      <c r="V1438">
        <f t="shared" ca="1" si="721"/>
        <v>0</v>
      </c>
      <c r="W1438">
        <f t="shared" ca="1" si="700"/>
        <v>1.3710858392934644</v>
      </c>
      <c r="X1438">
        <f t="shared" ca="1" si="701"/>
        <v>7.1296463643260148</v>
      </c>
      <c r="Y1438">
        <f t="shared" ca="1" si="702"/>
        <v>0.89769481860338252</v>
      </c>
      <c r="Z1438">
        <f t="shared" ca="1" si="703"/>
        <v>7.1532299631555665</v>
      </c>
      <c r="AA1438">
        <f t="shared" ca="1" si="704"/>
        <v>633.28908583929342</v>
      </c>
      <c r="AB1438">
        <f t="shared" ca="1" si="705"/>
        <v>635.89707253173924</v>
      </c>
      <c r="AC1438">
        <f t="shared" ca="1" si="706"/>
        <v>1.3294803850356423E-2</v>
      </c>
      <c r="AD1438">
        <f t="shared" ca="1" si="707"/>
        <v>1.9504524208194769</v>
      </c>
      <c r="AE1438">
        <f t="shared" ca="1" si="708"/>
        <v>42.075724264662412</v>
      </c>
      <c r="AF1438">
        <f t="shared" ca="1" si="709"/>
        <v>1.2794803850397329E-2</v>
      </c>
      <c r="AG1438">
        <f t="shared" ca="1" si="710"/>
        <v>0</v>
      </c>
      <c r="AH1438">
        <f ca="1">IF(V32="Supercritical",L1438,IF(V32="Subcritical",W1438,IF(AND(V1438=1,AG1438=1),IF(T1438&gt;=AE1438,L1438,W1438),IF(V1438=1,L1438,IF(AG1438=1,W1438,MAX($D$16,POWER((ABS(K1438)^2)/($I$5*MAX(F1438,0.1)^2),1/3)))))))</f>
        <v>2.1403668656741068</v>
      </c>
      <c r="AI1438">
        <f t="shared" ca="1" si="711"/>
        <v>634.05836686567409</v>
      </c>
      <c r="AJ1438">
        <f t="shared" ca="1" si="712"/>
        <v>635.12855029851119</v>
      </c>
      <c r="AM1438">
        <v>0</v>
      </c>
      <c r="AN1438">
        <v>0</v>
      </c>
      <c r="AO1438">
        <f t="shared" si="713"/>
        <v>0</v>
      </c>
      <c r="AP1438">
        <f t="shared" si="722"/>
        <v>0</v>
      </c>
      <c r="AQ1438">
        <f t="shared" ca="1" si="714"/>
        <v>0.99999999999999978</v>
      </c>
      <c r="AR1438" t="str">
        <f t="shared" ca="1" si="715"/>
        <v>Supercritical</v>
      </c>
      <c r="AS1438">
        <f t="shared" ca="1" si="716"/>
        <v>3.8148159832266538E-3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191</v>
      </c>
      <c r="I1439">
        <v>0</v>
      </c>
      <c r="J1439">
        <f t="shared" si="717"/>
        <v>1</v>
      </c>
      <c r="K1439">
        <f t="shared" si="718"/>
        <v>51</v>
      </c>
      <c r="L1439">
        <f t="shared" ca="1" si="719"/>
        <v>0.05</v>
      </c>
      <c r="M1439">
        <f t="shared" ca="1" si="692"/>
        <v>0.26</v>
      </c>
      <c r="N1439">
        <f t="shared" ca="1" si="693"/>
        <v>4.9056603773584909E-2</v>
      </c>
      <c r="O1439">
        <f t="shared" ca="1" si="694"/>
        <v>196.15384615384616</v>
      </c>
      <c r="P1439">
        <f t="shared" ca="1" si="695"/>
        <v>631.96749999999997</v>
      </c>
      <c r="Q1439">
        <f t="shared" ca="1" si="696"/>
        <v>2593.0445316486621</v>
      </c>
      <c r="R1439">
        <f t="shared" ca="1" si="697"/>
        <v>482.07306851378365</v>
      </c>
      <c r="S1439">
        <f t="shared" ca="1" si="698"/>
        <v>280.07692026646265</v>
      </c>
      <c r="T1439">
        <f t="shared" ca="1" si="699"/>
        <v>1019.7665564573041</v>
      </c>
      <c r="U1439">
        <f t="shared" ca="1" si="720"/>
        <v>-482.07256851378361</v>
      </c>
      <c r="V1439">
        <f t="shared" ca="1" si="721"/>
        <v>0</v>
      </c>
      <c r="W1439">
        <f t="shared" ca="1" si="700"/>
        <v>1.3751780084780667</v>
      </c>
      <c r="X1439">
        <f t="shared" ca="1" si="701"/>
        <v>7.1509256440859472</v>
      </c>
      <c r="Y1439">
        <f t="shared" ca="1" si="702"/>
        <v>0.8994472233488412</v>
      </c>
      <c r="Z1439">
        <f t="shared" ca="1" si="703"/>
        <v>7.1319438263462702</v>
      </c>
      <c r="AA1439">
        <f t="shared" ca="1" si="704"/>
        <v>633.29267800847811</v>
      </c>
      <c r="AB1439">
        <f t="shared" ca="1" si="705"/>
        <v>635.88516642550962</v>
      </c>
      <c r="AC1439">
        <f t="shared" ca="1" si="706"/>
        <v>1.3181477679857488E-2</v>
      </c>
      <c r="AD1439">
        <f t="shared" ca="1" si="707"/>
        <v>1.9417528482675459</v>
      </c>
      <c r="AE1439">
        <f t="shared" ca="1" si="708"/>
        <v>41.994281649697569</v>
      </c>
      <c r="AF1439">
        <f t="shared" ca="1" si="709"/>
        <v>1.2681477679848285E-2</v>
      </c>
      <c r="AG1439">
        <f t="shared" ca="1" si="710"/>
        <v>0</v>
      </c>
      <c r="AH1439">
        <f ca="1">IF(V32="Supercritical",L1439,IF(V32="Subcritical",W1439,IF(AND(V1439=1,AG1439=1),IF(T1439&gt;=AE1439,L1439,W1439),IF(V1439=1,L1439,IF(AG1439=1,W1439,MAX($D$16,POWER((ABS(K1439)^2)/($I$5*MAX(F1439,0.1)^2),1/3)))))))</f>
        <v>2.1403668656741068</v>
      </c>
      <c r="AI1439">
        <f t="shared" ca="1" si="711"/>
        <v>634.0578668656741</v>
      </c>
      <c r="AJ1439">
        <f t="shared" ca="1" si="712"/>
        <v>635.1280502985112</v>
      </c>
      <c r="AM1439">
        <v>0</v>
      </c>
      <c r="AN1439">
        <v>0</v>
      </c>
      <c r="AO1439">
        <f t="shared" si="713"/>
        <v>0</v>
      </c>
      <c r="AP1439">
        <f t="shared" si="722"/>
        <v>0</v>
      </c>
      <c r="AQ1439">
        <f t="shared" ca="1" si="714"/>
        <v>0.99999999999999978</v>
      </c>
      <c r="AR1439" t="str">
        <f t="shared" ca="1" si="715"/>
        <v>Supercritical</v>
      </c>
      <c r="AS1439">
        <f t="shared" ca="1" si="716"/>
        <v>3.8148159832266538E-3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191</v>
      </c>
      <c r="I1440">
        <v>0</v>
      </c>
      <c r="J1440">
        <f t="shared" si="717"/>
        <v>1</v>
      </c>
      <c r="K1440">
        <f t="shared" si="718"/>
        <v>51</v>
      </c>
      <c r="L1440">
        <f t="shared" ca="1" si="719"/>
        <v>0.05</v>
      </c>
      <c r="M1440">
        <f t="shared" ca="1" si="692"/>
        <v>0.26</v>
      </c>
      <c r="N1440">
        <f t="shared" ca="1" si="693"/>
        <v>4.9056603773584909E-2</v>
      </c>
      <c r="O1440">
        <f t="shared" ca="1" si="694"/>
        <v>196.15384615384616</v>
      </c>
      <c r="P1440">
        <f t="shared" ca="1" si="695"/>
        <v>631.96699999999998</v>
      </c>
      <c r="Q1440">
        <f t="shared" ca="1" si="696"/>
        <v>2593.044031648662</v>
      </c>
      <c r="R1440">
        <f t="shared" ca="1" si="697"/>
        <v>482.07306851378365</v>
      </c>
      <c r="S1440">
        <f t="shared" ca="1" si="698"/>
        <v>280.07692026646265</v>
      </c>
      <c r="T1440">
        <f t="shared" ca="1" si="699"/>
        <v>1019.7665564573041</v>
      </c>
      <c r="U1440">
        <f t="shared" ca="1" si="720"/>
        <v>-482.07256851378361</v>
      </c>
      <c r="V1440">
        <f t="shared" ca="1" si="721"/>
        <v>0</v>
      </c>
      <c r="W1440">
        <f t="shared" ca="1" si="700"/>
        <v>1.3786563522849786</v>
      </c>
      <c r="X1440">
        <f t="shared" ca="1" si="701"/>
        <v>7.1690130318818888</v>
      </c>
      <c r="Y1440">
        <f t="shared" ca="1" si="702"/>
        <v>0.90093393310591641</v>
      </c>
      <c r="Z1440">
        <f t="shared" ca="1" si="703"/>
        <v>7.1139499639899997</v>
      </c>
      <c r="AA1440">
        <f t="shared" ca="1" si="704"/>
        <v>633.29565635228505</v>
      </c>
      <c r="AB1440">
        <f t="shared" ca="1" si="705"/>
        <v>635.87507959847028</v>
      </c>
      <c r="AC1440">
        <f t="shared" ca="1" si="706"/>
        <v>1.3086199526333993E-2</v>
      </c>
      <c r="AD1440">
        <f t="shared" ca="1" si="707"/>
        <v>1.934408934689152</v>
      </c>
      <c r="AE1440">
        <f t="shared" ca="1" si="708"/>
        <v>41.925640411290217</v>
      </c>
      <c r="AF1440">
        <f t="shared" ca="1" si="709"/>
        <v>1.283124473479802E-2</v>
      </c>
      <c r="AG1440">
        <f t="shared" ca="1" si="710"/>
        <v>0</v>
      </c>
      <c r="AH1440">
        <f ca="1">IF(V32="Supercritical",L1440,IF(V32="Subcritical",W1440,IF(AND(V1440=1,AG1440=1),IF(T1440&gt;=AE1440,L1440,W1440),IF(V1440=1,L1440,IF(AG1440=1,W1440,MAX($D$16,POWER((ABS(K1440)^2)/($I$5*MAX(F1440,0.1)^2),1/3)))))))</f>
        <v>2.1403668656741068</v>
      </c>
      <c r="AI1440">
        <f t="shared" ca="1" si="711"/>
        <v>634.05736686567411</v>
      </c>
      <c r="AJ1440">
        <f t="shared" ca="1" si="712"/>
        <v>635.12755029851121</v>
      </c>
      <c r="AM1440">
        <v>0</v>
      </c>
      <c r="AN1440">
        <v>0</v>
      </c>
      <c r="AO1440">
        <f t="shared" si="713"/>
        <v>0</v>
      </c>
      <c r="AP1440">
        <f t="shared" si="722"/>
        <v>0</v>
      </c>
      <c r="AQ1440">
        <f t="shared" ca="1" si="714"/>
        <v>0.99999999999999978</v>
      </c>
      <c r="AR1440" t="str">
        <f t="shared" ca="1" si="715"/>
        <v>Supercritical</v>
      </c>
      <c r="AS1440">
        <f t="shared" ca="1" si="716"/>
        <v>3.8148159832266538E-3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191</v>
      </c>
      <c r="I1441">
        <v>5.7000000000000002E-2</v>
      </c>
      <c r="J1441">
        <f t="shared" si="717"/>
        <v>1</v>
      </c>
      <c r="K1441">
        <f t="shared" si="718"/>
        <v>51</v>
      </c>
      <c r="L1441">
        <f t="shared" ca="1" si="719"/>
        <v>0.05</v>
      </c>
      <c r="M1441">
        <f t="shared" ca="1" si="692"/>
        <v>0.26</v>
      </c>
      <c r="N1441">
        <f t="shared" ca="1" si="693"/>
        <v>4.9056603773584909E-2</v>
      </c>
      <c r="O1441">
        <f t="shared" ca="1" si="694"/>
        <v>196.15384615384616</v>
      </c>
      <c r="P1441">
        <f t="shared" ca="1" si="695"/>
        <v>631.9665</v>
      </c>
      <c r="Q1441">
        <f t="shared" ca="1" si="696"/>
        <v>2593.0435316486619</v>
      </c>
      <c r="R1441">
        <f t="shared" ca="1" si="697"/>
        <v>482.07306851378365</v>
      </c>
      <c r="S1441">
        <f t="shared" ca="1" si="698"/>
        <v>280.07692026646265</v>
      </c>
      <c r="T1441">
        <f t="shared" ca="1" si="699"/>
        <v>1019.7665564573041</v>
      </c>
      <c r="U1441">
        <f t="shared" ca="1" si="720"/>
        <v>-482.25887083179032</v>
      </c>
      <c r="V1441">
        <f t="shared" ca="1" si="721"/>
        <v>0</v>
      </c>
      <c r="W1441">
        <f t="shared" ca="1" si="700"/>
        <v>1.3816129445208538</v>
      </c>
      <c r="X1441">
        <f t="shared" ca="1" si="701"/>
        <v>7.1843873115084405</v>
      </c>
      <c r="Y1441">
        <f t="shared" ca="1" si="702"/>
        <v>0.90219559404875904</v>
      </c>
      <c r="Z1441">
        <f t="shared" ca="1" si="703"/>
        <v>7.0987264172554738</v>
      </c>
      <c r="AA1441">
        <f t="shared" ca="1" si="704"/>
        <v>633.29811294452088</v>
      </c>
      <c r="AB1441">
        <f t="shared" ca="1" si="705"/>
        <v>635.86650829350356</v>
      </c>
      <c r="AC1441">
        <f t="shared" ca="1" si="706"/>
        <v>1.3005961382186619E-2</v>
      </c>
      <c r="AD1441">
        <f t="shared" ca="1" si="707"/>
        <v>1.9282029300051784</v>
      </c>
      <c r="AE1441">
        <f t="shared" ca="1" si="708"/>
        <v>41.867715166353037</v>
      </c>
      <c r="AF1441">
        <f t="shared" ca="1" si="709"/>
        <v>1.2762800917130335E-2</v>
      </c>
      <c r="AG1441">
        <f t="shared" ca="1" si="710"/>
        <v>0</v>
      </c>
      <c r="AH1441">
        <f ca="1">IF(V32="Supercritical",L1441,IF(V32="Subcritical",W1441,IF(AND(V1441=1,AG1441=1),IF(T1441&gt;=AE1441,L1441,W1441),IF(V1441=1,L1441,IF(AG1441=1,W1441,MAX($D$16,POWER((ABS(K1441)^2)/($I$5*MAX(F1441,0.1)^2),1/3)))))))</f>
        <v>2.1403668656741068</v>
      </c>
      <c r="AI1441">
        <f t="shared" ca="1" si="711"/>
        <v>634.05686686567412</v>
      </c>
      <c r="AJ1441">
        <f t="shared" ca="1" si="712"/>
        <v>635.12705029851122</v>
      </c>
      <c r="AM1441">
        <v>0</v>
      </c>
      <c r="AN1441">
        <v>0</v>
      </c>
      <c r="AO1441">
        <f t="shared" si="713"/>
        <v>0</v>
      </c>
      <c r="AP1441">
        <f t="shared" si="722"/>
        <v>0</v>
      </c>
      <c r="AQ1441">
        <f t="shared" ca="1" si="714"/>
        <v>0.99999999999999978</v>
      </c>
      <c r="AR1441" t="str">
        <f t="shared" ca="1" si="715"/>
        <v>Supercritical</v>
      </c>
      <c r="AS1441">
        <f t="shared" ca="1" si="716"/>
        <v>3.8148159832266538E-3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191</v>
      </c>
      <c r="I1442">
        <v>0.06</v>
      </c>
      <c r="J1442">
        <f t="shared" si="717"/>
        <v>1</v>
      </c>
      <c r="K1442">
        <f t="shared" si="718"/>
        <v>51</v>
      </c>
      <c r="L1442">
        <f t="shared" ca="1" si="719"/>
        <v>0.05</v>
      </c>
      <c r="M1442">
        <f t="shared" ca="1" si="692"/>
        <v>0.26</v>
      </c>
      <c r="N1442">
        <f t="shared" ca="1" si="693"/>
        <v>4.9056603773584909E-2</v>
      </c>
      <c r="O1442">
        <f t="shared" ca="1" si="694"/>
        <v>196.15384615384616</v>
      </c>
      <c r="P1442">
        <f t="shared" ca="1" si="695"/>
        <v>631.96600000000001</v>
      </c>
      <c r="Q1442">
        <f t="shared" ca="1" si="696"/>
        <v>2593.0430316486622</v>
      </c>
      <c r="R1442">
        <f t="shared" ca="1" si="697"/>
        <v>482.07306851378365</v>
      </c>
      <c r="S1442">
        <f t="shared" ca="1" si="698"/>
        <v>280.07692026646265</v>
      </c>
      <c r="T1442">
        <f t="shared" ca="1" si="699"/>
        <v>1019.7665564573041</v>
      </c>
      <c r="U1442">
        <f t="shared" ca="1" si="720"/>
        <v>-482.26867621694873</v>
      </c>
      <c r="V1442">
        <f t="shared" ca="1" si="721"/>
        <v>0</v>
      </c>
      <c r="W1442">
        <f t="shared" ca="1" si="700"/>
        <v>1.3841260479213475</v>
      </c>
      <c r="X1442">
        <f t="shared" ca="1" si="701"/>
        <v>7.1974554491910077</v>
      </c>
      <c r="Y1442">
        <f t="shared" ca="1" si="702"/>
        <v>0.90326653356589481</v>
      </c>
      <c r="Z1442">
        <f t="shared" ca="1" si="703"/>
        <v>7.0858375380055163</v>
      </c>
      <c r="AA1442">
        <f t="shared" ca="1" si="704"/>
        <v>633.30012604792137</v>
      </c>
      <c r="AB1442">
        <f t="shared" ca="1" si="705"/>
        <v>635.85920319445597</v>
      </c>
      <c r="AC1442">
        <f t="shared" ca="1" si="706"/>
        <v>1.2938293735516054E-2</v>
      </c>
      <c r="AD1442">
        <f t="shared" ca="1" si="707"/>
        <v>1.9229538707400082</v>
      </c>
      <c r="AE1442">
        <f t="shared" ca="1" si="708"/>
        <v>41.818780289440056</v>
      </c>
      <c r="AF1442">
        <f t="shared" ca="1" si="709"/>
        <v>1.2459762286312071E-2</v>
      </c>
      <c r="AG1442">
        <f t="shared" ca="1" si="710"/>
        <v>0</v>
      </c>
      <c r="AH1442">
        <f ca="1">IF(V32="Supercritical",L1442,IF(V32="Subcritical",W1442,IF(AND(V1442=1,AG1442=1),IF(T1442&gt;=AE1442,L1442,W1442),IF(V1442=1,L1442,IF(AG1442=1,W1442,MAX($D$16,POWER((ABS(K1442)^2)/($I$5*MAX(F1442,0.1)^2),1/3)))))))</f>
        <v>2.1403668656741068</v>
      </c>
      <c r="AI1442">
        <f t="shared" ca="1" si="711"/>
        <v>634.05636686567414</v>
      </c>
      <c r="AJ1442">
        <f t="shared" ca="1" si="712"/>
        <v>635.12655029851123</v>
      </c>
      <c r="AM1442">
        <v>0</v>
      </c>
      <c r="AN1442">
        <v>0</v>
      </c>
      <c r="AO1442">
        <f t="shared" si="713"/>
        <v>0</v>
      </c>
      <c r="AP1442">
        <f t="shared" si="722"/>
        <v>0</v>
      </c>
      <c r="AQ1442">
        <f t="shared" ca="1" si="714"/>
        <v>0.99999999999999978</v>
      </c>
      <c r="AR1442" t="str">
        <f t="shared" ca="1" si="715"/>
        <v>Supercritical</v>
      </c>
      <c r="AS1442">
        <f t="shared" ca="1" si="716"/>
        <v>3.8148159832266538E-3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191</v>
      </c>
      <c r="I1443">
        <v>2E-3</v>
      </c>
      <c r="J1443">
        <f t="shared" si="717"/>
        <v>1.0010000000002037</v>
      </c>
      <c r="K1443">
        <f t="shared" si="718"/>
        <v>51</v>
      </c>
      <c r="L1443">
        <f t="shared" ca="1" si="719"/>
        <v>0.05</v>
      </c>
      <c r="M1443">
        <f t="shared" ca="1" si="692"/>
        <v>0.26</v>
      </c>
      <c r="N1443">
        <f t="shared" ca="1" si="693"/>
        <v>4.9056603773584909E-2</v>
      </c>
      <c r="O1443">
        <f t="shared" ca="1" si="694"/>
        <v>196.15384615384616</v>
      </c>
      <c r="P1443">
        <f t="shared" ca="1" si="695"/>
        <v>631.96549999999991</v>
      </c>
      <c r="Q1443">
        <f t="shared" ca="1" si="696"/>
        <v>2593.0425316486621</v>
      </c>
      <c r="R1443">
        <f t="shared" ca="1" si="697"/>
        <v>482.07306851378365</v>
      </c>
      <c r="S1443">
        <f t="shared" ca="1" si="698"/>
        <v>280.07692026646265</v>
      </c>
      <c r="T1443">
        <f t="shared" ca="1" si="699"/>
        <v>1019.7665564573041</v>
      </c>
      <c r="U1443">
        <f t="shared" ca="1" si="720"/>
        <v>-482.5611785058345</v>
      </c>
      <c r="V1443">
        <f t="shared" ca="1" si="721"/>
        <v>0</v>
      </c>
      <c r="W1443">
        <f t="shared" ca="1" si="700"/>
        <v>1.3862621858117672</v>
      </c>
      <c r="X1443">
        <f t="shared" ca="1" si="701"/>
        <v>7.2085633662211892</v>
      </c>
      <c r="Y1443">
        <f t="shared" ca="1" si="702"/>
        <v>0.9041757704596679</v>
      </c>
      <c r="Z1443">
        <f t="shared" ca="1" si="703"/>
        <v>7.0749187333196435</v>
      </c>
      <c r="AA1443">
        <f t="shared" ca="1" si="704"/>
        <v>633.30176218581175</v>
      </c>
      <c r="AB1443">
        <f t="shared" ca="1" si="705"/>
        <v>635.85295867322645</v>
      </c>
      <c r="AC1443">
        <f t="shared" ca="1" si="706"/>
        <v>1.288115905569766E-2</v>
      </c>
      <c r="AD1443">
        <f t="shared" ca="1" si="707"/>
        <v>1.9185108672745312</v>
      </c>
      <c r="AE1443">
        <f t="shared" ca="1" si="708"/>
        <v>41.777402482730366</v>
      </c>
      <c r="AF1443">
        <f t="shared" ca="1" si="709"/>
        <v>1.2381159055735225E-2</v>
      </c>
      <c r="AG1443">
        <f t="shared" ca="1" si="710"/>
        <v>0</v>
      </c>
      <c r="AH1443">
        <f ca="1">IF(V32="Supercritical",L1443,IF(V32="Subcritical",W1443,IF(AND(V1443=1,AG1443=1),IF(T1443&gt;=AE1443,L1443,W1443),IF(V1443=1,L1443,IF(AG1443=1,W1443,MAX($D$16,POWER((ABS(K1443)^2)/($I$5*MAX(F1443,0.1)^2),1/3)))))))</f>
        <v>2.1403668656741068</v>
      </c>
      <c r="AI1443">
        <f t="shared" ca="1" si="711"/>
        <v>634.05586686567403</v>
      </c>
      <c r="AJ1443">
        <f t="shared" ca="1" si="712"/>
        <v>635.12605029851113</v>
      </c>
      <c r="AM1443">
        <v>0</v>
      </c>
      <c r="AN1443">
        <v>0</v>
      </c>
      <c r="AO1443">
        <f t="shared" si="713"/>
        <v>0</v>
      </c>
      <c r="AP1443">
        <f t="shared" si="722"/>
        <v>0</v>
      </c>
      <c r="AQ1443">
        <f t="shared" ca="1" si="714"/>
        <v>0.99999999999999978</v>
      </c>
      <c r="AR1443" t="str">
        <f t="shared" ca="1" si="715"/>
        <v>Supercritical</v>
      </c>
      <c r="AS1443">
        <f t="shared" ca="1" si="716"/>
        <v>3.8148159832266538E-3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191</v>
      </c>
      <c r="I1444">
        <v>0</v>
      </c>
      <c r="J1444">
        <f t="shared" si="717"/>
        <v>1</v>
      </c>
      <c r="K1444">
        <f t="shared" si="718"/>
        <v>51</v>
      </c>
      <c r="L1444">
        <f t="shared" ca="1" si="719"/>
        <v>0.05</v>
      </c>
      <c r="M1444">
        <f t="shared" ca="1" si="692"/>
        <v>0.26</v>
      </c>
      <c r="N1444">
        <f t="shared" ca="1" si="693"/>
        <v>4.9056603773584909E-2</v>
      </c>
      <c r="O1444">
        <f t="shared" ca="1" si="694"/>
        <v>196.15384615384616</v>
      </c>
      <c r="P1444">
        <f t="shared" ca="1" si="695"/>
        <v>631.96499999999992</v>
      </c>
      <c r="Q1444">
        <f t="shared" ca="1" si="696"/>
        <v>2593.042031648662</v>
      </c>
      <c r="R1444">
        <f t="shared" ca="1" si="697"/>
        <v>482.07306851378365</v>
      </c>
      <c r="S1444">
        <f t="shared" ca="1" si="698"/>
        <v>280.07692026646265</v>
      </c>
      <c r="T1444">
        <f t="shared" ca="1" si="699"/>
        <v>1019.7665564573041</v>
      </c>
      <c r="U1444">
        <f t="shared" ca="1" si="720"/>
        <v>-482.07256851378361</v>
      </c>
      <c r="V1444">
        <f t="shared" ca="1" si="721"/>
        <v>0</v>
      </c>
      <c r="W1444">
        <f t="shared" ca="1" si="700"/>
        <v>1.3880779030186239</v>
      </c>
      <c r="X1444">
        <f t="shared" ca="1" si="701"/>
        <v>7.218005095696844</v>
      </c>
      <c r="Y1444">
        <f t="shared" ca="1" si="702"/>
        <v>0.90494785598764882</v>
      </c>
      <c r="Z1444">
        <f t="shared" ca="1" si="703"/>
        <v>7.0656641722800462</v>
      </c>
      <c r="AA1444">
        <f t="shared" ca="1" si="704"/>
        <v>633.30307790301856</v>
      </c>
      <c r="AB1444">
        <f t="shared" ca="1" si="705"/>
        <v>635.84760441654771</v>
      </c>
      <c r="AC1444">
        <f t="shared" ca="1" si="706"/>
        <v>1.2832869004060122E-2</v>
      </c>
      <c r="AD1444">
        <f t="shared" ca="1" si="707"/>
        <v>1.914747749471523</v>
      </c>
      <c r="AE1444">
        <f t="shared" ca="1" si="708"/>
        <v>41.742387370184531</v>
      </c>
      <c r="AF1444">
        <f t="shared" ca="1" si="709"/>
        <v>1.2574599022855182E-2</v>
      </c>
      <c r="AG1444">
        <f t="shared" ca="1" si="710"/>
        <v>0</v>
      </c>
      <c r="AH1444">
        <f ca="1">IF(V32="Supercritical",L1444,IF(V32="Subcritical",W1444,IF(AND(V1444=1,AG1444=1),IF(T1444&gt;=AE1444,L1444,W1444),IF(V1444=1,L1444,IF(AG1444=1,W1444,MAX($D$16,POWER((ABS(K1444)^2)/($I$5*MAX(F1444,0.1)^2),1/3)))))))</f>
        <v>2.1403668656741068</v>
      </c>
      <c r="AI1444">
        <f t="shared" ca="1" si="711"/>
        <v>634.05536686567405</v>
      </c>
      <c r="AJ1444">
        <f t="shared" ca="1" si="712"/>
        <v>635.12555029851114</v>
      </c>
      <c r="AM1444">
        <v>0</v>
      </c>
      <c r="AN1444">
        <v>0</v>
      </c>
      <c r="AO1444">
        <f t="shared" si="713"/>
        <v>0</v>
      </c>
      <c r="AP1444">
        <f t="shared" si="722"/>
        <v>0</v>
      </c>
      <c r="AQ1444">
        <f t="shared" ca="1" si="714"/>
        <v>0.99999999999999978</v>
      </c>
      <c r="AR1444" t="str">
        <f t="shared" ca="1" si="715"/>
        <v>Supercritical</v>
      </c>
      <c r="AS1444">
        <f t="shared" ca="1" si="716"/>
        <v>3.8148159832266538E-3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191</v>
      </c>
      <c r="I1445">
        <v>5.7000000000000002E-2</v>
      </c>
      <c r="J1445">
        <f t="shared" si="717"/>
        <v>1</v>
      </c>
      <c r="K1445">
        <f t="shared" si="718"/>
        <v>51</v>
      </c>
      <c r="L1445">
        <f t="shared" ca="1" si="719"/>
        <v>0.05</v>
      </c>
      <c r="M1445">
        <f t="shared" ca="1" si="692"/>
        <v>0.26</v>
      </c>
      <c r="N1445">
        <f t="shared" ca="1" si="693"/>
        <v>4.9056603773584909E-2</v>
      </c>
      <c r="O1445">
        <f t="shared" ca="1" si="694"/>
        <v>196.15384615384616</v>
      </c>
      <c r="P1445">
        <f t="shared" ca="1" si="695"/>
        <v>631.96449999999993</v>
      </c>
      <c r="Q1445">
        <f t="shared" ca="1" si="696"/>
        <v>2593.0415316486619</v>
      </c>
      <c r="R1445">
        <f t="shared" ca="1" si="697"/>
        <v>482.07306851378365</v>
      </c>
      <c r="S1445">
        <f t="shared" ca="1" si="698"/>
        <v>280.07692026646265</v>
      </c>
      <c r="T1445">
        <f t="shared" ca="1" si="699"/>
        <v>1019.7665564573041</v>
      </c>
      <c r="U1445">
        <f t="shared" ca="1" si="720"/>
        <v>-482.25887083179032</v>
      </c>
      <c r="V1445">
        <f t="shared" ca="1" si="721"/>
        <v>0</v>
      </c>
      <c r="W1445">
        <f t="shared" ca="1" si="700"/>
        <v>1.3896212626444522</v>
      </c>
      <c r="X1445">
        <f t="shared" ca="1" si="701"/>
        <v>7.2260305657511514</v>
      </c>
      <c r="Y1445">
        <f t="shared" ca="1" si="702"/>
        <v>0.90560357613513176</v>
      </c>
      <c r="Z1445">
        <f t="shared" ca="1" si="703"/>
        <v>7.057816810479892</v>
      </c>
      <c r="AA1445">
        <f t="shared" ca="1" si="704"/>
        <v>633.30412126264446</v>
      </c>
      <c r="AB1445">
        <f t="shared" ca="1" si="705"/>
        <v>635.84299884318943</v>
      </c>
      <c r="AC1445">
        <f t="shared" ca="1" si="706"/>
        <v>1.2792019417516174E-2</v>
      </c>
      <c r="AD1445">
        <f t="shared" ca="1" si="707"/>
        <v>1.9115587614602991</v>
      </c>
      <c r="AE1445">
        <f t="shared" ca="1" si="708"/>
        <v>41.712736858780005</v>
      </c>
      <c r="AF1445">
        <f t="shared" ca="1" si="709"/>
        <v>1.2520420768282747E-2</v>
      </c>
      <c r="AG1445">
        <f t="shared" ca="1" si="710"/>
        <v>0</v>
      </c>
      <c r="AH1445">
        <f ca="1">IF(V32="Supercritical",L1445,IF(V32="Subcritical",W1445,IF(AND(V1445=1,AG1445=1),IF(T1445&gt;=AE1445,L1445,W1445),IF(V1445=1,L1445,IF(AG1445=1,W1445,MAX($D$16,POWER((ABS(K1445)^2)/($I$5*MAX(F1445,0.1)^2),1/3)))))))</f>
        <v>2.1403668656741068</v>
      </c>
      <c r="AI1445">
        <f t="shared" ca="1" si="711"/>
        <v>634.05486686567406</v>
      </c>
      <c r="AJ1445">
        <f t="shared" ca="1" si="712"/>
        <v>635.12505029851116</v>
      </c>
      <c r="AM1445">
        <v>0</v>
      </c>
      <c r="AN1445">
        <v>0</v>
      </c>
      <c r="AO1445">
        <f t="shared" si="713"/>
        <v>0</v>
      </c>
      <c r="AP1445">
        <f t="shared" si="722"/>
        <v>0</v>
      </c>
      <c r="AQ1445">
        <f t="shared" ca="1" si="714"/>
        <v>0.99999999999999978</v>
      </c>
      <c r="AR1445" t="str">
        <f t="shared" ca="1" si="715"/>
        <v>Supercritical</v>
      </c>
      <c r="AS1445">
        <f t="shared" ca="1" si="716"/>
        <v>3.8148159832266538E-3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191</v>
      </c>
      <c r="I1446">
        <v>5.7000000000000002E-2</v>
      </c>
      <c r="J1446">
        <f t="shared" si="717"/>
        <v>0.99899999999979627</v>
      </c>
      <c r="K1446">
        <f t="shared" si="718"/>
        <v>51</v>
      </c>
      <c r="L1446">
        <f t="shared" ca="1" si="719"/>
        <v>0.05</v>
      </c>
      <c r="M1446">
        <f t="shared" ca="1" si="692"/>
        <v>0.26</v>
      </c>
      <c r="N1446">
        <f t="shared" ca="1" si="693"/>
        <v>4.9056603773584909E-2</v>
      </c>
      <c r="O1446">
        <f t="shared" ca="1" si="694"/>
        <v>196.15384615384616</v>
      </c>
      <c r="P1446">
        <f t="shared" ca="1" si="695"/>
        <v>631.96399999999994</v>
      </c>
      <c r="Q1446">
        <f t="shared" ca="1" si="696"/>
        <v>2593.0410316486623</v>
      </c>
      <c r="R1446">
        <f t="shared" ca="1" si="697"/>
        <v>482.07306851378365</v>
      </c>
      <c r="S1446">
        <f t="shared" ca="1" si="698"/>
        <v>280.07692026646265</v>
      </c>
      <c r="T1446">
        <f t="shared" ca="1" si="699"/>
        <v>1019.7665564573041</v>
      </c>
      <c r="U1446">
        <f t="shared" ca="1" si="720"/>
        <v>-481.77679776317882</v>
      </c>
      <c r="V1446">
        <f t="shared" ca="1" si="721"/>
        <v>0</v>
      </c>
      <c r="W1446">
        <f t="shared" ca="1" si="700"/>
        <v>1.3909331183264062</v>
      </c>
      <c r="X1446">
        <f t="shared" ca="1" si="701"/>
        <v>7.2328522152973127</v>
      </c>
      <c r="Y1446">
        <f t="shared" ca="1" si="702"/>
        <v>0.906160539509417</v>
      </c>
      <c r="Z1446">
        <f t="shared" ca="1" si="703"/>
        <v>7.0511602452122828</v>
      </c>
      <c r="AA1446">
        <f t="shared" ca="1" si="704"/>
        <v>633.3049331183264</v>
      </c>
      <c r="AB1446">
        <f t="shared" ca="1" si="705"/>
        <v>635.83902388303909</v>
      </c>
      <c r="AC1446">
        <f t="shared" ca="1" si="706"/>
        <v>1.2757438768710263E-2</v>
      </c>
      <c r="AD1446">
        <f t="shared" ca="1" si="707"/>
        <v>1.9088550751908475</v>
      </c>
      <c r="AE1446">
        <f t="shared" ca="1" si="708"/>
        <v>41.687614845741436</v>
      </c>
      <c r="AF1446">
        <f t="shared" ca="1" si="709"/>
        <v>1.2257438768756401E-2</v>
      </c>
      <c r="AG1446">
        <f t="shared" ca="1" si="710"/>
        <v>0</v>
      </c>
      <c r="AH1446">
        <f ca="1">IF(V32="Supercritical",L1446,IF(V32="Subcritical",W1446,IF(AND(V1446=1,AG1446=1),IF(T1446&gt;=AE1446,L1446,W1446),IF(V1446=1,L1446,IF(AG1446=1,W1446,MAX($D$16,POWER((ABS(K1446)^2)/($I$5*MAX(F1446,0.1)^2),1/3)))))))</f>
        <v>2.1403668656741068</v>
      </c>
      <c r="AI1446">
        <f t="shared" ca="1" si="711"/>
        <v>634.05436686567407</v>
      </c>
      <c r="AJ1446">
        <f t="shared" ca="1" si="712"/>
        <v>635.12455029851117</v>
      </c>
      <c r="AM1446">
        <v>0</v>
      </c>
      <c r="AN1446">
        <v>0</v>
      </c>
      <c r="AO1446">
        <f t="shared" si="713"/>
        <v>0</v>
      </c>
      <c r="AP1446">
        <f t="shared" si="722"/>
        <v>0</v>
      </c>
      <c r="AQ1446">
        <f t="shared" ca="1" si="714"/>
        <v>0.99999999999999978</v>
      </c>
      <c r="AR1446" t="str">
        <f t="shared" ca="1" si="715"/>
        <v>Supercritical</v>
      </c>
      <c r="AS1446">
        <f t="shared" ca="1" si="716"/>
        <v>3.8148159832266538E-3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191</v>
      </c>
      <c r="I1447">
        <v>0</v>
      </c>
      <c r="J1447">
        <f t="shared" si="717"/>
        <v>1</v>
      </c>
      <c r="K1447">
        <f t="shared" si="718"/>
        <v>51</v>
      </c>
      <c r="L1447">
        <f t="shared" ca="1" si="719"/>
        <v>0.05</v>
      </c>
      <c r="M1447">
        <f t="shared" ca="1" si="692"/>
        <v>0.26</v>
      </c>
      <c r="N1447">
        <f t="shared" ca="1" si="693"/>
        <v>4.9056603773584909E-2</v>
      </c>
      <c r="O1447">
        <f t="shared" ca="1" si="694"/>
        <v>196.15384615384616</v>
      </c>
      <c r="P1447">
        <f t="shared" ca="1" si="695"/>
        <v>631.96349999999995</v>
      </c>
      <c r="Q1447">
        <f t="shared" ca="1" si="696"/>
        <v>2593.0405316486622</v>
      </c>
      <c r="R1447">
        <f t="shared" ca="1" si="697"/>
        <v>482.07306851378365</v>
      </c>
      <c r="S1447">
        <f t="shared" ca="1" si="698"/>
        <v>280.07692026646265</v>
      </c>
      <c r="T1447">
        <f t="shared" ca="1" si="699"/>
        <v>1019.7665564573041</v>
      </c>
      <c r="U1447">
        <f t="shared" ca="1" si="720"/>
        <v>-482.07256851378361</v>
      </c>
      <c r="V1447">
        <f t="shared" ca="1" si="721"/>
        <v>0</v>
      </c>
      <c r="W1447">
        <f t="shared" ca="1" si="700"/>
        <v>1.3920481956560671</v>
      </c>
      <c r="X1447">
        <f t="shared" ca="1" si="701"/>
        <v>7.2386506174115492</v>
      </c>
      <c r="Y1447">
        <f t="shared" ca="1" si="702"/>
        <v>0.90663367056643518</v>
      </c>
      <c r="Z1447">
        <f t="shared" ca="1" si="703"/>
        <v>7.0455120291794051</v>
      </c>
      <c r="AA1447">
        <f t="shared" ca="1" si="704"/>
        <v>633.30554819565612</v>
      </c>
      <c r="AB1447">
        <f t="shared" ca="1" si="705"/>
        <v>635.83558080285854</v>
      </c>
      <c r="AC1447">
        <f t="shared" ca="1" si="706"/>
        <v>1.272814696142621E-2</v>
      </c>
      <c r="AD1447">
        <f t="shared" ca="1" si="707"/>
        <v>1.9065619490812693</v>
      </c>
      <c r="AE1447">
        <f t="shared" ca="1" si="708"/>
        <v>41.666319453870663</v>
      </c>
      <c r="AF1447">
        <f t="shared" ca="1" si="709"/>
        <v>1.2228146961433595E-2</v>
      </c>
      <c r="AG1447">
        <f t="shared" ca="1" si="710"/>
        <v>0</v>
      </c>
      <c r="AH1447">
        <f ca="1">IF(V32="Supercritical",L1447,IF(V32="Subcritical",W1447,IF(AND(V1447=1,AG1447=1),IF(T1447&gt;=AE1447,L1447,W1447),IF(V1447=1,L1447,IF(AG1447=1,W1447,MAX($D$16,POWER((ABS(K1447)^2)/($I$5*MAX(F1447,0.1)^2),1/3)))))))</f>
        <v>2.1403668656741068</v>
      </c>
      <c r="AI1447">
        <f t="shared" ca="1" si="711"/>
        <v>634.05386686567408</v>
      </c>
      <c r="AJ1447">
        <f t="shared" ca="1" si="712"/>
        <v>635.12405029851118</v>
      </c>
      <c r="AM1447">
        <v>0</v>
      </c>
      <c r="AN1447">
        <v>0</v>
      </c>
      <c r="AO1447">
        <f t="shared" si="713"/>
        <v>0</v>
      </c>
      <c r="AP1447">
        <f t="shared" si="722"/>
        <v>0</v>
      </c>
      <c r="AQ1447">
        <f t="shared" ca="1" si="714"/>
        <v>0.99999999999999978</v>
      </c>
      <c r="AR1447" t="str">
        <f t="shared" ca="1" si="715"/>
        <v>Supercritical</v>
      </c>
      <c r="AS1447">
        <f t="shared" ca="1" si="716"/>
        <v>3.8148159832266538E-3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191</v>
      </c>
      <c r="I1448">
        <v>0</v>
      </c>
      <c r="J1448">
        <f t="shared" si="717"/>
        <v>1</v>
      </c>
      <c r="K1448">
        <f t="shared" si="718"/>
        <v>51</v>
      </c>
      <c r="L1448">
        <f t="shared" ca="1" si="719"/>
        <v>0.05</v>
      </c>
      <c r="M1448">
        <f t="shared" ca="1" si="692"/>
        <v>0.26</v>
      </c>
      <c r="N1448">
        <f t="shared" ca="1" si="693"/>
        <v>4.9056603773584909E-2</v>
      </c>
      <c r="O1448">
        <f t="shared" ca="1" si="694"/>
        <v>196.15384615384616</v>
      </c>
      <c r="P1448">
        <f t="shared" ca="1" si="695"/>
        <v>631.96299999999997</v>
      </c>
      <c r="Q1448">
        <f t="shared" ca="1" si="696"/>
        <v>2593.0400316486621</v>
      </c>
      <c r="R1448">
        <f t="shared" ca="1" si="697"/>
        <v>482.07306851378365</v>
      </c>
      <c r="S1448">
        <f t="shared" ca="1" si="698"/>
        <v>280.07692026646265</v>
      </c>
      <c r="T1448">
        <f t="shared" ca="1" si="699"/>
        <v>1019.7665564573041</v>
      </c>
      <c r="U1448">
        <f t="shared" ca="1" si="720"/>
        <v>-482.07256851378361</v>
      </c>
      <c r="V1448">
        <f t="shared" ca="1" si="721"/>
        <v>0</v>
      </c>
      <c r="W1448">
        <f t="shared" ca="1" si="700"/>
        <v>1.3929960113862789</v>
      </c>
      <c r="X1448">
        <f t="shared" ca="1" si="701"/>
        <v>7.2435792592086505</v>
      </c>
      <c r="Y1448">
        <f t="shared" ca="1" si="702"/>
        <v>0.90703562419711026</v>
      </c>
      <c r="Z1448">
        <f t="shared" ca="1" si="703"/>
        <v>7.0407181553462657</v>
      </c>
      <c r="AA1448">
        <f t="shared" ca="1" si="704"/>
        <v>633.30599601138624</v>
      </c>
      <c r="AB1448">
        <f t="shared" ca="1" si="705"/>
        <v>635.83258684436396</v>
      </c>
      <c r="AC1448">
        <f t="shared" ca="1" si="706"/>
        <v>1.2703322136496354E-2</v>
      </c>
      <c r="AD1448">
        <f t="shared" ca="1" si="707"/>
        <v>1.9046163993809138</v>
      </c>
      <c r="AE1448">
        <f t="shared" ca="1" si="708"/>
        <v>41.648260416647005</v>
      </c>
      <c r="AF1448">
        <f t="shared" ca="1" si="709"/>
        <v>1.2443348265719578E-2</v>
      </c>
      <c r="AG1448">
        <f t="shared" ca="1" si="710"/>
        <v>0</v>
      </c>
      <c r="AH1448">
        <f ca="1">IF(V32="Supercritical",L1448,IF(V32="Subcritical",W1448,IF(AND(V1448=1,AG1448=1),IF(T1448&gt;=AE1448,L1448,W1448),IF(V1448=1,L1448,IF(AG1448=1,W1448,MAX($D$16,POWER((ABS(K1448)^2)/($I$5*MAX(F1448,0.1)^2),1/3)))))))</f>
        <v>2.1403668656741068</v>
      </c>
      <c r="AI1448">
        <f t="shared" ca="1" si="711"/>
        <v>634.05336686567409</v>
      </c>
      <c r="AJ1448">
        <f t="shared" ca="1" si="712"/>
        <v>635.12355029851119</v>
      </c>
      <c r="AM1448">
        <v>0</v>
      </c>
      <c r="AN1448">
        <v>0</v>
      </c>
      <c r="AO1448">
        <f t="shared" si="713"/>
        <v>0</v>
      </c>
      <c r="AP1448">
        <f t="shared" si="722"/>
        <v>0</v>
      </c>
      <c r="AQ1448">
        <f t="shared" ca="1" si="714"/>
        <v>0.99999999999999978</v>
      </c>
      <c r="AR1448" t="str">
        <f t="shared" ca="1" si="715"/>
        <v>Supercritical</v>
      </c>
      <c r="AS1448">
        <f t="shared" ca="1" si="716"/>
        <v>3.8148159832266538E-3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191</v>
      </c>
      <c r="I1449">
        <v>5.7000000000000002E-2</v>
      </c>
      <c r="J1449">
        <f t="shared" si="717"/>
        <v>1</v>
      </c>
      <c r="K1449">
        <f t="shared" si="718"/>
        <v>51</v>
      </c>
      <c r="L1449">
        <f t="shared" ca="1" si="719"/>
        <v>0.05</v>
      </c>
      <c r="M1449">
        <f t="shared" ca="1" si="692"/>
        <v>0.26</v>
      </c>
      <c r="N1449">
        <f t="shared" ca="1" si="693"/>
        <v>4.9056603773584909E-2</v>
      </c>
      <c r="O1449">
        <f t="shared" ca="1" si="694"/>
        <v>196.15384615384616</v>
      </c>
      <c r="P1449">
        <f t="shared" ca="1" si="695"/>
        <v>631.96249999999998</v>
      </c>
      <c r="Q1449">
        <f t="shared" ca="1" si="696"/>
        <v>2593.039531648662</v>
      </c>
      <c r="R1449">
        <f t="shared" ca="1" si="697"/>
        <v>482.07306851378365</v>
      </c>
      <c r="S1449">
        <f t="shared" ca="1" si="698"/>
        <v>280.07692026646265</v>
      </c>
      <c r="T1449">
        <f t="shared" ca="1" si="699"/>
        <v>1019.7665564573041</v>
      </c>
      <c r="U1449">
        <f t="shared" ca="1" si="720"/>
        <v>-482.25887083179032</v>
      </c>
      <c r="V1449">
        <f t="shared" ca="1" si="721"/>
        <v>0</v>
      </c>
      <c r="W1449">
        <f t="shared" ca="1" si="700"/>
        <v>1.3938016547569589</v>
      </c>
      <c r="X1449">
        <f t="shared" ca="1" si="701"/>
        <v>7.2477686047361871</v>
      </c>
      <c r="Y1449">
        <f t="shared" ca="1" si="702"/>
        <v>0.90737713477877335</v>
      </c>
      <c r="Z1449">
        <f t="shared" ca="1" si="703"/>
        <v>7.0366484888429133</v>
      </c>
      <c r="AA1449">
        <f t="shared" ca="1" si="704"/>
        <v>633.30630165475702</v>
      </c>
      <c r="AB1449">
        <f t="shared" ca="1" si="705"/>
        <v>635.82997249856612</v>
      </c>
      <c r="AC1449">
        <f t="shared" ca="1" si="706"/>
        <v>1.2682273747702888E-2</v>
      </c>
      <c r="AD1449">
        <f t="shared" ca="1" si="707"/>
        <v>1.9029652822919647</v>
      </c>
      <c r="AE1449">
        <f t="shared" ca="1" si="708"/>
        <v>41.632940558184288</v>
      </c>
      <c r="AF1449">
        <f t="shared" ca="1" si="709"/>
        <v>1.2422022477835526E-2</v>
      </c>
      <c r="AG1449">
        <f t="shared" ca="1" si="710"/>
        <v>0</v>
      </c>
      <c r="AH1449">
        <f ca="1">IF(V32="Supercritical",L1449,IF(V32="Subcritical",W1449,IF(AND(V1449=1,AG1449=1),IF(T1449&gt;=AE1449,L1449,W1449),IF(V1449=1,L1449,IF(AG1449=1,W1449,MAX($D$16,POWER((ABS(K1449)^2)/($I$5*MAX(F1449,0.1)^2),1/3)))))))</f>
        <v>2.1403668656741068</v>
      </c>
      <c r="AI1449">
        <f t="shared" ca="1" si="711"/>
        <v>634.0528668656741</v>
      </c>
      <c r="AJ1449">
        <f t="shared" ca="1" si="712"/>
        <v>635.1230502985112</v>
      </c>
      <c r="AM1449">
        <v>0</v>
      </c>
      <c r="AN1449">
        <v>0</v>
      </c>
      <c r="AO1449">
        <f t="shared" si="713"/>
        <v>0</v>
      </c>
      <c r="AP1449">
        <f t="shared" si="722"/>
        <v>0</v>
      </c>
      <c r="AQ1449">
        <f t="shared" ca="1" si="714"/>
        <v>0.99999999999999978</v>
      </c>
      <c r="AR1449" t="str">
        <f t="shared" ca="1" si="715"/>
        <v>Supercritical</v>
      </c>
      <c r="AS1449">
        <f t="shared" ca="1" si="716"/>
        <v>3.8148159832266538E-3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191</v>
      </c>
      <c r="I1450">
        <v>5.7000000000000002E-2</v>
      </c>
      <c r="J1450">
        <f t="shared" si="717"/>
        <v>1</v>
      </c>
      <c r="K1450">
        <f t="shared" si="718"/>
        <v>51</v>
      </c>
      <c r="L1450">
        <f t="shared" ca="1" si="719"/>
        <v>0.05</v>
      </c>
      <c r="M1450">
        <f t="shared" ca="1" si="692"/>
        <v>0.26</v>
      </c>
      <c r="N1450">
        <f t="shared" ca="1" si="693"/>
        <v>4.9056603773584909E-2</v>
      </c>
      <c r="O1450">
        <f t="shared" ca="1" si="694"/>
        <v>196.15384615384616</v>
      </c>
      <c r="P1450">
        <f t="shared" ca="1" si="695"/>
        <v>631.96199999999999</v>
      </c>
      <c r="Q1450">
        <f t="shared" ca="1" si="696"/>
        <v>2593.0390316486619</v>
      </c>
      <c r="R1450">
        <f t="shared" ca="1" si="697"/>
        <v>482.07306851378365</v>
      </c>
      <c r="S1450">
        <f t="shared" ca="1" si="698"/>
        <v>280.07692026646265</v>
      </c>
      <c r="T1450">
        <f t="shared" ca="1" si="699"/>
        <v>1019.7665564573041</v>
      </c>
      <c r="U1450">
        <f t="shared" ca="1" si="720"/>
        <v>-482.25887083179032</v>
      </c>
      <c r="V1450">
        <f t="shared" ca="1" si="721"/>
        <v>0</v>
      </c>
      <c r="W1450">
        <f t="shared" ca="1" si="700"/>
        <v>1.394486451622037</v>
      </c>
      <c r="X1450">
        <f t="shared" ca="1" si="701"/>
        <v>7.251329548434593</v>
      </c>
      <c r="Y1450">
        <f t="shared" ca="1" si="702"/>
        <v>0.9076673104611549</v>
      </c>
      <c r="Z1450">
        <f t="shared" ca="1" si="703"/>
        <v>7.0331929695582254</v>
      </c>
      <c r="AA1450">
        <f t="shared" ca="1" si="704"/>
        <v>633.30648645162205</v>
      </c>
      <c r="AB1450">
        <f t="shared" ca="1" si="705"/>
        <v>635.82767928276598</v>
      </c>
      <c r="AC1450">
        <f t="shared" ca="1" si="706"/>
        <v>1.2664420590144949E-2</v>
      </c>
      <c r="AD1450">
        <f t="shared" ca="1" si="707"/>
        <v>1.901563707547643</v>
      </c>
      <c r="AE1450">
        <f t="shared" ca="1" si="708"/>
        <v>41.619940553319701</v>
      </c>
      <c r="AF1450">
        <f t="shared" ca="1" si="709"/>
        <v>1.2164420590124791E-2</v>
      </c>
      <c r="AG1450">
        <f t="shared" ca="1" si="710"/>
        <v>0</v>
      </c>
      <c r="AH1450">
        <f ca="1">IF(V32="Supercritical",L1450,IF(V32="Subcritical",W1450,IF(AND(V1450=1,AG1450=1),IF(T1450&gt;=AE1450,L1450,W1450),IF(V1450=1,L1450,IF(AG1450=1,W1450,MAX($D$16,POWER((ABS(K1450)^2)/($I$5*MAX(F1450,0.1)^2),1/3)))))))</f>
        <v>2.1403668656741068</v>
      </c>
      <c r="AI1450">
        <f t="shared" ca="1" si="711"/>
        <v>634.05236686567412</v>
      </c>
      <c r="AJ1450">
        <f t="shared" ca="1" si="712"/>
        <v>635.12255029851121</v>
      </c>
      <c r="AM1450">
        <v>0</v>
      </c>
      <c r="AN1450">
        <v>0</v>
      </c>
      <c r="AO1450">
        <f t="shared" si="713"/>
        <v>0</v>
      </c>
      <c r="AP1450">
        <f t="shared" si="722"/>
        <v>0</v>
      </c>
      <c r="AQ1450">
        <f t="shared" ca="1" si="714"/>
        <v>0.99999999999999978</v>
      </c>
      <c r="AR1450" t="str">
        <f t="shared" ca="1" si="715"/>
        <v>Supercritical</v>
      </c>
      <c r="AS1450">
        <f t="shared" ca="1" si="716"/>
        <v>3.8148159832266538E-3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191</v>
      </c>
      <c r="I1451">
        <v>0</v>
      </c>
      <c r="J1451">
        <f t="shared" si="717"/>
        <v>1</v>
      </c>
      <c r="K1451">
        <f t="shared" si="718"/>
        <v>51</v>
      </c>
      <c r="L1451">
        <f t="shared" ca="1" si="719"/>
        <v>0.05</v>
      </c>
      <c r="M1451">
        <f t="shared" ca="1" si="692"/>
        <v>0.26</v>
      </c>
      <c r="N1451">
        <f t="shared" ca="1" si="693"/>
        <v>4.9056603773584909E-2</v>
      </c>
      <c r="O1451">
        <f t="shared" ca="1" si="694"/>
        <v>196.15384615384616</v>
      </c>
      <c r="P1451">
        <f t="shared" ca="1" si="695"/>
        <v>631.9615</v>
      </c>
      <c r="Q1451">
        <f t="shared" ca="1" si="696"/>
        <v>2593.0385316486622</v>
      </c>
      <c r="R1451">
        <f t="shared" ca="1" si="697"/>
        <v>482.07306851378365</v>
      </c>
      <c r="S1451">
        <f t="shared" ca="1" si="698"/>
        <v>280.07692026646265</v>
      </c>
      <c r="T1451">
        <f t="shared" ca="1" si="699"/>
        <v>1019.7665564573041</v>
      </c>
      <c r="U1451">
        <f t="shared" ca="1" si="720"/>
        <v>-482.07256851378406</v>
      </c>
      <c r="V1451">
        <f t="shared" ca="1" si="721"/>
        <v>0</v>
      </c>
      <c r="W1451">
        <f t="shared" ca="1" si="700"/>
        <v>1.3950685289573532</v>
      </c>
      <c r="X1451">
        <f t="shared" ca="1" si="701"/>
        <v>7.2543563505782371</v>
      </c>
      <c r="Y1451">
        <f t="shared" ca="1" si="702"/>
        <v>0.90791388157633235</v>
      </c>
      <c r="Z1451">
        <f t="shared" ca="1" si="703"/>
        <v>7.0302584454559973</v>
      </c>
      <c r="AA1451">
        <f t="shared" ca="1" si="704"/>
        <v>633.30656852895743</v>
      </c>
      <c r="AB1451">
        <f t="shared" ca="1" si="705"/>
        <v>635.82565791784145</v>
      </c>
      <c r="AC1451">
        <f t="shared" ca="1" si="706"/>
        <v>1.2649272773225638E-2</v>
      </c>
      <c r="AD1451">
        <f t="shared" ca="1" si="707"/>
        <v>1.9003737211970488</v>
      </c>
      <c r="AE1451">
        <f t="shared" ca="1" si="708"/>
        <v>41.608906333117559</v>
      </c>
      <c r="AF1451">
        <f t="shared" ca="1" si="709"/>
        <v>1.2157669737803189E-2</v>
      </c>
      <c r="AG1451">
        <f t="shared" ca="1" si="710"/>
        <v>0</v>
      </c>
      <c r="AH1451">
        <f ca="1">IF(V32="Supercritical",L1451,IF(V32="Subcritical",W1451,IF(AND(V1451=1,AG1451=1),IF(T1451&gt;=AE1451,L1451,W1451),IF(V1451=1,L1451,IF(AG1451=1,W1451,MAX($D$16,POWER((ABS(K1451)^2)/($I$5*MAX(F1451,0.1)^2),1/3)))))))</f>
        <v>2.1403668656741068</v>
      </c>
      <c r="AI1451">
        <f t="shared" ca="1" si="711"/>
        <v>634.05186686567413</v>
      </c>
      <c r="AJ1451">
        <f t="shared" ca="1" si="712"/>
        <v>635.12205029851123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
      </c>
      <c r="AQ1451">
        <f t="shared" ca="1" si="714"/>
        <v>0.99999999999999978</v>
      </c>
      <c r="AR1451" t="str">
        <f t="shared" ca="1" si="715"/>
        <v>Supercritical</v>
      </c>
      <c r="AS1451">
        <f t="shared" ca="1" si="716"/>
        <v>3.8148159832266538E-3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191</v>
      </c>
      <c r="I1452">
        <v>2E-3</v>
      </c>
      <c r="J1452">
        <f t="shared" si="717"/>
        <v>1</v>
      </c>
      <c r="K1452">
        <f t="shared" si="718"/>
        <v>51</v>
      </c>
      <c r="L1452">
        <f t="shared" ca="1" si="719"/>
        <v>0.05</v>
      </c>
      <c r="M1452">
        <f t="shared" ca="1" si="692"/>
        <v>0.26</v>
      </c>
      <c r="N1452">
        <f t="shared" ca="1" si="693"/>
        <v>4.9056603773584909E-2</v>
      </c>
      <c r="O1452">
        <f t="shared" ca="1" si="694"/>
        <v>196.15384615384616</v>
      </c>
      <c r="P1452">
        <f t="shared" ca="1" si="695"/>
        <v>631.9609999999999</v>
      </c>
      <c r="Q1452">
        <f t="shared" ca="1" si="696"/>
        <v>2593.0380316486621</v>
      </c>
      <c r="R1452">
        <f t="shared" ca="1" si="697"/>
        <v>482.07306851378365</v>
      </c>
      <c r="S1452">
        <f t="shared" ca="1" si="698"/>
        <v>280.07692026646265</v>
      </c>
      <c r="T1452">
        <f t="shared" ca="1" si="699"/>
        <v>1019.7665564573041</v>
      </c>
      <c r="U1452">
        <f t="shared" ca="1" si="720"/>
        <v>-482.07910543722255</v>
      </c>
      <c r="V1452">
        <f t="shared" ca="1" si="721"/>
        <v>0</v>
      </c>
      <c r="W1452">
        <f t="shared" ca="1" si="700"/>
        <v>1.3955632946923722</v>
      </c>
      <c r="X1452">
        <f t="shared" ca="1" si="701"/>
        <v>7.2569291324003355</v>
      </c>
      <c r="Y1452">
        <f t="shared" ca="1" si="702"/>
        <v>0.90812341053892165</v>
      </c>
      <c r="Z1452">
        <f t="shared" ca="1" si="703"/>
        <v>7.0277660246533236</v>
      </c>
      <c r="AA1452">
        <f t="shared" ca="1" si="704"/>
        <v>633.3065632946923</v>
      </c>
      <c r="AB1452">
        <f t="shared" ca="1" si="705"/>
        <v>635.82386682666333</v>
      </c>
      <c r="AC1452">
        <f t="shared" ca="1" si="706"/>
        <v>1.2636416859599939E-2</v>
      </c>
      <c r="AD1452">
        <f t="shared" ca="1" si="707"/>
        <v>1.8993632083119816</v>
      </c>
      <c r="AE1452">
        <f t="shared" ca="1" si="708"/>
        <v>41.599538637190463</v>
      </c>
      <c r="AF1452">
        <f t="shared" ca="1" si="709"/>
        <v>1.2400783629686885E-2</v>
      </c>
      <c r="AG1452">
        <f t="shared" ca="1" si="710"/>
        <v>0</v>
      </c>
      <c r="AH1452">
        <f ca="1">IF(V32="Supercritical",L1452,IF(V32="Subcritical",W1452,IF(AND(V1452=1,AG1452=1),IF(T1452&gt;=AE1452,L1452,W1452),IF(V1452=1,L1452,IF(AG1452=1,W1452,MAX($D$16,POWER((ABS(K1452)^2)/($I$5*MAX(F1452,0.1)^2),1/3)))))))</f>
        <v>2.1403668656741068</v>
      </c>
      <c r="AI1452">
        <f t="shared" ca="1" si="711"/>
        <v>634.05136686567403</v>
      </c>
      <c r="AJ1452">
        <f t="shared" ca="1" si="712"/>
        <v>635.12155029851112</v>
      </c>
      <c r="AM1452">
        <v>0</v>
      </c>
      <c r="AN1452">
        <v>0</v>
      </c>
      <c r="AO1452">
        <f t="shared" si="713"/>
        <v>0</v>
      </c>
      <c r="AP1452">
        <f t="shared" si="722"/>
        <v>0</v>
      </c>
      <c r="AQ1452">
        <f t="shared" ca="1" si="714"/>
        <v>0.99999999999999978</v>
      </c>
      <c r="AR1452" t="str">
        <f t="shared" ca="1" si="715"/>
        <v>Supercritical</v>
      </c>
      <c r="AS1452">
        <f t="shared" ca="1" si="716"/>
        <v>3.8148159832266538E-3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191</v>
      </c>
      <c r="I1453">
        <v>0.06</v>
      </c>
      <c r="J1453">
        <f t="shared" si="717"/>
        <v>1.0010000000002037</v>
      </c>
      <c r="K1453">
        <f t="shared" si="718"/>
        <v>51</v>
      </c>
      <c r="L1453">
        <f t="shared" ca="1" si="719"/>
        <v>0.05</v>
      </c>
      <c r="M1453">
        <f t="shared" ca="1" si="692"/>
        <v>0.26</v>
      </c>
      <c r="N1453">
        <f t="shared" ca="1" si="693"/>
        <v>4.9056603773584909E-2</v>
      </c>
      <c r="O1453">
        <f t="shared" ca="1" si="694"/>
        <v>196.15384615384616</v>
      </c>
      <c r="P1453">
        <f t="shared" ca="1" si="695"/>
        <v>631.96049999999991</v>
      </c>
      <c r="Q1453">
        <f t="shared" ca="1" si="696"/>
        <v>2593.037531648662</v>
      </c>
      <c r="R1453">
        <f t="shared" ca="1" si="697"/>
        <v>482.07306851378365</v>
      </c>
      <c r="S1453">
        <f t="shared" ca="1" si="698"/>
        <v>280.07692026646265</v>
      </c>
      <c r="T1453">
        <f t="shared" ca="1" si="699"/>
        <v>1019.7665564573041</v>
      </c>
      <c r="U1453">
        <f t="shared" ca="1" si="720"/>
        <v>-482.75074928556023</v>
      </c>
      <c r="V1453">
        <f t="shared" ca="1" si="721"/>
        <v>0</v>
      </c>
      <c r="W1453">
        <f t="shared" ca="1" si="700"/>
        <v>1.3959838455671383</v>
      </c>
      <c r="X1453">
        <f t="shared" ca="1" si="701"/>
        <v>7.2591159969491192</v>
      </c>
      <c r="Y1453">
        <f t="shared" ca="1" si="702"/>
        <v>0.90830146936177791</v>
      </c>
      <c r="Z1453">
        <f t="shared" ca="1" si="703"/>
        <v>7.0256488560637989</v>
      </c>
      <c r="AA1453">
        <f t="shared" ca="1" si="704"/>
        <v>633.30648384556707</v>
      </c>
      <c r="AB1453">
        <f t="shared" ca="1" si="705"/>
        <v>635.82227089188257</v>
      </c>
      <c r="AC1453">
        <f t="shared" ca="1" si="706"/>
        <v>1.2625503562815129E-2</v>
      </c>
      <c r="AD1453">
        <f t="shared" ca="1" si="707"/>
        <v>1.8985049762858373</v>
      </c>
      <c r="AE1453">
        <f t="shared" ca="1" si="708"/>
        <v>41.591584318072258</v>
      </c>
      <c r="AF1453">
        <f t="shared" ca="1" si="709"/>
        <v>1.2364503332264576E-2</v>
      </c>
      <c r="AG1453">
        <f t="shared" ca="1" si="710"/>
        <v>0</v>
      </c>
      <c r="AH1453">
        <f ca="1">IF(V32="Supercritical",L1453,IF(V32="Subcritical",W1453,IF(AND(V1453=1,AG1453=1),IF(T1453&gt;=AE1453,L1453,W1453),IF(V1453=1,L1453,IF(AG1453=1,W1453,MAX($D$16,POWER((ABS(K1453)^2)/($I$5*MAX(F1453,0.1)^2),1/3)))))))</f>
        <v>2.1403668656741068</v>
      </c>
      <c r="AI1453">
        <f t="shared" ca="1" si="711"/>
        <v>634.05086686567404</v>
      </c>
      <c r="AJ1453">
        <f t="shared" ca="1" si="712"/>
        <v>635.12105029851114</v>
      </c>
      <c r="AM1453">
        <v>0</v>
      </c>
      <c r="AN1453">
        <v>0</v>
      </c>
      <c r="AO1453">
        <f t="shared" si="713"/>
        <v>0</v>
      </c>
      <c r="AP1453">
        <f t="shared" si="722"/>
        <v>0</v>
      </c>
      <c r="AQ1453">
        <f t="shared" ca="1" si="714"/>
        <v>0.99999999999999978</v>
      </c>
      <c r="AR1453" t="str">
        <f t="shared" ca="1" si="715"/>
        <v>Supercritical</v>
      </c>
      <c r="AS1453">
        <f t="shared" ca="1" si="716"/>
        <v>3.8148159832266538E-3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191</v>
      </c>
      <c r="I1454">
        <v>5.7000000000000002E-2</v>
      </c>
      <c r="J1454">
        <f t="shared" si="717"/>
        <v>1</v>
      </c>
      <c r="K1454">
        <f t="shared" si="718"/>
        <v>51</v>
      </c>
      <c r="L1454">
        <f t="shared" ca="1" si="719"/>
        <v>0.05</v>
      </c>
      <c r="M1454">
        <f t="shared" ca="1" si="692"/>
        <v>0.26</v>
      </c>
      <c r="N1454">
        <f t="shared" ca="1" si="693"/>
        <v>4.9056603773584909E-2</v>
      </c>
      <c r="O1454">
        <f t="shared" ca="1" si="694"/>
        <v>196.15384615384616</v>
      </c>
      <c r="P1454">
        <f t="shared" ca="1" si="695"/>
        <v>631.95999999999992</v>
      </c>
      <c r="Q1454">
        <f t="shared" ca="1" si="696"/>
        <v>2593.0370316486619</v>
      </c>
      <c r="R1454">
        <f t="shared" ca="1" si="697"/>
        <v>482.07306851378365</v>
      </c>
      <c r="S1454">
        <f t="shared" ca="1" si="698"/>
        <v>280.07692026646265</v>
      </c>
      <c r="T1454">
        <f t="shared" ca="1" si="699"/>
        <v>1019.7665564573041</v>
      </c>
      <c r="U1454">
        <f t="shared" ca="1" si="720"/>
        <v>-482.25887083179032</v>
      </c>
      <c r="V1454">
        <f t="shared" ca="1" si="721"/>
        <v>0</v>
      </c>
      <c r="W1454">
        <f t="shared" ca="1" si="700"/>
        <v>1.3963413138106895</v>
      </c>
      <c r="X1454">
        <f t="shared" ca="1" si="701"/>
        <v>7.2609748318155853</v>
      </c>
      <c r="Y1454">
        <f t="shared" ca="1" si="702"/>
        <v>0.90845278989595635</v>
      </c>
      <c r="Z1454">
        <f t="shared" ca="1" si="703"/>
        <v>7.0238502654673987</v>
      </c>
      <c r="AA1454">
        <f t="shared" ca="1" si="704"/>
        <v>633.30634131381066</v>
      </c>
      <c r="AB1454">
        <f t="shared" ca="1" si="705"/>
        <v>635.82084042449901</v>
      </c>
      <c r="AC1454">
        <f t="shared" ca="1" si="706"/>
        <v>1.2616237525841231E-2</v>
      </c>
      <c r="AD1454">
        <f t="shared" ca="1" si="707"/>
        <v>1.8977759871094584</v>
      </c>
      <c r="AE1454">
        <f t="shared" ca="1" si="708"/>
        <v>41.58482908276418</v>
      </c>
      <c r="AF1454">
        <f t="shared" ca="1" si="709"/>
        <v>1.2116237525901852E-2</v>
      </c>
      <c r="AG1454">
        <f t="shared" ca="1" si="710"/>
        <v>0</v>
      </c>
      <c r="AH1454">
        <f ca="1">IF(V32="Supercritical",L1454,IF(V32="Subcritical",W1454,IF(AND(V1454=1,AG1454=1),IF(T1454&gt;=AE1454,L1454,W1454),IF(V1454=1,L1454,IF(AG1454=1,W1454,MAX($D$16,POWER((ABS(K1454)^2)/($I$5*MAX(F1454,0.1)^2),1/3)))))))</f>
        <v>2.1403668656741068</v>
      </c>
      <c r="AI1454">
        <f t="shared" ca="1" si="711"/>
        <v>634.05036686567405</v>
      </c>
      <c r="AJ1454">
        <f t="shared" ca="1" si="712"/>
        <v>635.12055029851115</v>
      </c>
      <c r="AM1454">
        <v>0</v>
      </c>
      <c r="AN1454">
        <v>0</v>
      </c>
      <c r="AO1454">
        <f t="shared" si="713"/>
        <v>0</v>
      </c>
      <c r="AP1454">
        <f t="shared" si="722"/>
        <v>0</v>
      </c>
      <c r="AQ1454">
        <f t="shared" ca="1" si="714"/>
        <v>0.99999999999999978</v>
      </c>
      <c r="AR1454" t="str">
        <f t="shared" ca="1" si="715"/>
        <v>Supercritical</v>
      </c>
      <c r="AS1454">
        <f t="shared" ca="1" si="716"/>
        <v>3.8148159832266538E-3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191</v>
      </c>
      <c r="I1455">
        <v>0</v>
      </c>
      <c r="J1455">
        <f t="shared" si="717"/>
        <v>1</v>
      </c>
      <c r="K1455">
        <f t="shared" si="718"/>
        <v>51</v>
      </c>
      <c r="L1455">
        <f t="shared" ca="1" si="719"/>
        <v>0.05</v>
      </c>
      <c r="M1455">
        <f t="shared" ca="1" si="692"/>
        <v>0.26</v>
      </c>
      <c r="N1455">
        <f t="shared" ca="1" si="693"/>
        <v>4.9056603773584909E-2</v>
      </c>
      <c r="O1455">
        <f t="shared" ca="1" si="694"/>
        <v>196.15384615384616</v>
      </c>
      <c r="P1455">
        <f t="shared" ca="1" si="695"/>
        <v>631.95949999999993</v>
      </c>
      <c r="Q1455">
        <f t="shared" ca="1" si="696"/>
        <v>2593.0365316486623</v>
      </c>
      <c r="R1455">
        <f t="shared" ca="1" si="697"/>
        <v>482.07306851378365</v>
      </c>
      <c r="S1455">
        <f t="shared" ca="1" si="698"/>
        <v>280.07692026646265</v>
      </c>
      <c r="T1455">
        <f t="shared" ca="1" si="699"/>
        <v>1019.7665564573041</v>
      </c>
      <c r="U1455">
        <f t="shared" ca="1" si="720"/>
        <v>-482.07256851378406</v>
      </c>
      <c r="V1455">
        <f t="shared" ca="1" si="721"/>
        <v>0</v>
      </c>
      <c r="W1455">
        <f t="shared" ca="1" si="700"/>
        <v>1.396645161817708</v>
      </c>
      <c r="X1455">
        <f t="shared" ca="1" si="701"/>
        <v>7.262554841452082</v>
      </c>
      <c r="Y1455">
        <f t="shared" ca="1" si="702"/>
        <v>0.90858139106712821</v>
      </c>
      <c r="Z1455">
        <f t="shared" ca="1" si="703"/>
        <v>7.0223221873534261</v>
      </c>
      <c r="AA1455">
        <f t="shared" ca="1" si="704"/>
        <v>633.30614516181765</v>
      </c>
      <c r="AB1455">
        <f t="shared" ca="1" si="705"/>
        <v>635.81955030468191</v>
      </c>
      <c r="AC1455">
        <f t="shared" ca="1" si="706"/>
        <v>1.2608368801440959E-2</v>
      </c>
      <c r="AD1455">
        <f t="shared" ca="1" si="707"/>
        <v>1.8971567130409552</v>
      </c>
      <c r="AE1455">
        <f t="shared" ca="1" si="708"/>
        <v>41.579091418553269</v>
      </c>
      <c r="AF1455">
        <f t="shared" ca="1" si="709"/>
        <v>1.2334533921261936E-2</v>
      </c>
      <c r="AG1455">
        <f t="shared" ca="1" si="710"/>
        <v>0</v>
      </c>
      <c r="AH1455">
        <f ca="1">IF(V32="Supercritical",L1455,IF(V32="Subcritical",W1455,IF(AND(V1455=1,AG1455=1),IF(T1455&gt;=AE1455,L1455,W1455),IF(V1455=1,L1455,IF(AG1455=1,W1455,MAX($D$16,POWER((ABS(K1455)^2)/($I$5*MAX(F1455,0.1)^2),1/3)))))))</f>
        <v>2.1403668656741068</v>
      </c>
      <c r="AI1455">
        <f t="shared" ca="1" si="711"/>
        <v>634.04986686567406</v>
      </c>
      <c r="AJ1455">
        <f t="shared" ca="1" si="712"/>
        <v>635.12005029851116</v>
      </c>
      <c r="AM1455">
        <v>0</v>
      </c>
      <c r="AN1455">
        <v>0</v>
      </c>
      <c r="AO1455">
        <f t="shared" si="713"/>
        <v>0</v>
      </c>
      <c r="AP1455">
        <f t="shared" si="722"/>
        <v>0</v>
      </c>
      <c r="AQ1455">
        <f t="shared" ca="1" si="714"/>
        <v>0.99999999999999978</v>
      </c>
      <c r="AR1455" t="str">
        <f t="shared" ca="1" si="715"/>
        <v>Supercritical</v>
      </c>
      <c r="AS1455">
        <f t="shared" ca="1" si="716"/>
        <v>3.8148159832266538E-3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191</v>
      </c>
      <c r="I1456">
        <v>5.7000000000000002E-2</v>
      </c>
      <c r="J1456">
        <f t="shared" si="717"/>
        <v>0.99899999999979627</v>
      </c>
      <c r="K1456">
        <f t="shared" si="718"/>
        <v>51</v>
      </c>
      <c r="L1456">
        <f t="shared" ca="1" si="719"/>
        <v>0.05</v>
      </c>
      <c r="M1456">
        <f t="shared" ca="1" si="692"/>
        <v>0.26</v>
      </c>
      <c r="N1456">
        <f t="shared" ca="1" si="693"/>
        <v>4.9056603773584909E-2</v>
      </c>
      <c r="O1456">
        <f t="shared" ca="1" si="694"/>
        <v>196.15384615384616</v>
      </c>
      <c r="P1456">
        <f t="shared" ca="1" si="695"/>
        <v>631.95899999999995</v>
      </c>
      <c r="Q1456">
        <f t="shared" ca="1" si="696"/>
        <v>2593.0360316486622</v>
      </c>
      <c r="R1456">
        <f t="shared" ca="1" si="697"/>
        <v>482.07306851378365</v>
      </c>
      <c r="S1456">
        <f t="shared" ca="1" si="698"/>
        <v>280.07692026646265</v>
      </c>
      <c r="T1456">
        <f t="shared" ca="1" si="699"/>
        <v>1019.7665564573041</v>
      </c>
      <c r="U1456">
        <f t="shared" ca="1" si="720"/>
        <v>-481.77679776317837</v>
      </c>
      <c r="V1456">
        <f t="shared" ca="1" si="721"/>
        <v>0</v>
      </c>
      <c r="W1456">
        <f t="shared" ca="1" si="700"/>
        <v>1.3969034326236738</v>
      </c>
      <c r="X1456">
        <f t="shared" ca="1" si="701"/>
        <v>7.2638978496431035</v>
      </c>
      <c r="Y1456">
        <f t="shared" ca="1" si="702"/>
        <v>0.90869068668928132</v>
      </c>
      <c r="Z1456">
        <f t="shared" ca="1" si="703"/>
        <v>7.0210238436249179</v>
      </c>
      <c r="AA1456">
        <f t="shared" ca="1" si="704"/>
        <v>633.30590343262361</v>
      </c>
      <c r="AB1456">
        <f t="shared" ca="1" si="705"/>
        <v>635.81837926405831</v>
      </c>
      <c r="AC1456">
        <f t="shared" ca="1" si="706"/>
        <v>1.2601685731362448E-2</v>
      </c>
      <c r="AD1456">
        <f t="shared" ca="1" si="707"/>
        <v>1.8966305948426914</v>
      </c>
      <c r="AE1456">
        <f t="shared" ca="1" si="708"/>
        <v>41.57421749867526</v>
      </c>
      <c r="AF1456">
        <f t="shared" ca="1" si="709"/>
        <v>1.234037093547613E-2</v>
      </c>
      <c r="AG1456">
        <f t="shared" ca="1" si="710"/>
        <v>0</v>
      </c>
      <c r="AH1456">
        <f ca="1">IF(V32="Supercritical",L1456,IF(V32="Subcritical",W1456,IF(AND(V1456=1,AG1456=1),IF(T1456&gt;=AE1456,L1456,W1456),IF(V1456=1,L1456,IF(AG1456=1,W1456,MAX($D$16,POWER((ABS(K1456)^2)/($I$5*MAX(F1456,0.1)^2),1/3)))))))</f>
        <v>2.1403668656741068</v>
      </c>
      <c r="AI1456">
        <f t="shared" ca="1" si="711"/>
        <v>634.04936686567407</v>
      </c>
      <c r="AJ1456">
        <f t="shared" ca="1" si="712"/>
        <v>635.11955029851117</v>
      </c>
      <c r="AM1456">
        <v>0</v>
      </c>
      <c r="AN1456">
        <v>0</v>
      </c>
      <c r="AO1456">
        <f t="shared" si="713"/>
        <v>0</v>
      </c>
      <c r="AP1456">
        <f t="shared" si="722"/>
        <v>0</v>
      </c>
      <c r="AQ1456">
        <f t="shared" ca="1" si="714"/>
        <v>0.99999999999999978</v>
      </c>
      <c r="AR1456" t="str">
        <f t="shared" ca="1" si="715"/>
        <v>Supercritical</v>
      </c>
      <c r="AS1456">
        <f t="shared" ca="1" si="716"/>
        <v>3.8148159832266538E-3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191</v>
      </c>
      <c r="I1457">
        <v>5.7000000000000002E-2</v>
      </c>
      <c r="J1457">
        <f t="shared" si="717"/>
        <v>1</v>
      </c>
      <c r="K1457">
        <f t="shared" si="718"/>
        <v>51</v>
      </c>
      <c r="L1457">
        <f t="shared" ca="1" si="719"/>
        <v>0.05</v>
      </c>
      <c r="M1457">
        <f t="shared" ca="1" si="692"/>
        <v>0.26</v>
      </c>
      <c r="N1457">
        <f t="shared" ca="1" si="693"/>
        <v>4.9056603773584909E-2</v>
      </c>
      <c r="O1457">
        <f t="shared" ca="1" si="694"/>
        <v>196.15384615384616</v>
      </c>
      <c r="P1457">
        <f t="shared" ca="1" si="695"/>
        <v>631.95849999999996</v>
      </c>
      <c r="Q1457">
        <f t="shared" ca="1" si="696"/>
        <v>2593.0355316486621</v>
      </c>
      <c r="R1457">
        <f t="shared" ca="1" si="697"/>
        <v>482.07306851378365</v>
      </c>
      <c r="S1457">
        <f t="shared" ca="1" si="698"/>
        <v>280.07692026646265</v>
      </c>
      <c r="T1457">
        <f t="shared" ca="1" si="699"/>
        <v>1019.7665564573041</v>
      </c>
      <c r="U1457">
        <f t="shared" ca="1" si="720"/>
        <v>-482.25887083179032</v>
      </c>
      <c r="V1457">
        <f t="shared" ca="1" si="721"/>
        <v>0</v>
      </c>
      <c r="W1457">
        <f t="shared" ca="1" si="700"/>
        <v>1.3971229628087447</v>
      </c>
      <c r="X1457">
        <f t="shared" ca="1" si="701"/>
        <v>7.2650394066054726</v>
      </c>
      <c r="Y1457">
        <f t="shared" ca="1" si="702"/>
        <v>0.90878357686304334</v>
      </c>
      <c r="Z1457">
        <f t="shared" ca="1" si="703"/>
        <v>7.0199206288723097</v>
      </c>
      <c r="AA1457">
        <f t="shared" ca="1" si="704"/>
        <v>633.3056229628088</v>
      </c>
      <c r="AB1457">
        <f t="shared" ca="1" si="705"/>
        <v>635.81730928470824</v>
      </c>
      <c r="AC1457">
        <f t="shared" ca="1" si="706"/>
        <v>1.2596008980407828E-2</v>
      </c>
      <c r="AD1457">
        <f t="shared" ca="1" si="707"/>
        <v>1.8961835855383886</v>
      </c>
      <c r="AE1457">
        <f t="shared" ca="1" si="708"/>
        <v>41.570076901602235</v>
      </c>
      <c r="AF1457">
        <f t="shared" ca="1" si="709"/>
        <v>1.209600898039298E-2</v>
      </c>
      <c r="AG1457">
        <f t="shared" ca="1" si="710"/>
        <v>0</v>
      </c>
      <c r="AH1457">
        <f ca="1">IF(V32="Supercritical",L1457,IF(V32="Subcritical",W1457,IF(AND(V1457=1,AG1457=1),IF(T1457&gt;=AE1457,L1457,W1457),IF(V1457=1,L1457,IF(AG1457=1,W1457,MAX($D$16,POWER((ABS(K1457)^2)/($I$5*MAX(F1457,0.1)^2),1/3)))))))</f>
        <v>2.1403668656741068</v>
      </c>
      <c r="AI1457">
        <f t="shared" ca="1" si="711"/>
        <v>634.04886686567409</v>
      </c>
      <c r="AJ1457">
        <f t="shared" ca="1" si="712"/>
        <v>635.11905029851118</v>
      </c>
      <c r="AM1457">
        <v>0</v>
      </c>
      <c r="AN1457">
        <v>0</v>
      </c>
      <c r="AO1457">
        <f t="shared" si="713"/>
        <v>0</v>
      </c>
      <c r="AP1457">
        <f t="shared" si="722"/>
        <v>0</v>
      </c>
      <c r="AQ1457">
        <f t="shared" ca="1" si="714"/>
        <v>0.99999999999999978</v>
      </c>
      <c r="AR1457" t="str">
        <f t="shared" ca="1" si="715"/>
        <v>Supercritical</v>
      </c>
      <c r="AS1457">
        <f t="shared" ca="1" si="716"/>
        <v>3.8148159832266538E-3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191</v>
      </c>
      <c r="I1458">
        <v>0</v>
      </c>
      <c r="J1458">
        <f t="shared" si="717"/>
        <v>1</v>
      </c>
      <c r="K1458">
        <f t="shared" si="718"/>
        <v>51</v>
      </c>
      <c r="L1458">
        <f t="shared" ca="1" si="719"/>
        <v>0.05</v>
      </c>
      <c r="M1458">
        <f t="shared" ca="1" si="692"/>
        <v>0.26</v>
      </c>
      <c r="N1458">
        <f t="shared" ca="1" si="693"/>
        <v>4.9056603773584909E-2</v>
      </c>
      <c r="O1458">
        <f t="shared" ca="1" si="694"/>
        <v>196.15384615384616</v>
      </c>
      <c r="P1458">
        <f t="shared" ca="1" si="695"/>
        <v>631.95799999999997</v>
      </c>
      <c r="Q1458">
        <f t="shared" ca="1" si="696"/>
        <v>2593.035031648662</v>
      </c>
      <c r="R1458">
        <f t="shared" ca="1" si="697"/>
        <v>482.07306851378365</v>
      </c>
      <c r="S1458">
        <f t="shared" ca="1" si="698"/>
        <v>280.07692026646265</v>
      </c>
      <c r="T1458">
        <f t="shared" ca="1" si="699"/>
        <v>1019.7665564573041</v>
      </c>
      <c r="U1458">
        <f t="shared" ca="1" si="720"/>
        <v>-482.07256851378361</v>
      </c>
      <c r="V1458">
        <f t="shared" ca="1" si="721"/>
        <v>0</v>
      </c>
      <c r="W1458">
        <f t="shared" ca="1" si="700"/>
        <v>1.3973095634660548</v>
      </c>
      <c r="X1458">
        <f t="shared" ca="1" si="701"/>
        <v>7.2660097300234856</v>
      </c>
      <c r="Y1458">
        <f t="shared" ca="1" si="702"/>
        <v>0.90886252548866286</v>
      </c>
      <c r="Z1458">
        <f t="shared" ca="1" si="703"/>
        <v>7.0189831688864466</v>
      </c>
      <c r="AA1458">
        <f t="shared" ca="1" si="704"/>
        <v>633.30530956346604</v>
      </c>
      <c r="AB1458">
        <f t="shared" ca="1" si="705"/>
        <v>635.81632509481733</v>
      </c>
      <c r="AC1458">
        <f t="shared" ca="1" si="706"/>
        <v>1.2591186527717679E-2</v>
      </c>
      <c r="AD1458">
        <f t="shared" ca="1" si="707"/>
        <v>1.895803765669267</v>
      </c>
      <c r="AE1458">
        <f t="shared" ca="1" si="708"/>
        <v>41.566559008075942</v>
      </c>
      <c r="AF1458">
        <f t="shared" ca="1" si="709"/>
        <v>1.2091186527754871E-2</v>
      </c>
      <c r="AG1458">
        <f t="shared" ca="1" si="710"/>
        <v>0</v>
      </c>
      <c r="AH1458">
        <f ca="1">IF(V32="Supercritical",L1458,IF(V32="Subcritical",W1458,IF(AND(V1458=1,AG1458=1),IF(T1458&gt;=AE1458,L1458,W1458),IF(V1458=1,L1458,IF(AG1458=1,W1458,MAX($D$16,POWER((ABS(K1458)^2)/($I$5*MAX(F1458,0.1)^2),1/3)))))))</f>
        <v>2.1403668656741068</v>
      </c>
      <c r="AI1458">
        <f t="shared" ca="1" si="711"/>
        <v>634.0483668656741</v>
      </c>
      <c r="AJ1458">
        <f t="shared" ca="1" si="712"/>
        <v>635.1185502985112</v>
      </c>
      <c r="AM1458">
        <v>0</v>
      </c>
      <c r="AN1458">
        <v>0</v>
      </c>
      <c r="AO1458">
        <f t="shared" si="713"/>
        <v>0</v>
      </c>
      <c r="AP1458">
        <f t="shared" si="722"/>
        <v>0</v>
      </c>
      <c r="AQ1458">
        <f t="shared" ca="1" si="714"/>
        <v>0.99999999999999978</v>
      </c>
      <c r="AR1458" t="str">
        <f t="shared" ca="1" si="715"/>
        <v>Supercritical</v>
      </c>
      <c r="AS1458">
        <f t="shared" ca="1" si="716"/>
        <v>3.8148159832266538E-3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191</v>
      </c>
      <c r="I1459">
        <v>0</v>
      </c>
      <c r="J1459">
        <f t="shared" si="717"/>
        <v>1</v>
      </c>
      <c r="K1459">
        <f t="shared" si="718"/>
        <v>51</v>
      </c>
      <c r="L1459">
        <f t="shared" ca="1" si="719"/>
        <v>0.05</v>
      </c>
      <c r="M1459">
        <f t="shared" ca="1" si="692"/>
        <v>0.26</v>
      </c>
      <c r="N1459">
        <f t="shared" ca="1" si="693"/>
        <v>4.9056603773584909E-2</v>
      </c>
      <c r="O1459">
        <f t="shared" ca="1" si="694"/>
        <v>196.15384615384616</v>
      </c>
      <c r="P1459">
        <f t="shared" ca="1" si="695"/>
        <v>631.95749999999998</v>
      </c>
      <c r="Q1459">
        <f t="shared" ca="1" si="696"/>
        <v>2593.0345316486619</v>
      </c>
      <c r="R1459">
        <f t="shared" ca="1" si="697"/>
        <v>482.07306851378365</v>
      </c>
      <c r="S1459">
        <f t="shared" ca="1" si="698"/>
        <v>280.07692026646265</v>
      </c>
      <c r="T1459">
        <f t="shared" ca="1" si="699"/>
        <v>1019.7665564573041</v>
      </c>
      <c r="U1459">
        <f t="shared" ca="1" si="720"/>
        <v>-482.07256851378361</v>
      </c>
      <c r="V1459">
        <f t="shared" ca="1" si="721"/>
        <v>0</v>
      </c>
      <c r="W1459">
        <f t="shared" ca="1" si="700"/>
        <v>1.3974681740247685</v>
      </c>
      <c r="X1459">
        <f t="shared" ca="1" si="701"/>
        <v>7.2668345049287968</v>
      </c>
      <c r="Y1459">
        <f t="shared" ca="1" si="702"/>
        <v>0.90892962602530669</v>
      </c>
      <c r="Z1459">
        <f t="shared" ca="1" si="703"/>
        <v>7.0181865247390434</v>
      </c>
      <c r="AA1459">
        <f t="shared" ca="1" si="704"/>
        <v>633.30496817402479</v>
      </c>
      <c r="AB1459">
        <f t="shared" ca="1" si="705"/>
        <v>635.81541374466849</v>
      </c>
      <c r="AC1459">
        <f t="shared" ca="1" si="706"/>
        <v>1.2587089454176621E-2</v>
      </c>
      <c r="AD1459">
        <f t="shared" ca="1" si="707"/>
        <v>1.8954810184670581</v>
      </c>
      <c r="AE1459">
        <f t="shared" ca="1" si="708"/>
        <v>41.563569964269597</v>
      </c>
      <c r="AF1459">
        <f t="shared" ca="1" si="709"/>
        <v>1.232558178344334E-2</v>
      </c>
      <c r="AG1459">
        <f t="shared" ca="1" si="710"/>
        <v>0</v>
      </c>
      <c r="AH1459">
        <f ca="1">IF(V32="Supercritical",L1459,IF(V32="Subcritical",W1459,IF(AND(V1459=1,AG1459=1),IF(T1459&gt;=AE1459,L1459,W1459),IF(V1459=1,L1459,IF(AG1459=1,W1459,MAX($D$16,POWER((ABS(K1459)^2)/($I$5*MAX(F1459,0.1)^2),1/3)))))))</f>
        <v>2.1403668656741068</v>
      </c>
      <c r="AI1459">
        <f t="shared" ca="1" si="711"/>
        <v>634.04786686567411</v>
      </c>
      <c r="AJ1459">
        <f t="shared" ca="1" si="712"/>
        <v>635.11805029851121</v>
      </c>
      <c r="AM1459">
        <v>0</v>
      </c>
      <c r="AN1459">
        <v>0</v>
      </c>
      <c r="AO1459">
        <f t="shared" si="713"/>
        <v>0</v>
      </c>
      <c r="AP1459">
        <f t="shared" si="722"/>
        <v>0</v>
      </c>
      <c r="AQ1459">
        <f t="shared" ca="1" si="714"/>
        <v>0.99999999999999978</v>
      </c>
      <c r="AR1459" t="str">
        <f t="shared" ca="1" si="715"/>
        <v>Supercritical</v>
      </c>
      <c r="AS1459">
        <f t="shared" ca="1" si="716"/>
        <v>3.8148159832266538E-3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191</v>
      </c>
      <c r="I1460">
        <v>5.7000000000000002E-2</v>
      </c>
      <c r="J1460">
        <f t="shared" si="717"/>
        <v>1</v>
      </c>
      <c r="K1460">
        <f t="shared" si="718"/>
        <v>51</v>
      </c>
      <c r="L1460">
        <f t="shared" ca="1" si="719"/>
        <v>0.05</v>
      </c>
      <c r="M1460">
        <f t="shared" ca="1" si="692"/>
        <v>0.26</v>
      </c>
      <c r="N1460">
        <f t="shared" ca="1" si="693"/>
        <v>4.9056603773584909E-2</v>
      </c>
      <c r="O1460">
        <f t="shared" ca="1" si="694"/>
        <v>196.15384615384616</v>
      </c>
      <c r="P1460">
        <f t="shared" ca="1" si="695"/>
        <v>631.95699999999999</v>
      </c>
      <c r="Q1460">
        <f t="shared" ca="1" si="696"/>
        <v>2593.0340316486622</v>
      </c>
      <c r="R1460">
        <f t="shared" ca="1" si="697"/>
        <v>482.07306851378365</v>
      </c>
      <c r="S1460">
        <f t="shared" ca="1" si="698"/>
        <v>280.07692026646265</v>
      </c>
      <c r="T1460">
        <f t="shared" ca="1" si="699"/>
        <v>1019.7665564573041</v>
      </c>
      <c r="U1460">
        <f t="shared" ca="1" si="720"/>
        <v>-482.25887083179077</v>
      </c>
      <c r="V1460">
        <f t="shared" ca="1" si="721"/>
        <v>0</v>
      </c>
      <c r="W1460">
        <f t="shared" ca="1" si="700"/>
        <v>1.4411541191254404</v>
      </c>
      <c r="X1460">
        <f t="shared" ca="1" si="701"/>
        <v>7.4940014194522906</v>
      </c>
      <c r="Y1460">
        <f t="shared" ca="1" si="702"/>
        <v>0.92721054413461612</v>
      </c>
      <c r="Z1460">
        <f t="shared" ca="1" si="703"/>
        <v>6.8054430664529288</v>
      </c>
      <c r="AA1460">
        <f t="shared" ca="1" si="704"/>
        <v>633.34815411912552</v>
      </c>
      <c r="AB1460">
        <f t="shared" ca="1" si="705"/>
        <v>635.70870739795998</v>
      </c>
      <c r="AC1460">
        <f t="shared" ca="1" si="706"/>
        <v>1.1525439958675799E-2</v>
      </c>
      <c r="AD1460">
        <f t="shared" ca="1" si="707"/>
        <v>1.8099504587637913</v>
      </c>
      <c r="AE1460">
        <f t="shared" ca="1" si="708"/>
        <v>40.779984751744294</v>
      </c>
      <c r="AF1460">
        <f t="shared" ca="1" si="709"/>
        <v>1.126149528647602E-2</v>
      </c>
      <c r="AG1460">
        <f t="shared" ca="1" si="710"/>
        <v>0</v>
      </c>
      <c r="AH1460">
        <f ca="1">IF(V32="Supercritical",L1460,IF(V32="Subcritical",W1460,IF(AND(V1460=1,AG1460=1),IF(T1460&gt;=AE1460,L1460,W1460),IF(V1460=1,L1460,IF(AG1460=1,W1460,MAX($D$16,POWER((ABS(K1460)^2)/($I$5*MAX(F1460,0.1)^2),1/3)))))))</f>
        <v>2.1403668656741068</v>
      </c>
      <c r="AI1460">
        <f t="shared" ca="1" si="711"/>
        <v>634.04736686567412</v>
      </c>
      <c r="AJ1460">
        <f t="shared" ca="1" si="712"/>
        <v>635.11755029851122</v>
      </c>
      <c r="AM1460">
        <v>0</v>
      </c>
      <c r="AN1460">
        <v>0</v>
      </c>
      <c r="AO1460">
        <f t="shared" si="713"/>
        <v>0</v>
      </c>
      <c r="AP1460">
        <f t="shared" si="722"/>
        <v>0</v>
      </c>
      <c r="AQ1460">
        <f t="shared" ca="1" si="714"/>
        <v>0.99999999999999978</v>
      </c>
      <c r="AR1460" t="str">
        <f t="shared" ca="1" si="715"/>
        <v>Supercritical</v>
      </c>
      <c r="AS1460">
        <f t="shared" ca="1" si="716"/>
        <v>3.8148159832266538E-3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191</v>
      </c>
      <c r="I1461">
        <v>0.06</v>
      </c>
      <c r="J1461">
        <f t="shared" si="717"/>
        <v>1</v>
      </c>
      <c r="K1461">
        <f t="shared" si="718"/>
        <v>51</v>
      </c>
      <c r="L1461">
        <f t="shared" ca="1" si="719"/>
        <v>0.05</v>
      </c>
      <c r="M1461">
        <f t="shared" ca="1" si="692"/>
        <v>0.26</v>
      </c>
      <c r="N1461">
        <f t="shared" ca="1" si="693"/>
        <v>4.9056603773584909E-2</v>
      </c>
      <c r="O1461">
        <f t="shared" ca="1" si="694"/>
        <v>196.15384615384616</v>
      </c>
      <c r="P1461">
        <f t="shared" ca="1" si="695"/>
        <v>631.95650000000001</v>
      </c>
      <c r="Q1461">
        <f t="shared" ca="1" si="696"/>
        <v>2593.0335316486621</v>
      </c>
      <c r="R1461">
        <f t="shared" ca="1" si="697"/>
        <v>482.07306851378365</v>
      </c>
      <c r="S1461">
        <f t="shared" ca="1" si="698"/>
        <v>280.07692026646265</v>
      </c>
      <c r="T1461">
        <f t="shared" ca="1" si="699"/>
        <v>1019.7665564573041</v>
      </c>
      <c r="U1461">
        <f t="shared" ca="1" si="720"/>
        <v>-482.26867621694828</v>
      </c>
      <c r="V1461">
        <f t="shared" ca="1" si="721"/>
        <v>0</v>
      </c>
      <c r="W1461">
        <f t="shared" ca="1" si="700"/>
        <v>1.4782871724610116</v>
      </c>
      <c r="X1461">
        <f t="shared" ca="1" si="701"/>
        <v>7.6870932967972605</v>
      </c>
      <c r="Y1461">
        <f t="shared" ca="1" si="702"/>
        <v>0.94244139411086902</v>
      </c>
      <c r="Z1461">
        <f t="shared" ca="1" si="703"/>
        <v>6.6344973361060369</v>
      </c>
      <c r="AA1461">
        <f t="shared" ca="1" si="704"/>
        <v>633.38478717246107</v>
      </c>
      <c r="AB1461">
        <f t="shared" ca="1" si="705"/>
        <v>635.62824053142117</v>
      </c>
      <c r="AC1461">
        <f t="shared" ca="1" si="706"/>
        <v>1.0718304613168469E-2</v>
      </c>
      <c r="AD1461">
        <f t="shared" ca="1" si="707"/>
        <v>1.7421843820301137</v>
      </c>
      <c r="AE1461">
        <f t="shared" ca="1" si="708"/>
        <v>40.173136261762913</v>
      </c>
      <c r="AF1461">
        <f t="shared" ca="1" si="709"/>
        <v>1.0236501095505446E-2</v>
      </c>
      <c r="AG1461">
        <f t="shared" ca="1" si="710"/>
        <v>0</v>
      </c>
      <c r="AH1461">
        <f ca="1">IF(V32="Supercritical",L1461,IF(V32="Subcritical",W1461,IF(AND(V1461=1,AG1461=1),IF(T1461&gt;=AE1461,L1461,W1461),IF(V1461=1,L1461,IF(AG1461=1,W1461,MAX($D$16,POWER((ABS(K1461)^2)/($I$5*MAX(F1461,0.1)^2),1/3)))))))</f>
        <v>2.1403668656741068</v>
      </c>
      <c r="AI1461">
        <f t="shared" ca="1" si="711"/>
        <v>634.04686686567413</v>
      </c>
      <c r="AJ1461">
        <f t="shared" ca="1" si="712"/>
        <v>635.11705029851123</v>
      </c>
      <c r="AM1461">
        <v>0</v>
      </c>
      <c r="AN1461">
        <v>0</v>
      </c>
      <c r="AO1461">
        <f t="shared" si="713"/>
        <v>0</v>
      </c>
      <c r="AP1461">
        <f t="shared" si="722"/>
        <v>0</v>
      </c>
      <c r="AQ1461">
        <f t="shared" ca="1" si="714"/>
        <v>0.99999999999999978</v>
      </c>
      <c r="AR1461" t="str">
        <f t="shared" ca="1" si="715"/>
        <v>Supercritical</v>
      </c>
      <c r="AS1461">
        <f t="shared" ca="1" si="716"/>
        <v>3.8148159832266538E-3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191</v>
      </c>
      <c r="I1462">
        <v>2E-3</v>
      </c>
      <c r="J1462">
        <f t="shared" si="717"/>
        <v>1.0010000000002037</v>
      </c>
      <c r="K1462">
        <f t="shared" si="718"/>
        <v>51</v>
      </c>
      <c r="L1462">
        <f t="shared" ca="1" si="719"/>
        <v>0.05</v>
      </c>
      <c r="M1462">
        <f t="shared" ca="1" si="692"/>
        <v>0.26</v>
      </c>
      <c r="N1462">
        <f t="shared" ca="1" si="693"/>
        <v>4.9056603773584909E-2</v>
      </c>
      <c r="O1462">
        <f t="shared" ca="1" si="694"/>
        <v>196.15384615384616</v>
      </c>
      <c r="P1462">
        <f t="shared" ca="1" si="695"/>
        <v>631.9559999999999</v>
      </c>
      <c r="Q1462">
        <f t="shared" ca="1" si="696"/>
        <v>2593.033031648662</v>
      </c>
      <c r="R1462">
        <f t="shared" ca="1" si="697"/>
        <v>482.07306851378365</v>
      </c>
      <c r="S1462">
        <f t="shared" ca="1" si="698"/>
        <v>280.07692026646265</v>
      </c>
      <c r="T1462">
        <f t="shared" ca="1" si="699"/>
        <v>1019.7665564573041</v>
      </c>
      <c r="U1462">
        <f t="shared" ca="1" si="720"/>
        <v>-482.5611785058345</v>
      </c>
      <c r="V1462">
        <f t="shared" ca="1" si="721"/>
        <v>0</v>
      </c>
      <c r="W1462">
        <f t="shared" ca="1" si="700"/>
        <v>1.5098502677962471</v>
      </c>
      <c r="X1462">
        <f t="shared" ca="1" si="701"/>
        <v>7.8512213925404852</v>
      </c>
      <c r="Y1462">
        <f t="shared" ca="1" si="702"/>
        <v>0.95517122047738345</v>
      </c>
      <c r="Z1462">
        <f t="shared" ca="1" si="703"/>
        <v>6.4958045952513261</v>
      </c>
      <c r="AA1462">
        <f t="shared" ca="1" si="704"/>
        <v>633.41585026779615</v>
      </c>
      <c r="AB1462">
        <f t="shared" ca="1" si="705"/>
        <v>635.5664862178312</v>
      </c>
      <c r="AC1462">
        <f t="shared" ca="1" si="706"/>
        <v>1.0092686520027245E-2</v>
      </c>
      <c r="AD1462">
        <f t="shared" ca="1" si="707"/>
        <v>1.6878409065923217</v>
      </c>
      <c r="AE1462">
        <f t="shared" ca="1" si="708"/>
        <v>39.697322317991521</v>
      </c>
      <c r="AF1462">
        <f t="shared" ca="1" si="709"/>
        <v>9.592686520022653E-3</v>
      </c>
      <c r="AG1462">
        <f t="shared" ca="1" si="710"/>
        <v>0</v>
      </c>
      <c r="AH1462">
        <f ca="1">IF(V32="Supercritical",L1462,IF(V32="Subcritical",W1462,IF(AND(V1462=1,AG1462=1),IF(T1462&gt;=AE1462,L1462,W1462),IF(V1462=1,L1462,IF(AG1462=1,W1462,MAX($D$16,POWER((ABS(K1462)^2)/($I$5*MAX(F1462,0.1)^2),1/3)))))))</f>
        <v>2.1403668656741068</v>
      </c>
      <c r="AI1462">
        <f t="shared" ca="1" si="711"/>
        <v>634.04636686567403</v>
      </c>
      <c r="AJ1462">
        <f t="shared" ca="1" si="712"/>
        <v>635.11655029851113</v>
      </c>
      <c r="AM1462">
        <v>0</v>
      </c>
      <c r="AN1462">
        <v>0</v>
      </c>
      <c r="AO1462">
        <f t="shared" si="713"/>
        <v>0</v>
      </c>
      <c r="AP1462">
        <f t="shared" si="722"/>
        <v>0</v>
      </c>
      <c r="AQ1462">
        <f t="shared" ca="1" si="714"/>
        <v>0.99999999999999978</v>
      </c>
      <c r="AR1462" t="str">
        <f t="shared" ca="1" si="715"/>
        <v>Supercritical</v>
      </c>
      <c r="AS1462">
        <f t="shared" ca="1" si="716"/>
        <v>3.8148159832266538E-3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191</v>
      </c>
      <c r="I1463">
        <v>0</v>
      </c>
      <c r="J1463">
        <f t="shared" si="717"/>
        <v>1</v>
      </c>
      <c r="K1463">
        <f t="shared" si="718"/>
        <v>51</v>
      </c>
      <c r="L1463">
        <f t="shared" ca="1" si="719"/>
        <v>0.05</v>
      </c>
      <c r="M1463">
        <f t="shared" ca="1" si="692"/>
        <v>0.26</v>
      </c>
      <c r="N1463">
        <f t="shared" ca="1" si="693"/>
        <v>4.9056603773584909E-2</v>
      </c>
      <c r="O1463">
        <f t="shared" ca="1" si="694"/>
        <v>196.15384615384616</v>
      </c>
      <c r="P1463">
        <f t="shared" ca="1" si="695"/>
        <v>631.95549999999992</v>
      </c>
      <c r="Q1463">
        <f t="shared" ca="1" si="696"/>
        <v>2593.0325316486619</v>
      </c>
      <c r="R1463">
        <f t="shared" ca="1" si="697"/>
        <v>482.07306851378365</v>
      </c>
      <c r="S1463">
        <f t="shared" ca="1" si="698"/>
        <v>280.07692026646265</v>
      </c>
      <c r="T1463">
        <f t="shared" ca="1" si="699"/>
        <v>1019.7665564573041</v>
      </c>
      <c r="U1463">
        <f t="shared" ca="1" si="720"/>
        <v>-482.07256851378361</v>
      </c>
      <c r="V1463">
        <f t="shared" ca="1" si="721"/>
        <v>0</v>
      </c>
      <c r="W1463">
        <f t="shared" ca="1" si="700"/>
        <v>1.5366788988311972</v>
      </c>
      <c r="X1463">
        <f t="shared" ca="1" si="701"/>
        <v>7.9907302739222263</v>
      </c>
      <c r="Y1463">
        <f t="shared" ca="1" si="702"/>
        <v>0.96583883706564411</v>
      </c>
      <c r="Z1463">
        <f t="shared" ca="1" si="703"/>
        <v>6.3823953821140309</v>
      </c>
      <c r="AA1463">
        <f t="shared" ca="1" si="704"/>
        <v>633.44217889883112</v>
      </c>
      <c r="AB1463">
        <f t="shared" ca="1" si="705"/>
        <v>635.51837516863895</v>
      </c>
      <c r="AC1463">
        <f t="shared" ca="1" si="706"/>
        <v>9.6001283917300437E-3</v>
      </c>
      <c r="AD1463">
        <f t="shared" ca="1" si="707"/>
        <v>1.643832782403674</v>
      </c>
      <c r="AE1463">
        <f t="shared" ca="1" si="708"/>
        <v>39.320242074610327</v>
      </c>
      <c r="AF1463">
        <f t="shared" ca="1" si="709"/>
        <v>9.2973670374476569E-3</v>
      </c>
      <c r="AG1463">
        <f t="shared" ca="1" si="710"/>
        <v>0</v>
      </c>
      <c r="AH1463">
        <f ca="1">IF(V32="Supercritical",L1463,IF(V32="Subcritical",W1463,IF(AND(V1463=1,AG1463=1),IF(T1463&gt;=AE1463,L1463,W1463),IF(V1463=1,L1463,IF(AG1463=1,W1463,MAX($D$16,POWER((ABS(K1463)^2)/($I$5*MAX(F1463,0.1)^2),1/3)))))))</f>
        <v>2.1403668656741068</v>
      </c>
      <c r="AI1463">
        <f t="shared" ca="1" si="711"/>
        <v>634.04586686567404</v>
      </c>
      <c r="AJ1463">
        <f t="shared" ca="1" si="712"/>
        <v>635.11605029851114</v>
      </c>
      <c r="AM1463">
        <v>0</v>
      </c>
      <c r="AN1463">
        <v>0</v>
      </c>
      <c r="AO1463">
        <f t="shared" si="713"/>
        <v>0</v>
      </c>
      <c r="AP1463">
        <f t="shared" si="722"/>
        <v>0</v>
      </c>
      <c r="AQ1463">
        <f t="shared" ca="1" si="714"/>
        <v>0.99999999999999978</v>
      </c>
      <c r="AR1463" t="str">
        <f t="shared" ca="1" si="715"/>
        <v>Supercritical</v>
      </c>
      <c r="AS1463">
        <f t="shared" ca="1" si="716"/>
        <v>3.8148159832266538E-3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191</v>
      </c>
      <c r="I1464">
        <v>5.7000000000000002E-2</v>
      </c>
      <c r="J1464">
        <f t="shared" si="717"/>
        <v>1</v>
      </c>
      <c r="K1464">
        <f t="shared" si="718"/>
        <v>51</v>
      </c>
      <c r="L1464">
        <f t="shared" ca="1" si="719"/>
        <v>0.05</v>
      </c>
      <c r="M1464">
        <f t="shared" ca="1" si="692"/>
        <v>0.26</v>
      </c>
      <c r="N1464">
        <f t="shared" ca="1" si="693"/>
        <v>4.9056603773584909E-2</v>
      </c>
      <c r="O1464">
        <f t="shared" ca="1" si="694"/>
        <v>196.15384615384616</v>
      </c>
      <c r="P1464">
        <f t="shared" ca="1" si="695"/>
        <v>631.95499999999993</v>
      </c>
      <c r="Q1464">
        <f t="shared" ca="1" si="696"/>
        <v>2593.0320316486623</v>
      </c>
      <c r="R1464">
        <f t="shared" ca="1" si="697"/>
        <v>482.07306851378365</v>
      </c>
      <c r="S1464">
        <f t="shared" ca="1" si="698"/>
        <v>280.07692026646265</v>
      </c>
      <c r="T1464">
        <f t="shared" ca="1" si="699"/>
        <v>1019.7665564573041</v>
      </c>
      <c r="U1464">
        <f t="shared" ca="1" si="720"/>
        <v>-482.25887083179077</v>
      </c>
      <c r="V1464">
        <f t="shared" ca="1" si="721"/>
        <v>0</v>
      </c>
      <c r="W1464">
        <f t="shared" ca="1" si="700"/>
        <v>1.5594832352109049</v>
      </c>
      <c r="X1464">
        <f t="shared" ca="1" si="701"/>
        <v>8.1093128230967064</v>
      </c>
      <c r="Y1464">
        <f t="shared" ca="1" si="702"/>
        <v>0.97479811367547531</v>
      </c>
      <c r="Z1464">
        <f t="shared" ca="1" si="703"/>
        <v>6.289065561109358</v>
      </c>
      <c r="AA1464">
        <f t="shared" ca="1" si="704"/>
        <v>633.46448323521088</v>
      </c>
      <c r="AB1464">
        <f t="shared" ca="1" si="705"/>
        <v>635.48040299219008</v>
      </c>
      <c r="AC1464">
        <f t="shared" ca="1" si="706"/>
        <v>9.2073613739911808E-3</v>
      </c>
      <c r="AD1464">
        <f t="shared" ca="1" si="707"/>
        <v>1.607908248911555</v>
      </c>
      <c r="AE1464">
        <f t="shared" ca="1" si="708"/>
        <v>39.018616569560791</v>
      </c>
      <c r="AF1464">
        <f t="shared" ca="1" si="709"/>
        <v>8.8896663895638994E-3</v>
      </c>
      <c r="AG1464">
        <f t="shared" ca="1" si="710"/>
        <v>0</v>
      </c>
      <c r="AH1464">
        <f ca="1">IF(V32="Supercritical",L1464,IF(V32="Subcritical",W1464,IF(AND(V1464=1,AG1464=1),IF(T1464&gt;=AE1464,L1464,W1464),IF(V1464=1,L1464,IF(AG1464=1,W1464,MAX($D$16,POWER((ABS(K1464)^2)/($I$5*MAX(F1464,0.1)^2),1/3)))))))</f>
        <v>2.1403668656741068</v>
      </c>
      <c r="AI1464">
        <f t="shared" ca="1" si="711"/>
        <v>634.04536686567405</v>
      </c>
      <c r="AJ1464">
        <f t="shared" ca="1" si="712"/>
        <v>635.11555029851115</v>
      </c>
      <c r="AM1464">
        <v>0</v>
      </c>
      <c r="AN1464">
        <v>0</v>
      </c>
      <c r="AO1464">
        <f t="shared" si="713"/>
        <v>0</v>
      </c>
      <c r="AP1464">
        <f t="shared" si="722"/>
        <v>0</v>
      </c>
      <c r="AQ1464">
        <f t="shared" ca="1" si="714"/>
        <v>0.99999999999999978</v>
      </c>
      <c r="AR1464" t="str">
        <f t="shared" ca="1" si="715"/>
        <v>Supercritical</v>
      </c>
      <c r="AS1464">
        <f t="shared" ca="1" si="716"/>
        <v>3.8148159832266538E-3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191</v>
      </c>
      <c r="I1465">
        <v>5.7000000000000002E-2</v>
      </c>
      <c r="J1465">
        <f t="shared" si="717"/>
        <v>0.99899999999979627</v>
      </c>
      <c r="K1465">
        <f t="shared" si="718"/>
        <v>51</v>
      </c>
      <c r="L1465">
        <f t="shared" ca="1" si="719"/>
        <v>0.05</v>
      </c>
      <c r="M1465">
        <f t="shared" ca="1" si="692"/>
        <v>0.26</v>
      </c>
      <c r="N1465">
        <f t="shared" ca="1" si="693"/>
        <v>4.9056603773584909E-2</v>
      </c>
      <c r="O1465">
        <f t="shared" ca="1" si="694"/>
        <v>196.15384615384616</v>
      </c>
      <c r="P1465">
        <f t="shared" ca="1" si="695"/>
        <v>631.95449999999994</v>
      </c>
      <c r="Q1465">
        <f t="shared" ca="1" si="696"/>
        <v>2593.0315316486622</v>
      </c>
      <c r="R1465">
        <f t="shared" ca="1" si="697"/>
        <v>482.07306851378365</v>
      </c>
      <c r="S1465">
        <f t="shared" ca="1" si="698"/>
        <v>280.07692026646265</v>
      </c>
      <c r="T1465">
        <f t="shared" ca="1" si="699"/>
        <v>1019.7665564573041</v>
      </c>
      <c r="U1465">
        <f t="shared" ca="1" si="720"/>
        <v>-481.77679776317837</v>
      </c>
      <c r="V1465">
        <f t="shared" ca="1" si="721"/>
        <v>0</v>
      </c>
      <c r="W1465">
        <f t="shared" ca="1" si="700"/>
        <v>1.5788669211336563</v>
      </c>
      <c r="X1465">
        <f t="shared" ca="1" si="701"/>
        <v>8.2101079898950129</v>
      </c>
      <c r="Y1465">
        <f t="shared" ca="1" si="702"/>
        <v>0.98233661717896348</v>
      </c>
      <c r="Z1465">
        <f t="shared" ca="1" si="703"/>
        <v>6.2118549552296649</v>
      </c>
      <c r="AA1465">
        <f t="shared" ca="1" si="704"/>
        <v>633.48336692113367</v>
      </c>
      <c r="AB1465">
        <f t="shared" ca="1" si="705"/>
        <v>635.45009179293857</v>
      </c>
      <c r="AC1465">
        <f t="shared" ca="1" si="706"/>
        <v>8.8908787442884898E-3</v>
      </c>
      <c r="AD1465">
        <f t="shared" ca="1" si="707"/>
        <v>1.5783889792526802</v>
      </c>
      <c r="AE1465">
        <f t="shared" ca="1" si="708"/>
        <v>38.775381129950823</v>
      </c>
      <c r="AF1465">
        <f t="shared" ca="1" si="709"/>
        <v>8.3908787443078836E-3</v>
      </c>
      <c r="AG1465">
        <f t="shared" ca="1" si="710"/>
        <v>0</v>
      </c>
      <c r="AH1465">
        <f ca="1">IF(V32="Supercritical",L1465,IF(V32="Subcritical",W1465,IF(AND(V1465=1,AG1465=1),IF(T1465&gt;=AE1465,L1465,W1465),IF(V1465=1,L1465,IF(AG1465=1,W1465,MAX($D$16,POWER((ABS(K1465)^2)/($I$5*MAX(F1465,0.1)^2),1/3)))))))</f>
        <v>2.1403668656741068</v>
      </c>
      <c r="AI1465">
        <f t="shared" ca="1" si="711"/>
        <v>634.04486686567407</v>
      </c>
      <c r="AJ1465">
        <f t="shared" ca="1" si="712"/>
        <v>635.11505029851116</v>
      </c>
      <c r="AM1465">
        <v>0</v>
      </c>
      <c r="AN1465">
        <v>0</v>
      </c>
      <c r="AO1465">
        <f t="shared" si="713"/>
        <v>0</v>
      </c>
      <c r="AP1465">
        <f t="shared" si="722"/>
        <v>0</v>
      </c>
      <c r="AQ1465">
        <f t="shared" ca="1" si="714"/>
        <v>0.99999999999999978</v>
      </c>
      <c r="AR1465" t="str">
        <f t="shared" ca="1" si="715"/>
        <v>Supercritical</v>
      </c>
      <c r="AS1465">
        <f t="shared" ca="1" si="716"/>
        <v>3.8148159832266538E-3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191</v>
      </c>
      <c r="I1466">
        <v>0</v>
      </c>
      <c r="J1466">
        <f t="shared" si="717"/>
        <v>1</v>
      </c>
      <c r="K1466">
        <f t="shared" si="718"/>
        <v>51</v>
      </c>
      <c r="L1466">
        <f t="shared" ca="1" si="719"/>
        <v>0.05</v>
      </c>
      <c r="M1466">
        <f t="shared" ca="1" si="692"/>
        <v>0.26</v>
      </c>
      <c r="N1466">
        <f t="shared" ca="1" si="693"/>
        <v>4.9056603773584909E-2</v>
      </c>
      <c r="O1466">
        <f t="shared" ca="1" si="694"/>
        <v>196.15384615384616</v>
      </c>
      <c r="P1466">
        <f t="shared" ca="1" si="695"/>
        <v>631.95399999999995</v>
      </c>
      <c r="Q1466">
        <f t="shared" ca="1" si="696"/>
        <v>2593.0310316486621</v>
      </c>
      <c r="R1466">
        <f t="shared" ca="1" si="697"/>
        <v>482.07306851378365</v>
      </c>
      <c r="S1466">
        <f t="shared" ca="1" si="698"/>
        <v>280.07692026646265</v>
      </c>
      <c r="T1466">
        <f t="shared" ca="1" si="699"/>
        <v>1019.7665564573041</v>
      </c>
      <c r="U1466">
        <f t="shared" ca="1" si="720"/>
        <v>-482.07256851378361</v>
      </c>
      <c r="V1466">
        <f t="shared" ca="1" si="721"/>
        <v>0</v>
      </c>
      <c r="W1466">
        <f t="shared" ca="1" si="700"/>
        <v>1.5953430541679952</v>
      </c>
      <c r="X1466">
        <f t="shared" ca="1" si="701"/>
        <v>8.2957838816735752</v>
      </c>
      <c r="Y1466">
        <f t="shared" ca="1" si="702"/>
        <v>0.98868957491233855</v>
      </c>
      <c r="Z1466">
        <f t="shared" ca="1" si="703"/>
        <v>6.1477011367985828</v>
      </c>
      <c r="AA1466">
        <f t="shared" ca="1" si="704"/>
        <v>633.49934305416798</v>
      </c>
      <c r="AB1466">
        <f t="shared" ca="1" si="705"/>
        <v>635.42565443374974</v>
      </c>
      <c r="AC1466">
        <f t="shared" ca="1" si="706"/>
        <v>8.6336559535179734E-3</v>
      </c>
      <c r="AD1466">
        <f t="shared" ca="1" si="707"/>
        <v>1.5540006639667427</v>
      </c>
      <c r="AE1466">
        <f t="shared" ca="1" si="708"/>
        <v>38.57783638489127</v>
      </c>
      <c r="AF1466">
        <f t="shared" ca="1" si="709"/>
        <v>8.1336559535429842E-3</v>
      </c>
      <c r="AG1466">
        <f t="shared" ca="1" si="710"/>
        <v>0</v>
      </c>
      <c r="AH1466">
        <f ca="1">IF(V32="Supercritical",L1466,IF(V32="Subcritical",W1466,IF(AND(V1466=1,AG1466=1),IF(T1466&gt;=AE1466,L1466,W1466),IF(V1466=1,L1466,IF(AG1466=1,W1466,MAX($D$16,POWER((ABS(K1466)^2)/($I$5*MAX(F1466,0.1)^2),1/3)))))))</f>
        <v>2.1403668656741068</v>
      </c>
      <c r="AI1466">
        <f t="shared" ca="1" si="711"/>
        <v>634.04436686567408</v>
      </c>
      <c r="AJ1466">
        <f t="shared" ca="1" si="712"/>
        <v>635.11455029851118</v>
      </c>
      <c r="AM1466">
        <v>0</v>
      </c>
      <c r="AN1466">
        <v>0</v>
      </c>
      <c r="AO1466">
        <f t="shared" si="713"/>
        <v>0</v>
      </c>
      <c r="AP1466">
        <f t="shared" si="722"/>
        <v>0</v>
      </c>
      <c r="AQ1466">
        <f t="shared" ca="1" si="714"/>
        <v>0.99999999999999978</v>
      </c>
      <c r="AR1466" t="str">
        <f t="shared" ca="1" si="715"/>
        <v>Supercritical</v>
      </c>
      <c r="AS1466">
        <f t="shared" ca="1" si="716"/>
        <v>3.8148159832266538E-3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191</v>
      </c>
      <c r="I1467">
        <v>0</v>
      </c>
      <c r="J1467">
        <f t="shared" si="717"/>
        <v>1</v>
      </c>
      <c r="K1467">
        <f t="shared" si="718"/>
        <v>51</v>
      </c>
      <c r="L1467">
        <f t="shared" ca="1" si="719"/>
        <v>0.05</v>
      </c>
      <c r="M1467">
        <f t="shared" ca="1" si="692"/>
        <v>0.26</v>
      </c>
      <c r="N1467">
        <f t="shared" ca="1" si="693"/>
        <v>4.9056603773584909E-2</v>
      </c>
      <c r="O1467">
        <f t="shared" ca="1" si="694"/>
        <v>196.15384615384616</v>
      </c>
      <c r="P1467">
        <f t="shared" ca="1" si="695"/>
        <v>631.95349999999996</v>
      </c>
      <c r="Q1467">
        <f t="shared" ca="1" si="696"/>
        <v>2593.030531648662</v>
      </c>
      <c r="R1467">
        <f t="shared" ca="1" si="697"/>
        <v>482.07306851378365</v>
      </c>
      <c r="S1467">
        <f t="shared" ca="1" si="698"/>
        <v>280.07692026646265</v>
      </c>
      <c r="T1467">
        <f t="shared" ca="1" si="699"/>
        <v>1019.7665564573041</v>
      </c>
      <c r="U1467">
        <f t="shared" ca="1" si="720"/>
        <v>-482.07256851378361</v>
      </c>
      <c r="V1467">
        <f t="shared" ca="1" si="721"/>
        <v>0</v>
      </c>
      <c r="W1467">
        <f t="shared" ca="1" si="700"/>
        <v>1.6093477672471832</v>
      </c>
      <c r="X1467">
        <f t="shared" ca="1" si="701"/>
        <v>8.3686083896853525</v>
      </c>
      <c r="Y1467">
        <f t="shared" ca="1" si="702"/>
        <v>0.99405048625362569</v>
      </c>
      <c r="Z1467">
        <f t="shared" ca="1" si="703"/>
        <v>6.0942031966580679</v>
      </c>
      <c r="AA1467">
        <f t="shared" ca="1" si="704"/>
        <v>633.51284776724719</v>
      </c>
      <c r="AB1467">
        <f t="shared" ca="1" si="705"/>
        <v>635.40577909253557</v>
      </c>
      <c r="AC1467">
        <f t="shared" ca="1" si="706"/>
        <v>8.4230967654508222E-3</v>
      </c>
      <c r="AD1467">
        <f t="shared" ca="1" si="707"/>
        <v>1.5337602427209007</v>
      </c>
      <c r="AE1467">
        <f t="shared" ca="1" si="708"/>
        <v>38.416402553265669</v>
      </c>
      <c r="AF1467">
        <f t="shared" ca="1" si="709"/>
        <v>8.1029252413600261E-3</v>
      </c>
      <c r="AG1467">
        <f t="shared" ca="1" si="710"/>
        <v>0</v>
      </c>
      <c r="AH1467">
        <f ca="1">IF(V32="Supercritical",L1467,IF(V32="Subcritical",W1467,IF(AND(V1467=1,AG1467=1),IF(T1467&gt;=AE1467,L1467,W1467),IF(V1467=1,L1467,IF(AG1467=1,W1467,MAX($D$16,POWER((ABS(K1467)^2)/($I$5*MAX(F1467,0.1)^2),1/3)))))))</f>
        <v>2.1403668656741068</v>
      </c>
      <c r="AI1467">
        <f t="shared" ca="1" si="711"/>
        <v>634.04386686567409</v>
      </c>
      <c r="AJ1467">
        <f t="shared" ca="1" si="712"/>
        <v>635.11405029851119</v>
      </c>
      <c r="AM1467">
        <v>0</v>
      </c>
      <c r="AN1467">
        <v>0</v>
      </c>
      <c r="AO1467">
        <f t="shared" si="713"/>
        <v>0</v>
      </c>
      <c r="AP1467">
        <f t="shared" si="722"/>
        <v>0</v>
      </c>
      <c r="AQ1467">
        <f t="shared" ca="1" si="714"/>
        <v>0.99999999999999978</v>
      </c>
      <c r="AR1467" t="str">
        <f t="shared" ca="1" si="715"/>
        <v>Supercritical</v>
      </c>
      <c r="AS1467">
        <f t="shared" ca="1" si="716"/>
        <v>3.8148159832266538E-3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191</v>
      </c>
      <c r="I1468">
        <v>5.7000000000000002E-2</v>
      </c>
      <c r="J1468">
        <f t="shared" si="717"/>
        <v>1</v>
      </c>
      <c r="K1468">
        <f t="shared" si="718"/>
        <v>51</v>
      </c>
      <c r="L1468">
        <f t="shared" ca="1" si="719"/>
        <v>0.05</v>
      </c>
      <c r="M1468">
        <f t="shared" ca="1" si="692"/>
        <v>0.26</v>
      </c>
      <c r="N1468">
        <f t="shared" ca="1" si="693"/>
        <v>4.9056603773584909E-2</v>
      </c>
      <c r="O1468">
        <f t="shared" ca="1" si="694"/>
        <v>196.15384615384616</v>
      </c>
      <c r="P1468">
        <f t="shared" ca="1" si="695"/>
        <v>631.95299999999997</v>
      </c>
      <c r="Q1468">
        <f t="shared" ca="1" si="696"/>
        <v>2593.0300316486619</v>
      </c>
      <c r="R1468">
        <f t="shared" ca="1" si="697"/>
        <v>482.07306851378365</v>
      </c>
      <c r="S1468">
        <f t="shared" ca="1" si="698"/>
        <v>280.07692026646265</v>
      </c>
      <c r="T1468">
        <f t="shared" ca="1" si="699"/>
        <v>1019.7665564573041</v>
      </c>
      <c r="U1468">
        <f t="shared" ca="1" si="720"/>
        <v>-482.25887083179032</v>
      </c>
      <c r="V1468">
        <f t="shared" ca="1" si="721"/>
        <v>0</v>
      </c>
      <c r="W1468">
        <f t="shared" ca="1" si="700"/>
        <v>1.6212517733644929</v>
      </c>
      <c r="X1468">
        <f t="shared" ca="1" si="701"/>
        <v>8.4305092214953632</v>
      </c>
      <c r="Y1468">
        <f t="shared" ca="1" si="702"/>
        <v>0.99857929284041935</v>
      </c>
      <c r="Z1468">
        <f t="shared" ca="1" si="703"/>
        <v>6.0494566413574082</v>
      </c>
      <c r="AA1468">
        <f t="shared" ca="1" si="704"/>
        <v>633.52425177336454</v>
      </c>
      <c r="AB1468">
        <f t="shared" ca="1" si="705"/>
        <v>635.38948753563079</v>
      </c>
      <c r="AC1468">
        <f t="shared" ca="1" si="706"/>
        <v>8.2497067944136537E-3</v>
      </c>
      <c r="AD1468">
        <f t="shared" ca="1" si="707"/>
        <v>1.5168988866303676</v>
      </c>
      <c r="AE1468">
        <f t="shared" ca="1" si="708"/>
        <v>38.283763600954153</v>
      </c>
      <c r="AF1468">
        <f t="shared" ca="1" si="709"/>
        <v>7.9269041918905714E-3</v>
      </c>
      <c r="AG1468">
        <f t="shared" ca="1" si="710"/>
        <v>0</v>
      </c>
      <c r="AH1468">
        <f ca="1">IF(V32="Supercritical",L1468,IF(V32="Subcritical",W1468,IF(AND(V1468=1,AG1468=1),IF(T1468&gt;=AE1468,L1468,W1468),IF(V1468=1,L1468,IF(AG1468=1,W1468,MAX($D$16,POWER((ABS(K1468)^2)/($I$5*MAX(F1468,0.1)^2),1/3)))))))</f>
        <v>2.1403668656741068</v>
      </c>
      <c r="AI1468">
        <f t="shared" ca="1" si="711"/>
        <v>634.0433668656741</v>
      </c>
      <c r="AJ1468">
        <f t="shared" ca="1" si="712"/>
        <v>635.1135502985112</v>
      </c>
      <c r="AM1468">
        <v>0</v>
      </c>
      <c r="AN1468">
        <v>0</v>
      </c>
      <c r="AO1468">
        <f t="shared" si="713"/>
        <v>0</v>
      </c>
      <c r="AP1468">
        <f t="shared" si="722"/>
        <v>0</v>
      </c>
      <c r="AQ1468">
        <f t="shared" ca="1" si="714"/>
        <v>0.99999999999999978</v>
      </c>
      <c r="AR1468" t="str">
        <f t="shared" ca="1" si="715"/>
        <v>Supercritical</v>
      </c>
      <c r="AS1468">
        <f t="shared" ca="1" si="716"/>
        <v>3.8148159832266538E-3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191</v>
      </c>
      <c r="I1469">
        <v>5.7000000000000002E-2</v>
      </c>
      <c r="J1469">
        <f t="shared" si="717"/>
        <v>1</v>
      </c>
      <c r="K1469">
        <f t="shared" si="718"/>
        <v>51</v>
      </c>
      <c r="L1469">
        <f t="shared" ca="1" si="719"/>
        <v>0.05</v>
      </c>
      <c r="M1469">
        <f t="shared" ca="1" si="692"/>
        <v>0.26</v>
      </c>
      <c r="N1469">
        <f t="shared" ca="1" si="693"/>
        <v>4.9056603773584909E-2</v>
      </c>
      <c r="O1469">
        <f t="shared" ca="1" si="694"/>
        <v>196.15384615384616</v>
      </c>
      <c r="P1469">
        <f t="shared" ca="1" si="695"/>
        <v>631.95249999999999</v>
      </c>
      <c r="Q1469">
        <f t="shared" ca="1" si="696"/>
        <v>2593.0295316486622</v>
      </c>
      <c r="R1469">
        <f t="shared" ca="1" si="697"/>
        <v>482.07306851378365</v>
      </c>
      <c r="S1469">
        <f t="shared" ca="1" si="698"/>
        <v>280.07692026646265</v>
      </c>
      <c r="T1469">
        <f t="shared" ca="1" si="699"/>
        <v>1019.7665564573041</v>
      </c>
      <c r="U1469">
        <f t="shared" ca="1" si="720"/>
        <v>-482.25887083179077</v>
      </c>
      <c r="V1469">
        <f t="shared" ca="1" si="721"/>
        <v>0</v>
      </c>
      <c r="W1469">
        <f t="shared" ca="1" si="700"/>
        <v>1.6313701785642061</v>
      </c>
      <c r="X1469">
        <f t="shared" ca="1" si="701"/>
        <v>8.4831249285338721</v>
      </c>
      <c r="Y1469">
        <f t="shared" ca="1" si="702"/>
        <v>1.002408743568304</v>
      </c>
      <c r="Z1469">
        <f t="shared" ca="1" si="703"/>
        <v>6.0119355107521999</v>
      </c>
      <c r="AA1469">
        <f t="shared" ca="1" si="704"/>
        <v>633.53387017856426</v>
      </c>
      <c r="AB1469">
        <f t="shared" ca="1" si="705"/>
        <v>635.37603983123722</v>
      </c>
      <c r="AC1469">
        <f t="shared" ca="1" si="706"/>
        <v>8.1062131007279114E-3</v>
      </c>
      <c r="AD1469">
        <f t="shared" ca="1" si="707"/>
        <v>1.5028081790763628</v>
      </c>
      <c r="AE1469">
        <f t="shared" ca="1" si="708"/>
        <v>38.174269121079384</v>
      </c>
      <c r="AF1469">
        <f t="shared" ca="1" si="709"/>
        <v>7.6062131007574862E-3</v>
      </c>
      <c r="AG1469">
        <f t="shared" ca="1" si="710"/>
        <v>0</v>
      </c>
      <c r="AH1469">
        <f ca="1">IF(V32="Supercritical",L1469,IF(V32="Subcritical",W1469,IF(AND(V1469=1,AG1469=1),IF(T1469&gt;=AE1469,L1469,W1469),IF(V1469=1,L1469,IF(AG1469=1,W1469,MAX($D$16,POWER((ABS(K1469)^2)/($I$5*MAX(F1469,0.1)^2),1/3)))))))</f>
        <v>2.1403668656741068</v>
      </c>
      <c r="AI1469">
        <f t="shared" ca="1" si="711"/>
        <v>634.04286686567411</v>
      </c>
      <c r="AJ1469">
        <f t="shared" ca="1" si="712"/>
        <v>635.11305029851121</v>
      </c>
      <c r="AM1469">
        <v>0</v>
      </c>
      <c r="AN1469">
        <v>0</v>
      </c>
      <c r="AO1469">
        <f t="shared" si="713"/>
        <v>0</v>
      </c>
      <c r="AP1469">
        <f t="shared" si="722"/>
        <v>0</v>
      </c>
      <c r="AQ1469">
        <f t="shared" ca="1" si="714"/>
        <v>0.99999999999999978</v>
      </c>
      <c r="AR1469" t="str">
        <f t="shared" ca="1" si="715"/>
        <v>Supercritical</v>
      </c>
      <c r="AS1469">
        <f t="shared" ca="1" si="716"/>
        <v>3.8148159832266538E-3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191</v>
      </c>
      <c r="I1470">
        <v>0</v>
      </c>
      <c r="J1470">
        <f t="shared" si="717"/>
        <v>1</v>
      </c>
      <c r="K1470">
        <f t="shared" si="718"/>
        <v>51</v>
      </c>
      <c r="L1470">
        <f t="shared" ca="1" si="719"/>
        <v>0.05</v>
      </c>
      <c r="M1470">
        <f t="shared" ca="1" si="692"/>
        <v>0.26</v>
      </c>
      <c r="N1470">
        <f t="shared" ca="1" si="693"/>
        <v>4.9056603773584909E-2</v>
      </c>
      <c r="O1470">
        <f t="shared" ca="1" si="694"/>
        <v>196.15384615384616</v>
      </c>
      <c r="P1470">
        <f t="shared" ca="1" si="695"/>
        <v>631.952</v>
      </c>
      <c r="Q1470">
        <f t="shared" ca="1" si="696"/>
        <v>2593.0290316486621</v>
      </c>
      <c r="R1470">
        <f t="shared" ca="1" si="697"/>
        <v>482.07306851378365</v>
      </c>
      <c r="S1470">
        <f t="shared" ca="1" si="698"/>
        <v>280.07692026646265</v>
      </c>
      <c r="T1470">
        <f t="shared" ca="1" si="699"/>
        <v>1019.7665564573041</v>
      </c>
      <c r="U1470">
        <f t="shared" ca="1" si="720"/>
        <v>-482.07256851378361</v>
      </c>
      <c r="V1470">
        <f t="shared" ca="1" si="721"/>
        <v>0</v>
      </c>
      <c r="W1470">
        <f t="shared" ca="1" si="700"/>
        <v>1.6399708229839625</v>
      </c>
      <c r="X1470">
        <f t="shared" ca="1" si="701"/>
        <v>8.527848279516606</v>
      </c>
      <c r="Y1470">
        <f t="shared" ca="1" si="702"/>
        <v>1.0056494060394225</v>
      </c>
      <c r="Z1470">
        <f t="shared" ca="1" si="703"/>
        <v>5.9804065842141005</v>
      </c>
      <c r="AA1470">
        <f t="shared" ca="1" si="704"/>
        <v>633.54197082298401</v>
      </c>
      <c r="AB1470">
        <f t="shared" ca="1" si="705"/>
        <v>635.36486903463083</v>
      </c>
      <c r="AC1470">
        <f t="shared" ca="1" si="706"/>
        <v>7.9869654318671414E-3</v>
      </c>
      <c r="AD1470">
        <f t="shared" ca="1" si="707"/>
        <v>1.4910017270920406</v>
      </c>
      <c r="AE1470">
        <f t="shared" ca="1" si="708"/>
        <v>38.083509936473725</v>
      </c>
      <c r="AF1470">
        <f t="shared" ca="1" si="709"/>
        <v>7.4930417592895537E-3</v>
      </c>
      <c r="AG1470">
        <f t="shared" ca="1" si="710"/>
        <v>0</v>
      </c>
      <c r="AH1470">
        <f ca="1">IF(V32="Supercritical",L1470,IF(V32="Subcritical",W1470,IF(AND(V1470=1,AG1470=1),IF(T1470&gt;=AE1470,L1470,W1470),IF(V1470=1,L1470,IF(AG1470=1,W1470,MAX($D$16,POWER((ABS(K1470)^2)/($I$5*MAX(F1470,0.1)^2),1/3)))))))</f>
        <v>2.1403668656741068</v>
      </c>
      <c r="AI1470">
        <f t="shared" ca="1" si="711"/>
        <v>634.04236686567413</v>
      </c>
      <c r="AJ1470">
        <f t="shared" ca="1" si="712"/>
        <v>635.11255029851122</v>
      </c>
      <c r="AM1470">
        <v>0</v>
      </c>
      <c r="AN1470">
        <v>0</v>
      </c>
      <c r="AO1470">
        <f t="shared" si="713"/>
        <v>0</v>
      </c>
      <c r="AP1470">
        <f t="shared" si="722"/>
        <v>0</v>
      </c>
      <c r="AQ1470">
        <f t="shared" ca="1" si="714"/>
        <v>0.99999999999999978</v>
      </c>
      <c r="AR1470" t="str">
        <f t="shared" ca="1" si="715"/>
        <v>Supercritical</v>
      </c>
      <c r="AS1470">
        <f t="shared" ca="1" si="716"/>
        <v>3.8148159832266538E-3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191</v>
      </c>
      <c r="I1471">
        <v>2E-3</v>
      </c>
      <c r="J1471">
        <f t="shared" si="717"/>
        <v>1</v>
      </c>
      <c r="K1471">
        <f t="shared" si="718"/>
        <v>51</v>
      </c>
      <c r="L1471">
        <f t="shared" ca="1" si="719"/>
        <v>0.05</v>
      </c>
      <c r="M1471">
        <f t="shared" ca="1" si="692"/>
        <v>0.26</v>
      </c>
      <c r="N1471">
        <f t="shared" ca="1" si="693"/>
        <v>4.9056603773584909E-2</v>
      </c>
      <c r="O1471">
        <f t="shared" ca="1" si="694"/>
        <v>196.15384615384616</v>
      </c>
      <c r="P1471">
        <f t="shared" ca="1" si="695"/>
        <v>631.95150000000001</v>
      </c>
      <c r="Q1471">
        <f t="shared" ca="1" si="696"/>
        <v>2593.028531648662</v>
      </c>
      <c r="R1471">
        <f t="shared" ca="1" si="697"/>
        <v>482.07306851378365</v>
      </c>
      <c r="S1471">
        <f t="shared" ca="1" si="698"/>
        <v>280.07692026646265</v>
      </c>
      <c r="T1471">
        <f t="shared" ca="1" si="699"/>
        <v>1019.7665564573041</v>
      </c>
      <c r="U1471">
        <f t="shared" ca="1" si="720"/>
        <v>-482.07910543722255</v>
      </c>
      <c r="V1471">
        <f t="shared" ca="1" si="721"/>
        <v>0</v>
      </c>
      <c r="W1471">
        <f t="shared" ca="1" si="700"/>
        <v>1.6472813707407554</v>
      </c>
      <c r="X1471">
        <f t="shared" ca="1" si="701"/>
        <v>8.5658631278519284</v>
      </c>
      <c r="Y1471">
        <f t="shared" ca="1" si="702"/>
        <v>1.0083936499782662</v>
      </c>
      <c r="Z1471">
        <f t="shared" ca="1" si="703"/>
        <v>5.9538658555228787</v>
      </c>
      <c r="AA1471">
        <f t="shared" ca="1" si="704"/>
        <v>633.54878137074081</v>
      </c>
      <c r="AB1471">
        <f t="shared" ca="1" si="705"/>
        <v>635.35553563300186</v>
      </c>
      <c r="AC1471">
        <f t="shared" ca="1" si="706"/>
        <v>7.887519988254597E-3</v>
      </c>
      <c r="AD1471">
        <f t="shared" ca="1" si="707"/>
        <v>1.4810872670170487</v>
      </c>
      <c r="AE1471">
        <f t="shared" ca="1" si="708"/>
        <v>38.008012809794749</v>
      </c>
      <c r="AF1471">
        <f t="shared" ca="1" si="709"/>
        <v>7.5760829344062586E-3</v>
      </c>
      <c r="AG1471">
        <f t="shared" ca="1" si="710"/>
        <v>0</v>
      </c>
      <c r="AH1471">
        <f ca="1">IF(V32="Supercritical",L1471,IF(V32="Subcritical",W1471,IF(AND(V1471=1,AG1471=1),IF(T1471&gt;=AE1471,L1471,W1471),IF(V1471=1,L1471,IF(AG1471=1,W1471,MAX($D$16,POWER((ABS(K1471)^2)/($I$5*MAX(F1471,0.1)^2),1/3)))))))</f>
        <v>2.1403668656741068</v>
      </c>
      <c r="AI1471">
        <f t="shared" ca="1" si="711"/>
        <v>634.04186686567414</v>
      </c>
      <c r="AJ1471">
        <f t="shared" ca="1" si="712"/>
        <v>635.11205029851124</v>
      </c>
      <c r="AM1471">
        <v>0</v>
      </c>
      <c r="AN1471">
        <v>0</v>
      </c>
      <c r="AO1471">
        <f t="shared" si="713"/>
        <v>0</v>
      </c>
      <c r="AP1471">
        <f t="shared" si="722"/>
        <v>0</v>
      </c>
      <c r="AQ1471">
        <f t="shared" ca="1" si="714"/>
        <v>0.99999999999999978</v>
      </c>
      <c r="AR1471" t="str">
        <f t="shared" ca="1" si="715"/>
        <v>Supercritical</v>
      </c>
      <c r="AS1471">
        <f t="shared" ca="1" si="716"/>
        <v>3.8148159832266538E-3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191</v>
      </c>
      <c r="I1472">
        <v>0.06</v>
      </c>
      <c r="J1472">
        <f t="shared" si="717"/>
        <v>1.0010000000002037</v>
      </c>
      <c r="K1472">
        <f t="shared" si="718"/>
        <v>51</v>
      </c>
      <c r="L1472">
        <f t="shared" ca="1" si="719"/>
        <v>0.05</v>
      </c>
      <c r="M1472">
        <f t="shared" ca="1" si="692"/>
        <v>0.26</v>
      </c>
      <c r="N1472">
        <f t="shared" ca="1" si="693"/>
        <v>4.9056603773584909E-2</v>
      </c>
      <c r="O1472">
        <f t="shared" ca="1" si="694"/>
        <v>196.15384615384616</v>
      </c>
      <c r="P1472">
        <f t="shared" ca="1" si="695"/>
        <v>631.95099999999991</v>
      </c>
      <c r="Q1472">
        <f t="shared" ca="1" si="696"/>
        <v>2593.0280316486619</v>
      </c>
      <c r="R1472">
        <f t="shared" ca="1" si="697"/>
        <v>482.07306851378365</v>
      </c>
      <c r="S1472">
        <f t="shared" ca="1" si="698"/>
        <v>280.07692026646265</v>
      </c>
      <c r="T1472">
        <f t="shared" ca="1" si="699"/>
        <v>1019.7665564573041</v>
      </c>
      <c r="U1472">
        <f t="shared" ca="1" si="720"/>
        <v>-482.75074928556023</v>
      </c>
      <c r="V1472">
        <f t="shared" ca="1" si="721"/>
        <v>0</v>
      </c>
      <c r="W1472">
        <f t="shared" ca="1" si="700"/>
        <v>1.6534953363340292</v>
      </c>
      <c r="X1472">
        <f t="shared" ca="1" si="701"/>
        <v>8.5981757489369528</v>
      </c>
      <c r="Y1472">
        <f t="shared" ca="1" si="702"/>
        <v>1.0107188405133511</v>
      </c>
      <c r="Z1472">
        <f t="shared" ca="1" si="703"/>
        <v>5.9314907591072972</v>
      </c>
      <c r="AA1472">
        <f t="shared" ca="1" si="704"/>
        <v>633.55449533633396</v>
      </c>
      <c r="AB1472">
        <f t="shared" ca="1" si="705"/>
        <v>635.34769526627156</v>
      </c>
      <c r="AC1472">
        <f t="shared" ca="1" si="706"/>
        <v>7.8043442747183422E-3</v>
      </c>
      <c r="AD1472">
        <f t="shared" ca="1" si="707"/>
        <v>1.4727460522946854</v>
      </c>
      <c r="AE1472">
        <f t="shared" ca="1" si="708"/>
        <v>37.945018052093232</v>
      </c>
      <c r="AF1472">
        <f t="shared" ca="1" si="709"/>
        <v>7.4746982680835572E-3</v>
      </c>
      <c r="AG1472">
        <f t="shared" ca="1" si="710"/>
        <v>0</v>
      </c>
      <c r="AH1472">
        <f ca="1">IF(V32="Supercritical",L1472,IF(V32="Subcritical",W1472,IF(AND(V1472=1,AG1472=1),IF(T1472&gt;=AE1472,L1472,W1472),IF(V1472=1,L1472,IF(AG1472=1,W1472,MAX($D$16,POWER((ABS(K1472)^2)/($I$5*MAX(F1472,0.1)^2),1/3)))))))</f>
        <v>2.1403668656741068</v>
      </c>
      <c r="AI1472">
        <f t="shared" ca="1" si="711"/>
        <v>634.04136686567404</v>
      </c>
      <c r="AJ1472">
        <f t="shared" ca="1" si="712"/>
        <v>635.11155029851113</v>
      </c>
      <c r="AM1472">
        <v>0</v>
      </c>
      <c r="AN1472">
        <v>0</v>
      </c>
      <c r="AO1472">
        <f t="shared" si="713"/>
        <v>0</v>
      </c>
      <c r="AP1472">
        <f t="shared" si="722"/>
        <v>0</v>
      </c>
      <c r="AQ1472">
        <f t="shared" ca="1" si="714"/>
        <v>0.99999999999999978</v>
      </c>
      <c r="AR1472" t="str">
        <f t="shared" ca="1" si="715"/>
        <v>Supercritical</v>
      </c>
      <c r="AS1472">
        <f t="shared" ca="1" si="716"/>
        <v>3.8148159832266538E-3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191</v>
      </c>
      <c r="I1473">
        <v>5.7000000000000002E-2</v>
      </c>
      <c r="J1473">
        <f t="shared" si="717"/>
        <v>1</v>
      </c>
      <c r="K1473">
        <f t="shared" si="718"/>
        <v>51</v>
      </c>
      <c r="L1473">
        <f t="shared" ca="1" si="719"/>
        <v>0.05</v>
      </c>
      <c r="M1473">
        <f t="shared" ca="1" si="692"/>
        <v>0.26</v>
      </c>
      <c r="N1473">
        <f t="shared" ca="1" si="693"/>
        <v>4.9056603773584909E-2</v>
      </c>
      <c r="O1473">
        <f t="shared" ca="1" si="694"/>
        <v>196.15384615384616</v>
      </c>
      <c r="P1473">
        <f t="shared" ca="1" si="695"/>
        <v>631.95049999999992</v>
      </c>
      <c r="Q1473">
        <f t="shared" ca="1" si="696"/>
        <v>2593.0275316486623</v>
      </c>
      <c r="R1473">
        <f t="shared" ca="1" si="697"/>
        <v>482.07306851378365</v>
      </c>
      <c r="S1473">
        <f t="shared" ca="1" si="698"/>
        <v>280.07692026646265</v>
      </c>
      <c r="T1473">
        <f t="shared" ca="1" si="699"/>
        <v>1019.7665564573041</v>
      </c>
      <c r="U1473">
        <f t="shared" ca="1" si="720"/>
        <v>-482.25887083179077</v>
      </c>
      <c r="V1473">
        <f t="shared" ca="1" si="721"/>
        <v>0</v>
      </c>
      <c r="W1473">
        <f t="shared" ca="1" si="700"/>
        <v>1.658777207088312</v>
      </c>
      <c r="X1473">
        <f t="shared" ca="1" si="701"/>
        <v>8.6256414768592222</v>
      </c>
      <c r="Y1473">
        <f t="shared" ca="1" si="702"/>
        <v>1.0126899174841428</v>
      </c>
      <c r="Z1473">
        <f t="shared" ca="1" si="703"/>
        <v>5.9126037335103998</v>
      </c>
      <c r="AA1473">
        <f t="shared" ca="1" si="704"/>
        <v>633.55927720708826</v>
      </c>
      <c r="AB1473">
        <f t="shared" ca="1" si="705"/>
        <v>635.34107552051955</v>
      </c>
      <c r="AC1473">
        <f t="shared" ca="1" si="706"/>
        <v>7.7346039970209307E-3</v>
      </c>
      <c r="AD1473">
        <f t="shared" ca="1" si="707"/>
        <v>1.4657173880798726</v>
      </c>
      <c r="AE1473">
        <f t="shared" ca="1" si="708"/>
        <v>37.892315610625616</v>
      </c>
      <c r="AF1473">
        <f t="shared" ca="1" si="709"/>
        <v>7.2268693929800065E-3</v>
      </c>
      <c r="AG1473">
        <f t="shared" ca="1" si="710"/>
        <v>0</v>
      </c>
      <c r="AH1473">
        <f ca="1">IF(V32="Supercritical",L1473,IF(V32="Subcritical",W1473,IF(AND(V1473=1,AG1473=1),IF(T1473&gt;=AE1473,L1473,W1473),IF(V1473=1,L1473,IF(AG1473=1,W1473,MAX($D$16,POWER((ABS(K1473)^2)/($I$5*MAX(F1473,0.1)^2),1/3)))))))</f>
        <v>2.1403668656741068</v>
      </c>
      <c r="AI1473">
        <f t="shared" ca="1" si="711"/>
        <v>634.04086686567405</v>
      </c>
      <c r="AJ1473">
        <f t="shared" ca="1" si="712"/>
        <v>635.11105029851115</v>
      </c>
      <c r="AM1473">
        <v>0</v>
      </c>
      <c r="AN1473">
        <v>0</v>
      </c>
      <c r="AO1473">
        <f t="shared" si="713"/>
        <v>0</v>
      </c>
      <c r="AP1473">
        <f t="shared" si="722"/>
        <v>0</v>
      </c>
      <c r="AQ1473">
        <f t="shared" ca="1" si="714"/>
        <v>0.99999999999999978</v>
      </c>
      <c r="AR1473" t="str">
        <f t="shared" ca="1" si="715"/>
        <v>Supercritical</v>
      </c>
      <c r="AS1473">
        <f t="shared" ca="1" si="716"/>
        <v>3.8148159832266538E-3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191</v>
      </c>
      <c r="I1474">
        <v>0</v>
      </c>
      <c r="J1474">
        <f t="shared" si="717"/>
        <v>0.99899999999979627</v>
      </c>
      <c r="K1474">
        <f t="shared" si="718"/>
        <v>51</v>
      </c>
      <c r="L1474">
        <f t="shared" ca="1" si="719"/>
        <v>0.05</v>
      </c>
      <c r="M1474">
        <f t="shared" ca="1" si="692"/>
        <v>0.26</v>
      </c>
      <c r="N1474">
        <f t="shared" ca="1" si="693"/>
        <v>4.9056603773584909E-2</v>
      </c>
      <c r="O1474">
        <f t="shared" ca="1" si="694"/>
        <v>196.15384615384616</v>
      </c>
      <c r="P1474">
        <f t="shared" ca="1" si="695"/>
        <v>631.94999999999993</v>
      </c>
      <c r="Q1474">
        <f t="shared" ca="1" si="696"/>
        <v>2593.0270316486622</v>
      </c>
      <c r="R1474">
        <f t="shared" ca="1" si="697"/>
        <v>482.07306851378365</v>
      </c>
      <c r="S1474">
        <f t="shared" ca="1" si="698"/>
        <v>280.07692026646265</v>
      </c>
      <c r="T1474">
        <f t="shared" ca="1" si="699"/>
        <v>1019.7665564573041</v>
      </c>
      <c r="U1474">
        <f t="shared" ca="1" si="720"/>
        <v>-481.59049544517165</v>
      </c>
      <c r="V1474">
        <f t="shared" ca="1" si="721"/>
        <v>0</v>
      </c>
      <c r="W1474">
        <f t="shared" ca="1" si="700"/>
        <v>1.6632667972294524</v>
      </c>
      <c r="X1474">
        <f t="shared" ca="1" si="701"/>
        <v>8.6489873455931523</v>
      </c>
      <c r="Y1474">
        <f t="shared" ca="1" si="702"/>
        <v>1.0143614928361775</v>
      </c>
      <c r="Z1474">
        <f t="shared" ca="1" si="703"/>
        <v>5.8966440766022874</v>
      </c>
      <c r="AA1474">
        <f t="shared" ca="1" si="704"/>
        <v>633.5632667972294</v>
      </c>
      <c r="AB1474">
        <f t="shared" ca="1" si="705"/>
        <v>635.33545901772527</v>
      </c>
      <c r="AC1474">
        <f t="shared" ca="1" si="706"/>
        <v>7.6760066333005292E-3</v>
      </c>
      <c r="AD1474">
        <f t="shared" ca="1" si="707"/>
        <v>1.4597868653167125</v>
      </c>
      <c r="AE1474">
        <f t="shared" ca="1" si="708"/>
        <v>37.848122918846094</v>
      </c>
      <c r="AF1474">
        <f t="shared" ca="1" si="709"/>
        <v>7.1760066333581563E-3</v>
      </c>
      <c r="AG1474">
        <f t="shared" ca="1" si="710"/>
        <v>0</v>
      </c>
      <c r="AH1474">
        <f ca="1">IF(V32="Supercritical",L1474,IF(V32="Subcritical",W1474,IF(AND(V1474=1,AG1474=1),IF(T1474&gt;=AE1474,L1474,W1474),IF(V1474=1,L1474,IF(AG1474=1,W1474,MAX($D$16,POWER((ABS(K1474)^2)/($I$5*MAX(F1474,0.1)^2),1/3)))))))</f>
        <v>2.1403668656741068</v>
      </c>
      <c r="AI1474">
        <f t="shared" ca="1" si="711"/>
        <v>634.04036686567406</v>
      </c>
      <c r="AJ1474">
        <f t="shared" ca="1" si="712"/>
        <v>635.11055029851116</v>
      </c>
      <c r="AM1474">
        <v>0</v>
      </c>
      <c r="AN1474">
        <v>0</v>
      </c>
      <c r="AO1474">
        <f t="shared" si="713"/>
        <v>0</v>
      </c>
      <c r="AP1474">
        <f t="shared" si="722"/>
        <v>0</v>
      </c>
      <c r="AQ1474">
        <f t="shared" ca="1" si="714"/>
        <v>0.99999999999999978</v>
      </c>
      <c r="AR1474" t="str">
        <f t="shared" ca="1" si="715"/>
        <v>Supercritical</v>
      </c>
      <c r="AS1474">
        <f t="shared" ca="1" si="716"/>
        <v>3.8148159832266538E-3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191</v>
      </c>
      <c r="I1475">
        <v>0</v>
      </c>
      <c r="J1475">
        <f t="shared" si="717"/>
        <v>1</v>
      </c>
      <c r="K1475">
        <f t="shared" si="718"/>
        <v>51</v>
      </c>
      <c r="L1475">
        <f t="shared" ca="1" si="719"/>
        <v>0.05</v>
      </c>
      <c r="M1475">
        <f t="shared" ca="1" si="692"/>
        <v>0.26</v>
      </c>
      <c r="N1475">
        <f t="shared" ca="1" si="693"/>
        <v>4.9056603773584909E-2</v>
      </c>
      <c r="O1475">
        <f t="shared" ca="1" si="694"/>
        <v>196.15384615384616</v>
      </c>
      <c r="P1475">
        <f t="shared" ca="1" si="695"/>
        <v>631.94949999999994</v>
      </c>
      <c r="Q1475">
        <f t="shared" ca="1" si="696"/>
        <v>2593.0265316486621</v>
      </c>
      <c r="R1475">
        <f t="shared" ca="1" si="697"/>
        <v>482.07306851378365</v>
      </c>
      <c r="S1475">
        <f t="shared" ca="1" si="698"/>
        <v>280.07692026646265</v>
      </c>
      <c r="T1475">
        <f t="shared" ca="1" si="699"/>
        <v>1019.7665564573041</v>
      </c>
      <c r="U1475">
        <f t="shared" ca="1" si="720"/>
        <v>-482.07256851378361</v>
      </c>
      <c r="V1475">
        <f t="shared" ca="1" si="721"/>
        <v>0</v>
      </c>
      <c r="W1475">
        <f t="shared" ca="1" si="700"/>
        <v>1.6670829488494217</v>
      </c>
      <c r="X1475">
        <f t="shared" ca="1" si="701"/>
        <v>8.6688313340169927</v>
      </c>
      <c r="Y1475">
        <f t="shared" ca="1" si="702"/>
        <v>1.0157795662672156</v>
      </c>
      <c r="Z1475">
        <f t="shared" ca="1" si="703"/>
        <v>5.8831459553115382</v>
      </c>
      <c r="AA1475">
        <f t="shared" ca="1" si="704"/>
        <v>633.56658294884937</v>
      </c>
      <c r="AB1475">
        <f t="shared" ca="1" si="705"/>
        <v>635.33067093720297</v>
      </c>
      <c r="AC1475">
        <f t="shared" ca="1" si="706"/>
        <v>7.6266848550238416E-3</v>
      </c>
      <c r="AD1475">
        <f t="shared" ca="1" si="707"/>
        <v>1.4547772956735034</v>
      </c>
      <c r="AE1475">
        <f t="shared" ca="1" si="708"/>
        <v>37.810992910501824</v>
      </c>
      <c r="AF1475">
        <f t="shared" ca="1" si="709"/>
        <v>7.2942732139154032E-3</v>
      </c>
      <c r="AG1475">
        <f t="shared" ca="1" si="710"/>
        <v>0</v>
      </c>
      <c r="AH1475">
        <f ca="1">IF(V32="Supercritical",L1475,IF(V32="Subcritical",W1475,IF(AND(V1475=1,AG1475=1),IF(T1475&gt;=AE1475,L1475,W1475),IF(V1475=1,L1475,IF(AG1475=1,W1475,MAX($D$16,POWER((ABS(K1475)^2)/($I$5*MAX(F1475,0.1)^2),1/3)))))))</f>
        <v>2.1403668656741068</v>
      </c>
      <c r="AI1475">
        <f t="shared" ca="1" si="711"/>
        <v>634.03986686567407</v>
      </c>
      <c r="AJ1475">
        <f t="shared" ca="1" si="712"/>
        <v>635.11005029851117</v>
      </c>
      <c r="AM1475">
        <v>0</v>
      </c>
      <c r="AN1475">
        <v>0</v>
      </c>
      <c r="AO1475">
        <f t="shared" si="713"/>
        <v>0</v>
      </c>
      <c r="AP1475">
        <f t="shared" si="722"/>
        <v>0</v>
      </c>
      <c r="AQ1475">
        <f t="shared" ca="1" si="714"/>
        <v>0.99999999999999978</v>
      </c>
      <c r="AR1475" t="str">
        <f t="shared" ca="1" si="715"/>
        <v>Supercritical</v>
      </c>
      <c r="AS1475">
        <f t="shared" ca="1" si="716"/>
        <v>3.8148159832266538E-3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191</v>
      </c>
      <c r="I1476">
        <v>5.7000000000000002E-2</v>
      </c>
      <c r="J1476">
        <f t="shared" si="717"/>
        <v>1</v>
      </c>
      <c r="K1476">
        <f t="shared" si="718"/>
        <v>51</v>
      </c>
      <c r="L1476">
        <f t="shared" ca="1" si="719"/>
        <v>0.05</v>
      </c>
      <c r="M1476">
        <f t="shared" ca="1" si="692"/>
        <v>0.26</v>
      </c>
      <c r="N1476">
        <f t="shared" ca="1" si="693"/>
        <v>4.9056603773584909E-2</v>
      </c>
      <c r="O1476">
        <f t="shared" ca="1" si="694"/>
        <v>196.15384615384616</v>
      </c>
      <c r="P1476">
        <f t="shared" ca="1" si="695"/>
        <v>631.94899999999996</v>
      </c>
      <c r="Q1476">
        <f t="shared" ca="1" si="696"/>
        <v>2593.026031648662</v>
      </c>
      <c r="R1476">
        <f t="shared" ca="1" si="697"/>
        <v>482.07306851378365</v>
      </c>
      <c r="S1476">
        <f t="shared" ca="1" si="698"/>
        <v>280.07692026646265</v>
      </c>
      <c r="T1476">
        <f t="shared" ca="1" si="699"/>
        <v>1019.7665564573041</v>
      </c>
      <c r="U1476">
        <f t="shared" ca="1" si="720"/>
        <v>-482.25887083179032</v>
      </c>
      <c r="V1476">
        <f t="shared" ca="1" si="721"/>
        <v>0</v>
      </c>
      <c r="W1476">
        <f t="shared" ca="1" si="700"/>
        <v>1.6703266777263956</v>
      </c>
      <c r="X1476">
        <f t="shared" ca="1" si="701"/>
        <v>8.6856987241772572</v>
      </c>
      <c r="Y1476">
        <f t="shared" ca="1" si="702"/>
        <v>1.0169829359286502</v>
      </c>
      <c r="Z1476">
        <f t="shared" ca="1" si="703"/>
        <v>5.871721046234069</v>
      </c>
      <c r="AA1476">
        <f t="shared" ca="1" si="704"/>
        <v>633.56932667772639</v>
      </c>
      <c r="AB1476">
        <f t="shared" ca="1" si="705"/>
        <v>635.32656969733841</v>
      </c>
      <c r="AC1476">
        <f t="shared" ca="1" si="706"/>
        <v>7.5851084295846475E-3</v>
      </c>
      <c r="AD1476">
        <f t="shared" ca="1" si="707"/>
        <v>1.4505416469386661</v>
      </c>
      <c r="AE1476">
        <f t="shared" ca="1" si="708"/>
        <v>37.779744053870964</v>
      </c>
      <c r="AF1476">
        <f t="shared" ca="1" si="709"/>
        <v>7.2520465164416237E-3</v>
      </c>
      <c r="AG1476">
        <f t="shared" ca="1" si="710"/>
        <v>0</v>
      </c>
      <c r="AH1476">
        <f ca="1">IF(V32="Supercritical",L1476,IF(V32="Subcritical",W1476,IF(AND(V1476=1,AG1476=1),IF(T1476&gt;=AE1476,L1476,W1476),IF(V1476=1,L1476,IF(AG1476=1,W1476,MAX($D$16,POWER((ABS(K1476)^2)/($I$5*MAX(F1476,0.1)^2),1/3)))))))</f>
        <v>2.1403668656741068</v>
      </c>
      <c r="AI1476">
        <f t="shared" ca="1" si="711"/>
        <v>634.03936686567408</v>
      </c>
      <c r="AJ1476">
        <f t="shared" ca="1" si="712"/>
        <v>635.10955029851118</v>
      </c>
      <c r="AM1476">
        <v>0</v>
      </c>
      <c r="AN1476">
        <v>0</v>
      </c>
      <c r="AO1476">
        <f t="shared" si="713"/>
        <v>0</v>
      </c>
      <c r="AP1476">
        <f t="shared" si="722"/>
        <v>0</v>
      </c>
      <c r="AQ1476">
        <f t="shared" ca="1" si="714"/>
        <v>0.99999999999999978</v>
      </c>
      <c r="AR1476" t="str">
        <f t="shared" ca="1" si="715"/>
        <v>Supercritical</v>
      </c>
      <c r="AS1476">
        <f t="shared" ca="1" si="716"/>
        <v>3.8148159832266538E-3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191</v>
      </c>
      <c r="I1477">
        <v>5.7000000000000002E-2</v>
      </c>
      <c r="J1477">
        <f t="shared" si="717"/>
        <v>1</v>
      </c>
      <c r="K1477">
        <f t="shared" si="718"/>
        <v>51</v>
      </c>
      <c r="L1477">
        <f t="shared" ca="1" si="719"/>
        <v>0.05</v>
      </c>
      <c r="M1477">
        <f t="shared" ca="1" si="692"/>
        <v>0.26</v>
      </c>
      <c r="N1477">
        <f t="shared" ca="1" si="693"/>
        <v>4.9056603773584909E-2</v>
      </c>
      <c r="O1477">
        <f t="shared" ca="1" si="694"/>
        <v>196.15384615384616</v>
      </c>
      <c r="P1477">
        <f t="shared" ca="1" si="695"/>
        <v>631.94849999999997</v>
      </c>
      <c r="Q1477">
        <f t="shared" ca="1" si="696"/>
        <v>2593.0255316486619</v>
      </c>
      <c r="R1477">
        <f t="shared" ca="1" si="697"/>
        <v>482.07306851378365</v>
      </c>
      <c r="S1477">
        <f t="shared" ca="1" si="698"/>
        <v>280.07692026646265</v>
      </c>
      <c r="T1477">
        <f t="shared" ca="1" si="699"/>
        <v>1019.7665564573041</v>
      </c>
      <c r="U1477">
        <f t="shared" ca="1" si="720"/>
        <v>-482.25887083179032</v>
      </c>
      <c r="V1477">
        <f t="shared" ca="1" si="721"/>
        <v>0</v>
      </c>
      <c r="W1477">
        <f t="shared" ca="1" si="700"/>
        <v>1.6730838472718235</v>
      </c>
      <c r="X1477">
        <f t="shared" ca="1" si="701"/>
        <v>8.700036005813482</v>
      </c>
      <c r="Y1477">
        <f t="shared" ca="1" si="702"/>
        <v>1.0180043636831597</v>
      </c>
      <c r="Z1477">
        <f t="shared" ca="1" si="703"/>
        <v>5.8620447048634174</v>
      </c>
      <c r="AA1477">
        <f t="shared" ca="1" si="704"/>
        <v>633.57158384727188</v>
      </c>
      <c r="AB1477">
        <f t="shared" ca="1" si="705"/>
        <v>635.32303991872027</v>
      </c>
      <c r="AC1477">
        <f t="shared" ca="1" si="706"/>
        <v>7.5500167915792862E-3</v>
      </c>
      <c r="AD1477">
        <f t="shared" ca="1" si="707"/>
        <v>1.4469574801002585</v>
      </c>
      <c r="AE1477">
        <f t="shared" ca="1" si="708"/>
        <v>37.753406624407994</v>
      </c>
      <c r="AF1477">
        <f t="shared" ca="1" si="709"/>
        <v>7.0500167915952261E-3</v>
      </c>
      <c r="AG1477">
        <f t="shared" ca="1" si="710"/>
        <v>0</v>
      </c>
      <c r="AH1477">
        <f ca="1">IF(V32="Supercritical",L1477,IF(V32="Subcritical",W1477,IF(AND(V1477=1,AG1477=1),IF(T1477&gt;=AE1477,L1477,W1477),IF(V1477=1,L1477,IF(AG1477=1,W1477,MAX($D$16,POWER((ABS(K1477)^2)/($I$5*MAX(F1477,0.1)^2),1/3)))))))</f>
        <v>2.1403668656741068</v>
      </c>
      <c r="AI1477">
        <f t="shared" ca="1" si="711"/>
        <v>634.03886686567409</v>
      </c>
      <c r="AJ1477">
        <f t="shared" ca="1" si="712"/>
        <v>635.10905029851119</v>
      </c>
      <c r="AM1477">
        <v>0</v>
      </c>
      <c r="AN1477">
        <v>0</v>
      </c>
      <c r="AO1477">
        <f t="shared" si="713"/>
        <v>0</v>
      </c>
      <c r="AP1477">
        <f t="shared" si="722"/>
        <v>0</v>
      </c>
      <c r="AQ1477">
        <f t="shared" ca="1" si="714"/>
        <v>0.99999999999999978</v>
      </c>
      <c r="AR1477" t="str">
        <f t="shared" ca="1" si="715"/>
        <v>Supercritical</v>
      </c>
      <c r="AS1477">
        <f t="shared" ca="1" si="716"/>
        <v>3.8148159832266538E-3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191</v>
      </c>
      <c r="I1478">
        <v>0</v>
      </c>
      <c r="J1478">
        <f t="shared" si="717"/>
        <v>1</v>
      </c>
      <c r="K1478">
        <f t="shared" si="718"/>
        <v>51</v>
      </c>
      <c r="L1478">
        <f t="shared" ca="1" si="719"/>
        <v>0.05</v>
      </c>
      <c r="M1478">
        <f t="shared" ca="1" si="692"/>
        <v>0.26</v>
      </c>
      <c r="N1478">
        <f t="shared" ca="1" si="693"/>
        <v>4.9056603773584909E-2</v>
      </c>
      <c r="O1478">
        <f t="shared" ca="1" si="694"/>
        <v>196.15384615384616</v>
      </c>
      <c r="P1478">
        <f t="shared" ca="1" si="695"/>
        <v>631.94799999999998</v>
      </c>
      <c r="Q1478">
        <f t="shared" ca="1" si="696"/>
        <v>2593.0250316486622</v>
      </c>
      <c r="R1478">
        <f t="shared" ca="1" si="697"/>
        <v>482.07306851378365</v>
      </c>
      <c r="S1478">
        <f t="shared" ca="1" si="698"/>
        <v>280.07692026646265</v>
      </c>
      <c r="T1478">
        <f t="shared" ca="1" si="699"/>
        <v>1019.7665564573041</v>
      </c>
      <c r="U1478">
        <f t="shared" ca="1" si="720"/>
        <v>-482.07256851378406</v>
      </c>
      <c r="V1478">
        <f t="shared" ca="1" si="721"/>
        <v>0</v>
      </c>
      <c r="W1478">
        <f t="shared" ca="1" si="700"/>
        <v>1.6754274413854371</v>
      </c>
      <c r="X1478">
        <f t="shared" ca="1" si="701"/>
        <v>8.7122226952042734</v>
      </c>
      <c r="Y1478">
        <f t="shared" ca="1" si="702"/>
        <v>1.0188715414593854</v>
      </c>
      <c r="Z1478">
        <f t="shared" ca="1" si="703"/>
        <v>5.8538448550073729</v>
      </c>
      <c r="AA1478">
        <f t="shared" ca="1" si="704"/>
        <v>633.57342744138543</v>
      </c>
      <c r="AB1478">
        <f t="shared" ca="1" si="705"/>
        <v>635.31998705333729</v>
      </c>
      <c r="AC1478">
        <f t="shared" ca="1" si="706"/>
        <v>7.5203668273376859E-3</v>
      </c>
      <c r="AD1478">
        <f t="shared" ca="1" si="707"/>
        <v>1.4439225278171981</v>
      </c>
      <c r="AE1478">
        <f t="shared" ca="1" si="708"/>
        <v>37.731181069052148</v>
      </c>
      <c r="AF1478">
        <f t="shared" ca="1" si="709"/>
        <v>7.0203668273052244E-3</v>
      </c>
      <c r="AG1478">
        <f t="shared" ca="1" si="710"/>
        <v>0</v>
      </c>
      <c r="AH1478">
        <f ca="1">IF(V32="Supercritical",L1478,IF(V32="Subcritical",W1478,IF(AND(V1478=1,AG1478=1),IF(T1478&gt;=AE1478,L1478,W1478),IF(V1478=1,L1478,IF(AG1478=1,W1478,MAX($D$16,POWER((ABS(K1478)^2)/($I$5*MAX(F1478,0.1)^2),1/3)))))))</f>
        <v>2.1403668656741068</v>
      </c>
      <c r="AI1478">
        <f t="shared" ca="1" si="711"/>
        <v>634.03836686567411</v>
      </c>
      <c r="AJ1478">
        <f t="shared" ca="1" si="712"/>
        <v>635.1085502985112</v>
      </c>
      <c r="AM1478">
        <v>0</v>
      </c>
      <c r="AN1478">
        <v>0</v>
      </c>
      <c r="AO1478">
        <f t="shared" si="713"/>
        <v>0</v>
      </c>
      <c r="AP1478">
        <f t="shared" si="722"/>
        <v>0</v>
      </c>
      <c r="AQ1478">
        <f t="shared" ca="1" si="714"/>
        <v>0.99999999999999978</v>
      </c>
      <c r="AR1478" t="str">
        <f t="shared" ca="1" si="715"/>
        <v>Supercritical</v>
      </c>
      <c r="AS1478">
        <f t="shared" ca="1" si="716"/>
        <v>3.8148159832266538E-3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191</v>
      </c>
      <c r="I1479">
        <v>0</v>
      </c>
      <c r="J1479">
        <f t="shared" si="717"/>
        <v>1</v>
      </c>
      <c r="K1479">
        <f t="shared" si="718"/>
        <v>51</v>
      </c>
      <c r="L1479">
        <f t="shared" ca="1" si="719"/>
        <v>0.05</v>
      </c>
      <c r="M1479">
        <f t="shared" ca="1" si="692"/>
        <v>0.26</v>
      </c>
      <c r="N1479">
        <f t="shared" ca="1" si="693"/>
        <v>4.9056603773584909E-2</v>
      </c>
      <c r="O1479">
        <f t="shared" ca="1" si="694"/>
        <v>196.15384615384616</v>
      </c>
      <c r="P1479">
        <f t="shared" ca="1" si="695"/>
        <v>631.94749999999999</v>
      </c>
      <c r="Q1479">
        <f t="shared" ca="1" si="696"/>
        <v>2593.0245316486621</v>
      </c>
      <c r="R1479">
        <f t="shared" ca="1" si="697"/>
        <v>482.07306851378365</v>
      </c>
      <c r="S1479">
        <f t="shared" ca="1" si="698"/>
        <v>280.07692026646265</v>
      </c>
      <c r="T1479">
        <f t="shared" ca="1" si="699"/>
        <v>1019.7665564573041</v>
      </c>
      <c r="U1479">
        <f t="shared" ca="1" si="720"/>
        <v>-482.07256851378361</v>
      </c>
      <c r="V1479">
        <f t="shared" ca="1" si="721"/>
        <v>0</v>
      </c>
      <c r="W1479">
        <f t="shared" ca="1" si="700"/>
        <v>1.6774194963820088</v>
      </c>
      <c r="X1479">
        <f t="shared" ca="1" si="701"/>
        <v>8.7225813811864459</v>
      </c>
      <c r="Y1479">
        <f t="shared" ca="1" si="702"/>
        <v>1.01960789543372</v>
      </c>
      <c r="Z1479">
        <f t="shared" ca="1" si="703"/>
        <v>5.8468929977541784</v>
      </c>
      <c r="AA1479">
        <f t="shared" ca="1" si="704"/>
        <v>633.57491949638199</v>
      </c>
      <c r="AB1479">
        <f t="shared" ca="1" si="705"/>
        <v>635.31733324394509</v>
      </c>
      <c r="AC1479">
        <f t="shared" ca="1" si="706"/>
        <v>7.4952920068064406E-3</v>
      </c>
      <c r="AD1479">
        <f t="shared" ca="1" si="707"/>
        <v>1.4413511505181269</v>
      </c>
      <c r="AE1479">
        <f t="shared" ca="1" si="708"/>
        <v>37.712405459423771</v>
      </c>
      <c r="AF1479">
        <f t="shared" ca="1" si="709"/>
        <v>7.1550132669244704E-3</v>
      </c>
      <c r="AG1479">
        <f t="shared" ca="1" si="710"/>
        <v>0</v>
      </c>
      <c r="AH1479">
        <f ca="1">IF(V32="Supercritical",L1479,IF(V32="Subcritical",W1479,IF(AND(V1479=1,AG1479=1),IF(T1479&gt;=AE1479,L1479,W1479),IF(V1479=1,L1479,IF(AG1479=1,W1479,MAX($D$16,POWER((ABS(K1479)^2)/($I$5*MAX(F1479,0.1)^2),1/3)))))))</f>
        <v>2.1403668656741068</v>
      </c>
      <c r="AI1479">
        <f t="shared" ca="1" si="711"/>
        <v>634.03786686567412</v>
      </c>
      <c r="AJ1479">
        <f t="shared" ca="1" si="712"/>
        <v>635.10805029851122</v>
      </c>
      <c r="AM1479">
        <v>0</v>
      </c>
      <c r="AN1479">
        <v>0</v>
      </c>
      <c r="AO1479">
        <f t="shared" si="713"/>
        <v>0</v>
      </c>
      <c r="AP1479">
        <f t="shared" si="722"/>
        <v>0</v>
      </c>
      <c r="AQ1479">
        <f t="shared" ca="1" si="714"/>
        <v>0.99999999999999978</v>
      </c>
      <c r="AR1479" t="str">
        <f t="shared" ca="1" si="715"/>
        <v>Supercritical</v>
      </c>
      <c r="AS1479">
        <f t="shared" ca="1" si="716"/>
        <v>3.8148159832266538E-3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191</v>
      </c>
      <c r="I1480">
        <v>5.5E-2</v>
      </c>
      <c r="J1480">
        <f t="shared" si="717"/>
        <v>1</v>
      </c>
      <c r="K1480">
        <f t="shared" si="718"/>
        <v>51</v>
      </c>
      <c r="L1480">
        <f t="shared" ca="1" si="719"/>
        <v>0.05</v>
      </c>
      <c r="M1480">
        <f t="shared" ca="1" si="692"/>
        <v>0.26</v>
      </c>
      <c r="N1480">
        <f t="shared" ca="1" si="693"/>
        <v>4.9056603773584909E-2</v>
      </c>
      <c r="O1480">
        <f t="shared" ca="1" si="694"/>
        <v>196.15384615384616</v>
      </c>
      <c r="P1480">
        <f t="shared" ca="1" si="695"/>
        <v>631.947</v>
      </c>
      <c r="Q1480">
        <f t="shared" ca="1" si="696"/>
        <v>2593.024031648662</v>
      </c>
      <c r="R1480">
        <f t="shared" ca="1" si="697"/>
        <v>482.07306851378365</v>
      </c>
      <c r="S1480">
        <f t="shared" ca="1" si="698"/>
        <v>280.07692026646265</v>
      </c>
      <c r="T1480">
        <f t="shared" ca="1" si="699"/>
        <v>1019.7665564573041</v>
      </c>
      <c r="U1480">
        <f t="shared" ca="1" si="720"/>
        <v>-482.25233390835137</v>
      </c>
      <c r="V1480">
        <f t="shared" ca="1" si="721"/>
        <v>0</v>
      </c>
      <c r="W1480">
        <f t="shared" ca="1" si="700"/>
        <v>1.6791127431290946</v>
      </c>
      <c r="X1480">
        <f t="shared" ca="1" si="701"/>
        <v>8.7313862642712916</v>
      </c>
      <c r="Y1480">
        <f t="shared" ca="1" si="702"/>
        <v>1.0202332572670751</v>
      </c>
      <c r="Z1480">
        <f t="shared" ca="1" si="703"/>
        <v>5.8409968882823655</v>
      </c>
      <c r="AA1480">
        <f t="shared" ca="1" si="704"/>
        <v>633.5761127431291</v>
      </c>
      <c r="AB1480">
        <f t="shared" ca="1" si="705"/>
        <v>635.31501410138208</v>
      </c>
      <c r="AC1480">
        <f t="shared" ca="1" si="706"/>
        <v>7.4740700850563649E-3</v>
      </c>
      <c r="AD1480">
        <f t="shared" ca="1" si="707"/>
        <v>1.4391714745759792</v>
      </c>
      <c r="AE1480">
        <f t="shared" ca="1" si="708"/>
        <v>37.696529839506368</v>
      </c>
      <c r="AF1480">
        <f t="shared" ca="1" si="709"/>
        <v>7.1409434461884302E-3</v>
      </c>
      <c r="AG1480">
        <f t="shared" ca="1" si="710"/>
        <v>0</v>
      </c>
      <c r="AH1480">
        <f ca="1">IF(V32="Supercritical",L1480,IF(V32="Subcritical",W1480,IF(AND(V1480=1,AG1480=1),IF(T1480&gt;=AE1480,L1480,W1480),IF(V1480=1,L1480,IF(AG1480=1,W1480,MAX($D$16,POWER((ABS(K1480)^2)/($I$5*MAX(F1480,0.1)^2),1/3)))))))</f>
        <v>2.1403668656741068</v>
      </c>
      <c r="AI1480">
        <f t="shared" ca="1" si="711"/>
        <v>634.03736686567413</v>
      </c>
      <c r="AJ1480">
        <f t="shared" ca="1" si="712"/>
        <v>635.10755029851123</v>
      </c>
      <c r="AM1480">
        <v>0</v>
      </c>
      <c r="AN1480">
        <v>0</v>
      </c>
      <c r="AO1480">
        <f t="shared" si="713"/>
        <v>0</v>
      </c>
      <c r="AP1480">
        <f t="shared" si="722"/>
        <v>0</v>
      </c>
      <c r="AQ1480">
        <f t="shared" ca="1" si="714"/>
        <v>0.99999999999999978</v>
      </c>
      <c r="AR1480" t="str">
        <f t="shared" ca="1" si="715"/>
        <v>Supercritical</v>
      </c>
      <c r="AS1480">
        <f t="shared" ca="1" si="716"/>
        <v>3.8148159832266538E-3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191</v>
      </c>
      <c r="I1481">
        <v>5.5E-2</v>
      </c>
      <c r="J1481">
        <f t="shared" si="717"/>
        <v>1.0010000000002037</v>
      </c>
      <c r="K1481">
        <f t="shared" si="718"/>
        <v>51</v>
      </c>
      <c r="L1481">
        <f t="shared" ca="1" si="719"/>
        <v>0.05</v>
      </c>
      <c r="M1481">
        <f t="shared" ca="1" si="692"/>
        <v>0.26</v>
      </c>
      <c r="N1481">
        <f t="shared" ca="1" si="693"/>
        <v>4.9056603773584909E-2</v>
      </c>
      <c r="O1481">
        <f t="shared" ca="1" si="694"/>
        <v>196.15384615384616</v>
      </c>
      <c r="P1481">
        <f t="shared" ca="1" si="695"/>
        <v>631.9464999999999</v>
      </c>
      <c r="Q1481">
        <f t="shared" ca="1" si="696"/>
        <v>2593.0235316486619</v>
      </c>
      <c r="R1481">
        <f t="shared" ca="1" si="697"/>
        <v>482.07306851378365</v>
      </c>
      <c r="S1481">
        <f t="shared" ca="1" si="698"/>
        <v>280.07692026646265</v>
      </c>
      <c r="T1481">
        <f t="shared" ca="1" si="699"/>
        <v>1019.7665564573041</v>
      </c>
      <c r="U1481">
        <f t="shared" ca="1" si="720"/>
        <v>-482.73440697696333</v>
      </c>
      <c r="V1481">
        <f t="shared" ca="1" si="721"/>
        <v>0</v>
      </c>
      <c r="W1481">
        <f t="shared" ca="1" si="700"/>
        <v>1.6805520028641177</v>
      </c>
      <c r="X1481">
        <f t="shared" ca="1" si="701"/>
        <v>8.7388704148934124</v>
      </c>
      <c r="Y1481">
        <f t="shared" ca="1" si="702"/>
        <v>1.0207644258317892</v>
      </c>
      <c r="Z1481">
        <f t="shared" ca="1" si="703"/>
        <v>5.8359945369005732</v>
      </c>
      <c r="AA1481">
        <f t="shared" ca="1" si="704"/>
        <v>633.57705200286409</v>
      </c>
      <c r="AB1481">
        <f t="shared" ca="1" si="705"/>
        <v>635.31297617384951</v>
      </c>
      <c r="AC1481">
        <f t="shared" ca="1" si="706"/>
        <v>7.4560973513000516E-3</v>
      </c>
      <c r="AD1481">
        <f t="shared" ca="1" si="707"/>
        <v>1.4373230658359146</v>
      </c>
      <c r="AE1481">
        <f t="shared" ca="1" si="708"/>
        <v>37.683095849904731</v>
      </c>
      <c r="AF1481">
        <f t="shared" ca="1" si="709"/>
        <v>6.9560973513489444E-3</v>
      </c>
      <c r="AG1481">
        <f t="shared" ca="1" si="710"/>
        <v>0</v>
      </c>
      <c r="AH1481">
        <f ca="1">IF(V32="Supercritical",L1481,IF(V32="Subcritical",W1481,IF(AND(V1481=1,AG1481=1),IF(T1481&gt;=AE1481,L1481,W1481),IF(V1481=1,L1481,IF(AG1481=1,W1481,MAX($D$16,POWER((ABS(K1481)^2)/($I$5*MAX(F1481,0.1)^2),1/3)))))))</f>
        <v>2.1403668656741068</v>
      </c>
      <c r="AI1481">
        <f t="shared" ca="1" si="711"/>
        <v>634.03686686567403</v>
      </c>
      <c r="AJ1481">
        <f t="shared" ca="1" si="712"/>
        <v>635.10705029851113</v>
      </c>
      <c r="AM1481">
        <v>0</v>
      </c>
      <c r="AN1481">
        <v>0</v>
      </c>
      <c r="AO1481">
        <f t="shared" si="713"/>
        <v>0</v>
      </c>
      <c r="AP1481">
        <f t="shared" si="722"/>
        <v>0</v>
      </c>
      <c r="AQ1481">
        <f t="shared" ca="1" si="714"/>
        <v>0.99999999999999978</v>
      </c>
      <c r="AR1481" t="str">
        <f t="shared" ca="1" si="715"/>
        <v>Supercritical</v>
      </c>
      <c r="AS1481">
        <f t="shared" ca="1" si="716"/>
        <v>3.8148159832266538E-3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191</v>
      </c>
      <c r="I1482">
        <v>0</v>
      </c>
      <c r="J1482">
        <f t="shared" si="717"/>
        <v>1</v>
      </c>
      <c r="K1482">
        <f t="shared" si="718"/>
        <v>51</v>
      </c>
      <c r="L1482">
        <f t="shared" ca="1" si="719"/>
        <v>0.05</v>
      </c>
      <c r="M1482">
        <f t="shared" ca="1" si="692"/>
        <v>0.26</v>
      </c>
      <c r="N1482">
        <f t="shared" ca="1" si="693"/>
        <v>4.9056603773584909E-2</v>
      </c>
      <c r="O1482">
        <f t="shared" ca="1" si="694"/>
        <v>196.15384615384616</v>
      </c>
      <c r="P1482">
        <f t="shared" ca="1" si="695"/>
        <v>631.94599999999991</v>
      </c>
      <c r="Q1482">
        <f t="shared" ca="1" si="696"/>
        <v>2593.0230316486623</v>
      </c>
      <c r="R1482">
        <f t="shared" ca="1" si="697"/>
        <v>482.07306851378365</v>
      </c>
      <c r="S1482">
        <f t="shared" ca="1" si="698"/>
        <v>280.07692026646265</v>
      </c>
      <c r="T1482">
        <f t="shared" ca="1" si="699"/>
        <v>1019.7665564573041</v>
      </c>
      <c r="U1482">
        <f t="shared" ca="1" si="720"/>
        <v>-482.07256851378406</v>
      </c>
      <c r="V1482">
        <f t="shared" ca="1" si="721"/>
        <v>0</v>
      </c>
      <c r="W1482">
        <f t="shared" ca="1" si="700"/>
        <v>1.6817753736388872</v>
      </c>
      <c r="X1482">
        <f t="shared" ca="1" si="701"/>
        <v>8.7452319429222136</v>
      </c>
      <c r="Y1482">
        <f t="shared" ca="1" si="702"/>
        <v>1.0212156383498039</v>
      </c>
      <c r="Z1482">
        <f t="shared" ca="1" si="703"/>
        <v>5.8317492701009348</v>
      </c>
      <c r="AA1482">
        <f t="shared" ca="1" si="704"/>
        <v>633.57777537363881</v>
      </c>
      <c r="AB1482">
        <f t="shared" ca="1" si="705"/>
        <v>635.3111749429213</v>
      </c>
      <c r="AC1482">
        <f t="shared" ca="1" si="706"/>
        <v>7.4408679350155106E-3</v>
      </c>
      <c r="AD1482">
        <f t="shared" ca="1" si="707"/>
        <v>1.4357550271598096</v>
      </c>
      <c r="AE1482">
        <f t="shared" ca="1" si="708"/>
        <v>37.671720425457337</v>
      </c>
      <c r="AF1482">
        <f t="shared" ca="1" si="709"/>
        <v>6.9408679349862723E-3</v>
      </c>
      <c r="AG1482">
        <f t="shared" ca="1" si="710"/>
        <v>0</v>
      </c>
      <c r="AH1482">
        <f ca="1">IF(V32="Supercritical",L1482,IF(V32="Subcritical",W1482,IF(AND(V1482=1,AG1482=1),IF(T1482&gt;=AE1482,L1482,W1482),IF(V1482=1,L1482,IF(AG1482=1,W1482,MAX($D$16,POWER((ABS(K1482)^2)/($I$5*MAX(F1482,0.1)^2),1/3)))))))</f>
        <v>2.1403668656741068</v>
      </c>
      <c r="AI1482">
        <f t="shared" ca="1" si="711"/>
        <v>634.03636686567404</v>
      </c>
      <c r="AJ1482">
        <f t="shared" ca="1" si="712"/>
        <v>635.10655029851114</v>
      </c>
      <c r="AM1482">
        <v>0</v>
      </c>
      <c r="AN1482">
        <v>0</v>
      </c>
      <c r="AO1482">
        <f t="shared" si="713"/>
        <v>0</v>
      </c>
      <c r="AP1482">
        <f t="shared" si="722"/>
        <v>0</v>
      </c>
      <c r="AQ1482">
        <f t="shared" ca="1" si="714"/>
        <v>0.99999999999999978</v>
      </c>
      <c r="AR1482" t="str">
        <f t="shared" ca="1" si="715"/>
        <v>Supercritical</v>
      </c>
      <c r="AS1482">
        <f t="shared" ca="1" si="716"/>
        <v>3.8148159832266538E-3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191</v>
      </c>
      <c r="I1483">
        <v>0</v>
      </c>
      <c r="J1483">
        <f t="shared" si="717"/>
        <v>1</v>
      </c>
      <c r="K1483">
        <f t="shared" si="718"/>
        <v>51</v>
      </c>
      <c r="L1483">
        <f t="shared" ca="1" si="719"/>
        <v>0.05</v>
      </c>
      <c r="M1483">
        <f t="shared" ca="1" si="692"/>
        <v>0.26</v>
      </c>
      <c r="N1483">
        <f t="shared" ca="1" si="693"/>
        <v>4.9056603773584909E-2</v>
      </c>
      <c r="O1483">
        <f t="shared" ca="1" si="694"/>
        <v>196.15384615384616</v>
      </c>
      <c r="P1483">
        <f t="shared" ca="1" si="695"/>
        <v>631.94549999999992</v>
      </c>
      <c r="Q1483">
        <f t="shared" ca="1" si="696"/>
        <v>2593.0225316486622</v>
      </c>
      <c r="R1483">
        <f t="shared" ca="1" si="697"/>
        <v>482.07306851378365</v>
      </c>
      <c r="S1483">
        <f t="shared" ca="1" si="698"/>
        <v>280.07692026646265</v>
      </c>
      <c r="T1483">
        <f t="shared" ca="1" si="699"/>
        <v>1019.7665564573041</v>
      </c>
      <c r="U1483">
        <f t="shared" ca="1" si="720"/>
        <v>-482.07256851378361</v>
      </c>
      <c r="V1483">
        <f t="shared" ca="1" si="721"/>
        <v>0</v>
      </c>
      <c r="W1483">
        <f t="shared" ca="1" si="700"/>
        <v>1.6828152387974413</v>
      </c>
      <c r="X1483">
        <f t="shared" ca="1" si="701"/>
        <v>8.7506392417466952</v>
      </c>
      <c r="Y1483">
        <f t="shared" ca="1" si="702"/>
        <v>1.0215989663149418</v>
      </c>
      <c r="Z1483">
        <f t="shared" ca="1" si="703"/>
        <v>5.8281456463996575</v>
      </c>
      <c r="AA1483">
        <f t="shared" ca="1" si="704"/>
        <v>633.57831523879736</v>
      </c>
      <c r="AB1483">
        <f t="shared" ca="1" si="705"/>
        <v>635.30957322430436</v>
      </c>
      <c r="AC1483">
        <f t="shared" ca="1" si="706"/>
        <v>7.4279570576499124E-3</v>
      </c>
      <c r="AD1483">
        <f t="shared" ca="1" si="707"/>
        <v>1.4344244345947328</v>
      </c>
      <c r="AE1483">
        <f t="shared" ca="1" si="708"/>
        <v>37.662082663744826</v>
      </c>
      <c r="AF1483">
        <f t="shared" ca="1" si="709"/>
        <v>7.0849986092298423E-3</v>
      </c>
      <c r="AG1483">
        <f t="shared" ca="1" si="710"/>
        <v>0</v>
      </c>
      <c r="AH1483">
        <f ca="1">IF(V32="Supercritical",L1483,IF(V32="Subcritical",W1483,IF(AND(V1483=1,AG1483=1),IF(T1483&gt;=AE1483,L1483,W1483),IF(V1483=1,L1483,IF(AG1483=1,W1483,MAX($D$16,POWER((ABS(K1483)^2)/($I$5*MAX(F1483,0.1)^2),1/3)))))))</f>
        <v>2.1403668656741068</v>
      </c>
      <c r="AI1483">
        <f t="shared" ca="1" si="711"/>
        <v>634.03586686567405</v>
      </c>
      <c r="AJ1483">
        <f t="shared" ca="1" si="712"/>
        <v>635.10605029851115</v>
      </c>
      <c r="AM1483">
        <v>0</v>
      </c>
      <c r="AN1483">
        <v>0</v>
      </c>
      <c r="AO1483">
        <f t="shared" si="713"/>
        <v>0</v>
      </c>
      <c r="AP1483">
        <f t="shared" si="722"/>
        <v>0</v>
      </c>
      <c r="AQ1483">
        <f t="shared" ca="1" si="714"/>
        <v>0.99999999999999978</v>
      </c>
      <c r="AR1483" t="str">
        <f t="shared" ca="1" si="715"/>
        <v>Supercritical</v>
      </c>
      <c r="AS1483">
        <f t="shared" ca="1" si="716"/>
        <v>3.8148159832266538E-3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191</v>
      </c>
      <c r="I1484">
        <v>5.7000000000000002E-2</v>
      </c>
      <c r="J1484">
        <f t="shared" si="717"/>
        <v>0.99899999999979627</v>
      </c>
      <c r="K1484">
        <f t="shared" si="718"/>
        <v>51</v>
      </c>
      <c r="L1484">
        <f t="shared" ca="1" si="719"/>
        <v>0.05</v>
      </c>
      <c r="M1484">
        <f t="shared" ca="1" si="692"/>
        <v>0.26</v>
      </c>
      <c r="N1484">
        <f t="shared" ca="1" si="693"/>
        <v>4.9056603773584909E-2</v>
      </c>
      <c r="O1484">
        <f t="shared" ca="1" si="694"/>
        <v>196.15384615384616</v>
      </c>
      <c r="P1484">
        <f t="shared" ca="1" si="695"/>
        <v>631.94499999999994</v>
      </c>
      <c r="Q1484">
        <f t="shared" ca="1" si="696"/>
        <v>2593.0220316486621</v>
      </c>
      <c r="R1484">
        <f t="shared" ca="1" si="697"/>
        <v>482.07306851378365</v>
      </c>
      <c r="S1484">
        <f t="shared" ca="1" si="698"/>
        <v>280.07692026646265</v>
      </c>
      <c r="T1484">
        <f t="shared" ca="1" si="699"/>
        <v>1019.7665564573041</v>
      </c>
      <c r="U1484">
        <f t="shared" ca="1" si="720"/>
        <v>-481.77679776317837</v>
      </c>
      <c r="V1484">
        <f t="shared" ca="1" si="721"/>
        <v>0</v>
      </c>
      <c r="W1484">
        <f t="shared" ca="1" si="700"/>
        <v>1.6836991241822123</v>
      </c>
      <c r="X1484">
        <f t="shared" ca="1" si="701"/>
        <v>8.7552354457475037</v>
      </c>
      <c r="Y1484">
        <f t="shared" ca="1" si="702"/>
        <v>1.0219246487600757</v>
      </c>
      <c r="Z1484">
        <f t="shared" ca="1" si="703"/>
        <v>5.8250860660487618</v>
      </c>
      <c r="AA1484">
        <f t="shared" ca="1" si="704"/>
        <v>633.57869912418221</v>
      </c>
      <c r="AB1484">
        <f t="shared" ca="1" si="705"/>
        <v>635.30813988243278</v>
      </c>
      <c r="AC1484">
        <f t="shared" ca="1" si="706"/>
        <v>7.4170073915882945E-3</v>
      </c>
      <c r="AD1484">
        <f t="shared" ca="1" si="707"/>
        <v>1.4332950460089013</v>
      </c>
      <c r="AE1484">
        <f t="shared" ca="1" si="708"/>
        <v>37.653913181918057</v>
      </c>
      <c r="AF1484">
        <f t="shared" ca="1" si="709"/>
        <v>7.0813042636928003E-3</v>
      </c>
      <c r="AG1484">
        <f t="shared" ca="1" si="710"/>
        <v>0</v>
      </c>
      <c r="AH1484">
        <f ca="1">IF(V32="Supercritical",L1484,IF(V32="Subcritical",W1484,IF(AND(V1484=1,AG1484=1),IF(T1484&gt;=AE1484,L1484,W1484),IF(V1484=1,L1484,IF(AG1484=1,W1484,MAX($D$16,POWER((ABS(K1484)^2)/($I$5*MAX(F1484,0.1)^2),1/3)))))))</f>
        <v>2.1403668656741068</v>
      </c>
      <c r="AI1484">
        <f t="shared" ca="1" si="711"/>
        <v>634.03536686567406</v>
      </c>
      <c r="AJ1484">
        <f t="shared" ca="1" si="712"/>
        <v>635.10555029851116</v>
      </c>
      <c r="AM1484">
        <v>0</v>
      </c>
      <c r="AN1484">
        <v>0</v>
      </c>
      <c r="AO1484">
        <f t="shared" si="713"/>
        <v>0</v>
      </c>
      <c r="AP1484">
        <f t="shared" si="722"/>
        <v>0</v>
      </c>
      <c r="AQ1484">
        <f t="shared" ca="1" si="714"/>
        <v>0.99999999999999978</v>
      </c>
      <c r="AR1484" t="str">
        <f t="shared" ca="1" si="715"/>
        <v>Supercritical</v>
      </c>
      <c r="AS1484">
        <f t="shared" ca="1" si="716"/>
        <v>3.8148159832266538E-3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191</v>
      </c>
      <c r="I1485">
        <v>5.7000000000000002E-2</v>
      </c>
      <c r="J1485">
        <f t="shared" si="717"/>
        <v>1</v>
      </c>
      <c r="K1485">
        <f t="shared" si="718"/>
        <v>51</v>
      </c>
      <c r="L1485">
        <f t="shared" ca="1" si="719"/>
        <v>0.05</v>
      </c>
      <c r="M1485">
        <f t="shared" ca="1" si="692"/>
        <v>0.26</v>
      </c>
      <c r="N1485">
        <f t="shared" ca="1" si="693"/>
        <v>4.9056603773584909E-2</v>
      </c>
      <c r="O1485">
        <f t="shared" ca="1" si="694"/>
        <v>196.15384615384616</v>
      </c>
      <c r="P1485">
        <f t="shared" ca="1" si="695"/>
        <v>631.94449999999995</v>
      </c>
      <c r="Q1485">
        <f t="shared" ca="1" si="696"/>
        <v>2593.0215316486619</v>
      </c>
      <c r="R1485">
        <f t="shared" ca="1" si="697"/>
        <v>482.07306851378365</v>
      </c>
      <c r="S1485">
        <f t="shared" ca="1" si="698"/>
        <v>280.07692026646265</v>
      </c>
      <c r="T1485">
        <f t="shared" ca="1" si="699"/>
        <v>1019.7665564573041</v>
      </c>
      <c r="U1485">
        <f t="shared" ca="1" si="720"/>
        <v>-482.25887083179032</v>
      </c>
      <c r="V1485">
        <f t="shared" ca="1" si="721"/>
        <v>0</v>
      </c>
      <c r="W1485">
        <f t="shared" ca="1" si="700"/>
        <v>1.6844504267592677</v>
      </c>
      <c r="X1485">
        <f t="shared" ca="1" si="701"/>
        <v>8.7591422191481918</v>
      </c>
      <c r="Y1485">
        <f t="shared" ca="1" si="702"/>
        <v>1.0222013731844664</v>
      </c>
      <c r="Z1485">
        <f t="shared" ca="1" si="703"/>
        <v>5.8224879473368842</v>
      </c>
      <c r="AA1485">
        <f t="shared" ca="1" si="704"/>
        <v>633.57895042675921</v>
      </c>
      <c r="AB1485">
        <f t="shared" ca="1" si="705"/>
        <v>635.30684879051478</v>
      </c>
      <c r="AC1485">
        <f t="shared" ca="1" si="706"/>
        <v>7.4077178873420517E-3</v>
      </c>
      <c r="AD1485">
        <f t="shared" ca="1" si="707"/>
        <v>1.4323362304549738</v>
      </c>
      <c r="AE1485">
        <f t="shared" ca="1" si="708"/>
        <v>37.646985441280741</v>
      </c>
      <c r="AF1485">
        <f t="shared" ca="1" si="709"/>
        <v>6.9077178873158118E-3</v>
      </c>
      <c r="AG1485">
        <f t="shared" ca="1" si="710"/>
        <v>0</v>
      </c>
      <c r="AH1485">
        <f ca="1">IF(V32="Supercritical",L1485,IF(V32="Subcritical",W1485,IF(AND(V1485=1,AG1485=1),IF(T1485&gt;=AE1485,L1485,W1485),IF(V1485=1,L1485,IF(AG1485=1,W1485,MAX($D$16,POWER((ABS(K1485)^2)/($I$5*MAX(F1485,0.1)^2),1/3)))))))</f>
        <v>2.1403668656741068</v>
      </c>
      <c r="AI1485">
        <f t="shared" ca="1" si="711"/>
        <v>634.03486686567408</v>
      </c>
      <c r="AJ1485">
        <f t="shared" ca="1" si="712"/>
        <v>635.10505029851117</v>
      </c>
      <c r="AM1485">
        <v>0</v>
      </c>
      <c r="AN1485">
        <v>0</v>
      </c>
      <c r="AO1485">
        <f t="shared" si="713"/>
        <v>0</v>
      </c>
      <c r="AP1485">
        <f t="shared" si="722"/>
        <v>0</v>
      </c>
      <c r="AQ1485">
        <f t="shared" ca="1" si="714"/>
        <v>0.99999999999999978</v>
      </c>
      <c r="AR1485" t="str">
        <f t="shared" ca="1" si="715"/>
        <v>Supercritical</v>
      </c>
      <c r="AS1485">
        <f t="shared" ca="1" si="716"/>
        <v>3.8148159832266538E-3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191</v>
      </c>
      <c r="I1486">
        <v>0</v>
      </c>
      <c r="J1486">
        <f t="shared" si="717"/>
        <v>1</v>
      </c>
      <c r="K1486">
        <f t="shared" si="718"/>
        <v>51</v>
      </c>
      <c r="L1486">
        <f t="shared" ca="1" si="719"/>
        <v>0.05</v>
      </c>
      <c r="M1486">
        <f t="shared" ca="1" si="692"/>
        <v>0.26</v>
      </c>
      <c r="N1486">
        <f t="shared" ca="1" si="693"/>
        <v>4.9056603773584909E-2</v>
      </c>
      <c r="O1486">
        <f t="shared" ca="1" si="694"/>
        <v>196.15384615384616</v>
      </c>
      <c r="P1486">
        <f t="shared" ca="1" si="695"/>
        <v>631.94399999999996</v>
      </c>
      <c r="Q1486">
        <f t="shared" ca="1" si="696"/>
        <v>2593.0210316486618</v>
      </c>
      <c r="R1486">
        <f t="shared" ca="1" si="697"/>
        <v>482.07306851378365</v>
      </c>
      <c r="S1486">
        <f t="shared" ca="1" si="698"/>
        <v>280.07692026646265</v>
      </c>
      <c r="T1486">
        <f t="shared" ca="1" si="699"/>
        <v>1019.7665564573041</v>
      </c>
      <c r="U1486">
        <f t="shared" ca="1" si="720"/>
        <v>-482.07256851378361</v>
      </c>
      <c r="V1486">
        <f t="shared" ca="1" si="721"/>
        <v>0</v>
      </c>
      <c r="W1486">
        <f t="shared" ca="1" si="700"/>
        <v>1.6850890339497648</v>
      </c>
      <c r="X1486">
        <f t="shared" ca="1" si="701"/>
        <v>8.762462976538778</v>
      </c>
      <c r="Y1486">
        <f t="shared" ca="1" si="702"/>
        <v>1.022436512650708</v>
      </c>
      <c r="Z1486">
        <f t="shared" ca="1" si="703"/>
        <v>5.8202813679841974</v>
      </c>
      <c r="AA1486">
        <f t="shared" ca="1" si="704"/>
        <v>633.5790890339498</v>
      </c>
      <c r="AB1486">
        <f t="shared" ca="1" si="705"/>
        <v>635.30567798412835</v>
      </c>
      <c r="AC1486">
        <f t="shared" ca="1" si="706"/>
        <v>7.3998345768517895E-3</v>
      </c>
      <c r="AD1486">
        <f t="shared" ca="1" si="707"/>
        <v>1.4315220774370589</v>
      </c>
      <c r="AE1486">
        <f t="shared" ca="1" si="708"/>
        <v>37.641108639359906</v>
      </c>
      <c r="AF1486">
        <f t="shared" ca="1" si="709"/>
        <v>7.0638605271824417E-3</v>
      </c>
      <c r="AG1486">
        <f t="shared" ca="1" si="710"/>
        <v>0</v>
      </c>
      <c r="AH1486">
        <f ca="1">IF(V32="Supercritical",L1486,IF(V32="Subcritical",W1486,IF(AND(V1486=1,AG1486=1),IF(T1486&gt;=AE1486,L1486,W1486),IF(V1486=1,L1486,IF(AG1486=1,W1486,MAX($D$16,POWER((ABS(K1486)^2)/($I$5*MAX(F1486,0.1)^2),1/3)))))))</f>
        <v>2.1403668656741068</v>
      </c>
      <c r="AI1486">
        <f t="shared" ca="1" si="711"/>
        <v>634.03436686567409</v>
      </c>
      <c r="AJ1486">
        <f t="shared" ca="1" si="712"/>
        <v>635.10455029851119</v>
      </c>
      <c r="AM1486">
        <v>0</v>
      </c>
      <c r="AN1486">
        <v>0</v>
      </c>
      <c r="AO1486">
        <f t="shared" si="713"/>
        <v>0</v>
      </c>
      <c r="AP1486">
        <f t="shared" si="722"/>
        <v>0</v>
      </c>
      <c r="AQ1486">
        <f t="shared" ca="1" si="714"/>
        <v>0.99999999999999978</v>
      </c>
      <c r="AR1486" t="str">
        <f t="shared" ca="1" si="715"/>
        <v>Supercritical</v>
      </c>
      <c r="AS1486">
        <f t="shared" ca="1" si="716"/>
        <v>3.8148159832266538E-3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191</v>
      </c>
      <c r="I1487">
        <v>5.7000000000000002E-2</v>
      </c>
      <c r="J1487">
        <f t="shared" si="717"/>
        <v>1</v>
      </c>
      <c r="K1487">
        <f t="shared" si="718"/>
        <v>51</v>
      </c>
      <c r="L1487">
        <f t="shared" ca="1" si="719"/>
        <v>0.05</v>
      </c>
      <c r="M1487">
        <f t="shared" ca="1" si="692"/>
        <v>0.26</v>
      </c>
      <c r="N1487">
        <f t="shared" ca="1" si="693"/>
        <v>4.9056603773584909E-2</v>
      </c>
      <c r="O1487">
        <f t="shared" ca="1" si="694"/>
        <v>196.15384615384616</v>
      </c>
      <c r="P1487">
        <f t="shared" ca="1" si="695"/>
        <v>631.94349999999997</v>
      </c>
      <c r="Q1487">
        <f t="shared" ca="1" si="696"/>
        <v>2593.0205316486622</v>
      </c>
      <c r="R1487">
        <f t="shared" ca="1" si="697"/>
        <v>482.07306851378365</v>
      </c>
      <c r="S1487">
        <f t="shared" ca="1" si="698"/>
        <v>280.07692026646265</v>
      </c>
      <c r="T1487">
        <f t="shared" ca="1" si="699"/>
        <v>1019.7665564573041</v>
      </c>
      <c r="U1487">
        <f t="shared" ca="1" si="720"/>
        <v>-482.25887083179077</v>
      </c>
      <c r="V1487">
        <f t="shared" ca="1" si="721"/>
        <v>0</v>
      </c>
      <c r="W1487">
        <f t="shared" ca="1" si="700"/>
        <v>1.6856318500616874</v>
      </c>
      <c r="X1487">
        <f t="shared" ca="1" si="701"/>
        <v>8.7652856203207747</v>
      </c>
      <c r="Y1487">
        <f t="shared" ca="1" si="702"/>
        <v>1.0226363260991034</v>
      </c>
      <c r="Z1487">
        <f t="shared" ca="1" si="703"/>
        <v>5.818407090097037</v>
      </c>
      <c r="AA1487">
        <f t="shared" ca="1" si="704"/>
        <v>633.57913185006169</v>
      </c>
      <c r="AB1487">
        <f t="shared" ca="1" si="705"/>
        <v>635.30460896861882</v>
      </c>
      <c r="AC1487">
        <f t="shared" ca="1" si="706"/>
        <v>7.3931429702998709E-3</v>
      </c>
      <c r="AD1487">
        <f t="shared" ca="1" si="707"/>
        <v>1.4308306536064788</v>
      </c>
      <c r="AE1487">
        <f t="shared" ca="1" si="708"/>
        <v>37.636121859213389</v>
      </c>
      <c r="AF1487">
        <f t="shared" ca="1" si="709"/>
        <v>7.0570632965427649E-3</v>
      </c>
      <c r="AG1487">
        <f t="shared" ca="1" si="710"/>
        <v>0</v>
      </c>
      <c r="AH1487">
        <f ca="1">IF(V32="Supercritical",L1487,IF(V32="Subcritical",W1487,IF(AND(V1487=1,AG1487=1),IF(T1487&gt;=AE1487,L1487,W1487),IF(V1487=1,L1487,IF(AG1487=1,W1487,MAX($D$16,POWER((ABS(K1487)^2)/($I$5*MAX(F1487,0.1)^2),1/3)))))))</f>
        <v>2.1403668656741068</v>
      </c>
      <c r="AI1487">
        <f t="shared" ca="1" si="711"/>
        <v>634.0338668656741</v>
      </c>
      <c r="AJ1487">
        <f t="shared" ca="1" si="712"/>
        <v>635.1040502985112</v>
      </c>
      <c r="AM1487">
        <v>0</v>
      </c>
      <c r="AN1487">
        <v>0</v>
      </c>
      <c r="AO1487">
        <f t="shared" si="713"/>
        <v>0</v>
      </c>
      <c r="AP1487">
        <f t="shared" si="722"/>
        <v>0</v>
      </c>
      <c r="AQ1487">
        <f t="shared" ca="1" si="714"/>
        <v>0.99999999999999978</v>
      </c>
      <c r="AR1487" t="str">
        <f t="shared" ca="1" si="715"/>
        <v>Supercritical</v>
      </c>
      <c r="AS1487">
        <f t="shared" ca="1" si="716"/>
        <v>3.8148159832266538E-3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191</v>
      </c>
      <c r="I1488">
        <v>5.7000000000000002E-2</v>
      </c>
      <c r="J1488">
        <f t="shared" si="717"/>
        <v>1</v>
      </c>
      <c r="K1488">
        <f t="shared" si="718"/>
        <v>51</v>
      </c>
      <c r="L1488">
        <f t="shared" ca="1" si="719"/>
        <v>0.05</v>
      </c>
      <c r="M1488">
        <f t="shared" ca="1" si="692"/>
        <v>0.26</v>
      </c>
      <c r="N1488">
        <f t="shared" ca="1" si="693"/>
        <v>4.9056603773584909E-2</v>
      </c>
      <c r="O1488">
        <f t="shared" ca="1" si="694"/>
        <v>196.15384615384616</v>
      </c>
      <c r="P1488">
        <f t="shared" ca="1" si="695"/>
        <v>631.94299999999998</v>
      </c>
      <c r="Q1488">
        <f t="shared" ca="1" si="696"/>
        <v>2593.0200316486621</v>
      </c>
      <c r="R1488">
        <f t="shared" ca="1" si="697"/>
        <v>482.07306851378365</v>
      </c>
      <c r="S1488">
        <f t="shared" ca="1" si="698"/>
        <v>280.07692026646265</v>
      </c>
      <c r="T1488">
        <f t="shared" ca="1" si="699"/>
        <v>1019.7665564573041</v>
      </c>
      <c r="U1488">
        <f t="shared" ca="1" si="720"/>
        <v>-482.25887083179032</v>
      </c>
      <c r="V1488">
        <f t="shared" ca="1" si="721"/>
        <v>0</v>
      </c>
      <c r="W1488">
        <f t="shared" ca="1" si="700"/>
        <v>1.6860932437568215</v>
      </c>
      <c r="X1488">
        <f t="shared" ca="1" si="701"/>
        <v>8.7676848675354719</v>
      </c>
      <c r="Y1488">
        <f t="shared" ca="1" si="702"/>
        <v>1.0228061277372573</v>
      </c>
      <c r="Z1488">
        <f t="shared" ca="1" si="703"/>
        <v>5.8168149027390514</v>
      </c>
      <c r="AA1488">
        <f t="shared" ca="1" si="704"/>
        <v>633.5790932437568</v>
      </c>
      <c r="AB1488">
        <f t="shared" ca="1" si="705"/>
        <v>635.30362614960427</v>
      </c>
      <c r="AC1488">
        <f t="shared" ca="1" si="706"/>
        <v>7.3874617462656557E-3</v>
      </c>
      <c r="AD1488">
        <f t="shared" ca="1" si="707"/>
        <v>1.4302433808571668</v>
      </c>
      <c r="AE1488">
        <f t="shared" ca="1" si="708"/>
        <v>37.631889233601697</v>
      </c>
      <c r="AF1488">
        <f t="shared" ca="1" si="709"/>
        <v>6.8932101893324216E-3</v>
      </c>
      <c r="AG1488">
        <f t="shared" ca="1" si="710"/>
        <v>0</v>
      </c>
      <c r="AH1488">
        <f ca="1">IF(V32="Supercritical",L1488,IF(V32="Subcritical",W1488,IF(AND(V1488=1,AG1488=1),IF(T1488&gt;=AE1488,L1488,W1488),IF(V1488=1,L1488,IF(AG1488=1,W1488,MAX($D$16,POWER((ABS(K1488)^2)/($I$5*MAX(F1488,0.1)^2),1/3)))))))</f>
        <v>2.1403668656741068</v>
      </c>
      <c r="AI1488">
        <f t="shared" ca="1" si="711"/>
        <v>634.03336686567411</v>
      </c>
      <c r="AJ1488">
        <f t="shared" ca="1" si="712"/>
        <v>635.10355029851121</v>
      </c>
      <c r="AM1488">
        <v>0</v>
      </c>
      <c r="AN1488">
        <v>0</v>
      </c>
      <c r="AO1488">
        <f t="shared" si="713"/>
        <v>0</v>
      </c>
      <c r="AP1488">
        <f t="shared" si="722"/>
        <v>0</v>
      </c>
      <c r="AQ1488">
        <f t="shared" ca="1" si="714"/>
        <v>0.99999999999999978</v>
      </c>
      <c r="AR1488" t="str">
        <f t="shared" ca="1" si="715"/>
        <v>Supercritical</v>
      </c>
      <c r="AS1488">
        <f t="shared" ca="1" si="716"/>
        <v>3.8148159832266538E-3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191</v>
      </c>
      <c r="I1489">
        <v>2E-3</v>
      </c>
      <c r="J1489">
        <f t="shared" si="717"/>
        <v>1</v>
      </c>
      <c r="K1489">
        <f t="shared" si="718"/>
        <v>51</v>
      </c>
      <c r="L1489">
        <f t="shared" ca="1" si="719"/>
        <v>0.05</v>
      </c>
      <c r="M1489">
        <f t="shared" ca="1" si="692"/>
        <v>0.26</v>
      </c>
      <c r="N1489">
        <f t="shared" ca="1" si="693"/>
        <v>4.9056603773584909E-2</v>
      </c>
      <c r="O1489">
        <f t="shared" ca="1" si="694"/>
        <v>196.15384615384616</v>
      </c>
      <c r="P1489">
        <f t="shared" ca="1" si="695"/>
        <v>631.9425</v>
      </c>
      <c r="Q1489">
        <f t="shared" ca="1" si="696"/>
        <v>2593.019531648662</v>
      </c>
      <c r="R1489">
        <f t="shared" ca="1" si="697"/>
        <v>482.07306851378365</v>
      </c>
      <c r="S1489">
        <f t="shared" ca="1" si="698"/>
        <v>280.07692026646265</v>
      </c>
      <c r="T1489">
        <f t="shared" ca="1" si="699"/>
        <v>1019.7665564573041</v>
      </c>
      <c r="U1489">
        <f t="shared" ca="1" si="720"/>
        <v>-482.07910543722255</v>
      </c>
      <c r="V1489">
        <f t="shared" ca="1" si="721"/>
        <v>0</v>
      </c>
      <c r="W1489">
        <f t="shared" ca="1" si="700"/>
        <v>1.6864854283976856</v>
      </c>
      <c r="X1489">
        <f t="shared" ca="1" si="701"/>
        <v>8.7697242276679646</v>
      </c>
      <c r="Y1489">
        <f t="shared" ca="1" si="702"/>
        <v>1.022950430388625</v>
      </c>
      <c r="Z1489">
        <f t="shared" ca="1" si="703"/>
        <v>5.8154622284584496</v>
      </c>
      <c r="AA1489">
        <f t="shared" ca="1" si="704"/>
        <v>633.57898542839769</v>
      </c>
      <c r="AB1489">
        <f t="shared" ca="1" si="705"/>
        <v>635.30271636268037</v>
      </c>
      <c r="AC1489">
        <f t="shared" ca="1" si="706"/>
        <v>7.3826374977335714E-3</v>
      </c>
      <c r="AD1489">
        <f t="shared" ca="1" si="707"/>
        <v>1.4297445148135013</v>
      </c>
      <c r="AE1489">
        <f t="shared" ca="1" si="708"/>
        <v>37.628295933233858</v>
      </c>
      <c r="AF1489">
        <f t="shared" ca="1" si="709"/>
        <v>6.8957659049146969E-3</v>
      </c>
      <c r="AG1489">
        <f t="shared" ca="1" si="710"/>
        <v>0</v>
      </c>
      <c r="AH1489">
        <f ca="1">IF(V32="Supercritical",L1489,IF(V32="Subcritical",W1489,IF(AND(V1489=1,AG1489=1),IF(T1489&gt;=AE1489,L1489,W1489),IF(V1489=1,L1489,IF(AG1489=1,W1489,MAX($D$16,POWER((ABS(K1489)^2)/($I$5*MAX(F1489,0.1)^2),1/3)))))))</f>
        <v>2.1403668656741068</v>
      </c>
      <c r="AI1489">
        <f t="shared" ca="1" si="711"/>
        <v>634.03286686567412</v>
      </c>
      <c r="AJ1489">
        <f t="shared" ca="1" si="712"/>
        <v>635.10305029851122</v>
      </c>
      <c r="AM1489">
        <v>0</v>
      </c>
      <c r="AN1489">
        <v>0</v>
      </c>
      <c r="AO1489">
        <f t="shared" si="713"/>
        <v>0</v>
      </c>
      <c r="AP1489">
        <f t="shared" si="722"/>
        <v>0</v>
      </c>
      <c r="AQ1489">
        <f t="shared" ca="1" si="714"/>
        <v>0.99999999999999978</v>
      </c>
      <c r="AR1489" t="str">
        <f t="shared" ca="1" si="715"/>
        <v>Supercritical</v>
      </c>
      <c r="AS1489">
        <f t="shared" ca="1" si="716"/>
        <v>3.8148159832266538E-3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191</v>
      </c>
      <c r="I1490">
        <v>2E-3</v>
      </c>
      <c r="J1490">
        <f t="shared" si="717"/>
        <v>1.0010000000002037</v>
      </c>
      <c r="K1490">
        <f t="shared" si="718"/>
        <v>51</v>
      </c>
      <c r="L1490">
        <f t="shared" ca="1" si="719"/>
        <v>0.05</v>
      </c>
      <c r="M1490">
        <f t="shared" ca="1" si="692"/>
        <v>0.26</v>
      </c>
      <c r="N1490">
        <f t="shared" ca="1" si="693"/>
        <v>4.9056603773584909E-2</v>
      </c>
      <c r="O1490">
        <f t="shared" ca="1" si="694"/>
        <v>196.15384615384616</v>
      </c>
      <c r="P1490">
        <f t="shared" ca="1" si="695"/>
        <v>631.94200000000001</v>
      </c>
      <c r="Q1490">
        <f t="shared" ca="1" si="696"/>
        <v>2593.0190316486623</v>
      </c>
      <c r="R1490">
        <f t="shared" ca="1" si="697"/>
        <v>482.07306851378365</v>
      </c>
      <c r="S1490">
        <f t="shared" ca="1" si="698"/>
        <v>280.07692026646265</v>
      </c>
      <c r="T1490">
        <f t="shared" ca="1" si="699"/>
        <v>1019.7665564573041</v>
      </c>
      <c r="U1490">
        <f t="shared" ca="1" si="720"/>
        <v>-482.56117850583496</v>
      </c>
      <c r="V1490">
        <f t="shared" ca="1" si="721"/>
        <v>0</v>
      </c>
      <c r="W1490">
        <f t="shared" ca="1" si="700"/>
        <v>1.6868187853424199</v>
      </c>
      <c r="X1490">
        <f t="shared" ca="1" si="701"/>
        <v>8.771457683780584</v>
      </c>
      <c r="Y1490">
        <f t="shared" ca="1" si="702"/>
        <v>1.0230730668826187</v>
      </c>
      <c r="Z1490">
        <f t="shared" ca="1" si="703"/>
        <v>5.8143129498651929</v>
      </c>
      <c r="AA1490">
        <f t="shared" ca="1" si="704"/>
        <v>633.57881878534249</v>
      </c>
      <c r="AB1490">
        <f t="shared" ca="1" si="705"/>
        <v>635.30186848355709</v>
      </c>
      <c r="AC1490">
        <f t="shared" ca="1" si="706"/>
        <v>7.3785403445725843E-3</v>
      </c>
      <c r="AD1490">
        <f t="shared" ca="1" si="707"/>
        <v>1.4293207066497147</v>
      </c>
      <c r="AE1490">
        <f t="shared" ca="1" si="708"/>
        <v>37.625244827798809</v>
      </c>
      <c r="AF1490">
        <f t="shared" ca="1" si="709"/>
        <v>7.0422300658492532E-3</v>
      </c>
      <c r="AG1490">
        <f t="shared" ca="1" si="710"/>
        <v>0</v>
      </c>
      <c r="AH1490">
        <f ca="1">IF(V32="Supercritical",L1490,IF(V32="Subcritical",W1490,IF(AND(V1490=1,AG1490=1),IF(T1490&gt;=AE1490,L1490,W1490),IF(V1490=1,L1490,IF(AG1490=1,W1490,MAX($D$16,POWER((ABS(K1490)^2)/($I$5*MAX(F1490,0.1)^2),1/3)))))))</f>
        <v>2.1403668656741068</v>
      </c>
      <c r="AI1490">
        <f t="shared" ca="1" si="711"/>
        <v>634.03236686567413</v>
      </c>
      <c r="AJ1490">
        <f t="shared" ca="1" si="712"/>
        <v>635.10255029851123</v>
      </c>
      <c r="AM1490">
        <v>0</v>
      </c>
      <c r="AN1490">
        <v>0</v>
      </c>
      <c r="AO1490">
        <f t="shared" si="713"/>
        <v>0</v>
      </c>
      <c r="AP1490">
        <f t="shared" si="722"/>
        <v>0</v>
      </c>
      <c r="AQ1490">
        <f t="shared" ca="1" si="714"/>
        <v>0.99999999999999978</v>
      </c>
      <c r="AR1490" t="str">
        <f t="shared" ca="1" si="715"/>
        <v>Supercritical</v>
      </c>
      <c r="AS1490">
        <f t="shared" ca="1" si="716"/>
        <v>3.8148159832266538E-3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191</v>
      </c>
      <c r="I1491">
        <v>5.7000000000000002E-2</v>
      </c>
      <c r="J1491">
        <f t="shared" si="717"/>
        <v>1</v>
      </c>
      <c r="K1491">
        <f t="shared" si="718"/>
        <v>51</v>
      </c>
      <c r="L1491">
        <f t="shared" ca="1" si="719"/>
        <v>0.05</v>
      </c>
      <c r="M1491">
        <f t="shared" ca="1" si="692"/>
        <v>0.26</v>
      </c>
      <c r="N1491">
        <f t="shared" ca="1" si="693"/>
        <v>4.9056603773584909E-2</v>
      </c>
      <c r="O1491">
        <f t="shared" ca="1" si="694"/>
        <v>196.15384615384616</v>
      </c>
      <c r="P1491">
        <f t="shared" ca="1" si="695"/>
        <v>631.94149999999991</v>
      </c>
      <c r="Q1491">
        <f t="shared" ca="1" si="696"/>
        <v>2593.0185316486622</v>
      </c>
      <c r="R1491">
        <f t="shared" ca="1" si="697"/>
        <v>482.07306851378365</v>
      </c>
      <c r="S1491">
        <f t="shared" ca="1" si="698"/>
        <v>280.07692026646265</v>
      </c>
      <c r="T1491">
        <f t="shared" ca="1" si="699"/>
        <v>1019.7665564573041</v>
      </c>
      <c r="U1491">
        <f t="shared" ca="1" si="720"/>
        <v>-482.25887083179032</v>
      </c>
      <c r="V1491">
        <f t="shared" ca="1" si="721"/>
        <v>0</v>
      </c>
      <c r="W1491">
        <f t="shared" ca="1" si="700"/>
        <v>1.6871021387454441</v>
      </c>
      <c r="X1491">
        <f t="shared" ca="1" si="701"/>
        <v>8.7729311214763097</v>
      </c>
      <c r="Y1491">
        <f t="shared" ca="1" si="702"/>
        <v>1.0231772929071823</v>
      </c>
      <c r="Z1491">
        <f t="shared" ca="1" si="703"/>
        <v>5.8133364201561992</v>
      </c>
      <c r="AA1491">
        <f t="shared" ca="1" si="704"/>
        <v>633.5786021387454</v>
      </c>
      <c r="AB1491">
        <f t="shared" ca="1" si="705"/>
        <v>635.30107310377673</v>
      </c>
      <c r="AC1491">
        <f t="shared" ca="1" si="706"/>
        <v>7.3750602603701448E-3</v>
      </c>
      <c r="AD1491">
        <f t="shared" ca="1" si="707"/>
        <v>1.4289606343063186</v>
      </c>
      <c r="AE1491">
        <f t="shared" ca="1" si="708"/>
        <v>37.622653698979768</v>
      </c>
      <c r="AF1491">
        <f t="shared" ca="1" si="709"/>
        <v>7.0386950020520089E-3</v>
      </c>
      <c r="AG1491">
        <f t="shared" ca="1" si="710"/>
        <v>0</v>
      </c>
      <c r="AH1491">
        <f ca="1">IF(V32="Supercritical",L1491,IF(V32="Subcritical",W1491,IF(AND(V1491=1,AG1491=1),IF(T1491&gt;=AE1491,L1491,W1491),IF(V1491=1,L1491,IF(AG1491=1,W1491,MAX($D$16,POWER((ABS(K1491)^2)/($I$5*MAX(F1491,0.1)^2),1/3)))))))</f>
        <v>2.1403668656741068</v>
      </c>
      <c r="AI1491">
        <f t="shared" ca="1" si="711"/>
        <v>634.03186686567403</v>
      </c>
      <c r="AJ1491">
        <f t="shared" ca="1" si="712"/>
        <v>635.10205029851113</v>
      </c>
      <c r="AM1491">
        <v>0</v>
      </c>
      <c r="AN1491">
        <v>0</v>
      </c>
      <c r="AO1491">
        <f t="shared" si="713"/>
        <v>0</v>
      </c>
      <c r="AP1491">
        <f t="shared" si="722"/>
        <v>0</v>
      </c>
      <c r="AQ1491">
        <f t="shared" ca="1" si="714"/>
        <v>0.99999999999999978</v>
      </c>
      <c r="AR1491" t="str">
        <f t="shared" ca="1" si="715"/>
        <v>Supercritical</v>
      </c>
      <c r="AS1491">
        <f t="shared" ca="1" si="716"/>
        <v>3.8148159832266538E-3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191</v>
      </c>
      <c r="I1492">
        <v>5.7000000000000002E-2</v>
      </c>
      <c r="J1492">
        <f t="shared" si="717"/>
        <v>1</v>
      </c>
      <c r="K1492">
        <f t="shared" si="718"/>
        <v>51</v>
      </c>
      <c r="L1492">
        <f t="shared" ca="1" si="719"/>
        <v>0.05</v>
      </c>
      <c r="M1492">
        <f t="shared" ca="1" si="692"/>
        <v>0.26</v>
      </c>
      <c r="N1492">
        <f t="shared" ca="1" si="693"/>
        <v>4.9056603773584909E-2</v>
      </c>
      <c r="O1492">
        <f t="shared" ca="1" si="694"/>
        <v>196.15384615384616</v>
      </c>
      <c r="P1492">
        <f t="shared" ca="1" si="695"/>
        <v>631.94099999999992</v>
      </c>
      <c r="Q1492">
        <f t="shared" ca="1" si="696"/>
        <v>2593.0180316486621</v>
      </c>
      <c r="R1492">
        <f t="shared" ca="1" si="697"/>
        <v>482.07306851378365</v>
      </c>
      <c r="S1492">
        <f t="shared" ca="1" si="698"/>
        <v>280.07692026646265</v>
      </c>
      <c r="T1492">
        <f t="shared" ca="1" si="699"/>
        <v>1019.7665564573041</v>
      </c>
      <c r="U1492">
        <f t="shared" ca="1" si="720"/>
        <v>-482.25887083179032</v>
      </c>
      <c r="V1492">
        <f t="shared" ca="1" si="721"/>
        <v>0</v>
      </c>
      <c r="W1492">
        <f t="shared" ca="1" si="700"/>
        <v>1.6873429891380147</v>
      </c>
      <c r="X1492">
        <f t="shared" ca="1" si="701"/>
        <v>8.774183543517676</v>
      </c>
      <c r="Y1492">
        <f t="shared" ca="1" si="702"/>
        <v>1.0232658741961016</v>
      </c>
      <c r="Z1492">
        <f t="shared" ca="1" si="703"/>
        <v>5.8125066277737663</v>
      </c>
      <c r="AA1492">
        <f t="shared" ca="1" si="704"/>
        <v>633.57834298913792</v>
      </c>
      <c r="AB1492">
        <f t="shared" ca="1" si="705"/>
        <v>635.30032226018352</v>
      </c>
      <c r="AC1492">
        <f t="shared" ca="1" si="706"/>
        <v>7.3721039906214491E-3</v>
      </c>
      <c r="AD1492">
        <f t="shared" ca="1" si="707"/>
        <v>1.4286546916644038</v>
      </c>
      <c r="AE1492">
        <f t="shared" ca="1" si="708"/>
        <v>37.620452908355439</v>
      </c>
      <c r="AF1492">
        <f t="shared" ca="1" si="709"/>
        <v>6.8647318865941998E-3</v>
      </c>
      <c r="AG1492">
        <f t="shared" ca="1" si="710"/>
        <v>0</v>
      </c>
      <c r="AH1492">
        <f ca="1">IF(V32="Supercritical",L1492,IF(V32="Subcritical",W1492,IF(AND(V1492=1,AG1492=1),IF(T1492&gt;=AE1492,L1492,W1492),IF(V1492=1,L1492,IF(AG1492=1,W1492,MAX($D$16,POWER((ABS(K1492)^2)/($I$5*MAX(F1492,0.1)^2),1/3)))))))</f>
        <v>2.1403668656741068</v>
      </c>
      <c r="AI1492">
        <f t="shared" ca="1" si="711"/>
        <v>634.03136686567404</v>
      </c>
      <c r="AJ1492">
        <f t="shared" ca="1" si="712"/>
        <v>635.10155029851114</v>
      </c>
      <c r="AM1492">
        <v>0</v>
      </c>
      <c r="AN1492">
        <v>0</v>
      </c>
      <c r="AO1492">
        <f t="shared" si="713"/>
        <v>0</v>
      </c>
      <c r="AP1492">
        <f t="shared" si="722"/>
        <v>0</v>
      </c>
      <c r="AQ1492">
        <f t="shared" ca="1" si="714"/>
        <v>0.99999999999999978</v>
      </c>
      <c r="AR1492" t="str">
        <f t="shared" ca="1" si="715"/>
        <v>Supercritical</v>
      </c>
      <c r="AS1492">
        <f t="shared" ca="1" si="716"/>
        <v>3.8148159832266538E-3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191</v>
      </c>
      <c r="I1493">
        <v>0</v>
      </c>
      <c r="J1493">
        <f t="shared" si="717"/>
        <v>0.99899999999979627</v>
      </c>
      <c r="K1493">
        <f t="shared" si="718"/>
        <v>51</v>
      </c>
      <c r="L1493">
        <f t="shared" ca="1" si="719"/>
        <v>0.05</v>
      </c>
      <c r="M1493">
        <f t="shared" ca="1" si="692"/>
        <v>0.26</v>
      </c>
      <c r="N1493">
        <f t="shared" ca="1" si="693"/>
        <v>4.9056603773584909E-2</v>
      </c>
      <c r="O1493">
        <f t="shared" ca="1" si="694"/>
        <v>196.15384615384616</v>
      </c>
      <c r="P1493">
        <f t="shared" ca="1" si="695"/>
        <v>631.94049999999993</v>
      </c>
      <c r="Q1493">
        <f t="shared" ca="1" si="696"/>
        <v>2593.017531648662</v>
      </c>
      <c r="R1493">
        <f t="shared" ca="1" si="697"/>
        <v>482.07306851378365</v>
      </c>
      <c r="S1493">
        <f t="shared" ca="1" si="698"/>
        <v>280.07692026646265</v>
      </c>
      <c r="T1493">
        <f t="shared" ca="1" si="699"/>
        <v>1019.7665564573041</v>
      </c>
      <c r="U1493">
        <f t="shared" ca="1" si="720"/>
        <v>-481.59049544517165</v>
      </c>
      <c r="V1493">
        <f t="shared" ca="1" si="721"/>
        <v>0</v>
      </c>
      <c r="W1493">
        <f t="shared" ca="1" si="700"/>
        <v>1.6875477119716997</v>
      </c>
      <c r="X1493">
        <f t="shared" ca="1" si="701"/>
        <v>8.7752481022528386</v>
      </c>
      <c r="Y1493">
        <f t="shared" ca="1" si="702"/>
        <v>1.0233411604669229</v>
      </c>
      <c r="Z1493">
        <f t="shared" ca="1" si="703"/>
        <v>5.8118014904794482</v>
      </c>
      <c r="AA1493">
        <f t="shared" ca="1" si="704"/>
        <v>633.57804771197164</v>
      </c>
      <c r="AB1493">
        <f t="shared" ca="1" si="705"/>
        <v>635.29960920864539</v>
      </c>
      <c r="AC1493">
        <f t="shared" ca="1" si="706"/>
        <v>7.3695924622165761E-3</v>
      </c>
      <c r="AD1493">
        <f t="shared" ca="1" si="707"/>
        <v>1.4283947262446093</v>
      </c>
      <c r="AE1493">
        <f t="shared" ca="1" si="708"/>
        <v>37.618583441666296</v>
      </c>
      <c r="AF1493">
        <f t="shared" ca="1" si="709"/>
        <v>6.8695924621806626E-3</v>
      </c>
      <c r="AG1493">
        <f t="shared" ca="1" si="710"/>
        <v>0</v>
      </c>
      <c r="AH1493">
        <f ca="1">IF(V32="Supercritical",L1493,IF(V32="Subcritical",W1493,IF(AND(V1493=1,AG1493=1),IF(T1493&gt;=AE1493,L1493,W1493),IF(V1493=1,L1493,IF(AG1493=1,W1493,MAX($D$16,POWER((ABS(K1493)^2)/($I$5*MAX(F1493,0.1)^2),1/3)))))))</f>
        <v>2.1403668656741068</v>
      </c>
      <c r="AI1493">
        <f t="shared" ca="1" si="711"/>
        <v>634.03086686567406</v>
      </c>
      <c r="AJ1493">
        <f t="shared" ca="1" si="712"/>
        <v>635.10105029851115</v>
      </c>
      <c r="AM1493">
        <v>0</v>
      </c>
      <c r="AN1493">
        <v>0</v>
      </c>
      <c r="AO1493">
        <f t="shared" si="713"/>
        <v>0</v>
      </c>
      <c r="AP1493">
        <f t="shared" si="722"/>
        <v>0</v>
      </c>
      <c r="AQ1493">
        <f t="shared" ca="1" si="714"/>
        <v>0.99999999999999978</v>
      </c>
      <c r="AR1493" t="str">
        <f t="shared" ca="1" si="715"/>
        <v>Supercritical</v>
      </c>
      <c r="AS1493">
        <f t="shared" ca="1" si="716"/>
        <v>3.8148159832266538E-3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191</v>
      </c>
      <c r="I1494">
        <v>0</v>
      </c>
      <c r="J1494">
        <f t="shared" si="717"/>
        <v>1</v>
      </c>
      <c r="K1494">
        <f t="shared" si="718"/>
        <v>51</v>
      </c>
      <c r="L1494">
        <f t="shared" ca="1" si="719"/>
        <v>0.05</v>
      </c>
      <c r="M1494">
        <f t="shared" ref="M1494:M1533" ca="1" si="723">((F1494)+(G1494)*(L1494))*(L1494)</f>
        <v>0.26</v>
      </c>
      <c r="N1494">
        <f t="shared" ref="N1494:N1533" ca="1" si="724">(((F1494)+(G1494)*(L1494))*(L1494))/MAX((F1494)+2*(L1494)*SQRT(1+(G1494)^2),0.000001)</f>
        <v>4.9056603773584909E-2</v>
      </c>
      <c r="O1494">
        <f t="shared" ref="O1494:O1533" ca="1" si="725">ABS(K1494)/MAX(((F1494)+(G1494)*(L1494))*(L1494),0.000001)</f>
        <v>196.15384615384616</v>
      </c>
      <c r="P1494">
        <f t="shared" ref="P1494:P1533" ca="1" si="726">E1494+L1494</f>
        <v>631.93999999999994</v>
      </c>
      <c r="Q1494">
        <f t="shared" ref="Q1494:Q1533" ca="1" si="727">P1494+((ABS(K1494)/MAX(((F1494)+(G1494)*(L1494))*(L1494),0.000001))^2)/(2*$I$5)</f>
        <v>2593.0170316486619</v>
      </c>
      <c r="R1494">
        <f t="shared" ref="R1494:R1533" ca="1" si="728">((ABS(K1494)*$D$6)/(MAX(((F1494)+(G1494)*(L1494))*(L1494),0.000001)*MAX(((((F1494)+(G1494)*(L1494))*(L1494))/MAX((F1494)+2*(L1494)*SQRT(1+(G1494)^2),0.000001))^(2/3),0.000001)))^2</f>
        <v>482.07306851378365</v>
      </c>
      <c r="S1494">
        <f t="shared" ref="S1494:S1533" ca="1" si="729">ABS(ABS(K1494)/MAX(((F1494)+(G1494)*(L1494))*(L1494),0.000001))/SQRT($I$5*MAX((((F1494)+(G1494)*(L1494))*(L1494))/MAX((F1494)+2*(G1494)*(L1494),0.000001),0.000001))</f>
        <v>280.07692026646265</v>
      </c>
      <c r="T1494">
        <f t="shared" ref="T1494:T1533" ca="1" si="730">((F1494)*(L1494)^2)/2+(G1494)*(L1494)^3/3+(ABS(K1494)^2)/($I$5*MAX(((F1494)+(G1494)*(L1494))*(L1494),0.000001))</f>
        <v>1019.7665564573041</v>
      </c>
      <c r="U1494">
        <f t="shared" ca="1" si="720"/>
        <v>-482.07256851378361</v>
      </c>
      <c r="V1494">
        <f t="shared" ca="1" si="721"/>
        <v>0</v>
      </c>
      <c r="W1494">
        <f t="shared" ref="W1494:W1532" ca="1" si="731">IF(OR($D$20=0,AG1495=0),W1495,IF(OR(W1494=0,AD1495&gt;1),MAX($D$16,POWER((ABS(K1494)^2)/($I$5*MAX(F1494,0.1)^2),1/3)),IF(AF1494&gt;0,MAX($D$16,W1494+((AF1494)*$D$18*IF((AD1494)&lt;1,1,-1))),IF(AF1494&lt;0,IF(ABS((MAX($D$16,POWER((ABS(K1494)^2)/($I$5*MAX(F1494,0.1)^2),1/3)))-W1494)&gt;$D$19,MAX($D$16,W1494+($D$18*((MAX($D$16,POWER((ABS(K1494)^2)/($I$5*MAX(F1494,0.1)^2),1/3)))-W1494))),MAX($D$16,POWER((ABS(K1494)^2)/($I$5*MAX(F1494,0.1)^2),1/3))),W1494))))</f>
        <v>1.6877217263803319</v>
      </c>
      <c r="X1494">
        <f t="shared" ref="X1494:X1533" ca="1" si="732">((F1494)+(G1494)*(W1494))*(W1494)</f>
        <v>8.7761529771777269</v>
      </c>
      <c r="Y1494">
        <f t="shared" ref="Y1494:Y1533" ca="1" si="733">(((F1494)+(G1494)*(W1494))*(W1494))/MAX((F1494)+2*(W1494)*SQRT(1+(G1494)^2),0.000001)</f>
        <v>1.0234051481445485</v>
      </c>
      <c r="Z1494">
        <f t="shared" ref="Z1494:Z1533" ca="1" si="734">ABS(K1494)/MAX(((F1494)+(G1494)*(W1494))*(W1494),0.000001)</f>
        <v>5.8112022582816003</v>
      </c>
      <c r="AA1494">
        <f t="shared" ref="AA1494:AA1533" ca="1" si="735">E1494+W1494</f>
        <v>633.57772172638033</v>
      </c>
      <c r="AB1494">
        <f t="shared" ref="AB1494:AB1533" ca="1" si="736">AA1494+((ABS(K1494)/MAX(((F1494)+(G1494)*(W1494))*(W1494),0.000001))^2)/(2*$I$5)</f>
        <v>635.29892823436489</v>
      </c>
      <c r="AC1494">
        <f t="shared" ref="AC1494:AC1533" ca="1" si="737">((ABS(K1494)*$D$6)/(MAX(((F1494)+(G1494)*(W1494))*(W1494),0.000001)*MAX(((((F1494)+(G1494)*(W1494))*(W1494))/MAX((F1494)+2*(W1494)*SQRT(1+(G1494)^2),0.000001))^(2/3),0.000001)))^2</f>
        <v>7.367458602385058E-3</v>
      </c>
      <c r="AD1494">
        <f t="shared" ref="AD1494:AD1533" ca="1" si="738">ABS(ABS(K1494)/MAX(((F1494)+(G1494)*(W1494))*(W1494),0.000001))/SQRT($I$5*MAX((((F1494)+(G1494)*(W1494))*(W1494))/MAX((F1494)+2*(G1494)*(W1494),0.000001),0.000001))</f>
        <v>1.4281738176203909</v>
      </c>
      <c r="AE1494">
        <f t="shared" ref="AE1494:AE1533" ca="1" si="739">((F1494)*(W1494)^2)/2+(G1494)*(W1494)^3/3+(ABS(K1494)^2)/($I$5*MAX(((F1494)+(G1494)*(W1494))*(W1494),0.000001))</f>
        <v>37.616995265582986</v>
      </c>
      <c r="AF1494">
        <f t="shared" ref="AF1494:AF1532" ca="1" si="740">AB1495+(((AC1494+AC1495)/2)*J1495)+(IF(Z1494&gt;Z1495,$D$8*((Z1494^2-Z1495^2)/(2*$I$5)),$D$9*((Z1495^2-Z1494^2)/(2*$I$5)))+($D$10*(ABS(I1495)/90)*(MAX(Z1494^2,Z1495^2)/(2*$I$5))))-AB1494</f>
        <v>7.0309732207078923E-3</v>
      </c>
      <c r="AG1494">
        <f t="shared" ref="AG1494:AG1532" ca="1" si="741">IF(ROUND(AD1494,3)=1,1,IF(AND(ABS(AF1494)&lt;$D$19,AD1494&lt;1),1,0))</f>
        <v>0</v>
      </c>
      <c r="AH1494">
        <f ca="1">IF(V32="Supercritical",L1494,IF(V32="Subcritical",W1494,IF(AND(V1494=1,AG1494=1),IF(T1494&gt;=AE1494,L1494,W1494),IF(V1494=1,L1494,IF(AG1494=1,W1494,MAX($D$16,POWER((ABS(K1494)^2)/($I$5*MAX(F1494,0.1)^2),1/3)))))))</f>
        <v>2.1403668656741068</v>
      </c>
      <c r="AI1494">
        <f t="shared" ref="AI1494:AI1533" ca="1" si="742">E1494+AH1494</f>
        <v>634.03036686567407</v>
      </c>
      <c r="AJ1494">
        <f t="shared" ref="AJ1494:AJ1533" ca="1" si="743">AI1494+((ABS(K1494)/MAX(((F1494)+(G1494)*(AH1494))*(AH1494),0.000001))^2)/(2*$I$5)</f>
        <v>635.10055029851117</v>
      </c>
      <c r="AM1494">
        <v>0</v>
      </c>
      <c r="AN1494">
        <v>0</v>
      </c>
      <c r="AO1494">
        <f t="shared" ref="AO1494:AO1533" si="744">AM1494+AN1494</f>
        <v>0</v>
      </c>
      <c r="AP1494">
        <f t="shared" si="722"/>
        <v>0</v>
      </c>
      <c r="AQ1494">
        <f t="shared" ref="AQ1494:AQ1533" ca="1" si="745">ABS(ABS(K1494)/MAX(((F1494)+(G1494)*(AH1494))*(AH1494),0.000001))/SQRT($I$5*MAX((((F1494)+(G1494)*(AH1494))*(AH1494))/MAX((F1494)+2*(G1494)*(AH1494),0.000001),0.000001))</f>
        <v>0.99999999999999978</v>
      </c>
      <c r="AR1494" t="str">
        <f t="shared" ref="AR1494:AR1533" ca="1" si="746">IF(AQ1494&lt;1,"Subcritical","Supercritical")</f>
        <v>Supercritical</v>
      </c>
      <c r="AS1494">
        <f t="shared" ref="AS1494:AS1533" ca="1" si="747">((ABS(K1494)*$D$6)/(MAX(((F1494)+(G1494)*(AH1494))*(AH1494),0.000001)*MAX(((((F1494)+(G1494)*(AH1494))*(AH1494))/MAX((F1494)+2*(AH1494)*SQRT(1+(G1494)^2),0.000001))^(2/3),0.000001)))^2</f>
        <v>3.8148159832266538E-3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191</v>
      </c>
      <c r="I1495">
        <v>5.7000000000000002E-2</v>
      </c>
      <c r="J1495">
        <f t="shared" ref="J1495:J1533" si="748">B1495-B1494</f>
        <v>1</v>
      </c>
      <c r="K1495">
        <f t="shared" ref="K1495:K1533" si="749">MAX(0,K1494-AO1494)</f>
        <v>51</v>
      </c>
      <c r="L1495">
        <f t="shared" ref="L1495:L1533" ca="1" si="750">IF(OR($D$20=0,V1494=0),L1494,IF(OR(L1495=0,S1494&lt;1,S1495&lt;1),MAX($D$16,POWER((ABS(K1495)^2)/($I$5*MAX(F1495,0.1)^2),1/3)),IF(U1495&gt;0,MAX($D$16,L1495+((U1495)*$D$18*IF((S1495)&lt;1,1,-1))),IF(U1495&lt;0,IF(ABS((MAX($D$16,POWER((ABS(K1495)^2)/($I$5*MAX(F1495,0.1)^2),1/3)))-L1495)&gt;$D$19,MAX($D$16,L1495+($D$18*((MAX($D$16,POWER((ABS(K1495)^2)/($I$5*MAX(F1495,0.1)^2),1/3)))-L1495))),MAX($D$16,POWER((ABS(K1495)^2)/($I$5*MAX(F1495,0.1)^2),1/3))),L1495))))</f>
        <v>0.05</v>
      </c>
      <c r="M1495">
        <f t="shared" ca="1" si="723"/>
        <v>0.26</v>
      </c>
      <c r="N1495">
        <f t="shared" ca="1" si="724"/>
        <v>4.9056603773584909E-2</v>
      </c>
      <c r="O1495">
        <f t="shared" ca="1" si="725"/>
        <v>196.15384615384616</v>
      </c>
      <c r="P1495">
        <f t="shared" ca="1" si="726"/>
        <v>631.93949999999995</v>
      </c>
      <c r="Q1495">
        <f t="shared" ca="1" si="727"/>
        <v>2593.0165316486618</v>
      </c>
      <c r="R1495">
        <f t="shared" ca="1" si="728"/>
        <v>482.07306851378365</v>
      </c>
      <c r="S1495">
        <f t="shared" ca="1" si="729"/>
        <v>280.07692026646265</v>
      </c>
      <c r="T1495">
        <f t="shared" ca="1" si="730"/>
        <v>1019.7665564573041</v>
      </c>
      <c r="U1495">
        <f t="shared" ref="U1495:U1533" ca="1" si="751">Q1494-(((R1494+R1495)/2)*J1495)-(IF(O1494&gt;O1495,$D$8*((O1494^2-O1495^2)/(2*$I$5)),$D$9*((O1495^2-O1494^2)/(2*$I$5)))+($D$10*(ABS(I1495)/90)*(MAX(O1494^2,O1495^2)/(2*$I$5))))-Q1495</f>
        <v>-482.25887083179032</v>
      </c>
      <c r="V1495">
        <f t="shared" ref="V1495:V1533" ca="1" si="752">IF(ROUND(S1495,3)=1,1,IF(AND(ABS(U1495)&lt;$D$19,S1495&gt;1),1,0))</f>
        <v>0</v>
      </c>
      <c r="W1495">
        <f t="shared" ca="1" si="731"/>
        <v>1.7556184972743982</v>
      </c>
      <c r="X1495">
        <f t="shared" ca="1" si="732"/>
        <v>9.1292161858268717</v>
      </c>
      <c r="Y1495">
        <f t="shared" ca="1" si="733"/>
        <v>1.0479816117435024</v>
      </c>
      <c r="Z1495">
        <f t="shared" ca="1" si="734"/>
        <v>5.5864598846040705</v>
      </c>
      <c r="AA1495">
        <f t="shared" ca="1" si="735"/>
        <v>633.64511849727444</v>
      </c>
      <c r="AB1495">
        <f t="shared" ca="1" si="736"/>
        <v>635.23576753103032</v>
      </c>
      <c r="AC1495">
        <f t="shared" ca="1" si="737"/>
        <v>6.5965623329931758E-3</v>
      </c>
      <c r="AD1495">
        <f t="shared" ca="1" si="738"/>
        <v>1.3461303216244902</v>
      </c>
      <c r="AE1495">
        <f t="shared" ca="1" si="739"/>
        <v>37.056468210595497</v>
      </c>
      <c r="AF1495">
        <f t="shared" ca="1" si="740"/>
        <v>6.247673991197189E-3</v>
      </c>
      <c r="AG1495">
        <f t="shared" ca="1" si="741"/>
        <v>0</v>
      </c>
      <c r="AH1495">
        <f ca="1">IF(V32="Supercritical",L1495,IF(V32="Subcritical",W1495,IF(AND(V1495=1,AG1495=1),IF(T1495&gt;=AE1495,L1495,W1495),IF(V1495=1,L1495,IF(AG1495=1,W1495,MAX($D$16,POWER((ABS(K1495)^2)/($I$5*MAX(F1495,0.1)^2),1/3)))))))</f>
        <v>2.1403668656741068</v>
      </c>
      <c r="AI1495">
        <f t="shared" ca="1" si="742"/>
        <v>634.02986686567408</v>
      </c>
      <c r="AJ1495">
        <f t="shared" ca="1" si="743"/>
        <v>635.10005029851118</v>
      </c>
      <c r="AM1495">
        <v>0</v>
      </c>
      <c r="AN1495">
        <v>0</v>
      </c>
      <c r="AO1495">
        <f t="shared" si="744"/>
        <v>0</v>
      </c>
      <c r="AP1495">
        <f t="shared" ref="AP1495:AP1533" si="753">AP1494+AO1495</f>
        <v>0</v>
      </c>
      <c r="AQ1495">
        <f t="shared" ca="1" si="745"/>
        <v>0.99999999999999978</v>
      </c>
      <c r="AR1495" t="str">
        <f t="shared" ca="1" si="746"/>
        <v>Supercritical</v>
      </c>
      <c r="AS1495">
        <f t="shared" ca="1" si="747"/>
        <v>3.8148159832266538E-3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191</v>
      </c>
      <c r="I1496">
        <v>5.7000000000000002E-2</v>
      </c>
      <c r="J1496">
        <f t="shared" si="748"/>
        <v>1</v>
      </c>
      <c r="K1496">
        <f t="shared" si="749"/>
        <v>51</v>
      </c>
      <c r="L1496">
        <f t="shared" ca="1" si="750"/>
        <v>0.05</v>
      </c>
      <c r="M1496">
        <f t="shared" ca="1" si="723"/>
        <v>0.26</v>
      </c>
      <c r="N1496">
        <f t="shared" ca="1" si="724"/>
        <v>4.9056603773584909E-2</v>
      </c>
      <c r="O1496">
        <f t="shared" ca="1" si="725"/>
        <v>196.15384615384616</v>
      </c>
      <c r="P1496">
        <f t="shared" ca="1" si="726"/>
        <v>631.93899999999996</v>
      </c>
      <c r="Q1496">
        <f t="shared" ca="1" si="727"/>
        <v>2593.0160316486622</v>
      </c>
      <c r="R1496">
        <f t="shared" ca="1" si="728"/>
        <v>482.07306851378365</v>
      </c>
      <c r="S1496">
        <f t="shared" ca="1" si="729"/>
        <v>280.07692026646265</v>
      </c>
      <c r="T1496">
        <f t="shared" ca="1" si="730"/>
        <v>1019.7665564573041</v>
      </c>
      <c r="U1496">
        <f t="shared" ca="1" si="751"/>
        <v>-482.25887083179077</v>
      </c>
      <c r="V1496">
        <f t="shared" ca="1" si="752"/>
        <v>0</v>
      </c>
      <c r="W1496">
        <f t="shared" ca="1" si="731"/>
        <v>1.8133307525343545</v>
      </c>
      <c r="X1496">
        <f t="shared" ca="1" si="732"/>
        <v>9.4293199131786434</v>
      </c>
      <c r="Y1496">
        <f t="shared" ca="1" si="733"/>
        <v>1.068277049908831</v>
      </c>
      <c r="Z1496">
        <f t="shared" ca="1" si="734"/>
        <v>5.4086615439488037</v>
      </c>
      <c r="AA1496">
        <f t="shared" ca="1" si="735"/>
        <v>633.70233075253441</v>
      </c>
      <c r="AB1496">
        <f t="shared" ca="1" si="736"/>
        <v>635.19334093077043</v>
      </c>
      <c r="AC1496">
        <f t="shared" ca="1" si="737"/>
        <v>6.0272184375172186E-3</v>
      </c>
      <c r="AD1496">
        <f t="shared" ca="1" si="738"/>
        <v>1.282380154486628</v>
      </c>
      <c r="AE1496">
        <f t="shared" ca="1" si="739"/>
        <v>36.667661815811528</v>
      </c>
      <c r="AF1496">
        <f t="shared" ca="1" si="740"/>
        <v>5.5272184375780853E-3</v>
      </c>
      <c r="AG1496">
        <f t="shared" ca="1" si="741"/>
        <v>0</v>
      </c>
      <c r="AH1496">
        <f ca="1">IF(V32="Supercritical",L1496,IF(V32="Subcritical",W1496,IF(AND(V1496=1,AG1496=1),IF(T1496&gt;=AE1496,L1496,W1496),IF(V1496=1,L1496,IF(AG1496=1,W1496,MAX($D$16,POWER((ABS(K1496)^2)/($I$5*MAX(F1496,0.1)^2),1/3)))))))</f>
        <v>2.1403668656741068</v>
      </c>
      <c r="AI1496">
        <f t="shared" ca="1" si="742"/>
        <v>634.02936686567409</v>
      </c>
      <c r="AJ1496">
        <f t="shared" ca="1" si="743"/>
        <v>635.09955029851119</v>
      </c>
      <c r="AM1496">
        <v>0</v>
      </c>
      <c r="AN1496">
        <v>0</v>
      </c>
      <c r="AO1496">
        <f t="shared" si="744"/>
        <v>0</v>
      </c>
      <c r="AP1496">
        <f t="shared" si="753"/>
        <v>0</v>
      </c>
      <c r="AQ1496">
        <f t="shared" ca="1" si="745"/>
        <v>0.99999999999999978</v>
      </c>
      <c r="AR1496" t="str">
        <f t="shared" ca="1" si="746"/>
        <v>Supercritical</v>
      </c>
      <c r="AS1496">
        <f t="shared" ca="1" si="747"/>
        <v>3.8148159832266538E-3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191</v>
      </c>
      <c r="I1497">
        <v>0</v>
      </c>
      <c r="J1497">
        <f t="shared" si="748"/>
        <v>1</v>
      </c>
      <c r="K1497">
        <f t="shared" si="749"/>
        <v>51</v>
      </c>
      <c r="L1497">
        <f t="shared" ca="1" si="750"/>
        <v>0.05</v>
      </c>
      <c r="M1497">
        <f t="shared" ca="1" si="723"/>
        <v>0.26</v>
      </c>
      <c r="N1497">
        <f t="shared" ca="1" si="724"/>
        <v>4.9056603773584909E-2</v>
      </c>
      <c r="O1497">
        <f t="shared" ca="1" si="725"/>
        <v>196.15384615384616</v>
      </c>
      <c r="P1497">
        <f t="shared" ca="1" si="726"/>
        <v>631.93849999999998</v>
      </c>
      <c r="Q1497">
        <f t="shared" ca="1" si="727"/>
        <v>2593.0155316486621</v>
      </c>
      <c r="R1497">
        <f t="shared" ca="1" si="728"/>
        <v>482.07306851378365</v>
      </c>
      <c r="S1497">
        <f t="shared" ca="1" si="729"/>
        <v>280.07692026646265</v>
      </c>
      <c r="T1497">
        <f t="shared" ca="1" si="730"/>
        <v>1019.7665564573041</v>
      </c>
      <c r="U1497">
        <f t="shared" ca="1" si="751"/>
        <v>-482.07256851378361</v>
      </c>
      <c r="V1497">
        <f t="shared" ca="1" si="752"/>
        <v>0</v>
      </c>
      <c r="W1497">
        <f t="shared" ca="1" si="731"/>
        <v>1.8623861695053174</v>
      </c>
      <c r="X1497">
        <f t="shared" ca="1" si="732"/>
        <v>9.6844080814276516</v>
      </c>
      <c r="Y1497">
        <f t="shared" ca="1" si="733"/>
        <v>1.0851154195941346</v>
      </c>
      <c r="Z1497">
        <f t="shared" ca="1" si="734"/>
        <v>5.2661969189222457</v>
      </c>
      <c r="AA1497">
        <f t="shared" ca="1" si="735"/>
        <v>633.75088616950529</v>
      </c>
      <c r="AB1497">
        <f t="shared" ca="1" si="736"/>
        <v>635.16438413020182</v>
      </c>
      <c r="AC1497">
        <f t="shared" ca="1" si="737"/>
        <v>5.595971073524459E-3</v>
      </c>
      <c r="AD1497">
        <f t="shared" ca="1" si="738"/>
        <v>1.2320482666366357</v>
      </c>
      <c r="AE1497">
        <f t="shared" ca="1" si="739"/>
        <v>36.395835982650382</v>
      </c>
      <c r="AF1497">
        <f t="shared" ca="1" si="740"/>
        <v>5.0959710735014596E-3</v>
      </c>
      <c r="AG1497">
        <f t="shared" ca="1" si="741"/>
        <v>0</v>
      </c>
      <c r="AH1497">
        <f ca="1">IF(V32="Supercritical",L1497,IF(V32="Subcritical",W1497,IF(AND(V1497=1,AG1497=1),IF(T1497&gt;=AE1497,L1497,W1497),IF(V1497=1,L1497,IF(AG1497=1,W1497,MAX($D$16,POWER((ABS(K1497)^2)/($I$5*MAX(F1497,0.1)^2),1/3)))))))</f>
        <v>2.1403668656741068</v>
      </c>
      <c r="AI1497">
        <f t="shared" ca="1" si="742"/>
        <v>634.0288668656741</v>
      </c>
      <c r="AJ1497">
        <f t="shared" ca="1" si="743"/>
        <v>635.0990502985112</v>
      </c>
      <c r="AM1497">
        <v>0</v>
      </c>
      <c r="AN1497">
        <v>0</v>
      </c>
      <c r="AO1497">
        <f t="shared" si="744"/>
        <v>0</v>
      </c>
      <c r="AP1497">
        <f t="shared" si="753"/>
        <v>0</v>
      </c>
      <c r="AQ1497">
        <f t="shared" ca="1" si="745"/>
        <v>0.99999999999999978</v>
      </c>
      <c r="AR1497" t="str">
        <f t="shared" ca="1" si="746"/>
        <v>Supercritical</v>
      </c>
      <c r="AS1497">
        <f t="shared" ca="1" si="747"/>
        <v>3.8148159832266538E-3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191</v>
      </c>
      <c r="I1498">
        <v>0</v>
      </c>
      <c r="J1498">
        <f t="shared" si="748"/>
        <v>1</v>
      </c>
      <c r="K1498">
        <f t="shared" si="749"/>
        <v>51</v>
      </c>
      <c r="L1498">
        <f t="shared" ca="1" si="750"/>
        <v>0.05</v>
      </c>
      <c r="M1498">
        <f t="shared" ca="1" si="723"/>
        <v>0.26</v>
      </c>
      <c r="N1498">
        <f t="shared" ca="1" si="724"/>
        <v>4.9056603773584909E-2</v>
      </c>
      <c r="O1498">
        <f t="shared" ca="1" si="725"/>
        <v>196.15384615384616</v>
      </c>
      <c r="P1498">
        <f t="shared" ca="1" si="726"/>
        <v>631.93799999999999</v>
      </c>
      <c r="Q1498">
        <f t="shared" ca="1" si="727"/>
        <v>2593.015031648662</v>
      </c>
      <c r="R1498">
        <f t="shared" ca="1" si="728"/>
        <v>482.07306851378365</v>
      </c>
      <c r="S1498">
        <f t="shared" ca="1" si="729"/>
        <v>280.07692026646265</v>
      </c>
      <c r="T1498">
        <f t="shared" ca="1" si="730"/>
        <v>1019.7665564573041</v>
      </c>
      <c r="U1498">
        <f t="shared" ca="1" si="751"/>
        <v>-482.07256851378361</v>
      </c>
      <c r="V1498">
        <f t="shared" ca="1" si="752"/>
        <v>0</v>
      </c>
      <c r="W1498">
        <f t="shared" ca="1" si="731"/>
        <v>1.9040832739306359</v>
      </c>
      <c r="X1498">
        <f t="shared" ca="1" si="732"/>
        <v>9.901233024439307</v>
      </c>
      <c r="Y1498">
        <f t="shared" ca="1" si="733"/>
        <v>1.0991396497648089</v>
      </c>
      <c r="Z1498">
        <f t="shared" ca="1" si="734"/>
        <v>5.1508736209031962</v>
      </c>
      <c r="AA1498">
        <f t="shared" ca="1" si="735"/>
        <v>633.79208327393064</v>
      </c>
      <c r="AB1498">
        <f t="shared" ca="1" si="736"/>
        <v>635.14435131972664</v>
      </c>
      <c r="AC1498">
        <f t="shared" ca="1" si="737"/>
        <v>5.2626821494053868E-3</v>
      </c>
      <c r="AD1498">
        <f t="shared" ca="1" si="738"/>
        <v>1.1918001113573307</v>
      </c>
      <c r="AE1498">
        <f t="shared" ca="1" si="739"/>
        <v>36.204628162419858</v>
      </c>
      <c r="AF1498">
        <f t="shared" ca="1" si="740"/>
        <v>4.8866400535416687E-3</v>
      </c>
      <c r="AG1498">
        <f t="shared" ca="1" si="741"/>
        <v>0</v>
      </c>
      <c r="AH1498">
        <f ca="1">IF(V32="Supercritical",L1498,IF(V32="Subcritical",W1498,IF(AND(V1498=1,AG1498=1),IF(T1498&gt;=AE1498,L1498,W1498),IF(V1498=1,L1498,IF(AG1498=1,W1498,MAX($D$16,POWER((ABS(K1498)^2)/($I$5*MAX(F1498,0.1)^2),1/3)))))))</f>
        <v>2.1403668656741068</v>
      </c>
      <c r="AI1498">
        <f t="shared" ca="1" si="742"/>
        <v>634.02836686567412</v>
      </c>
      <c r="AJ1498">
        <f t="shared" ca="1" si="743"/>
        <v>635.09855029851121</v>
      </c>
      <c r="AM1498">
        <v>0</v>
      </c>
      <c r="AN1498">
        <v>0</v>
      </c>
      <c r="AO1498">
        <f t="shared" si="744"/>
        <v>0</v>
      </c>
      <c r="AP1498">
        <f t="shared" si="753"/>
        <v>0</v>
      </c>
      <c r="AQ1498">
        <f t="shared" ca="1" si="745"/>
        <v>0.99999999999999978</v>
      </c>
      <c r="AR1498" t="str">
        <f t="shared" ca="1" si="746"/>
        <v>Supercritical</v>
      </c>
      <c r="AS1498">
        <f t="shared" ca="1" si="747"/>
        <v>3.8148159832266538E-3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191</v>
      </c>
      <c r="I1499">
        <v>5.5E-2</v>
      </c>
      <c r="J1499">
        <f t="shared" si="748"/>
        <v>1</v>
      </c>
      <c r="K1499">
        <f t="shared" si="749"/>
        <v>51</v>
      </c>
      <c r="L1499">
        <f t="shared" ca="1" si="750"/>
        <v>0.05</v>
      </c>
      <c r="M1499">
        <f t="shared" ca="1" si="723"/>
        <v>0.26</v>
      </c>
      <c r="N1499">
        <f t="shared" ca="1" si="724"/>
        <v>4.9056603773584909E-2</v>
      </c>
      <c r="O1499">
        <f t="shared" ca="1" si="725"/>
        <v>196.15384615384616</v>
      </c>
      <c r="P1499">
        <f t="shared" ca="1" si="726"/>
        <v>631.9375</v>
      </c>
      <c r="Q1499">
        <f t="shared" ca="1" si="727"/>
        <v>2593.0145316486623</v>
      </c>
      <c r="R1499">
        <f t="shared" ca="1" si="728"/>
        <v>482.07306851378365</v>
      </c>
      <c r="S1499">
        <f t="shared" ca="1" si="729"/>
        <v>280.07692026646265</v>
      </c>
      <c r="T1499">
        <f t="shared" ca="1" si="730"/>
        <v>1019.7665564573041</v>
      </c>
      <c r="U1499">
        <f t="shared" ca="1" si="751"/>
        <v>-482.25233390835183</v>
      </c>
      <c r="V1499">
        <f t="shared" ca="1" si="752"/>
        <v>0</v>
      </c>
      <c r="W1499">
        <f t="shared" ca="1" si="731"/>
        <v>1.9395258126921566</v>
      </c>
      <c r="X1499">
        <f t="shared" ca="1" si="732"/>
        <v>10.085534225999215</v>
      </c>
      <c r="Y1499">
        <f t="shared" ca="1" si="733"/>
        <v>1.110857680090821</v>
      </c>
      <c r="Z1499">
        <f t="shared" ca="1" si="734"/>
        <v>5.0567475016373979</v>
      </c>
      <c r="AA1499">
        <f t="shared" ca="1" si="735"/>
        <v>633.82702581269223</v>
      </c>
      <c r="AB1499">
        <f t="shared" ca="1" si="736"/>
        <v>635.13032322835568</v>
      </c>
      <c r="AC1499">
        <f t="shared" ca="1" si="737"/>
        <v>5.0008883585532125E-3</v>
      </c>
      <c r="AD1499">
        <f t="shared" ca="1" si="738"/>
        <v>1.1592817070021668</v>
      </c>
      <c r="AE1499">
        <f t="shared" ca="1" si="739"/>
        <v>36.069478367717096</v>
      </c>
      <c r="AF1499">
        <f t="shared" ca="1" si="740"/>
        <v>4.6253581766677598E-3</v>
      </c>
      <c r="AG1499">
        <f t="shared" ca="1" si="741"/>
        <v>0</v>
      </c>
      <c r="AH1499">
        <f ca="1">IF(V32="Supercritical",L1499,IF(V32="Subcritical",W1499,IF(AND(V1499=1,AG1499=1),IF(T1499&gt;=AE1499,L1499,W1499),IF(V1499=1,L1499,IF(AG1499=1,W1499,MAX($D$16,POWER((ABS(K1499)^2)/($I$5*MAX(F1499,0.1)^2),1/3)))))))</f>
        <v>2.1403668656741068</v>
      </c>
      <c r="AI1499">
        <f t="shared" ca="1" si="742"/>
        <v>634.02786686567413</v>
      </c>
      <c r="AJ1499">
        <f t="shared" ca="1" si="743"/>
        <v>635.09805029851123</v>
      </c>
      <c r="AM1499">
        <v>0</v>
      </c>
      <c r="AN1499">
        <v>0</v>
      </c>
      <c r="AO1499">
        <f t="shared" si="744"/>
        <v>0</v>
      </c>
      <c r="AP1499">
        <f t="shared" si="753"/>
        <v>0</v>
      </c>
      <c r="AQ1499">
        <f t="shared" ca="1" si="745"/>
        <v>0.99999999999999978</v>
      </c>
      <c r="AR1499" t="str">
        <f t="shared" ca="1" si="746"/>
        <v>Supercritical</v>
      </c>
      <c r="AS1499">
        <f t="shared" ca="1" si="747"/>
        <v>3.8148159832266538E-3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191</v>
      </c>
      <c r="I1500">
        <v>5.5E-2</v>
      </c>
      <c r="J1500">
        <f t="shared" si="748"/>
        <v>1.0010000000002037</v>
      </c>
      <c r="K1500">
        <f t="shared" si="749"/>
        <v>51</v>
      </c>
      <c r="L1500">
        <f t="shared" ca="1" si="750"/>
        <v>0.05</v>
      </c>
      <c r="M1500">
        <f t="shared" ca="1" si="723"/>
        <v>0.26</v>
      </c>
      <c r="N1500">
        <f t="shared" ca="1" si="724"/>
        <v>4.9056603773584909E-2</v>
      </c>
      <c r="O1500">
        <f t="shared" ca="1" si="725"/>
        <v>196.15384615384616</v>
      </c>
      <c r="P1500">
        <f t="shared" ca="1" si="726"/>
        <v>631.9369999999999</v>
      </c>
      <c r="Q1500">
        <f t="shared" ca="1" si="727"/>
        <v>2593.0140316486622</v>
      </c>
      <c r="R1500">
        <f t="shared" ca="1" si="728"/>
        <v>482.07306851378365</v>
      </c>
      <c r="S1500">
        <f t="shared" ca="1" si="729"/>
        <v>280.07692026646265</v>
      </c>
      <c r="T1500">
        <f t="shared" ca="1" si="730"/>
        <v>1019.7665564573041</v>
      </c>
      <c r="U1500">
        <f t="shared" ca="1" si="751"/>
        <v>-482.73440697696333</v>
      </c>
      <c r="V1500">
        <f t="shared" ca="1" si="752"/>
        <v>0</v>
      </c>
      <c r="W1500">
        <f t="shared" ca="1" si="731"/>
        <v>1.9696519706394491</v>
      </c>
      <c r="X1500">
        <f t="shared" ca="1" si="732"/>
        <v>10.242190247325135</v>
      </c>
      <c r="Y1500">
        <f t="shared" ca="1" si="733"/>
        <v>1.120675087854875</v>
      </c>
      <c r="Z1500">
        <f t="shared" ca="1" si="734"/>
        <v>4.9794036986687713</v>
      </c>
      <c r="AA1500">
        <f t="shared" ca="1" si="735"/>
        <v>633.8566519706394</v>
      </c>
      <c r="AB1500">
        <f t="shared" ca="1" si="736"/>
        <v>635.12038597646597</v>
      </c>
      <c r="AC1500">
        <f t="shared" ca="1" si="737"/>
        <v>4.7925233343839631E-3</v>
      </c>
      <c r="AD1500">
        <f t="shared" ca="1" si="738"/>
        <v>1.132786556747658</v>
      </c>
      <c r="AE1500">
        <f t="shared" ca="1" si="739"/>
        <v>35.973583321532985</v>
      </c>
      <c r="AF1500">
        <f t="shared" ca="1" si="740"/>
        <v>4.2925233343567015E-3</v>
      </c>
      <c r="AG1500">
        <f t="shared" ca="1" si="741"/>
        <v>0</v>
      </c>
      <c r="AH1500">
        <f ca="1">IF(V32="Supercritical",L1500,IF(V32="Subcritical",W1500,IF(AND(V1500=1,AG1500=1),IF(T1500&gt;=AE1500,L1500,W1500),IF(V1500=1,L1500,IF(AG1500=1,W1500,MAX($D$16,POWER((ABS(K1500)^2)/($I$5*MAX(F1500,0.1)^2),1/3)))))))</f>
        <v>2.1403668656741068</v>
      </c>
      <c r="AI1500">
        <f t="shared" ca="1" si="742"/>
        <v>634.02736686567403</v>
      </c>
      <c r="AJ1500">
        <f t="shared" ca="1" si="743"/>
        <v>635.09755029851112</v>
      </c>
      <c r="AM1500">
        <v>0</v>
      </c>
      <c r="AN1500">
        <v>0</v>
      </c>
      <c r="AO1500">
        <f t="shared" si="744"/>
        <v>0</v>
      </c>
      <c r="AP1500">
        <f t="shared" si="753"/>
        <v>0</v>
      </c>
      <c r="AQ1500">
        <f t="shared" ca="1" si="745"/>
        <v>0.99999999999999978</v>
      </c>
      <c r="AR1500" t="str">
        <f t="shared" ca="1" si="746"/>
        <v>Supercritical</v>
      </c>
      <c r="AS1500">
        <f t="shared" ca="1" si="747"/>
        <v>3.8148159832266538E-3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191</v>
      </c>
      <c r="I1501">
        <v>0</v>
      </c>
      <c r="J1501">
        <f t="shared" si="748"/>
        <v>1</v>
      </c>
      <c r="K1501">
        <f t="shared" si="749"/>
        <v>51</v>
      </c>
      <c r="L1501">
        <f t="shared" ca="1" si="750"/>
        <v>0.05</v>
      </c>
      <c r="M1501">
        <f t="shared" ca="1" si="723"/>
        <v>0.26</v>
      </c>
      <c r="N1501">
        <f t="shared" ca="1" si="724"/>
        <v>4.9056603773584909E-2</v>
      </c>
      <c r="O1501">
        <f t="shared" ca="1" si="725"/>
        <v>196.15384615384616</v>
      </c>
      <c r="P1501">
        <f t="shared" ca="1" si="726"/>
        <v>631.93649999999991</v>
      </c>
      <c r="Q1501">
        <f t="shared" ca="1" si="727"/>
        <v>2593.0135316486621</v>
      </c>
      <c r="R1501">
        <f t="shared" ca="1" si="728"/>
        <v>482.07306851378365</v>
      </c>
      <c r="S1501">
        <f t="shared" ca="1" si="729"/>
        <v>280.07692026646265</v>
      </c>
      <c r="T1501">
        <f t="shared" ca="1" si="730"/>
        <v>1019.7665564573041</v>
      </c>
      <c r="U1501">
        <f t="shared" ca="1" si="751"/>
        <v>-482.07256851378361</v>
      </c>
      <c r="V1501">
        <f t="shared" ca="1" si="752"/>
        <v>0</v>
      </c>
      <c r="W1501">
        <f t="shared" ca="1" si="731"/>
        <v>1.9952592048946478</v>
      </c>
      <c r="X1501">
        <f t="shared" ca="1" si="732"/>
        <v>10.375347865452168</v>
      </c>
      <c r="Y1501">
        <f t="shared" ca="1" si="733"/>
        <v>1.1289186749684164</v>
      </c>
      <c r="Z1501">
        <f t="shared" ca="1" si="734"/>
        <v>4.9154978378912757</v>
      </c>
      <c r="AA1501">
        <f t="shared" ca="1" si="735"/>
        <v>633.88175920489459</v>
      </c>
      <c r="AB1501">
        <f t="shared" ca="1" si="736"/>
        <v>635.11326374079238</v>
      </c>
      <c r="AC1501">
        <f t="shared" ca="1" si="737"/>
        <v>4.6248820416494229E-3</v>
      </c>
      <c r="AD1501">
        <f t="shared" ca="1" si="738"/>
        <v>1.1110493360942597</v>
      </c>
      <c r="AE1501">
        <f t="shared" ca="1" si="739"/>
        <v>35.905330081906456</v>
      </c>
      <c r="AF1501">
        <f t="shared" ca="1" si="740"/>
        <v>4.1202571595704285E-3</v>
      </c>
      <c r="AG1501">
        <f t="shared" ca="1" si="741"/>
        <v>0</v>
      </c>
      <c r="AH1501">
        <f ca="1">IF(V32="Supercritical",L1501,IF(V32="Subcritical",W1501,IF(AND(V1501=1,AG1501=1),IF(T1501&gt;=AE1501,L1501,W1501),IF(V1501=1,L1501,IF(AG1501=1,W1501,MAX($D$16,POWER((ABS(K1501)^2)/($I$5*MAX(F1501,0.1)^2),1/3)))))))</f>
        <v>2.1403668656741068</v>
      </c>
      <c r="AI1501">
        <f t="shared" ca="1" si="742"/>
        <v>634.02686686567404</v>
      </c>
      <c r="AJ1501">
        <f t="shared" ca="1" si="743"/>
        <v>635.09705029851114</v>
      </c>
      <c r="AM1501">
        <v>0</v>
      </c>
      <c r="AN1501">
        <v>0</v>
      </c>
      <c r="AO1501">
        <f t="shared" si="744"/>
        <v>0</v>
      </c>
      <c r="AP1501">
        <f t="shared" si="753"/>
        <v>0</v>
      </c>
      <c r="AQ1501">
        <f t="shared" ca="1" si="745"/>
        <v>0.99999999999999978</v>
      </c>
      <c r="AR1501" t="str">
        <f t="shared" ca="1" si="746"/>
        <v>Supercritical</v>
      </c>
      <c r="AS1501">
        <f t="shared" ca="1" si="747"/>
        <v>3.8148159832266538E-3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191</v>
      </c>
      <c r="I1502">
        <v>0</v>
      </c>
      <c r="J1502">
        <f t="shared" si="748"/>
        <v>0.99899999999979627</v>
      </c>
      <c r="K1502">
        <f t="shared" si="749"/>
        <v>51</v>
      </c>
      <c r="L1502">
        <f t="shared" ca="1" si="750"/>
        <v>0.05</v>
      </c>
      <c r="M1502">
        <f t="shared" ca="1" si="723"/>
        <v>0.26</v>
      </c>
      <c r="N1502">
        <f t="shared" ca="1" si="724"/>
        <v>4.9056603773584909E-2</v>
      </c>
      <c r="O1502">
        <f t="shared" ca="1" si="725"/>
        <v>196.15384615384616</v>
      </c>
      <c r="P1502">
        <f t="shared" ca="1" si="726"/>
        <v>631.93599999999992</v>
      </c>
      <c r="Q1502">
        <f t="shared" ca="1" si="727"/>
        <v>2593.013031648662</v>
      </c>
      <c r="R1502">
        <f t="shared" ca="1" si="728"/>
        <v>482.07306851378365</v>
      </c>
      <c r="S1502">
        <f t="shared" ca="1" si="729"/>
        <v>280.07692026646265</v>
      </c>
      <c r="T1502">
        <f t="shared" ca="1" si="730"/>
        <v>1019.7665564573041</v>
      </c>
      <c r="U1502">
        <f t="shared" ca="1" si="751"/>
        <v>-481.59049544517165</v>
      </c>
      <c r="V1502">
        <f t="shared" ca="1" si="752"/>
        <v>0</v>
      </c>
      <c r="W1502">
        <f t="shared" ca="1" si="731"/>
        <v>2.0170253540115666</v>
      </c>
      <c r="X1502">
        <f t="shared" ca="1" si="732"/>
        <v>10.488531840860146</v>
      </c>
      <c r="Y1502">
        <f t="shared" ca="1" si="733"/>
        <v>1.135853827589125</v>
      </c>
      <c r="Z1502">
        <f t="shared" ca="1" si="734"/>
        <v>4.8624536564135159</v>
      </c>
      <c r="AA1502">
        <f t="shared" ca="1" si="735"/>
        <v>633.90302535401156</v>
      </c>
      <c r="AB1502">
        <f t="shared" ca="1" si="736"/>
        <v>635.10809444477457</v>
      </c>
      <c r="AC1502">
        <f t="shared" ca="1" si="737"/>
        <v>4.4887994992260042E-3</v>
      </c>
      <c r="AD1502">
        <f t="shared" ca="1" si="738"/>
        <v>1.0931135878114306</v>
      </c>
      <c r="AE1502">
        <f t="shared" ca="1" si="739"/>
        <v>35.856628382493533</v>
      </c>
      <c r="AF1502">
        <f t="shared" ca="1" si="740"/>
        <v>4.1032810628394145E-3</v>
      </c>
      <c r="AG1502">
        <f t="shared" ca="1" si="741"/>
        <v>0</v>
      </c>
      <c r="AH1502">
        <f ca="1">IF(V32="Supercritical",L1502,IF(V32="Subcritical",W1502,IF(AND(V1502=1,AG1502=1),IF(T1502&gt;=AE1502,L1502,W1502),IF(V1502=1,L1502,IF(AG1502=1,W1502,MAX($D$16,POWER((ABS(K1502)^2)/($I$5*MAX(F1502,0.1)^2),1/3)))))))</f>
        <v>2.1403668656741068</v>
      </c>
      <c r="AI1502">
        <f t="shared" ca="1" si="742"/>
        <v>634.02636686567405</v>
      </c>
      <c r="AJ1502">
        <f t="shared" ca="1" si="743"/>
        <v>635.09655029851115</v>
      </c>
      <c r="AM1502">
        <v>0</v>
      </c>
      <c r="AN1502">
        <v>0</v>
      </c>
      <c r="AO1502">
        <f t="shared" si="744"/>
        <v>0</v>
      </c>
      <c r="AP1502">
        <f t="shared" si="753"/>
        <v>0</v>
      </c>
      <c r="AQ1502">
        <f t="shared" ca="1" si="745"/>
        <v>0.99999999999999978</v>
      </c>
      <c r="AR1502" t="str">
        <f t="shared" ca="1" si="746"/>
        <v>Supercritical</v>
      </c>
      <c r="AS1502">
        <f t="shared" ca="1" si="747"/>
        <v>3.8148159832266538E-3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191</v>
      </c>
      <c r="I1503">
        <v>5.7000000000000002E-2</v>
      </c>
      <c r="J1503">
        <f t="shared" si="748"/>
        <v>1</v>
      </c>
      <c r="K1503">
        <f t="shared" si="749"/>
        <v>51</v>
      </c>
      <c r="L1503">
        <f t="shared" ca="1" si="750"/>
        <v>0.05</v>
      </c>
      <c r="M1503">
        <f t="shared" ca="1" si="723"/>
        <v>0.26</v>
      </c>
      <c r="N1503">
        <f t="shared" ca="1" si="724"/>
        <v>4.9056603773584909E-2</v>
      </c>
      <c r="O1503">
        <f t="shared" ca="1" si="725"/>
        <v>196.15384615384616</v>
      </c>
      <c r="P1503">
        <f t="shared" ca="1" si="726"/>
        <v>631.93549999999993</v>
      </c>
      <c r="Q1503">
        <f t="shared" ca="1" si="727"/>
        <v>2593.0125316486619</v>
      </c>
      <c r="R1503">
        <f t="shared" ca="1" si="728"/>
        <v>482.07306851378365</v>
      </c>
      <c r="S1503">
        <f t="shared" ca="1" si="729"/>
        <v>280.07692026646265</v>
      </c>
      <c r="T1503">
        <f t="shared" ca="1" si="730"/>
        <v>1019.7665564573041</v>
      </c>
      <c r="U1503">
        <f t="shared" ca="1" si="751"/>
        <v>-482.25887083179032</v>
      </c>
      <c r="V1503">
        <f t="shared" ca="1" si="752"/>
        <v>0</v>
      </c>
      <c r="W1503">
        <f t="shared" ca="1" si="731"/>
        <v>2.0355265807609477</v>
      </c>
      <c r="X1503">
        <f t="shared" ca="1" si="732"/>
        <v>10.584738219956929</v>
      </c>
      <c r="Y1503">
        <f t="shared" ca="1" si="733"/>
        <v>1.1416975003322476</v>
      </c>
      <c r="Z1503">
        <f t="shared" ca="1" si="734"/>
        <v>4.8182580372032602</v>
      </c>
      <c r="AA1503">
        <f t="shared" ca="1" si="735"/>
        <v>633.92102658076089</v>
      </c>
      <c r="AB1503">
        <f t="shared" ca="1" si="736"/>
        <v>635.1042890941693</v>
      </c>
      <c r="AC1503">
        <f t="shared" ca="1" si="737"/>
        <v>4.3775175261901939E-3</v>
      </c>
      <c r="AD1503">
        <f t="shared" ca="1" si="738"/>
        <v>1.0782442773146979</v>
      </c>
      <c r="AE1503">
        <f t="shared" ca="1" si="739"/>
        <v>35.821805898392782</v>
      </c>
      <c r="AF1503">
        <f t="shared" ca="1" si="740"/>
        <v>3.9899274649997096E-3</v>
      </c>
      <c r="AG1503">
        <f t="shared" ca="1" si="741"/>
        <v>0</v>
      </c>
      <c r="AH1503">
        <f ca="1">IF(V32="Supercritical",L1503,IF(V32="Subcritical",W1503,IF(AND(V1503=1,AG1503=1),IF(T1503&gt;=AE1503,L1503,W1503),IF(V1503=1,L1503,IF(AG1503=1,W1503,MAX($D$16,POWER((ABS(K1503)^2)/($I$5*MAX(F1503,0.1)^2),1/3)))))))</f>
        <v>2.1403668656741068</v>
      </c>
      <c r="AI1503">
        <f t="shared" ca="1" si="742"/>
        <v>634.02586686567406</v>
      </c>
      <c r="AJ1503">
        <f t="shared" ca="1" si="743"/>
        <v>635.09605029851116</v>
      </c>
      <c r="AM1503">
        <v>0</v>
      </c>
      <c r="AN1503">
        <v>0</v>
      </c>
      <c r="AO1503">
        <f t="shared" si="744"/>
        <v>0</v>
      </c>
      <c r="AP1503">
        <f t="shared" si="753"/>
        <v>0</v>
      </c>
      <c r="AQ1503">
        <f t="shared" ca="1" si="745"/>
        <v>0.99999999999999978</v>
      </c>
      <c r="AR1503" t="str">
        <f t="shared" ca="1" si="746"/>
        <v>Supercritical</v>
      </c>
      <c r="AS1503">
        <f t="shared" ca="1" si="747"/>
        <v>3.8148159832266538E-3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191</v>
      </c>
      <c r="I1504">
        <v>5.7000000000000002E-2</v>
      </c>
      <c r="J1504">
        <f t="shared" si="748"/>
        <v>1</v>
      </c>
      <c r="K1504">
        <f t="shared" si="749"/>
        <v>51</v>
      </c>
      <c r="L1504">
        <f t="shared" ca="1" si="750"/>
        <v>0.05</v>
      </c>
      <c r="M1504">
        <f t="shared" ca="1" si="723"/>
        <v>0.26</v>
      </c>
      <c r="N1504">
        <f t="shared" ca="1" si="724"/>
        <v>4.9056603773584909E-2</v>
      </c>
      <c r="O1504">
        <f t="shared" ca="1" si="725"/>
        <v>196.15384615384616</v>
      </c>
      <c r="P1504">
        <f t="shared" ca="1" si="726"/>
        <v>631.93499999999995</v>
      </c>
      <c r="Q1504">
        <f t="shared" ca="1" si="727"/>
        <v>2593.0120316486618</v>
      </c>
      <c r="R1504">
        <f t="shared" ca="1" si="728"/>
        <v>482.07306851378365</v>
      </c>
      <c r="S1504">
        <f t="shared" ca="1" si="729"/>
        <v>280.07692026646265</v>
      </c>
      <c r="T1504">
        <f t="shared" ca="1" si="730"/>
        <v>1019.7665564573041</v>
      </c>
      <c r="U1504">
        <f t="shared" ca="1" si="751"/>
        <v>-482.25887083179032</v>
      </c>
      <c r="V1504">
        <f t="shared" ca="1" si="752"/>
        <v>0</v>
      </c>
      <c r="W1504">
        <f t="shared" ca="1" si="731"/>
        <v>2.0512526234979216</v>
      </c>
      <c r="X1504">
        <f t="shared" ca="1" si="732"/>
        <v>10.666513642189193</v>
      </c>
      <c r="Y1504">
        <f t="shared" ca="1" si="733"/>
        <v>1.1466280705010989</v>
      </c>
      <c r="Z1504">
        <f t="shared" ca="1" si="734"/>
        <v>4.7813185930105622</v>
      </c>
      <c r="AA1504">
        <f t="shared" ca="1" si="735"/>
        <v>633.93625262349792</v>
      </c>
      <c r="AB1504">
        <f t="shared" ca="1" si="736"/>
        <v>635.10144158822106</v>
      </c>
      <c r="AC1504">
        <f t="shared" ca="1" si="737"/>
        <v>4.2859568203947639E-3</v>
      </c>
      <c r="AD1504">
        <f t="shared" ca="1" si="738"/>
        <v>1.0658684434749064</v>
      </c>
      <c r="AE1504">
        <f t="shared" ca="1" si="739"/>
        <v>35.796865021954368</v>
      </c>
      <c r="AF1504">
        <f t="shared" ca="1" si="740"/>
        <v>3.7859568203657545E-3</v>
      </c>
      <c r="AG1504">
        <f t="shared" ca="1" si="741"/>
        <v>0</v>
      </c>
      <c r="AH1504">
        <f ca="1">IF(V32="Supercritical",L1504,IF(V32="Subcritical",W1504,IF(AND(V1504=1,AG1504=1),IF(T1504&gt;=AE1504,L1504,W1504),IF(V1504=1,L1504,IF(AG1504=1,W1504,MAX($D$16,POWER((ABS(K1504)^2)/($I$5*MAX(F1504,0.1)^2),1/3)))))))</f>
        <v>2.1403668656741068</v>
      </c>
      <c r="AI1504">
        <f t="shared" ca="1" si="742"/>
        <v>634.02536686567407</v>
      </c>
      <c r="AJ1504">
        <f t="shared" ca="1" si="743"/>
        <v>635.09555029851117</v>
      </c>
      <c r="AM1504">
        <v>0</v>
      </c>
      <c r="AN1504">
        <v>0</v>
      </c>
      <c r="AO1504">
        <f t="shared" si="744"/>
        <v>0</v>
      </c>
      <c r="AP1504">
        <f t="shared" si="753"/>
        <v>0</v>
      </c>
      <c r="AQ1504">
        <f t="shared" ca="1" si="745"/>
        <v>0.99999999999999978</v>
      </c>
      <c r="AR1504" t="str">
        <f t="shared" ca="1" si="746"/>
        <v>Supercritical</v>
      </c>
      <c r="AS1504">
        <f t="shared" ca="1" si="747"/>
        <v>3.8148159832266538E-3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191</v>
      </c>
      <c r="I1505">
        <v>0</v>
      </c>
      <c r="J1505">
        <f t="shared" si="748"/>
        <v>1</v>
      </c>
      <c r="K1505">
        <f t="shared" si="749"/>
        <v>51</v>
      </c>
      <c r="L1505">
        <f t="shared" ca="1" si="750"/>
        <v>0.05</v>
      </c>
      <c r="M1505">
        <f t="shared" ca="1" si="723"/>
        <v>0.26</v>
      </c>
      <c r="N1505">
        <f t="shared" ca="1" si="724"/>
        <v>4.9056603773584909E-2</v>
      </c>
      <c r="O1505">
        <f t="shared" ca="1" si="725"/>
        <v>196.15384615384616</v>
      </c>
      <c r="P1505">
        <f t="shared" ca="1" si="726"/>
        <v>631.93449999999996</v>
      </c>
      <c r="Q1505">
        <f t="shared" ca="1" si="727"/>
        <v>2593.0115316486622</v>
      </c>
      <c r="R1505">
        <f t="shared" ca="1" si="728"/>
        <v>482.07306851378365</v>
      </c>
      <c r="S1505">
        <f t="shared" ca="1" si="729"/>
        <v>280.07692026646265</v>
      </c>
      <c r="T1505">
        <f t="shared" ca="1" si="730"/>
        <v>1019.7665564573041</v>
      </c>
      <c r="U1505">
        <f t="shared" ca="1" si="751"/>
        <v>-482.07256851378406</v>
      </c>
      <c r="V1505">
        <f t="shared" ca="1" si="752"/>
        <v>0</v>
      </c>
      <c r="W1505">
        <f t="shared" ca="1" si="731"/>
        <v>2.0646197598243492</v>
      </c>
      <c r="X1505">
        <f t="shared" ca="1" si="732"/>
        <v>10.736022751086617</v>
      </c>
      <c r="Y1505">
        <f t="shared" ca="1" si="733"/>
        <v>1.1507929160222581</v>
      </c>
      <c r="Z1505">
        <f t="shared" ca="1" si="734"/>
        <v>4.7503625115584054</v>
      </c>
      <c r="AA1505">
        <f t="shared" ca="1" si="735"/>
        <v>633.94911975982438</v>
      </c>
      <c r="AB1505">
        <f t="shared" ca="1" si="736"/>
        <v>635.09926981034528</v>
      </c>
      <c r="AC1505">
        <f t="shared" ca="1" si="737"/>
        <v>4.2102361017588201E-3</v>
      </c>
      <c r="AD1505">
        <f t="shared" ca="1" si="738"/>
        <v>1.0555339574299847</v>
      </c>
      <c r="AE1505">
        <f t="shared" ca="1" si="739"/>
        <v>35.778976576019573</v>
      </c>
      <c r="AF1505">
        <f t="shared" ca="1" si="740"/>
        <v>3.7102361018241936E-3</v>
      </c>
      <c r="AG1505">
        <f t="shared" ca="1" si="741"/>
        <v>0</v>
      </c>
      <c r="AH1505">
        <f ca="1">IF(V32="Supercritical",L1505,IF(V32="Subcritical",W1505,IF(AND(V1505=1,AG1505=1),IF(T1505&gt;=AE1505,L1505,W1505),IF(V1505=1,L1505,IF(AG1505=1,W1505,MAX($D$16,POWER((ABS(K1505)^2)/($I$5*MAX(F1505,0.1)^2),1/3)))))))</f>
        <v>2.1403668656741068</v>
      </c>
      <c r="AI1505">
        <f t="shared" ca="1" si="742"/>
        <v>634.02486686567408</v>
      </c>
      <c r="AJ1505">
        <f t="shared" ca="1" si="743"/>
        <v>635.09505029851118</v>
      </c>
      <c r="AM1505">
        <v>0</v>
      </c>
      <c r="AN1505">
        <v>0</v>
      </c>
      <c r="AO1505">
        <f t="shared" si="744"/>
        <v>0</v>
      </c>
      <c r="AP1505">
        <f t="shared" si="753"/>
        <v>0</v>
      </c>
      <c r="AQ1505">
        <f t="shared" ca="1" si="745"/>
        <v>0.99999999999999978</v>
      </c>
      <c r="AR1505" t="str">
        <f t="shared" ca="1" si="746"/>
        <v>Supercritical</v>
      </c>
      <c r="AS1505">
        <f t="shared" ca="1" si="747"/>
        <v>3.8148159832266538E-3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191</v>
      </c>
      <c r="I1506">
        <v>0</v>
      </c>
      <c r="J1506">
        <f t="shared" si="748"/>
        <v>1</v>
      </c>
      <c r="K1506">
        <f t="shared" si="749"/>
        <v>51</v>
      </c>
      <c r="L1506">
        <f t="shared" ca="1" si="750"/>
        <v>0.05</v>
      </c>
      <c r="M1506">
        <f t="shared" ca="1" si="723"/>
        <v>0.26</v>
      </c>
      <c r="N1506">
        <f t="shared" ca="1" si="724"/>
        <v>4.9056603773584909E-2</v>
      </c>
      <c r="O1506">
        <f t="shared" ca="1" si="725"/>
        <v>196.15384615384616</v>
      </c>
      <c r="P1506">
        <f t="shared" ca="1" si="726"/>
        <v>631.93399999999997</v>
      </c>
      <c r="Q1506">
        <f t="shared" ca="1" si="727"/>
        <v>2593.0110316486621</v>
      </c>
      <c r="R1506">
        <f t="shared" ca="1" si="728"/>
        <v>482.07306851378365</v>
      </c>
      <c r="S1506">
        <f t="shared" ca="1" si="729"/>
        <v>280.07692026646265</v>
      </c>
      <c r="T1506">
        <f t="shared" ca="1" si="730"/>
        <v>1019.7665564573041</v>
      </c>
      <c r="U1506">
        <f t="shared" ca="1" si="751"/>
        <v>-482.07256851378361</v>
      </c>
      <c r="V1506">
        <f t="shared" ca="1" si="752"/>
        <v>0</v>
      </c>
      <c r="W1506">
        <f t="shared" ca="1" si="731"/>
        <v>2.0759818257018128</v>
      </c>
      <c r="X1506">
        <f t="shared" ca="1" si="732"/>
        <v>10.795105493649427</v>
      </c>
      <c r="Y1506">
        <f t="shared" ca="1" si="733"/>
        <v>1.1543143125913671</v>
      </c>
      <c r="Z1506">
        <f t="shared" ca="1" si="734"/>
        <v>4.7243632801923443</v>
      </c>
      <c r="AA1506">
        <f t="shared" ca="1" si="735"/>
        <v>633.95998182570179</v>
      </c>
      <c r="AB1506">
        <f t="shared" ca="1" si="736"/>
        <v>635.09757654554016</v>
      </c>
      <c r="AC1506">
        <f t="shared" ca="1" si="737"/>
        <v>4.1473464386139799E-3</v>
      </c>
      <c r="AD1506">
        <f t="shared" ca="1" si="738"/>
        <v>1.0468802533757458</v>
      </c>
      <c r="AE1506">
        <f t="shared" ca="1" si="739"/>
        <v>35.76613142502358</v>
      </c>
      <c r="AF1506">
        <f t="shared" ca="1" si="740"/>
        <v>3.755417936986305E-3</v>
      </c>
      <c r="AG1506">
        <f t="shared" ca="1" si="741"/>
        <v>0</v>
      </c>
      <c r="AH1506">
        <f ca="1">IF(V32="Supercritical",L1506,IF(V32="Subcritical",W1506,IF(AND(V1506=1,AG1506=1),IF(T1506&gt;=AE1506,L1506,W1506),IF(V1506=1,L1506,IF(AG1506=1,W1506,MAX($D$16,POWER((ABS(K1506)^2)/($I$5*MAX(F1506,0.1)^2),1/3)))))))</f>
        <v>2.1403668656741068</v>
      </c>
      <c r="AI1506">
        <f t="shared" ca="1" si="742"/>
        <v>634.0243668656741</v>
      </c>
      <c r="AJ1506">
        <f t="shared" ca="1" si="743"/>
        <v>635.09455029851119</v>
      </c>
      <c r="AM1506">
        <v>0</v>
      </c>
      <c r="AN1506">
        <v>0</v>
      </c>
      <c r="AO1506">
        <f t="shared" si="744"/>
        <v>0</v>
      </c>
      <c r="AP1506">
        <f t="shared" si="753"/>
        <v>0</v>
      </c>
      <c r="AQ1506">
        <f t="shared" ca="1" si="745"/>
        <v>0.99999999999999978</v>
      </c>
      <c r="AR1506" t="str">
        <f t="shared" ca="1" si="746"/>
        <v>Supercritical</v>
      </c>
      <c r="AS1506">
        <f t="shared" ca="1" si="747"/>
        <v>3.8148159832266538E-3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191</v>
      </c>
      <c r="I1507">
        <v>5.7000000000000002E-2</v>
      </c>
      <c r="J1507">
        <f t="shared" si="748"/>
        <v>1</v>
      </c>
      <c r="K1507">
        <f t="shared" si="749"/>
        <v>51</v>
      </c>
      <c r="L1507">
        <f t="shared" ca="1" si="750"/>
        <v>0.05</v>
      </c>
      <c r="M1507">
        <f t="shared" ca="1" si="723"/>
        <v>0.26</v>
      </c>
      <c r="N1507">
        <f t="shared" ca="1" si="724"/>
        <v>4.9056603773584909E-2</v>
      </c>
      <c r="O1507">
        <f t="shared" ca="1" si="725"/>
        <v>196.15384615384616</v>
      </c>
      <c r="P1507">
        <f t="shared" ca="1" si="726"/>
        <v>631.93349999999998</v>
      </c>
      <c r="Q1507">
        <f t="shared" ca="1" si="727"/>
        <v>2593.010531648662</v>
      </c>
      <c r="R1507">
        <f t="shared" ca="1" si="728"/>
        <v>482.07306851378365</v>
      </c>
      <c r="S1507">
        <f t="shared" ca="1" si="729"/>
        <v>280.07692026646265</v>
      </c>
      <c r="T1507">
        <f t="shared" ca="1" si="730"/>
        <v>1019.7665564573041</v>
      </c>
      <c r="U1507">
        <f t="shared" ca="1" si="751"/>
        <v>-482.25887083179032</v>
      </c>
      <c r="V1507">
        <f t="shared" ca="1" si="752"/>
        <v>0</v>
      </c>
      <c r="W1507">
        <f t="shared" ca="1" si="731"/>
        <v>2.0856395816976567</v>
      </c>
      <c r="X1507">
        <f t="shared" ca="1" si="732"/>
        <v>10.845325824827816</v>
      </c>
      <c r="Y1507">
        <f t="shared" ca="1" si="733"/>
        <v>1.1572940722105687</v>
      </c>
      <c r="Z1507">
        <f t="shared" ca="1" si="734"/>
        <v>4.7024866586532168</v>
      </c>
      <c r="AA1507">
        <f t="shared" ca="1" si="735"/>
        <v>633.96913958169773</v>
      </c>
      <c r="AB1507">
        <f t="shared" ca="1" si="736"/>
        <v>635.09622320936398</v>
      </c>
      <c r="AC1507">
        <f t="shared" ca="1" si="737"/>
        <v>4.0949256809839742E-3</v>
      </c>
      <c r="AD1507">
        <f t="shared" ca="1" si="738"/>
        <v>1.0396171572095154</v>
      </c>
      <c r="AE1507">
        <f t="shared" ca="1" si="739"/>
        <v>35.756898756072772</v>
      </c>
      <c r="AF1507">
        <f t="shared" ca="1" si="740"/>
        <v>3.7076340437351973E-3</v>
      </c>
      <c r="AG1507">
        <f t="shared" ca="1" si="741"/>
        <v>0</v>
      </c>
      <c r="AH1507">
        <f ca="1">IF(V32="Supercritical",L1507,IF(V32="Subcritical",W1507,IF(AND(V1507=1,AG1507=1),IF(T1507&gt;=AE1507,L1507,W1507),IF(V1507=1,L1507,IF(AG1507=1,W1507,MAX($D$16,POWER((ABS(K1507)^2)/($I$5*MAX(F1507,0.1)^2),1/3)))))))</f>
        <v>2.1403668656741068</v>
      </c>
      <c r="AI1507">
        <f t="shared" ca="1" si="742"/>
        <v>634.02386686567411</v>
      </c>
      <c r="AJ1507">
        <f t="shared" ca="1" si="743"/>
        <v>635.09405029851121</v>
      </c>
      <c r="AM1507">
        <v>0</v>
      </c>
      <c r="AN1507">
        <v>0</v>
      </c>
      <c r="AO1507">
        <f t="shared" si="744"/>
        <v>0</v>
      </c>
      <c r="AP1507">
        <f t="shared" si="753"/>
        <v>0</v>
      </c>
      <c r="AQ1507">
        <f t="shared" ca="1" si="745"/>
        <v>0.99999999999999978</v>
      </c>
      <c r="AR1507" t="str">
        <f t="shared" ca="1" si="746"/>
        <v>Supercritical</v>
      </c>
      <c r="AS1507">
        <f t="shared" ca="1" si="747"/>
        <v>3.8148159832266538E-3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191</v>
      </c>
      <c r="I1508">
        <v>0.06</v>
      </c>
      <c r="J1508">
        <f t="shared" si="748"/>
        <v>1</v>
      </c>
      <c r="K1508">
        <f t="shared" si="749"/>
        <v>51</v>
      </c>
      <c r="L1508">
        <f t="shared" ca="1" si="750"/>
        <v>0.05</v>
      </c>
      <c r="M1508">
        <f t="shared" ca="1" si="723"/>
        <v>0.26</v>
      </c>
      <c r="N1508">
        <f t="shared" ca="1" si="724"/>
        <v>4.9056603773584909E-2</v>
      </c>
      <c r="O1508">
        <f t="shared" ca="1" si="725"/>
        <v>196.15384615384616</v>
      </c>
      <c r="P1508">
        <f t="shared" ca="1" si="726"/>
        <v>631.93299999999999</v>
      </c>
      <c r="Q1508">
        <f t="shared" ca="1" si="727"/>
        <v>2593.0100316486623</v>
      </c>
      <c r="R1508">
        <f t="shared" ca="1" si="728"/>
        <v>482.07306851378365</v>
      </c>
      <c r="S1508">
        <f t="shared" ca="1" si="729"/>
        <v>280.07692026646265</v>
      </c>
      <c r="T1508">
        <f t="shared" ca="1" si="730"/>
        <v>1019.7665564573041</v>
      </c>
      <c r="U1508">
        <f t="shared" ca="1" si="751"/>
        <v>-482.26867621694873</v>
      </c>
      <c r="V1508">
        <f t="shared" ca="1" si="752"/>
        <v>0</v>
      </c>
      <c r="W1508">
        <f t="shared" ca="1" si="731"/>
        <v>2.093848674294124</v>
      </c>
      <c r="X1508">
        <f t="shared" ca="1" si="732"/>
        <v>10.888013106329446</v>
      </c>
      <c r="Y1508">
        <f t="shared" ca="1" si="733"/>
        <v>1.1598172269546825</v>
      </c>
      <c r="Z1508">
        <f t="shared" ca="1" si="734"/>
        <v>4.6840502029109938</v>
      </c>
      <c r="AA1508">
        <f t="shared" ca="1" si="735"/>
        <v>633.97684867429416</v>
      </c>
      <c r="AB1508">
        <f t="shared" ca="1" si="736"/>
        <v>635.09511199250983</v>
      </c>
      <c r="AC1508">
        <f t="shared" ca="1" si="737"/>
        <v>4.0510990344959892E-3</v>
      </c>
      <c r="AD1508">
        <f t="shared" ca="1" si="738"/>
        <v>1.0335093066638124</v>
      </c>
      <c r="AE1508">
        <f t="shared" ca="1" si="739"/>
        <v>35.750257234310794</v>
      </c>
      <c r="AF1508">
        <f t="shared" ca="1" si="740"/>
        <v>3.5588776779604814E-3</v>
      </c>
      <c r="AG1508">
        <f t="shared" ca="1" si="741"/>
        <v>0</v>
      </c>
      <c r="AH1508">
        <f ca="1">IF(V32="Supercritical",L1508,IF(V32="Subcritical",W1508,IF(AND(V1508=1,AG1508=1),IF(T1508&gt;=AE1508,L1508,W1508),IF(V1508=1,L1508,IF(AG1508=1,W1508,MAX($D$16,POWER((ABS(K1508)^2)/($I$5*MAX(F1508,0.1)^2),1/3)))))))</f>
        <v>2.1403668656741068</v>
      </c>
      <c r="AI1508">
        <f t="shared" ca="1" si="742"/>
        <v>634.02336686567412</v>
      </c>
      <c r="AJ1508">
        <f t="shared" ca="1" si="743"/>
        <v>635.09355029851122</v>
      </c>
      <c r="AM1508">
        <v>0</v>
      </c>
      <c r="AN1508">
        <v>0</v>
      </c>
      <c r="AO1508">
        <f t="shared" si="744"/>
        <v>0</v>
      </c>
      <c r="AP1508">
        <f t="shared" si="753"/>
        <v>0</v>
      </c>
      <c r="AQ1508">
        <f t="shared" ca="1" si="745"/>
        <v>0.99999999999999978</v>
      </c>
      <c r="AR1508" t="str">
        <f t="shared" ca="1" si="746"/>
        <v>Supercritical</v>
      </c>
      <c r="AS1508">
        <f t="shared" ca="1" si="747"/>
        <v>3.8148159832266538E-3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191</v>
      </c>
      <c r="I1509">
        <v>2E-3</v>
      </c>
      <c r="J1509">
        <f t="shared" si="748"/>
        <v>1.0010000000002037</v>
      </c>
      <c r="K1509">
        <f t="shared" si="749"/>
        <v>51</v>
      </c>
      <c r="L1509">
        <f t="shared" ca="1" si="750"/>
        <v>0.05</v>
      </c>
      <c r="M1509">
        <f t="shared" ca="1" si="723"/>
        <v>0.26</v>
      </c>
      <c r="N1509">
        <f t="shared" ca="1" si="724"/>
        <v>4.9056603773584909E-2</v>
      </c>
      <c r="O1509">
        <f t="shared" ca="1" si="725"/>
        <v>196.15384615384616</v>
      </c>
      <c r="P1509">
        <f t="shared" ca="1" si="726"/>
        <v>631.9325</v>
      </c>
      <c r="Q1509">
        <f t="shared" ca="1" si="727"/>
        <v>2593.0095316486622</v>
      </c>
      <c r="R1509">
        <f t="shared" ca="1" si="728"/>
        <v>482.07306851378365</v>
      </c>
      <c r="S1509">
        <f t="shared" ca="1" si="729"/>
        <v>280.07692026646265</v>
      </c>
      <c r="T1509">
        <f t="shared" ca="1" si="730"/>
        <v>1019.7665564573041</v>
      </c>
      <c r="U1509">
        <f t="shared" ca="1" si="751"/>
        <v>-482.5611785058345</v>
      </c>
      <c r="V1509">
        <f t="shared" ca="1" si="752"/>
        <v>0</v>
      </c>
      <c r="W1509">
        <f t="shared" ca="1" si="731"/>
        <v>2.1008264030011214</v>
      </c>
      <c r="X1509">
        <f t="shared" ca="1" si="732"/>
        <v>10.924297295605832</v>
      </c>
      <c r="Y1509">
        <f t="shared" ca="1" si="733"/>
        <v>1.1619549797277662</v>
      </c>
      <c r="Z1509">
        <f t="shared" ca="1" si="734"/>
        <v>4.668492500704291</v>
      </c>
      <c r="AA1509">
        <f t="shared" ca="1" si="735"/>
        <v>633.98332640300112</v>
      </c>
      <c r="AB1509">
        <f t="shared" ca="1" si="736"/>
        <v>635.09417361141766</v>
      </c>
      <c r="AC1509">
        <f t="shared" ca="1" si="737"/>
        <v>4.0143642875985824E-3</v>
      </c>
      <c r="AD1509">
        <f t="shared" ca="1" si="738"/>
        <v>1.0283645054922923</v>
      </c>
      <c r="AE1509">
        <f t="shared" ca="1" si="739"/>
        <v>35.745476405893086</v>
      </c>
      <c r="AF1509">
        <f t="shared" ca="1" si="740"/>
        <v>3.5143642875254955E-3</v>
      </c>
      <c r="AG1509">
        <f t="shared" ca="1" si="741"/>
        <v>0</v>
      </c>
      <c r="AH1509">
        <f ca="1">IF(V32="Supercritical",L1509,IF(V32="Subcritical",W1509,IF(AND(V1509=1,AG1509=1),IF(T1509&gt;=AE1509,L1509,W1509),IF(V1509=1,L1509,IF(AG1509=1,W1509,MAX($D$16,POWER((ABS(K1509)^2)/($I$5*MAX(F1509,0.1)^2),1/3)))))))</f>
        <v>2.1403668656741068</v>
      </c>
      <c r="AI1509">
        <f t="shared" ca="1" si="742"/>
        <v>634.02286686567413</v>
      </c>
      <c r="AJ1509">
        <f t="shared" ca="1" si="743"/>
        <v>635.09305029851123</v>
      </c>
      <c r="AM1509">
        <v>0</v>
      </c>
      <c r="AN1509">
        <v>0</v>
      </c>
      <c r="AO1509">
        <f t="shared" si="744"/>
        <v>0</v>
      </c>
      <c r="AP1509">
        <f t="shared" si="753"/>
        <v>0</v>
      </c>
      <c r="AQ1509">
        <f t="shared" ca="1" si="745"/>
        <v>0.99999999999999978</v>
      </c>
      <c r="AR1509" t="str">
        <f t="shared" ca="1" si="746"/>
        <v>Supercritical</v>
      </c>
      <c r="AS1509">
        <f t="shared" ca="1" si="747"/>
        <v>3.8148159832266538E-3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191</v>
      </c>
      <c r="I1510">
        <v>0</v>
      </c>
      <c r="J1510">
        <f t="shared" si="748"/>
        <v>1</v>
      </c>
      <c r="K1510">
        <f t="shared" si="749"/>
        <v>51</v>
      </c>
      <c r="L1510">
        <f t="shared" ca="1" si="750"/>
        <v>0.05</v>
      </c>
      <c r="M1510">
        <f t="shared" ca="1" si="723"/>
        <v>0.26</v>
      </c>
      <c r="N1510">
        <f t="shared" ca="1" si="724"/>
        <v>4.9056603773584909E-2</v>
      </c>
      <c r="O1510">
        <f t="shared" ca="1" si="725"/>
        <v>196.15384615384616</v>
      </c>
      <c r="P1510">
        <f t="shared" ca="1" si="726"/>
        <v>631.9319999999999</v>
      </c>
      <c r="Q1510">
        <f t="shared" ca="1" si="727"/>
        <v>2593.0090316486621</v>
      </c>
      <c r="R1510">
        <f t="shared" ca="1" si="728"/>
        <v>482.07306851378365</v>
      </c>
      <c r="S1510">
        <f t="shared" ca="1" si="729"/>
        <v>280.07692026646265</v>
      </c>
      <c r="T1510">
        <f t="shared" ca="1" si="730"/>
        <v>1019.7665564573041</v>
      </c>
      <c r="U1510">
        <f t="shared" ca="1" si="751"/>
        <v>-482.07256851378361</v>
      </c>
      <c r="V1510">
        <f t="shared" ca="1" si="752"/>
        <v>0</v>
      </c>
      <c r="W1510">
        <f t="shared" ca="1" si="731"/>
        <v>2.1067574724020695</v>
      </c>
      <c r="X1510">
        <f t="shared" ca="1" si="732"/>
        <v>10.955138856490761</v>
      </c>
      <c r="Y1510">
        <f t="shared" ca="1" si="733"/>
        <v>1.1637670860168479</v>
      </c>
      <c r="Z1510">
        <f t="shared" ca="1" si="734"/>
        <v>4.6553494819267618</v>
      </c>
      <c r="AA1510">
        <f t="shared" ca="1" si="735"/>
        <v>633.98875747240197</v>
      </c>
      <c r="AB1510">
        <f t="shared" ca="1" si="736"/>
        <v>635.09335883829783</v>
      </c>
      <c r="AC1510">
        <f t="shared" ca="1" si="737"/>
        <v>3.9835077840590215E-3</v>
      </c>
      <c r="AD1510">
        <f t="shared" ca="1" si="738"/>
        <v>1.0240248936462695</v>
      </c>
      <c r="AE1510">
        <f t="shared" ca="1" si="739"/>
        <v>35.742033012472973</v>
      </c>
      <c r="AF1510">
        <f t="shared" ca="1" si="740"/>
        <v>3.5884449138166019E-3</v>
      </c>
      <c r="AG1510">
        <f t="shared" ca="1" si="741"/>
        <v>0</v>
      </c>
      <c r="AH1510">
        <f ca="1">IF(V32="Supercritical",L1510,IF(V32="Subcritical",W1510,IF(AND(V1510=1,AG1510=1),IF(T1510&gt;=AE1510,L1510,W1510),IF(V1510=1,L1510,IF(AG1510=1,W1510,MAX($D$16,POWER((ABS(K1510)^2)/($I$5*MAX(F1510,0.1)^2),1/3)))))))</f>
        <v>2.1403668656741068</v>
      </c>
      <c r="AI1510">
        <f t="shared" ca="1" si="742"/>
        <v>634.02236686567403</v>
      </c>
      <c r="AJ1510">
        <f t="shared" ca="1" si="743"/>
        <v>635.09255029851113</v>
      </c>
      <c r="AM1510">
        <v>0</v>
      </c>
      <c r="AN1510">
        <v>0</v>
      </c>
      <c r="AO1510">
        <f t="shared" si="744"/>
        <v>0</v>
      </c>
      <c r="AP1510">
        <f t="shared" si="753"/>
        <v>0</v>
      </c>
      <c r="AQ1510">
        <f t="shared" ca="1" si="745"/>
        <v>0.99999999999999978</v>
      </c>
      <c r="AR1510" t="str">
        <f t="shared" ca="1" si="746"/>
        <v>Supercritical</v>
      </c>
      <c r="AS1510">
        <f t="shared" ca="1" si="747"/>
        <v>3.8148159832266538E-3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191</v>
      </c>
      <c r="I1511">
        <v>5.7000000000000002E-2</v>
      </c>
      <c r="J1511">
        <f t="shared" si="748"/>
        <v>1</v>
      </c>
      <c r="K1511">
        <f t="shared" si="749"/>
        <v>51</v>
      </c>
      <c r="L1511">
        <f t="shared" ca="1" si="750"/>
        <v>0.05</v>
      </c>
      <c r="M1511">
        <f t="shared" ca="1" si="723"/>
        <v>0.26</v>
      </c>
      <c r="N1511">
        <f t="shared" ca="1" si="724"/>
        <v>4.9056603773584909E-2</v>
      </c>
      <c r="O1511">
        <f t="shared" ca="1" si="725"/>
        <v>196.15384615384616</v>
      </c>
      <c r="P1511">
        <f t="shared" ca="1" si="726"/>
        <v>631.93149999999991</v>
      </c>
      <c r="Q1511">
        <f t="shared" ca="1" si="727"/>
        <v>2593.008531648662</v>
      </c>
      <c r="R1511">
        <f t="shared" ca="1" si="728"/>
        <v>482.07306851378365</v>
      </c>
      <c r="S1511">
        <f t="shared" ca="1" si="729"/>
        <v>280.07692026646265</v>
      </c>
      <c r="T1511">
        <f t="shared" ca="1" si="730"/>
        <v>1019.7665564573041</v>
      </c>
      <c r="U1511">
        <f t="shared" ca="1" si="751"/>
        <v>-482.25887083179032</v>
      </c>
      <c r="V1511">
        <f t="shared" ca="1" si="752"/>
        <v>0</v>
      </c>
      <c r="W1511">
        <f t="shared" ca="1" si="731"/>
        <v>2.111798881392875</v>
      </c>
      <c r="X1511">
        <f t="shared" ca="1" si="732"/>
        <v>10.981354183242951</v>
      </c>
      <c r="Y1511">
        <f t="shared" ca="1" si="733"/>
        <v>1.1653037894517164</v>
      </c>
      <c r="Z1511">
        <f t="shared" ca="1" si="734"/>
        <v>4.6442359611552906</v>
      </c>
      <c r="AA1511">
        <f t="shared" ca="1" si="735"/>
        <v>633.99329888139289</v>
      </c>
      <c r="AB1511">
        <f t="shared" ca="1" si="736"/>
        <v>635.09263260529133</v>
      </c>
      <c r="AC1511">
        <f t="shared" ca="1" si="737"/>
        <v>3.9575419496961266E-3</v>
      </c>
      <c r="AD1511">
        <f t="shared" ca="1" si="738"/>
        <v>1.0203601654004377</v>
      </c>
      <c r="AE1511">
        <f t="shared" ca="1" si="739"/>
        <v>35.739551715600776</v>
      </c>
      <c r="AF1511">
        <f t="shared" ca="1" si="740"/>
        <v>3.5580211115302518E-3</v>
      </c>
      <c r="AG1511">
        <f t="shared" ca="1" si="741"/>
        <v>0</v>
      </c>
      <c r="AH1511">
        <f ca="1">IF(V32="Supercritical",L1511,IF(V32="Subcritical",W1511,IF(AND(V1511=1,AG1511=1),IF(T1511&gt;=AE1511,L1511,W1511),IF(V1511=1,L1511,IF(AG1511=1,W1511,MAX($D$16,POWER((ABS(K1511)^2)/($I$5*MAX(F1511,0.1)^2),1/3)))))))</f>
        <v>2.1403668656741068</v>
      </c>
      <c r="AI1511">
        <f t="shared" ca="1" si="742"/>
        <v>634.02186686567404</v>
      </c>
      <c r="AJ1511">
        <f t="shared" ca="1" si="743"/>
        <v>635.09205029851114</v>
      </c>
      <c r="AM1511">
        <v>0</v>
      </c>
      <c r="AN1511">
        <v>0</v>
      </c>
      <c r="AO1511">
        <f t="shared" si="744"/>
        <v>0</v>
      </c>
      <c r="AP1511">
        <f t="shared" si="753"/>
        <v>0</v>
      </c>
      <c r="AQ1511">
        <f t="shared" ca="1" si="745"/>
        <v>0.99999999999999978</v>
      </c>
      <c r="AR1511" t="str">
        <f t="shared" ca="1" si="746"/>
        <v>Supercritical</v>
      </c>
      <c r="AS1511">
        <f t="shared" ca="1" si="747"/>
        <v>3.8148159832266538E-3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191</v>
      </c>
      <c r="I1512">
        <v>5.7000000000000002E-2</v>
      </c>
      <c r="J1512">
        <f t="shared" si="748"/>
        <v>0.99899999999979627</v>
      </c>
      <c r="K1512">
        <f t="shared" si="749"/>
        <v>51</v>
      </c>
      <c r="L1512">
        <f t="shared" ca="1" si="750"/>
        <v>0.05</v>
      </c>
      <c r="M1512">
        <f t="shared" ca="1" si="723"/>
        <v>0.26</v>
      </c>
      <c r="N1512">
        <f t="shared" ca="1" si="724"/>
        <v>4.9056603773584909E-2</v>
      </c>
      <c r="O1512">
        <f t="shared" ca="1" si="725"/>
        <v>196.15384615384616</v>
      </c>
      <c r="P1512">
        <f t="shared" ca="1" si="726"/>
        <v>631.93099999999993</v>
      </c>
      <c r="Q1512">
        <f t="shared" ca="1" si="727"/>
        <v>2593.0080316486619</v>
      </c>
      <c r="R1512">
        <f t="shared" ca="1" si="728"/>
        <v>482.07306851378365</v>
      </c>
      <c r="S1512">
        <f t="shared" ca="1" si="729"/>
        <v>280.07692026646265</v>
      </c>
      <c r="T1512">
        <f t="shared" ca="1" si="730"/>
        <v>1019.7665564573041</v>
      </c>
      <c r="U1512">
        <f t="shared" ca="1" si="751"/>
        <v>-481.77679776317837</v>
      </c>
      <c r="V1512">
        <f t="shared" ca="1" si="752"/>
        <v>0</v>
      </c>
      <c r="W1512">
        <f t="shared" ca="1" si="731"/>
        <v>2.1160840790350597</v>
      </c>
      <c r="X1512">
        <f t="shared" ca="1" si="732"/>
        <v>11.00363721098231</v>
      </c>
      <c r="Y1512">
        <f t="shared" ca="1" si="733"/>
        <v>1.1666074042125349</v>
      </c>
      <c r="Z1512">
        <f t="shared" ca="1" si="734"/>
        <v>4.6348311037643848</v>
      </c>
      <c r="AA1512">
        <f t="shared" ca="1" si="735"/>
        <v>633.99708407903506</v>
      </c>
      <c r="AB1512">
        <f t="shared" ca="1" si="736"/>
        <v>635.09196987722169</v>
      </c>
      <c r="AC1512">
        <f t="shared" ca="1" si="737"/>
        <v>3.93565818337859E-3</v>
      </c>
      <c r="AD1512">
        <f t="shared" ca="1" si="738"/>
        <v>1.0172622989301299</v>
      </c>
      <c r="AE1512">
        <f t="shared" ca="1" si="739"/>
        <v>35.73776297822377</v>
      </c>
      <c r="AF1512">
        <f t="shared" ca="1" si="740"/>
        <v>3.4356581834344979E-3</v>
      </c>
      <c r="AG1512">
        <f t="shared" ca="1" si="741"/>
        <v>0</v>
      </c>
      <c r="AH1512">
        <f ca="1">IF(V32="Supercritical",L1512,IF(V32="Subcritical",W1512,IF(AND(V1512=1,AG1512=1),IF(T1512&gt;=AE1512,L1512,W1512),IF(V1512=1,L1512,IF(AG1512=1,W1512,MAX($D$16,POWER((ABS(K1512)^2)/($I$5*MAX(F1512,0.1)^2),1/3)))))))</f>
        <v>2.1403668656741068</v>
      </c>
      <c r="AI1512">
        <f t="shared" ca="1" si="742"/>
        <v>634.02136686567405</v>
      </c>
      <c r="AJ1512">
        <f t="shared" ca="1" si="743"/>
        <v>635.09155029851115</v>
      </c>
      <c r="AM1512">
        <v>0</v>
      </c>
      <c r="AN1512">
        <v>0</v>
      </c>
      <c r="AO1512">
        <f t="shared" si="744"/>
        <v>0</v>
      </c>
      <c r="AP1512">
        <f t="shared" si="753"/>
        <v>0</v>
      </c>
      <c r="AQ1512">
        <f t="shared" ca="1" si="745"/>
        <v>0.99999999999999978</v>
      </c>
      <c r="AR1512" t="str">
        <f t="shared" ca="1" si="746"/>
        <v>Supercritical</v>
      </c>
      <c r="AS1512">
        <f t="shared" ca="1" si="747"/>
        <v>3.8148159832266538E-3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191</v>
      </c>
      <c r="I1513">
        <v>0</v>
      </c>
      <c r="J1513">
        <f t="shared" si="748"/>
        <v>1</v>
      </c>
      <c r="K1513">
        <f t="shared" si="749"/>
        <v>51</v>
      </c>
      <c r="L1513">
        <f t="shared" ca="1" si="750"/>
        <v>0.05</v>
      </c>
      <c r="M1513">
        <f t="shared" ca="1" si="723"/>
        <v>0.26</v>
      </c>
      <c r="N1513">
        <f t="shared" ca="1" si="724"/>
        <v>4.9056603773584909E-2</v>
      </c>
      <c r="O1513">
        <f t="shared" ca="1" si="725"/>
        <v>196.15384615384616</v>
      </c>
      <c r="P1513">
        <f t="shared" ca="1" si="726"/>
        <v>631.93049999999994</v>
      </c>
      <c r="Q1513">
        <f t="shared" ca="1" si="727"/>
        <v>2593.0075316486618</v>
      </c>
      <c r="R1513">
        <f t="shared" ca="1" si="728"/>
        <v>482.07306851378365</v>
      </c>
      <c r="S1513">
        <f t="shared" ca="1" si="729"/>
        <v>280.07692026646265</v>
      </c>
      <c r="T1513">
        <f t="shared" ca="1" si="730"/>
        <v>1019.7665564573041</v>
      </c>
      <c r="U1513">
        <f t="shared" ca="1" si="751"/>
        <v>-482.07256851378361</v>
      </c>
      <c r="V1513">
        <f t="shared" ca="1" si="752"/>
        <v>0</v>
      </c>
      <c r="W1513">
        <f t="shared" ca="1" si="731"/>
        <v>2.1197264970309169</v>
      </c>
      <c r="X1513">
        <f t="shared" ca="1" si="732"/>
        <v>11.022577784560768</v>
      </c>
      <c r="Y1513">
        <f t="shared" ca="1" si="733"/>
        <v>1.1677136155553554</v>
      </c>
      <c r="Z1513">
        <f t="shared" ca="1" si="734"/>
        <v>4.6268668724148423</v>
      </c>
      <c r="AA1513">
        <f t="shared" ca="1" si="735"/>
        <v>634.00022649703089</v>
      </c>
      <c r="AB1513">
        <f t="shared" ca="1" si="736"/>
        <v>635.09135274856249</v>
      </c>
      <c r="AC1513">
        <f t="shared" ca="1" si="737"/>
        <v>3.9171908703413902E-3</v>
      </c>
      <c r="AD1513">
        <f t="shared" ca="1" si="738"/>
        <v>1.0146414167235629</v>
      </c>
      <c r="AE1513">
        <f t="shared" ca="1" si="739"/>
        <v>35.736473058325359</v>
      </c>
      <c r="AF1513">
        <f t="shared" ca="1" si="740"/>
        <v>3.5208478642516639E-3</v>
      </c>
      <c r="AG1513">
        <f t="shared" ca="1" si="741"/>
        <v>0</v>
      </c>
      <c r="AH1513">
        <f ca="1">IF(V32="Supercritical",L1513,IF(V32="Subcritical",W1513,IF(AND(V1513=1,AG1513=1),IF(T1513&gt;=AE1513,L1513,W1513),IF(V1513=1,L1513,IF(AG1513=1,W1513,MAX($D$16,POWER((ABS(K1513)^2)/($I$5*MAX(F1513,0.1)^2),1/3)))))))</f>
        <v>2.1403668656741068</v>
      </c>
      <c r="AI1513">
        <f t="shared" ca="1" si="742"/>
        <v>634.02086686567407</v>
      </c>
      <c r="AJ1513">
        <f t="shared" ca="1" si="743"/>
        <v>635.09105029851116</v>
      </c>
      <c r="AM1513">
        <v>0</v>
      </c>
      <c r="AN1513">
        <v>0</v>
      </c>
      <c r="AO1513">
        <f t="shared" si="744"/>
        <v>0</v>
      </c>
      <c r="AP1513">
        <f t="shared" si="753"/>
        <v>0</v>
      </c>
      <c r="AQ1513">
        <f t="shared" ca="1" si="745"/>
        <v>0.99999999999999978</v>
      </c>
      <c r="AR1513" t="str">
        <f t="shared" ca="1" si="746"/>
        <v>Supercritical</v>
      </c>
      <c r="AS1513">
        <f t="shared" ca="1" si="747"/>
        <v>3.8148159832266538E-3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191</v>
      </c>
      <c r="I1514">
        <v>5.7000000000000002E-2</v>
      </c>
      <c r="J1514">
        <f t="shared" si="748"/>
        <v>1</v>
      </c>
      <c r="K1514">
        <f t="shared" si="749"/>
        <v>51</v>
      </c>
      <c r="L1514">
        <f t="shared" ca="1" si="750"/>
        <v>0.05</v>
      </c>
      <c r="M1514">
        <f t="shared" ca="1" si="723"/>
        <v>0.26</v>
      </c>
      <c r="N1514">
        <f t="shared" ca="1" si="724"/>
        <v>4.9056603773584909E-2</v>
      </c>
      <c r="O1514">
        <f t="shared" ca="1" si="725"/>
        <v>196.15384615384616</v>
      </c>
      <c r="P1514">
        <f t="shared" ca="1" si="726"/>
        <v>631.92999999999995</v>
      </c>
      <c r="Q1514">
        <f t="shared" ca="1" si="727"/>
        <v>2593.0070316486622</v>
      </c>
      <c r="R1514">
        <f t="shared" ca="1" si="728"/>
        <v>482.07306851378365</v>
      </c>
      <c r="S1514">
        <f t="shared" ca="1" si="729"/>
        <v>280.07692026646265</v>
      </c>
      <c r="T1514">
        <f t="shared" ca="1" si="730"/>
        <v>1019.7665564573041</v>
      </c>
      <c r="U1514">
        <f t="shared" ca="1" si="751"/>
        <v>-482.25887083179077</v>
      </c>
      <c r="V1514">
        <f t="shared" ca="1" si="752"/>
        <v>0</v>
      </c>
      <c r="W1514">
        <f t="shared" ca="1" si="731"/>
        <v>2.1228225523273956</v>
      </c>
      <c r="X1514">
        <f t="shared" ca="1" si="732"/>
        <v>11.038677272102458</v>
      </c>
      <c r="Y1514">
        <f t="shared" ca="1" si="733"/>
        <v>1.1686525536157002</v>
      </c>
      <c r="Z1514">
        <f t="shared" ca="1" si="734"/>
        <v>4.6201187644909192</v>
      </c>
      <c r="AA1514">
        <f t="shared" ca="1" si="735"/>
        <v>634.00282255232742</v>
      </c>
      <c r="AB1514">
        <f t="shared" ca="1" si="736"/>
        <v>635.09076839320414</v>
      </c>
      <c r="AC1514">
        <f t="shared" ca="1" si="737"/>
        <v>3.9015895637109837E-3</v>
      </c>
      <c r="AD1514">
        <f t="shared" ca="1" si="738"/>
        <v>1.0124225028634339</v>
      </c>
      <c r="AE1514">
        <f t="shared" ca="1" si="739"/>
        <v>35.735542584469805</v>
      </c>
      <c r="AF1514">
        <f t="shared" ca="1" si="740"/>
        <v>3.5049444186370238E-3</v>
      </c>
      <c r="AG1514">
        <f t="shared" ca="1" si="741"/>
        <v>0</v>
      </c>
      <c r="AH1514">
        <f ca="1">IF(V32="Supercritical",L1514,IF(V32="Subcritical",W1514,IF(AND(V1514=1,AG1514=1),IF(T1514&gt;=AE1514,L1514,W1514),IF(V1514=1,L1514,IF(AG1514=1,W1514,MAX($D$16,POWER((ABS(K1514)^2)/($I$5*MAX(F1514,0.1)^2),1/3)))))))</f>
        <v>2.1403668656741068</v>
      </c>
      <c r="AI1514">
        <f t="shared" ca="1" si="742"/>
        <v>634.02036686567408</v>
      </c>
      <c r="AJ1514">
        <f t="shared" ca="1" si="743"/>
        <v>635.09055029851118</v>
      </c>
      <c r="AM1514">
        <v>0</v>
      </c>
      <c r="AN1514">
        <v>0</v>
      </c>
      <c r="AO1514">
        <f t="shared" si="744"/>
        <v>0</v>
      </c>
      <c r="AP1514">
        <f t="shared" si="753"/>
        <v>0</v>
      </c>
      <c r="AQ1514">
        <f t="shared" ca="1" si="745"/>
        <v>0.99999999999999978</v>
      </c>
      <c r="AR1514" t="str">
        <f t="shared" ca="1" si="746"/>
        <v>Supercritical</v>
      </c>
      <c r="AS1514">
        <f t="shared" ca="1" si="747"/>
        <v>3.8148159832266538E-3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191</v>
      </c>
      <c r="I1515">
        <v>5.7000000000000002E-2</v>
      </c>
      <c r="J1515">
        <f t="shared" si="748"/>
        <v>1</v>
      </c>
      <c r="K1515">
        <f t="shared" si="749"/>
        <v>51</v>
      </c>
      <c r="L1515">
        <f t="shared" ca="1" si="750"/>
        <v>0.05</v>
      </c>
      <c r="M1515">
        <f t="shared" ca="1" si="723"/>
        <v>0.26</v>
      </c>
      <c r="N1515">
        <f t="shared" ca="1" si="724"/>
        <v>4.9056603773584909E-2</v>
      </c>
      <c r="O1515">
        <f t="shared" ca="1" si="725"/>
        <v>196.15384615384616</v>
      </c>
      <c r="P1515">
        <f t="shared" ca="1" si="726"/>
        <v>631.92949999999996</v>
      </c>
      <c r="Q1515">
        <f t="shared" ca="1" si="727"/>
        <v>2593.0065316486621</v>
      </c>
      <c r="R1515">
        <f t="shared" ca="1" si="728"/>
        <v>482.07306851378365</v>
      </c>
      <c r="S1515">
        <f t="shared" ca="1" si="729"/>
        <v>280.07692026646265</v>
      </c>
      <c r="T1515">
        <f t="shared" ca="1" si="730"/>
        <v>1019.7665564573041</v>
      </c>
      <c r="U1515">
        <f t="shared" ca="1" si="751"/>
        <v>-482.25887083179032</v>
      </c>
      <c r="V1515">
        <f t="shared" ca="1" si="752"/>
        <v>0</v>
      </c>
      <c r="W1515">
        <f t="shared" ca="1" si="731"/>
        <v>2.1254541993294023</v>
      </c>
      <c r="X1515">
        <f t="shared" ca="1" si="732"/>
        <v>11.052361836512892</v>
      </c>
      <c r="Y1515">
        <f t="shared" ca="1" si="733"/>
        <v>1.1694496835966957</v>
      </c>
      <c r="Z1515">
        <f t="shared" ca="1" si="734"/>
        <v>4.6143983299130662</v>
      </c>
      <c r="AA1515">
        <f t="shared" ca="1" si="735"/>
        <v>634.0049541993294</v>
      </c>
      <c r="AB1515">
        <f t="shared" ca="1" si="736"/>
        <v>635.09020761151623</v>
      </c>
      <c r="AC1515">
        <f t="shared" ca="1" si="737"/>
        <v>3.8883972459470488E-3</v>
      </c>
      <c r="AD1515">
        <f t="shared" ca="1" si="738"/>
        <v>1.0105427772801001</v>
      </c>
      <c r="AE1515">
        <f t="shared" ca="1" si="739"/>
        <v>35.734871230559158</v>
      </c>
      <c r="AF1515">
        <f t="shared" ca="1" si="740"/>
        <v>4.4284317658593864E-3</v>
      </c>
      <c r="AG1515">
        <f t="shared" ca="1" si="741"/>
        <v>0</v>
      </c>
      <c r="AH1515">
        <f ca="1">IF(V32="Supercritical",L1515,IF(V32="Subcritical",W1515,IF(AND(V1515=1,AG1515=1),IF(T1515&gt;=AE1515,L1515,W1515),IF(V1515=1,L1515,IF(AG1515=1,W1515,MAX($D$16,POWER((ABS(K1515)^2)/($I$5*MAX(F1515,0.1)^2),1/3)))))))</f>
        <v>2.1403668656741068</v>
      </c>
      <c r="AI1515">
        <f t="shared" ca="1" si="742"/>
        <v>634.01986686567409</v>
      </c>
      <c r="AJ1515">
        <f t="shared" ca="1" si="743"/>
        <v>635.09005029851119</v>
      </c>
      <c r="AM1515">
        <v>0</v>
      </c>
      <c r="AN1515">
        <v>0</v>
      </c>
      <c r="AO1515">
        <f t="shared" si="744"/>
        <v>0</v>
      </c>
      <c r="AP1515">
        <f t="shared" si="753"/>
        <v>0</v>
      </c>
      <c r="AQ1515">
        <f t="shared" ca="1" si="745"/>
        <v>0.99999999999999978</v>
      </c>
      <c r="AR1515" t="str">
        <f t="shared" ca="1" si="746"/>
        <v>Supercritical</v>
      </c>
      <c r="AS1515">
        <f t="shared" ca="1" si="747"/>
        <v>3.8148159832266538E-3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191</v>
      </c>
      <c r="I1516">
        <v>0.57499999999999996</v>
      </c>
      <c r="J1516">
        <f t="shared" si="748"/>
        <v>1</v>
      </c>
      <c r="K1516">
        <f t="shared" si="749"/>
        <v>51</v>
      </c>
      <c r="L1516">
        <f t="shared" ca="1" si="750"/>
        <v>0.05</v>
      </c>
      <c r="M1516">
        <f t="shared" ca="1" si="723"/>
        <v>0.26</v>
      </c>
      <c r="N1516">
        <f t="shared" ca="1" si="724"/>
        <v>4.9056603773584909E-2</v>
      </c>
      <c r="O1516">
        <f t="shared" ca="1" si="725"/>
        <v>196.15384615384616</v>
      </c>
      <c r="P1516">
        <f t="shared" ca="1" si="726"/>
        <v>631.92899999999997</v>
      </c>
      <c r="Q1516">
        <f t="shared" ca="1" si="727"/>
        <v>2593.006031648662</v>
      </c>
      <c r="R1516">
        <f t="shared" ca="1" si="728"/>
        <v>482.07306851378365</v>
      </c>
      <c r="S1516">
        <f t="shared" ca="1" si="729"/>
        <v>280.07692026646265</v>
      </c>
      <c r="T1516">
        <f t="shared" ca="1" si="730"/>
        <v>1019.7665564573041</v>
      </c>
      <c r="U1516">
        <f t="shared" ca="1" si="751"/>
        <v>-483.95193400244671</v>
      </c>
      <c r="V1516">
        <f t="shared" ca="1" si="752"/>
        <v>0</v>
      </c>
      <c r="W1516">
        <f t="shared" ca="1" si="731"/>
        <v>2.1276910992811078</v>
      </c>
      <c r="X1516">
        <f t="shared" ca="1" si="732"/>
        <v>11.063993716261761</v>
      </c>
      <c r="Y1516">
        <f t="shared" ca="1" si="733"/>
        <v>1.1701265463329606</v>
      </c>
      <c r="Z1516">
        <f t="shared" ca="1" si="734"/>
        <v>4.6095470865136745</v>
      </c>
      <c r="AA1516">
        <f t="shared" ca="1" si="735"/>
        <v>634.00669109928117</v>
      </c>
      <c r="AB1516">
        <f t="shared" ca="1" si="736"/>
        <v>635.08966379769026</v>
      </c>
      <c r="AC1516">
        <f t="shared" ca="1" si="737"/>
        <v>3.8772331731006322E-3</v>
      </c>
      <c r="AD1516">
        <f t="shared" ca="1" si="738"/>
        <v>1.0089495792406662</v>
      </c>
      <c r="AE1516">
        <f t="shared" ca="1" si="739"/>
        <v>35.734386736458958</v>
      </c>
      <c r="AF1516">
        <f t="shared" ca="1" si="740"/>
        <v>7.7712916935297471E-3</v>
      </c>
      <c r="AG1516">
        <f t="shared" ca="1" si="741"/>
        <v>0</v>
      </c>
      <c r="AH1516">
        <f ca="1">IF(V32="Supercritical",L1516,IF(V32="Subcritical",W1516,IF(AND(V1516=1,AG1516=1),IF(T1516&gt;=AE1516,L1516,W1516),IF(V1516=1,L1516,IF(AG1516=1,W1516,MAX($D$16,POWER((ABS(K1516)^2)/($I$5*MAX(F1516,0.1)^2),1/3)))))))</f>
        <v>2.1403668656741068</v>
      </c>
      <c r="AI1516">
        <f t="shared" ca="1" si="742"/>
        <v>634.0193668656741</v>
      </c>
      <c r="AJ1516">
        <f t="shared" ca="1" si="743"/>
        <v>635.0895502985112</v>
      </c>
      <c r="AM1516">
        <v>0</v>
      </c>
      <c r="AN1516">
        <v>0</v>
      </c>
      <c r="AO1516">
        <f t="shared" si="744"/>
        <v>0</v>
      </c>
      <c r="AP1516">
        <f t="shared" si="753"/>
        <v>0</v>
      </c>
      <c r="AQ1516">
        <f t="shared" ca="1" si="745"/>
        <v>0.99999999999999978</v>
      </c>
      <c r="AR1516" t="str">
        <f t="shared" ca="1" si="746"/>
        <v>Supercritical</v>
      </c>
      <c r="AS1516">
        <f t="shared" ca="1" si="747"/>
        <v>3.8148159832266538E-3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191</v>
      </c>
      <c r="I1517">
        <v>2.177</v>
      </c>
      <c r="J1517">
        <f t="shared" si="748"/>
        <v>1.0010000000002037</v>
      </c>
      <c r="K1517">
        <f t="shared" si="749"/>
        <v>51</v>
      </c>
      <c r="L1517">
        <f t="shared" ca="1" si="750"/>
        <v>0.05</v>
      </c>
      <c r="M1517">
        <f t="shared" ca="1" si="723"/>
        <v>0.25995000000000001</v>
      </c>
      <c r="N1517">
        <f t="shared" ca="1" si="724"/>
        <v>4.9056425740705803E-2</v>
      </c>
      <c r="O1517">
        <f t="shared" ca="1" si="725"/>
        <v>196.19157530294285</v>
      </c>
      <c r="P1517">
        <f t="shared" ca="1" si="726"/>
        <v>631.92849999999999</v>
      </c>
      <c r="Q1517">
        <f t="shared" ca="1" si="727"/>
        <v>2593.7600096763654</v>
      </c>
      <c r="R1517">
        <f t="shared" ca="1" si="728"/>
        <v>482.26086831350221</v>
      </c>
      <c r="S1517">
        <f t="shared" ca="1" si="729"/>
        <v>280.13079157253424</v>
      </c>
      <c r="T1517">
        <f t="shared" ca="1" si="730"/>
        <v>1019.9627006307426</v>
      </c>
      <c r="U1517">
        <f t="shared" ca="1" si="751"/>
        <v>-490.5967398735711</v>
      </c>
      <c r="V1517">
        <f t="shared" ca="1" si="752"/>
        <v>0</v>
      </c>
      <c r="W1517">
        <f t="shared" ca="1" si="731"/>
        <v>2.1295924642400577</v>
      </c>
      <c r="X1517">
        <f t="shared" ca="1" si="732"/>
        <v>11.071751221584059</v>
      </c>
      <c r="Y1517">
        <f t="shared" ca="1" si="733"/>
        <v>1.1705999941114744</v>
      </c>
      <c r="Z1517">
        <f t="shared" ca="1" si="734"/>
        <v>4.6063173728630185</v>
      </c>
      <c r="AA1517">
        <f t="shared" ca="1" si="735"/>
        <v>634.00809246424012</v>
      </c>
      <c r="AB1517">
        <f t="shared" ca="1" si="736"/>
        <v>635.08954810845728</v>
      </c>
      <c r="AC1517">
        <f t="shared" ca="1" si="737"/>
        <v>3.8697140648614732E-3</v>
      </c>
      <c r="AD1517">
        <f t="shared" ca="1" si="738"/>
        <v>1.007792455799752</v>
      </c>
      <c r="AE1517">
        <f t="shared" ca="1" si="739"/>
        <v>35.736374683612517</v>
      </c>
      <c r="AF1517">
        <f t="shared" ca="1" si="740"/>
        <v>3.4724523510476502E-3</v>
      </c>
      <c r="AG1517">
        <f t="shared" ca="1" si="741"/>
        <v>0</v>
      </c>
      <c r="AH1517">
        <f ca="1">IF(V32="Supercritical",L1517,IF(V32="Subcritical",W1517,IF(AND(V1517=1,AG1517=1),IF(T1517&gt;=AE1517,L1517,W1517),IF(V1517=1,L1517,IF(AG1517=1,W1517,MAX($D$16,POWER((ABS(K1517)^2)/($I$5*MAX(F1517,0.1)^2),1/3)))))))</f>
        <v>2.1406413156653663</v>
      </c>
      <c r="AI1517">
        <f t="shared" ca="1" si="742"/>
        <v>634.01914131566537</v>
      </c>
      <c r="AJ1517">
        <f t="shared" ca="1" si="743"/>
        <v>635.08946197349803</v>
      </c>
      <c r="AM1517">
        <v>0</v>
      </c>
      <c r="AN1517">
        <v>0</v>
      </c>
      <c r="AO1517">
        <f t="shared" si="744"/>
        <v>0</v>
      </c>
      <c r="AP1517">
        <f t="shared" si="753"/>
        <v>0</v>
      </c>
      <c r="AQ1517">
        <f t="shared" ca="1" si="745"/>
        <v>1.0000000000000004</v>
      </c>
      <c r="AR1517" t="str">
        <f t="shared" ca="1" si="746"/>
        <v>Supercritical</v>
      </c>
      <c r="AS1517">
        <f t="shared" ca="1" si="747"/>
        <v>3.8153892150171462E-3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191</v>
      </c>
      <c r="I1518">
        <v>5.7000000000000002E-2</v>
      </c>
      <c r="J1518">
        <f t="shared" si="748"/>
        <v>1</v>
      </c>
      <c r="K1518">
        <f t="shared" si="749"/>
        <v>51</v>
      </c>
      <c r="L1518">
        <f t="shared" ca="1" si="750"/>
        <v>0.05</v>
      </c>
      <c r="M1518">
        <f t="shared" ca="1" si="723"/>
        <v>0.25995000000000001</v>
      </c>
      <c r="N1518">
        <f t="shared" ca="1" si="724"/>
        <v>4.9056425740705803E-2</v>
      </c>
      <c r="O1518">
        <f t="shared" ca="1" si="725"/>
        <v>196.19157530294285</v>
      </c>
      <c r="P1518">
        <f t="shared" ca="1" si="726"/>
        <v>631.928</v>
      </c>
      <c r="Q1518">
        <f t="shared" ca="1" si="727"/>
        <v>2593.7595096763657</v>
      </c>
      <c r="R1518">
        <f t="shared" ca="1" si="728"/>
        <v>482.26086831350221</v>
      </c>
      <c r="S1518">
        <f t="shared" ca="1" si="729"/>
        <v>280.13079157253424</v>
      </c>
      <c r="T1518">
        <f t="shared" ca="1" si="730"/>
        <v>1019.9627006307426</v>
      </c>
      <c r="U1518">
        <f t="shared" ca="1" si="751"/>
        <v>-482.44674230692181</v>
      </c>
      <c r="V1518">
        <f t="shared" ca="1" si="752"/>
        <v>0</v>
      </c>
      <c r="W1518">
        <f t="shared" ca="1" si="731"/>
        <v>2.1312086244551649</v>
      </c>
      <c r="X1518">
        <f t="shared" ca="1" si="732"/>
        <v>11.080153638542402</v>
      </c>
      <c r="Y1518">
        <f t="shared" ca="1" si="733"/>
        <v>1.1710881517056551</v>
      </c>
      <c r="Z1518">
        <f t="shared" ca="1" si="734"/>
        <v>4.6028242625261164</v>
      </c>
      <c r="AA1518">
        <f t="shared" ca="1" si="735"/>
        <v>634.00920862445525</v>
      </c>
      <c r="AB1518">
        <f t="shared" ca="1" si="736"/>
        <v>635.0890246892717</v>
      </c>
      <c r="AC1518">
        <f t="shared" ca="1" si="737"/>
        <v>3.8616999159424019E-3</v>
      </c>
      <c r="AD1518">
        <f t="shared" ca="1" si="738"/>
        <v>1.0066463137250106</v>
      </c>
      <c r="AE1518">
        <f t="shared" ca="1" si="739"/>
        <v>35.73611529644036</v>
      </c>
      <c r="AF1518">
        <f t="shared" ca="1" si="740"/>
        <v>3.7642824420345278E-3</v>
      </c>
      <c r="AG1518">
        <f t="shared" ca="1" si="741"/>
        <v>0</v>
      </c>
      <c r="AH1518">
        <f ca="1">IF(V32="Supercritical",L1518,IF(V32="Subcritical",W1518,IF(AND(V1518=1,AG1518=1),IF(T1518&gt;=AE1518,L1518,W1518),IF(V1518=1,L1518,IF(AG1518=1,W1518,MAX($D$16,POWER((ABS(K1518)^2)/($I$5*MAX(F1518,0.1)^2),1/3)))))))</f>
        <v>2.1406413156653663</v>
      </c>
      <c r="AI1518">
        <f t="shared" ca="1" si="742"/>
        <v>634.01864131566538</v>
      </c>
      <c r="AJ1518">
        <f t="shared" ca="1" si="743"/>
        <v>635.08896197349804</v>
      </c>
      <c r="AM1518">
        <v>0</v>
      </c>
      <c r="AN1518">
        <v>0</v>
      </c>
      <c r="AO1518">
        <f t="shared" si="744"/>
        <v>0</v>
      </c>
      <c r="AP1518">
        <f t="shared" si="753"/>
        <v>0</v>
      </c>
      <c r="AQ1518">
        <f t="shared" ca="1" si="745"/>
        <v>1.0000000000000004</v>
      </c>
      <c r="AR1518" t="str">
        <f t="shared" ca="1" si="746"/>
        <v>Supercritical</v>
      </c>
      <c r="AS1518">
        <f t="shared" ca="1" si="747"/>
        <v>3.8153892150171462E-3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191</v>
      </c>
      <c r="I1519">
        <v>5.7000000000000002E-2</v>
      </c>
      <c r="J1519">
        <f t="shared" si="748"/>
        <v>1</v>
      </c>
      <c r="K1519">
        <f t="shared" si="749"/>
        <v>51</v>
      </c>
      <c r="L1519">
        <f t="shared" ca="1" si="750"/>
        <v>0.05</v>
      </c>
      <c r="M1519">
        <f t="shared" ca="1" si="723"/>
        <v>0.25995000000000001</v>
      </c>
      <c r="N1519">
        <f t="shared" ca="1" si="724"/>
        <v>4.9056425740705803E-2</v>
      </c>
      <c r="O1519">
        <f t="shared" ca="1" si="725"/>
        <v>196.19157530294285</v>
      </c>
      <c r="P1519">
        <f t="shared" ca="1" si="726"/>
        <v>631.92779999999993</v>
      </c>
      <c r="Q1519">
        <f t="shared" ca="1" si="727"/>
        <v>2593.7593096763658</v>
      </c>
      <c r="R1519">
        <f t="shared" ca="1" si="728"/>
        <v>482.26086831350221</v>
      </c>
      <c r="S1519">
        <f t="shared" ca="1" si="729"/>
        <v>280.13079157253424</v>
      </c>
      <c r="T1519">
        <f t="shared" ca="1" si="730"/>
        <v>1019.9627006307426</v>
      </c>
      <c r="U1519">
        <f t="shared" ca="1" si="751"/>
        <v>-482.4470423069215</v>
      </c>
      <c r="V1519">
        <f t="shared" ca="1" si="752"/>
        <v>0</v>
      </c>
      <c r="W1519">
        <f t="shared" ca="1" si="731"/>
        <v>2.1325823606380063</v>
      </c>
      <c r="X1519">
        <f t="shared" ca="1" si="732"/>
        <v>11.087295692956994</v>
      </c>
      <c r="Y1519">
        <f t="shared" ca="1" si="733"/>
        <v>1.1715028234908131</v>
      </c>
      <c r="Z1519">
        <f t="shared" ca="1" si="734"/>
        <v>4.5998592815015149</v>
      </c>
      <c r="AA1519">
        <f t="shared" ca="1" si="735"/>
        <v>634.010382360638</v>
      </c>
      <c r="AB1519">
        <f t="shared" ca="1" si="736"/>
        <v>635.08880771281008</v>
      </c>
      <c r="AC1519">
        <f t="shared" ca="1" si="737"/>
        <v>3.8549062789763585E-3</v>
      </c>
      <c r="AD1519">
        <f t="shared" ca="1" si="738"/>
        <v>1.0056738000012664</v>
      </c>
      <c r="AE1519">
        <f t="shared" ca="1" si="739"/>
        <v>35.735927135614531</v>
      </c>
      <c r="AF1519">
        <f t="shared" ca="1" si="740"/>
        <v>3.6549062790527387E-3</v>
      </c>
      <c r="AG1519">
        <f t="shared" ca="1" si="741"/>
        <v>0</v>
      </c>
      <c r="AH1519">
        <f ca="1">IF(V32="Supercritical",L1519,IF(V32="Subcritical",W1519,IF(AND(V1519=1,AG1519=1),IF(T1519&gt;=AE1519,L1519,W1519),IF(V1519=1,L1519,IF(AG1519=1,W1519,MAX($D$16,POWER((ABS(K1519)^2)/($I$5*MAX(F1519,0.1)^2),1/3)))))))</f>
        <v>2.1406413156653663</v>
      </c>
      <c r="AI1519">
        <f t="shared" ca="1" si="742"/>
        <v>634.01844131566531</v>
      </c>
      <c r="AJ1519">
        <f t="shared" ca="1" si="743"/>
        <v>635.08876197349798</v>
      </c>
      <c r="AM1519">
        <v>0</v>
      </c>
      <c r="AN1519">
        <v>0</v>
      </c>
      <c r="AO1519">
        <f t="shared" si="744"/>
        <v>0</v>
      </c>
      <c r="AP1519">
        <f t="shared" si="753"/>
        <v>0</v>
      </c>
      <c r="AQ1519">
        <f t="shared" ca="1" si="745"/>
        <v>1.0000000000000004</v>
      </c>
      <c r="AR1519" t="str">
        <f t="shared" ca="1" si="746"/>
        <v>Supercritical</v>
      </c>
      <c r="AS1519">
        <f t="shared" ca="1" si="747"/>
        <v>3.8153892150171462E-3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191</v>
      </c>
      <c r="I1520">
        <v>0</v>
      </c>
      <c r="J1520">
        <f t="shared" si="748"/>
        <v>1</v>
      </c>
      <c r="K1520">
        <f t="shared" si="749"/>
        <v>51</v>
      </c>
      <c r="L1520">
        <f t="shared" ca="1" si="750"/>
        <v>0.05</v>
      </c>
      <c r="M1520">
        <f t="shared" ca="1" si="723"/>
        <v>0.25995000000000001</v>
      </c>
      <c r="N1520">
        <f t="shared" ca="1" si="724"/>
        <v>4.9056425740705803E-2</v>
      </c>
      <c r="O1520">
        <f t="shared" ca="1" si="725"/>
        <v>196.19157530294285</v>
      </c>
      <c r="P1520">
        <f t="shared" ca="1" si="726"/>
        <v>631.92759999999998</v>
      </c>
      <c r="Q1520">
        <f t="shared" ca="1" si="727"/>
        <v>2593.7591096763654</v>
      </c>
      <c r="R1520">
        <f t="shared" ca="1" si="728"/>
        <v>482.26086831350221</v>
      </c>
      <c r="S1520">
        <f t="shared" ca="1" si="729"/>
        <v>280.13079157253424</v>
      </c>
      <c r="T1520">
        <f t="shared" ca="1" si="730"/>
        <v>1019.9627006307426</v>
      </c>
      <c r="U1520">
        <f t="shared" ca="1" si="751"/>
        <v>-482.26066831350181</v>
      </c>
      <c r="V1520">
        <f t="shared" ca="1" si="752"/>
        <v>0</v>
      </c>
      <c r="W1520">
        <f t="shared" ca="1" si="731"/>
        <v>2.1337500363934212</v>
      </c>
      <c r="X1520">
        <f t="shared" ca="1" si="732"/>
        <v>11.093366439209397</v>
      </c>
      <c r="Y1520">
        <f t="shared" ca="1" si="733"/>
        <v>1.1718551052568282</v>
      </c>
      <c r="Z1520">
        <f t="shared" ca="1" si="734"/>
        <v>4.5973420493657349</v>
      </c>
      <c r="AA1520">
        <f t="shared" ca="1" si="735"/>
        <v>634.01135003639342</v>
      </c>
      <c r="AB1520">
        <f t="shared" ca="1" si="736"/>
        <v>635.08859539413379</v>
      </c>
      <c r="AC1520">
        <f t="shared" ca="1" si="737"/>
        <v>3.8491449315155805E-3</v>
      </c>
      <c r="AD1520">
        <f t="shared" ca="1" si="738"/>
        <v>1.0048483938691051</v>
      </c>
      <c r="AE1520">
        <f t="shared" ca="1" si="739"/>
        <v>35.735790518396897</v>
      </c>
      <c r="AF1520">
        <f t="shared" ca="1" si="740"/>
        <v>3.649144931500814E-3</v>
      </c>
      <c r="AG1520">
        <f t="shared" ca="1" si="741"/>
        <v>0</v>
      </c>
      <c r="AH1520">
        <f ca="1">IF(V32="Supercritical",L1520,IF(V32="Subcritical",W1520,IF(AND(V1520=1,AG1520=1),IF(T1520&gt;=AE1520,L1520,W1520),IF(V1520=1,L1520,IF(AG1520=1,W1520,MAX($D$16,POWER((ABS(K1520)^2)/($I$5*MAX(F1520,0.1)^2),1/3)))))))</f>
        <v>2.1406413156653663</v>
      </c>
      <c r="AI1520">
        <f t="shared" ca="1" si="742"/>
        <v>634.01824131566536</v>
      </c>
      <c r="AJ1520">
        <f t="shared" ca="1" si="743"/>
        <v>635.08856197349803</v>
      </c>
      <c r="AM1520">
        <v>0</v>
      </c>
      <c r="AN1520">
        <v>0</v>
      </c>
      <c r="AO1520">
        <f t="shared" si="744"/>
        <v>0</v>
      </c>
      <c r="AP1520">
        <f t="shared" si="753"/>
        <v>0</v>
      </c>
      <c r="AQ1520">
        <f t="shared" ca="1" si="745"/>
        <v>1.0000000000000004</v>
      </c>
      <c r="AR1520" t="str">
        <f t="shared" ca="1" si="746"/>
        <v>Supercritical</v>
      </c>
      <c r="AS1520">
        <f t="shared" ca="1" si="747"/>
        <v>3.8153892150171462E-3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191</v>
      </c>
      <c r="I1521">
        <v>0</v>
      </c>
      <c r="J1521">
        <f t="shared" si="748"/>
        <v>1</v>
      </c>
      <c r="K1521">
        <f t="shared" si="749"/>
        <v>51</v>
      </c>
      <c r="L1521">
        <f t="shared" ca="1" si="750"/>
        <v>0.05</v>
      </c>
      <c r="M1521">
        <f t="shared" ca="1" si="723"/>
        <v>0.25995000000000001</v>
      </c>
      <c r="N1521">
        <f t="shared" ca="1" si="724"/>
        <v>4.9056425740705803E-2</v>
      </c>
      <c r="O1521">
        <f t="shared" ca="1" si="725"/>
        <v>196.19157530294285</v>
      </c>
      <c r="P1521">
        <f t="shared" ca="1" si="726"/>
        <v>631.92739999999992</v>
      </c>
      <c r="Q1521">
        <f t="shared" ca="1" si="727"/>
        <v>2593.7589096763654</v>
      </c>
      <c r="R1521">
        <f t="shared" ca="1" si="728"/>
        <v>482.26086831350221</v>
      </c>
      <c r="S1521">
        <f t="shared" ca="1" si="729"/>
        <v>280.13079157253424</v>
      </c>
      <c r="T1521">
        <f t="shared" ca="1" si="730"/>
        <v>1019.9627006307426</v>
      </c>
      <c r="U1521">
        <f t="shared" ca="1" si="751"/>
        <v>-482.26066831350226</v>
      </c>
      <c r="V1521">
        <f t="shared" ca="1" si="752"/>
        <v>0</v>
      </c>
      <c r="W1521">
        <f t="shared" ca="1" si="731"/>
        <v>2.1347425607855239</v>
      </c>
      <c r="X1521">
        <f t="shared" ca="1" si="732"/>
        <v>11.098526573523939</v>
      </c>
      <c r="Y1521">
        <f t="shared" ca="1" si="733"/>
        <v>1.1721544081258934</v>
      </c>
      <c r="Z1521">
        <f t="shared" ca="1" si="734"/>
        <v>4.5952045672137158</v>
      </c>
      <c r="AA1521">
        <f t="shared" ca="1" si="735"/>
        <v>634.01214256078549</v>
      </c>
      <c r="AB1521">
        <f t="shared" ca="1" si="736"/>
        <v>635.08838644531875</v>
      </c>
      <c r="AC1521">
        <f t="shared" ca="1" si="737"/>
        <v>3.8442573289067801E-3</v>
      </c>
      <c r="AD1521">
        <f t="shared" ca="1" si="738"/>
        <v>1.0041476860000182</v>
      </c>
      <c r="AE1521">
        <f t="shared" ca="1" si="739"/>
        <v>35.73569122342451</v>
      </c>
      <c r="AF1521">
        <f t="shared" ca="1" si="740"/>
        <v>3.4519657386908875E-3</v>
      </c>
      <c r="AG1521">
        <f t="shared" ca="1" si="741"/>
        <v>0</v>
      </c>
      <c r="AH1521">
        <f ca="1">IF(V32="Supercritical",L1521,IF(V32="Subcritical",W1521,IF(AND(V1521=1,AG1521=1),IF(T1521&gt;=AE1521,L1521,W1521),IF(V1521=1,L1521,IF(AG1521=1,W1521,MAX($D$16,POWER((ABS(K1521)^2)/($I$5*MAX(F1521,0.1)^2),1/3)))))))</f>
        <v>2.1406413156653663</v>
      </c>
      <c r="AI1521">
        <f t="shared" ca="1" si="742"/>
        <v>634.0180413156653</v>
      </c>
      <c r="AJ1521">
        <f t="shared" ca="1" si="743"/>
        <v>635.08836197349797</v>
      </c>
      <c r="AM1521">
        <v>0</v>
      </c>
      <c r="AN1521">
        <v>0</v>
      </c>
      <c r="AO1521">
        <f t="shared" si="744"/>
        <v>0</v>
      </c>
      <c r="AP1521">
        <f t="shared" si="753"/>
        <v>0</v>
      </c>
      <c r="AQ1521">
        <f t="shared" ca="1" si="745"/>
        <v>1.0000000000000004</v>
      </c>
      <c r="AR1521" t="str">
        <f t="shared" ca="1" si="746"/>
        <v>Supercritical</v>
      </c>
      <c r="AS1521">
        <f t="shared" ca="1" si="747"/>
        <v>3.8153892150171462E-3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191</v>
      </c>
      <c r="I1522">
        <v>5.7000000000000002E-2</v>
      </c>
      <c r="J1522">
        <f t="shared" si="748"/>
        <v>0.99899999999979627</v>
      </c>
      <c r="K1522">
        <f t="shared" si="749"/>
        <v>51</v>
      </c>
      <c r="L1522">
        <f t="shared" ca="1" si="750"/>
        <v>0.05</v>
      </c>
      <c r="M1522">
        <f t="shared" ca="1" si="723"/>
        <v>0.26</v>
      </c>
      <c r="N1522">
        <f t="shared" ca="1" si="724"/>
        <v>4.9056603773584909E-2</v>
      </c>
      <c r="O1522">
        <f t="shared" ca="1" si="725"/>
        <v>196.15384615384616</v>
      </c>
      <c r="P1522">
        <f t="shared" ca="1" si="726"/>
        <v>631.92719999999997</v>
      </c>
      <c r="Q1522">
        <f t="shared" ca="1" si="727"/>
        <v>2593.004231648662</v>
      </c>
      <c r="R1522">
        <f t="shared" ca="1" si="728"/>
        <v>482.07306851378365</v>
      </c>
      <c r="S1522">
        <f t="shared" ca="1" si="729"/>
        <v>280.07692026646265</v>
      </c>
      <c r="T1522">
        <f t="shared" ca="1" si="730"/>
        <v>1019.7665564573041</v>
      </c>
      <c r="U1522">
        <f t="shared" ca="1" si="751"/>
        <v>-481.34284081915803</v>
      </c>
      <c r="V1522">
        <f t="shared" ca="1" si="752"/>
        <v>0</v>
      </c>
      <c r="W1522">
        <f t="shared" ca="1" si="731"/>
        <v>2.1355862065188114</v>
      </c>
      <c r="X1522">
        <f t="shared" ca="1" si="732"/>
        <v>11.10504827389782</v>
      </c>
      <c r="Y1522">
        <f t="shared" ca="1" si="733"/>
        <v>1.1725104126085881</v>
      </c>
      <c r="Z1522">
        <f t="shared" ca="1" si="734"/>
        <v>4.5925059254244234</v>
      </c>
      <c r="AA1522">
        <f t="shared" ca="1" si="735"/>
        <v>634.01278620651885</v>
      </c>
      <c r="AB1522">
        <f t="shared" ca="1" si="736"/>
        <v>635.08776636324967</v>
      </c>
      <c r="AC1522">
        <f t="shared" ca="1" si="737"/>
        <v>3.8381890121205178E-3</v>
      </c>
      <c r="AD1522">
        <f t="shared" ca="1" si="738"/>
        <v>1.0033597334563262</v>
      </c>
      <c r="AE1522">
        <f t="shared" ca="1" si="739"/>
        <v>35.73330702618658</v>
      </c>
      <c r="AF1522">
        <f t="shared" ca="1" si="740"/>
        <v>3.7403121268653194E-3</v>
      </c>
      <c r="AG1522">
        <f t="shared" ca="1" si="741"/>
        <v>0</v>
      </c>
      <c r="AH1522">
        <f ca="1">IF(V32="Supercritical",L1522,IF(V32="Subcritical",W1522,IF(AND(V1522=1,AG1522=1),IF(T1522&gt;=AE1522,L1522,W1522),IF(V1522=1,L1522,IF(AG1522=1,W1522,MAX($D$16,POWER((ABS(K1522)^2)/($I$5*MAX(F1522,0.1)^2),1/3)))))))</f>
        <v>2.1403668656741068</v>
      </c>
      <c r="AI1522">
        <f t="shared" ca="1" si="742"/>
        <v>634.0175668656741</v>
      </c>
      <c r="AJ1522">
        <f t="shared" ca="1" si="743"/>
        <v>635.0877502985112</v>
      </c>
      <c r="AM1522">
        <v>0</v>
      </c>
      <c r="AN1522">
        <v>0</v>
      </c>
      <c r="AO1522">
        <f t="shared" si="744"/>
        <v>0</v>
      </c>
      <c r="AP1522">
        <f t="shared" si="753"/>
        <v>0</v>
      </c>
      <c r="AQ1522">
        <f t="shared" ca="1" si="745"/>
        <v>0.99999999999999978</v>
      </c>
      <c r="AR1522" t="str">
        <f t="shared" ca="1" si="746"/>
        <v>Supercritical</v>
      </c>
      <c r="AS1522">
        <f t="shared" ca="1" si="747"/>
        <v>3.8148159832266538E-3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191</v>
      </c>
      <c r="I1523">
        <v>5.7000000000000002E-2</v>
      </c>
      <c r="J1523">
        <f t="shared" si="748"/>
        <v>1</v>
      </c>
      <c r="K1523">
        <f t="shared" si="749"/>
        <v>51</v>
      </c>
      <c r="L1523">
        <f t="shared" ca="1" si="750"/>
        <v>0.05</v>
      </c>
      <c r="M1523">
        <f t="shared" ca="1" si="723"/>
        <v>0.26</v>
      </c>
      <c r="N1523">
        <f t="shared" ca="1" si="724"/>
        <v>4.9056603773584909E-2</v>
      </c>
      <c r="O1523">
        <f t="shared" ca="1" si="725"/>
        <v>196.15384615384616</v>
      </c>
      <c r="P1523">
        <f t="shared" ca="1" si="726"/>
        <v>631.92699999999991</v>
      </c>
      <c r="Q1523">
        <f t="shared" ca="1" si="727"/>
        <v>2593.004031648662</v>
      </c>
      <c r="R1523">
        <f t="shared" ca="1" si="728"/>
        <v>482.07306851378365</v>
      </c>
      <c r="S1523">
        <f t="shared" ca="1" si="729"/>
        <v>280.07692026646265</v>
      </c>
      <c r="T1523">
        <f t="shared" ca="1" si="730"/>
        <v>1019.7665564573041</v>
      </c>
      <c r="U1523">
        <f t="shared" ca="1" si="751"/>
        <v>-482.25917083179047</v>
      </c>
      <c r="V1523">
        <f t="shared" ca="1" si="752"/>
        <v>0</v>
      </c>
      <c r="W1523">
        <f t="shared" ca="1" si="731"/>
        <v>2.1363033053921057</v>
      </c>
      <c r="X1523">
        <f t="shared" ca="1" si="732"/>
        <v>11.10877718803895</v>
      </c>
      <c r="Y1523">
        <f t="shared" ca="1" si="733"/>
        <v>1.172726541329397</v>
      </c>
      <c r="Z1523">
        <f t="shared" ca="1" si="734"/>
        <v>4.5909643461849932</v>
      </c>
      <c r="AA1523">
        <f t="shared" ca="1" si="735"/>
        <v>634.01330330539201</v>
      </c>
      <c r="AB1523">
        <f t="shared" ca="1" si="736"/>
        <v>635.0875619000883</v>
      </c>
      <c r="AC1523">
        <f t="shared" ca="1" si="737"/>
        <v>3.8346702053350034E-3</v>
      </c>
      <c r="AD1523">
        <f t="shared" ca="1" si="738"/>
        <v>1.0028545750249238</v>
      </c>
      <c r="AE1523">
        <f t="shared" ca="1" si="739"/>
        <v>35.733257454470532</v>
      </c>
      <c r="AF1523">
        <f t="shared" ca="1" si="740"/>
        <v>3.6346702054288471E-3</v>
      </c>
      <c r="AG1523">
        <f t="shared" ca="1" si="741"/>
        <v>0</v>
      </c>
      <c r="AH1523">
        <f ca="1">IF(V32="Supercritical",L1523,IF(V32="Subcritical",W1523,IF(AND(V1523=1,AG1523=1),IF(T1523&gt;=AE1523,L1523,W1523),IF(V1523=1,L1523,IF(AG1523=1,W1523,MAX($D$16,POWER((ABS(K1523)^2)/($I$5*MAX(F1523,0.1)^2),1/3)))))))</f>
        <v>2.1403668656741068</v>
      </c>
      <c r="AI1523">
        <f t="shared" ca="1" si="742"/>
        <v>634.01736686567403</v>
      </c>
      <c r="AJ1523">
        <f t="shared" ca="1" si="743"/>
        <v>635.08755029851113</v>
      </c>
      <c r="AM1523">
        <v>0</v>
      </c>
      <c r="AN1523">
        <v>0</v>
      </c>
      <c r="AO1523">
        <f t="shared" si="744"/>
        <v>0</v>
      </c>
      <c r="AP1523">
        <f t="shared" si="753"/>
        <v>0</v>
      </c>
      <c r="AQ1523">
        <f t="shared" ca="1" si="745"/>
        <v>0.99999999999999978</v>
      </c>
      <c r="AR1523" t="str">
        <f t="shared" ca="1" si="746"/>
        <v>Supercritical</v>
      </c>
      <c r="AS1523">
        <f t="shared" ca="1" si="747"/>
        <v>3.8148159832266538E-3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191</v>
      </c>
      <c r="I1524">
        <v>0</v>
      </c>
      <c r="J1524">
        <f t="shared" si="748"/>
        <v>1</v>
      </c>
      <c r="K1524">
        <f t="shared" si="749"/>
        <v>51</v>
      </c>
      <c r="L1524">
        <f t="shared" ca="1" si="750"/>
        <v>0.05</v>
      </c>
      <c r="M1524">
        <f t="shared" ca="1" si="723"/>
        <v>0.26</v>
      </c>
      <c r="N1524">
        <f t="shared" ca="1" si="724"/>
        <v>4.9056603773584909E-2</v>
      </c>
      <c r="O1524">
        <f t="shared" ca="1" si="725"/>
        <v>196.15384615384616</v>
      </c>
      <c r="P1524">
        <f t="shared" ca="1" si="726"/>
        <v>631.92679999999996</v>
      </c>
      <c r="Q1524">
        <f t="shared" ca="1" si="727"/>
        <v>2593.0038316486621</v>
      </c>
      <c r="R1524">
        <f t="shared" ca="1" si="728"/>
        <v>482.07306851378365</v>
      </c>
      <c r="S1524">
        <f t="shared" ca="1" si="729"/>
        <v>280.07692026646265</v>
      </c>
      <c r="T1524">
        <f t="shared" ca="1" si="730"/>
        <v>1019.7665564573041</v>
      </c>
      <c r="U1524">
        <f t="shared" ca="1" si="751"/>
        <v>-482.07286851378376</v>
      </c>
      <c r="V1524">
        <f t="shared" ca="1" si="752"/>
        <v>0</v>
      </c>
      <c r="W1524">
        <f t="shared" ca="1" si="731"/>
        <v>2.1369128394344057</v>
      </c>
      <c r="X1524">
        <f t="shared" ca="1" si="732"/>
        <v>11.11194676505891</v>
      </c>
      <c r="Y1524">
        <f t="shared" ca="1" si="733"/>
        <v>1.1729101992919182</v>
      </c>
      <c r="Z1524">
        <f t="shared" ca="1" si="734"/>
        <v>4.5896548173149592</v>
      </c>
      <c r="AA1524">
        <f t="shared" ca="1" si="735"/>
        <v>634.01371283943445</v>
      </c>
      <c r="AB1524">
        <f t="shared" ca="1" si="736"/>
        <v>635.08735867746213</v>
      </c>
      <c r="AC1524">
        <f t="shared" ca="1" si="737"/>
        <v>3.831682795600077E-3</v>
      </c>
      <c r="AD1524">
        <f t="shared" ca="1" si="738"/>
        <v>1.0024255235449713</v>
      </c>
      <c r="AE1524">
        <f t="shared" ca="1" si="739"/>
        <v>35.733221650063513</v>
      </c>
      <c r="AF1524">
        <f t="shared" ca="1" si="740"/>
        <v>3.6316827956852649E-3</v>
      </c>
      <c r="AG1524">
        <f t="shared" ca="1" si="741"/>
        <v>0</v>
      </c>
      <c r="AH1524">
        <f ca="1">IF(V32="Supercritical",L1524,IF(V32="Subcritical",W1524,IF(AND(V1524=1,AG1524=1),IF(T1524&gt;=AE1524,L1524,W1524),IF(V1524=1,L1524,IF(AG1524=1,W1524,MAX($D$16,POWER((ABS(K1524)^2)/($I$5*MAX(F1524,0.1)^2),1/3)))))))</f>
        <v>2.1403668656741068</v>
      </c>
      <c r="AI1524">
        <f t="shared" ca="1" si="742"/>
        <v>634.01716686567408</v>
      </c>
      <c r="AJ1524">
        <f t="shared" ca="1" si="743"/>
        <v>635.08735029851118</v>
      </c>
      <c r="AM1524">
        <v>0</v>
      </c>
      <c r="AN1524">
        <v>0</v>
      </c>
      <c r="AO1524">
        <f t="shared" si="744"/>
        <v>0</v>
      </c>
      <c r="AP1524">
        <f t="shared" si="753"/>
        <v>0</v>
      </c>
      <c r="AQ1524">
        <f t="shared" ca="1" si="745"/>
        <v>0.99999999999999978</v>
      </c>
      <c r="AR1524" t="str">
        <f t="shared" ca="1" si="746"/>
        <v>Supercritical</v>
      </c>
      <c r="AS1524">
        <f t="shared" ca="1" si="747"/>
        <v>3.8148159832266538E-3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191</v>
      </c>
      <c r="I1525">
        <v>0</v>
      </c>
      <c r="J1525">
        <f t="shared" si="748"/>
        <v>1</v>
      </c>
      <c r="K1525">
        <f t="shared" si="749"/>
        <v>51</v>
      </c>
      <c r="L1525">
        <f t="shared" ca="1" si="750"/>
        <v>0.05</v>
      </c>
      <c r="M1525">
        <f t="shared" ca="1" si="723"/>
        <v>0.26</v>
      </c>
      <c r="N1525">
        <f t="shared" ca="1" si="724"/>
        <v>4.9056603773584909E-2</v>
      </c>
      <c r="O1525">
        <f t="shared" ca="1" si="725"/>
        <v>196.15384615384616</v>
      </c>
      <c r="P1525">
        <f t="shared" ca="1" si="726"/>
        <v>631.92660000000001</v>
      </c>
      <c r="Q1525">
        <f t="shared" ca="1" si="727"/>
        <v>2593.0036316486621</v>
      </c>
      <c r="R1525">
        <f t="shared" ca="1" si="728"/>
        <v>482.07306851378365</v>
      </c>
      <c r="S1525">
        <f t="shared" ca="1" si="729"/>
        <v>280.07692026646265</v>
      </c>
      <c r="T1525">
        <f t="shared" ca="1" si="730"/>
        <v>1019.7665564573041</v>
      </c>
      <c r="U1525">
        <f t="shared" ca="1" si="751"/>
        <v>-482.07286851378376</v>
      </c>
      <c r="V1525">
        <f t="shared" ca="1" si="752"/>
        <v>0</v>
      </c>
      <c r="W1525">
        <f t="shared" ca="1" si="731"/>
        <v>2.1374309433703607</v>
      </c>
      <c r="X1525">
        <f t="shared" ca="1" si="732"/>
        <v>11.114640905525876</v>
      </c>
      <c r="Y1525">
        <f t="shared" ca="1" si="733"/>
        <v>1.1730662714017908</v>
      </c>
      <c r="Z1525">
        <f t="shared" ca="1" si="734"/>
        <v>4.5885423050099874</v>
      </c>
      <c r="AA1525">
        <f t="shared" ca="1" si="735"/>
        <v>634.01403094337036</v>
      </c>
      <c r="AB1525">
        <f t="shared" ca="1" si="736"/>
        <v>635.08715635034616</v>
      </c>
      <c r="AC1525">
        <f t="shared" ca="1" si="737"/>
        <v>3.8291460773444128E-3</v>
      </c>
      <c r="AD1525">
        <f t="shared" ca="1" si="738"/>
        <v>1.0020610702720574</v>
      </c>
      <c r="AE1525">
        <f t="shared" ca="1" si="739"/>
        <v>35.733195788226475</v>
      </c>
      <c r="AF1525">
        <f t="shared" ca="1" si="740"/>
        <v>3.7310929909608603E-3</v>
      </c>
      <c r="AG1525">
        <f t="shared" ca="1" si="741"/>
        <v>0</v>
      </c>
      <c r="AH1525">
        <f ca="1">IF(V32="Supercritical",L1525,IF(V32="Subcritical",W1525,IF(AND(V1525=1,AG1525=1),IF(T1525&gt;=AE1525,L1525,W1525),IF(V1525=1,L1525,IF(AG1525=1,W1525,MAX($D$16,POWER((ABS(K1525)^2)/($I$5*MAX(F1525,0.1)^2),1/3)))))))</f>
        <v>2.1403668656741068</v>
      </c>
      <c r="AI1525">
        <f t="shared" ca="1" si="742"/>
        <v>634.01696686567414</v>
      </c>
      <c r="AJ1525">
        <f t="shared" ca="1" si="743"/>
        <v>635.08715029851123</v>
      </c>
      <c r="AM1525">
        <v>0</v>
      </c>
      <c r="AN1525">
        <v>0</v>
      </c>
      <c r="AO1525">
        <f t="shared" si="744"/>
        <v>0</v>
      </c>
      <c r="AP1525">
        <f t="shared" si="753"/>
        <v>0</v>
      </c>
      <c r="AQ1525">
        <f t="shared" ca="1" si="745"/>
        <v>0.99999999999999978</v>
      </c>
      <c r="AR1525" t="str">
        <f t="shared" ca="1" si="746"/>
        <v>Supercritical</v>
      </c>
      <c r="AS1525">
        <f t="shared" ca="1" si="747"/>
        <v>3.8148159832266538E-3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191</v>
      </c>
      <c r="I1526">
        <v>5.7000000000000002E-2</v>
      </c>
      <c r="J1526">
        <f t="shared" si="748"/>
        <v>1</v>
      </c>
      <c r="K1526">
        <f t="shared" si="749"/>
        <v>51</v>
      </c>
      <c r="L1526">
        <f t="shared" ca="1" si="750"/>
        <v>0.05</v>
      </c>
      <c r="M1526">
        <f t="shared" ca="1" si="723"/>
        <v>0.26</v>
      </c>
      <c r="N1526">
        <f t="shared" ca="1" si="724"/>
        <v>4.9056603773584909E-2</v>
      </c>
      <c r="O1526">
        <f t="shared" ca="1" si="725"/>
        <v>196.15384615384616</v>
      </c>
      <c r="P1526">
        <f t="shared" ca="1" si="726"/>
        <v>631.92639999999994</v>
      </c>
      <c r="Q1526">
        <f t="shared" ca="1" si="727"/>
        <v>2593.0034316486622</v>
      </c>
      <c r="R1526">
        <f t="shared" ca="1" si="728"/>
        <v>482.07306851378365</v>
      </c>
      <c r="S1526">
        <f t="shared" ca="1" si="729"/>
        <v>280.07692026646265</v>
      </c>
      <c r="T1526">
        <f t="shared" ca="1" si="730"/>
        <v>1019.7665564573041</v>
      </c>
      <c r="U1526">
        <f t="shared" ca="1" si="751"/>
        <v>-482.25917083179047</v>
      </c>
      <c r="V1526">
        <f t="shared" ca="1" si="752"/>
        <v>0</v>
      </c>
      <c r="W1526">
        <f t="shared" ca="1" si="731"/>
        <v>2.1378713317159228</v>
      </c>
      <c r="X1526">
        <f t="shared" ca="1" si="732"/>
        <v>11.1169309249228</v>
      </c>
      <c r="Y1526">
        <f t="shared" ca="1" si="733"/>
        <v>1.1731989058572179</v>
      </c>
      <c r="Z1526">
        <f t="shared" ca="1" si="734"/>
        <v>4.5875970935165418</v>
      </c>
      <c r="AA1526">
        <f t="shared" ca="1" si="735"/>
        <v>634.01427133171592</v>
      </c>
      <c r="AB1526">
        <f t="shared" ca="1" si="736"/>
        <v>635.08695466976087</v>
      </c>
      <c r="AC1526">
        <f t="shared" ca="1" si="737"/>
        <v>3.8269917286438901E-3</v>
      </c>
      <c r="AD1526">
        <f t="shared" ca="1" si="738"/>
        <v>1.0017514585918572</v>
      </c>
      <c r="AE1526">
        <f t="shared" ca="1" si="739"/>
        <v>35.7331771072514</v>
      </c>
      <c r="AF1526">
        <f t="shared" ca="1" si="740"/>
        <v>4.3439017596256235E-3</v>
      </c>
      <c r="AG1526">
        <f t="shared" ca="1" si="741"/>
        <v>0</v>
      </c>
      <c r="AH1526">
        <f ca="1">IF(V32="Supercritical",L1526,IF(V32="Subcritical",W1526,IF(AND(V1526=1,AG1526=1),IF(T1526&gt;=AE1526,L1526,W1526),IF(V1526=1,L1526,IF(AG1526=1,W1526,MAX($D$16,POWER((ABS(K1526)^2)/($I$5*MAX(F1526,0.1)^2),1/3)))))))</f>
        <v>2.1403668656741068</v>
      </c>
      <c r="AI1526">
        <f t="shared" ca="1" si="742"/>
        <v>634.01676686567407</v>
      </c>
      <c r="AJ1526">
        <f t="shared" ca="1" si="743"/>
        <v>635.08695029851117</v>
      </c>
      <c r="AM1526">
        <v>0</v>
      </c>
      <c r="AN1526">
        <v>0</v>
      </c>
      <c r="AO1526">
        <f t="shared" si="744"/>
        <v>0</v>
      </c>
      <c r="AP1526">
        <f t="shared" si="753"/>
        <v>0</v>
      </c>
      <c r="AQ1526">
        <f t="shared" ca="1" si="745"/>
        <v>0.99999999999999978</v>
      </c>
      <c r="AR1526" t="str">
        <f t="shared" ca="1" si="746"/>
        <v>Supercritical</v>
      </c>
      <c r="AS1526">
        <f t="shared" ca="1" si="747"/>
        <v>3.8148159832266538E-3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191</v>
      </c>
      <c r="I1527">
        <v>0.40100000000000002</v>
      </c>
      <c r="J1527">
        <f t="shared" si="748"/>
        <v>1</v>
      </c>
      <c r="K1527">
        <f t="shared" si="749"/>
        <v>51</v>
      </c>
      <c r="L1527">
        <f t="shared" ca="1" si="750"/>
        <v>0.05</v>
      </c>
      <c r="M1527">
        <f t="shared" ca="1" si="723"/>
        <v>0.26</v>
      </c>
      <c r="N1527">
        <f t="shared" ca="1" si="724"/>
        <v>4.9056603773584909E-2</v>
      </c>
      <c r="O1527">
        <f t="shared" ca="1" si="725"/>
        <v>196.15384615384616</v>
      </c>
      <c r="P1527">
        <f t="shared" ca="1" si="726"/>
        <v>631.92619999999999</v>
      </c>
      <c r="Q1527">
        <f t="shared" ca="1" si="727"/>
        <v>2593.0032316486622</v>
      </c>
      <c r="R1527">
        <f t="shared" ca="1" si="728"/>
        <v>482.07306851378365</v>
      </c>
      <c r="S1527">
        <f t="shared" ca="1" si="729"/>
        <v>280.07692026646265</v>
      </c>
      <c r="T1527">
        <f t="shared" ca="1" si="730"/>
        <v>1019.7665564573041</v>
      </c>
      <c r="U1527">
        <f t="shared" ca="1" si="751"/>
        <v>-483.38352166326877</v>
      </c>
      <c r="V1527">
        <f t="shared" ca="1" si="752"/>
        <v>0</v>
      </c>
      <c r="W1527">
        <f t="shared" ca="1" si="731"/>
        <v>2.1382456618096506</v>
      </c>
      <c r="X1527">
        <f t="shared" ca="1" si="732"/>
        <v>11.118877441410184</v>
      </c>
      <c r="Y1527">
        <f t="shared" ca="1" si="733"/>
        <v>1.173311625759355</v>
      </c>
      <c r="Z1527">
        <f t="shared" ca="1" si="734"/>
        <v>4.5867939698714562</v>
      </c>
      <c r="AA1527">
        <f t="shared" ca="1" si="735"/>
        <v>634.01444566180965</v>
      </c>
      <c r="AB1527">
        <f t="shared" ca="1" si="736"/>
        <v>635.0867534560017</v>
      </c>
      <c r="AC1527">
        <f t="shared" ca="1" si="737"/>
        <v>3.8251618760330513E-3</v>
      </c>
      <c r="AD1527">
        <f t="shared" ca="1" si="738"/>
        <v>1.0014884139997635</v>
      </c>
      <c r="AE1527">
        <f t="shared" ca="1" si="739"/>
        <v>35.733163612826132</v>
      </c>
      <c r="AF1527">
        <f t="shared" ca="1" si="740"/>
        <v>3.6251618760161364E-3</v>
      </c>
      <c r="AG1527">
        <f t="shared" ca="1" si="741"/>
        <v>0</v>
      </c>
      <c r="AH1527">
        <f ca="1">IF(V32="Supercritical",L1527,IF(V32="Subcritical",W1527,IF(AND(V1527=1,AG1527=1),IF(T1527&gt;=AE1527,L1527,W1527),IF(V1527=1,L1527,IF(AG1527=1,W1527,MAX($D$16,POWER((ABS(K1527)^2)/($I$5*MAX(F1527,0.1)^2),1/3)))))))</f>
        <v>2.1403668656741068</v>
      </c>
      <c r="AI1527">
        <f t="shared" ca="1" si="742"/>
        <v>634.01656686567412</v>
      </c>
      <c r="AJ1527">
        <f t="shared" ca="1" si="743"/>
        <v>635.08675029851122</v>
      </c>
      <c r="AM1527">
        <v>0</v>
      </c>
      <c r="AN1527">
        <v>0</v>
      </c>
      <c r="AO1527">
        <f t="shared" si="744"/>
        <v>0</v>
      </c>
      <c r="AP1527">
        <f t="shared" si="753"/>
        <v>0</v>
      </c>
      <c r="AQ1527">
        <f t="shared" ca="1" si="745"/>
        <v>0.99999999999999978</v>
      </c>
      <c r="AR1527" t="str">
        <f t="shared" ca="1" si="746"/>
        <v>Supercritical</v>
      </c>
      <c r="AS1527">
        <f t="shared" ca="1" si="747"/>
        <v>3.8148159832266538E-3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191</v>
      </c>
      <c r="I1528">
        <v>0</v>
      </c>
      <c r="J1528">
        <f t="shared" si="748"/>
        <v>1</v>
      </c>
      <c r="K1528">
        <f t="shared" si="749"/>
        <v>51</v>
      </c>
      <c r="L1528">
        <f t="shared" ca="1" si="750"/>
        <v>0.05</v>
      </c>
      <c r="M1528">
        <f t="shared" ca="1" si="723"/>
        <v>0.26</v>
      </c>
      <c r="N1528">
        <f t="shared" ca="1" si="724"/>
        <v>4.9056603773584909E-2</v>
      </c>
      <c r="O1528">
        <f t="shared" ca="1" si="725"/>
        <v>196.15384615384616</v>
      </c>
      <c r="P1528">
        <f t="shared" ca="1" si="726"/>
        <v>631.92599999999993</v>
      </c>
      <c r="Q1528">
        <f t="shared" ca="1" si="727"/>
        <v>2593.0030316486618</v>
      </c>
      <c r="R1528">
        <f t="shared" ca="1" si="728"/>
        <v>482.07306851378365</v>
      </c>
      <c r="S1528">
        <f t="shared" ca="1" si="729"/>
        <v>280.07692026646265</v>
      </c>
      <c r="T1528">
        <f t="shared" ca="1" si="730"/>
        <v>1019.7665564573041</v>
      </c>
      <c r="U1528">
        <f t="shared" ca="1" si="751"/>
        <v>-482.07286851378331</v>
      </c>
      <c r="V1528">
        <f t="shared" ca="1" si="752"/>
        <v>0</v>
      </c>
      <c r="W1528">
        <f t="shared" ca="1" si="731"/>
        <v>2.1385638423893192</v>
      </c>
      <c r="X1528">
        <f t="shared" ca="1" si="732"/>
        <v>11.12053198042446</v>
      </c>
      <c r="Y1528">
        <f t="shared" ca="1" si="733"/>
        <v>1.1734074236738752</v>
      </c>
      <c r="Z1528">
        <f t="shared" ca="1" si="734"/>
        <v>4.5861115358308044</v>
      </c>
      <c r="AA1528">
        <f t="shared" ca="1" si="735"/>
        <v>634.01456384238929</v>
      </c>
      <c r="AB1528">
        <f t="shared" ca="1" si="736"/>
        <v>635.08655257934549</v>
      </c>
      <c r="AC1528">
        <f t="shared" ca="1" si="737"/>
        <v>3.8236074713529095E-3</v>
      </c>
      <c r="AD1528">
        <f t="shared" ca="1" si="738"/>
        <v>1.0012649165958341</v>
      </c>
      <c r="AE1528">
        <f t="shared" ca="1" si="739"/>
        <v>35.733153864687111</v>
      </c>
      <c r="AF1528">
        <f t="shared" ca="1" si="740"/>
        <v>3.6236074713542621E-3</v>
      </c>
      <c r="AG1528">
        <f t="shared" ca="1" si="741"/>
        <v>0</v>
      </c>
      <c r="AH1528">
        <f ca="1">IF(V32="Supercritical",L1528,IF(V32="Subcritical",W1528,IF(AND(V1528=1,AG1528=1),IF(T1528&gt;=AE1528,L1528,W1528),IF(V1528=1,L1528,IF(AG1528=1,W1528,MAX($D$16,POWER((ABS(K1528)^2)/($I$5*MAX(F1528,0.1)^2),1/3)))))))</f>
        <v>2.1403668656741068</v>
      </c>
      <c r="AI1528">
        <f t="shared" ca="1" si="742"/>
        <v>634.01636686567406</v>
      </c>
      <c r="AJ1528">
        <f t="shared" ca="1" si="743"/>
        <v>635.08655029851116</v>
      </c>
      <c r="AM1528">
        <v>0</v>
      </c>
      <c r="AN1528">
        <v>0</v>
      </c>
      <c r="AO1528">
        <f t="shared" si="744"/>
        <v>0</v>
      </c>
      <c r="AP1528">
        <f t="shared" si="753"/>
        <v>0</v>
      </c>
      <c r="AQ1528">
        <f t="shared" ca="1" si="745"/>
        <v>0.99999999999999978</v>
      </c>
      <c r="AR1528" t="str">
        <f t="shared" ca="1" si="746"/>
        <v>Supercritical</v>
      </c>
      <c r="AS1528">
        <f t="shared" ca="1" si="747"/>
        <v>3.8148159832266538E-3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191</v>
      </c>
      <c r="I1529">
        <v>0</v>
      </c>
      <c r="J1529">
        <f t="shared" si="748"/>
        <v>1</v>
      </c>
      <c r="K1529">
        <f t="shared" si="749"/>
        <v>51</v>
      </c>
      <c r="L1529">
        <f t="shared" ca="1" si="750"/>
        <v>0.05</v>
      </c>
      <c r="M1529">
        <f t="shared" ca="1" si="723"/>
        <v>0.26</v>
      </c>
      <c r="N1529">
        <f t="shared" ca="1" si="724"/>
        <v>4.9056603773584909E-2</v>
      </c>
      <c r="O1529">
        <f t="shared" ca="1" si="725"/>
        <v>196.15384615384616</v>
      </c>
      <c r="P1529">
        <f t="shared" ca="1" si="726"/>
        <v>631.92579999999998</v>
      </c>
      <c r="Q1529">
        <f t="shared" ca="1" si="727"/>
        <v>2593.0028316486623</v>
      </c>
      <c r="R1529">
        <f t="shared" ca="1" si="728"/>
        <v>482.07306851378365</v>
      </c>
      <c r="S1529">
        <f t="shared" ca="1" si="729"/>
        <v>280.07692026646265</v>
      </c>
      <c r="T1529">
        <f t="shared" ca="1" si="730"/>
        <v>1019.7665564573041</v>
      </c>
      <c r="U1529">
        <f t="shared" ca="1" si="751"/>
        <v>-482.07286851378421</v>
      </c>
      <c r="V1529">
        <f t="shared" ca="1" si="752"/>
        <v>0</v>
      </c>
      <c r="W1529">
        <f t="shared" ca="1" si="731"/>
        <v>2.1388342958820372</v>
      </c>
      <c r="X1529">
        <f t="shared" ca="1" si="732"/>
        <v>11.121938338586594</v>
      </c>
      <c r="Y1529">
        <f t="shared" ca="1" si="733"/>
        <v>1.1734888417866141</v>
      </c>
      <c r="Z1529">
        <f t="shared" ca="1" si="734"/>
        <v>4.5855316265385104</v>
      </c>
      <c r="AA1529">
        <f t="shared" ca="1" si="735"/>
        <v>634.01463429588205</v>
      </c>
      <c r="AB1529">
        <f t="shared" ca="1" si="736"/>
        <v>635.08635194613612</v>
      </c>
      <c r="AC1529">
        <f t="shared" ca="1" si="737"/>
        <v>3.8222869277094022E-3</v>
      </c>
      <c r="AD1529">
        <f t="shared" ca="1" si="738"/>
        <v>1.0010750091539315</v>
      </c>
      <c r="AE1529">
        <f t="shared" ca="1" si="739"/>
        <v>35.733146822628576</v>
      </c>
      <c r="AF1529">
        <f t="shared" ca="1" si="740"/>
        <v>-0.60604172787861899</v>
      </c>
      <c r="AG1529">
        <f t="shared" ca="1" si="741"/>
        <v>0</v>
      </c>
      <c r="AH1529">
        <f ca="1">IF(V32="Supercritical",L1529,IF(V32="Subcritical",W1529,IF(AND(V1529=1,AG1529=1),IF(T1529&gt;=AE1529,L1529,W1529),IF(V1529=1,L1529,IF(AG1529=1,W1529,MAX($D$16,POWER((ABS(K1529)^2)/($I$5*MAX(F1529,0.1)^2),1/3)))))))</f>
        <v>2.1403668656741068</v>
      </c>
      <c r="AI1529">
        <f t="shared" ca="1" si="742"/>
        <v>634.01616686567411</v>
      </c>
      <c r="AJ1529">
        <f t="shared" ca="1" si="743"/>
        <v>635.08635029851121</v>
      </c>
      <c r="AM1529">
        <v>0</v>
      </c>
      <c r="AN1529">
        <v>0</v>
      </c>
      <c r="AO1529">
        <f t="shared" si="744"/>
        <v>0</v>
      </c>
      <c r="AP1529">
        <f t="shared" si="753"/>
        <v>0</v>
      </c>
      <c r="AQ1529">
        <f t="shared" ca="1" si="745"/>
        <v>0.99999999999999978</v>
      </c>
      <c r="AR1529" t="str">
        <f t="shared" ca="1" si="746"/>
        <v>Supercritical</v>
      </c>
      <c r="AS1529">
        <f t="shared" ca="1" si="747"/>
        <v>3.8148159832266538E-3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191</v>
      </c>
      <c r="I1530">
        <v>0</v>
      </c>
      <c r="J1530">
        <f t="shared" si="748"/>
        <v>1</v>
      </c>
      <c r="K1530">
        <f t="shared" si="749"/>
        <v>51</v>
      </c>
      <c r="L1530">
        <f t="shared" ca="1" si="750"/>
        <v>0.05</v>
      </c>
      <c r="M1530">
        <f t="shared" ca="1" si="723"/>
        <v>0.371</v>
      </c>
      <c r="N1530">
        <f t="shared" ca="1" si="724"/>
        <v>4.9335106382978729E-2</v>
      </c>
      <c r="O1530">
        <f t="shared" ca="1" si="725"/>
        <v>137.46630727762803</v>
      </c>
      <c r="P1530">
        <f t="shared" ca="1" si="726"/>
        <v>631.92559999999992</v>
      </c>
      <c r="Q1530">
        <f t="shared" ca="1" si="727"/>
        <v>1595.0747150126019</v>
      </c>
      <c r="R1530">
        <f t="shared" ca="1" si="728"/>
        <v>234.98147507138131</v>
      </c>
      <c r="S1530">
        <f t="shared" ca="1" si="729"/>
        <v>196.28032148053984</v>
      </c>
      <c r="T1530">
        <f t="shared" ca="1" si="730"/>
        <v>714.66591833935058</v>
      </c>
      <c r="U1530">
        <f t="shared" ca="1" si="751"/>
        <v>340.0224698526597</v>
      </c>
      <c r="V1530">
        <f t="shared" ca="1" si="752"/>
        <v>0</v>
      </c>
      <c r="W1530">
        <f t="shared" ca="1" si="731"/>
        <v>1.6887078080292481</v>
      </c>
      <c r="X1530">
        <f t="shared" ca="1" si="732"/>
        <v>12.530211935577022</v>
      </c>
      <c r="Y1530">
        <f t="shared" ca="1" si="733"/>
        <v>1.1604825062898771</v>
      </c>
      <c r="Z1530">
        <f t="shared" ca="1" si="734"/>
        <v>4.070162600777385</v>
      </c>
      <c r="AA1530">
        <f t="shared" ca="1" si="735"/>
        <v>633.56430780802918</v>
      </c>
      <c r="AB1530">
        <f t="shared" ca="1" si="736"/>
        <v>634.40866171204379</v>
      </c>
      <c r="AC1530">
        <f t="shared" ca="1" si="737"/>
        <v>3.0564777560199209E-3</v>
      </c>
      <c r="AD1530">
        <f t="shared" ca="1" si="738"/>
        <v>1</v>
      </c>
      <c r="AE1530">
        <f t="shared" ca="1" si="739"/>
        <v>31.739800097805293</v>
      </c>
      <c r="AF1530">
        <f t="shared" ca="1" si="740"/>
        <v>-0.38925455034018341</v>
      </c>
      <c r="AG1530">
        <f t="shared" ca="1" si="741"/>
        <v>1</v>
      </c>
      <c r="AH1530">
        <f ca="1">IF(V32="Supercritical",L1530,IF(V32="Subcritical",W1530,IF(AND(V1530=1,AG1530=1),IF(T1530&gt;=AE1530,L1530,W1530),IF(V1530=1,L1530,IF(AG1530=1,W1530,MAX($D$16,POWER((ABS(K1530)^2)/($I$5*MAX(F1530,0.1)^2),1/3)))))))</f>
        <v>1.6887078080292481</v>
      </c>
      <c r="AI1530">
        <f t="shared" ca="1" si="742"/>
        <v>633.56430780802918</v>
      </c>
      <c r="AJ1530">
        <f t="shared" ca="1" si="743"/>
        <v>634.40866171204379</v>
      </c>
      <c r="AM1530">
        <v>0</v>
      </c>
      <c r="AN1530">
        <v>0</v>
      </c>
      <c r="AO1530">
        <f t="shared" si="744"/>
        <v>0</v>
      </c>
      <c r="AP1530">
        <f t="shared" si="753"/>
        <v>0</v>
      </c>
      <c r="AQ1530">
        <f t="shared" ca="1" si="745"/>
        <v>1</v>
      </c>
      <c r="AR1530" t="str">
        <f t="shared" ca="1" si="746"/>
        <v>Supercritical</v>
      </c>
      <c r="AS1530">
        <f t="shared" ca="1" si="747"/>
        <v>3.0564777560199209E-3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191</v>
      </c>
      <c r="I1531">
        <v>0</v>
      </c>
      <c r="J1531">
        <f t="shared" si="748"/>
        <v>1</v>
      </c>
      <c r="K1531">
        <f t="shared" si="749"/>
        <v>51</v>
      </c>
      <c r="L1531">
        <f t="shared" ca="1" si="750"/>
        <v>0.05</v>
      </c>
      <c r="M1531">
        <f t="shared" ca="1" si="723"/>
        <v>0.49235000000000001</v>
      </c>
      <c r="N1531">
        <f t="shared" ca="1" si="724"/>
        <v>4.9497335880164882E-2</v>
      </c>
      <c r="O1531">
        <f t="shared" ca="1" si="725"/>
        <v>103.58484817710978</v>
      </c>
      <c r="P1531">
        <f t="shared" ca="1" si="726"/>
        <v>631.92539999999997</v>
      </c>
      <c r="Q1531">
        <f t="shared" ca="1" si="727"/>
        <v>1178.8071926541734</v>
      </c>
      <c r="R1531">
        <f t="shared" ca="1" si="728"/>
        <v>132.84112759964052</v>
      </c>
      <c r="S1531">
        <f t="shared" ca="1" si="729"/>
        <v>147.90291310913025</v>
      </c>
      <c r="T1531">
        <f t="shared" ca="1" si="730"/>
        <v>538.52680997656455</v>
      </c>
      <c r="U1531">
        <f t="shared" ca="1" si="751"/>
        <v>107.47602431538917</v>
      </c>
      <c r="V1531">
        <f t="shared" ca="1" si="752"/>
        <v>0</v>
      </c>
      <c r="W1531">
        <f t="shared" ca="1" si="731"/>
        <v>1.3983669671908125</v>
      </c>
      <c r="X1531">
        <f t="shared" ca="1" si="732"/>
        <v>13.769719525927931</v>
      </c>
      <c r="Y1531">
        <f t="shared" ca="1" si="733"/>
        <v>1.0890548312223223</v>
      </c>
      <c r="Z1531">
        <f t="shared" ca="1" si="734"/>
        <v>3.7037791440826862</v>
      </c>
      <c r="AA1531">
        <f t="shared" ca="1" si="735"/>
        <v>633.2737669671908</v>
      </c>
      <c r="AB1531">
        <f t="shared" ca="1" si="736"/>
        <v>633.97295045078624</v>
      </c>
      <c r="AC1531">
        <f t="shared" ca="1" si="737"/>
        <v>2.7546918272569687E-3</v>
      </c>
      <c r="AD1531">
        <f t="shared" ca="1" si="738"/>
        <v>1.0000000000000002</v>
      </c>
      <c r="AE1531">
        <f t="shared" ca="1" si="739"/>
        <v>28.882681398809936</v>
      </c>
      <c r="AF1531">
        <f t="shared" ca="1" si="740"/>
        <v>-2.911307184888301E-2</v>
      </c>
      <c r="AG1531">
        <f t="shared" ca="1" si="741"/>
        <v>1</v>
      </c>
      <c r="AH1531">
        <f ca="1">IF(V32="Supercritical",L1531,IF(V32="Subcritical",W1531,IF(AND(V1531=1,AG1531=1),IF(T1531&gt;=AE1531,L1531,W1531),IF(V1531=1,L1531,IF(AG1531=1,W1531,MAX($D$16,POWER((ABS(K1531)^2)/($I$5*MAX(F1531,0.1)^2),1/3)))))))</f>
        <v>1.3983669671908125</v>
      </c>
      <c r="AI1531">
        <f t="shared" ca="1" si="742"/>
        <v>633.2737669671908</v>
      </c>
      <c r="AJ1531">
        <f t="shared" ca="1" si="743"/>
        <v>633.97295045078624</v>
      </c>
      <c r="AM1531">
        <v>0</v>
      </c>
      <c r="AN1531">
        <v>0</v>
      </c>
      <c r="AO1531">
        <f t="shared" si="744"/>
        <v>0</v>
      </c>
      <c r="AP1531">
        <f t="shared" si="753"/>
        <v>0</v>
      </c>
      <c r="AQ1531">
        <f t="shared" ca="1" si="745"/>
        <v>1.0000000000000002</v>
      </c>
      <c r="AR1531" t="str">
        <f t="shared" ca="1" si="746"/>
        <v>Supercritical</v>
      </c>
      <c r="AS1531">
        <f t="shared" ca="1" si="747"/>
        <v>2.7546918272569687E-3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191</v>
      </c>
      <c r="I1532">
        <v>0</v>
      </c>
      <c r="J1532">
        <f t="shared" si="748"/>
        <v>1</v>
      </c>
      <c r="K1532">
        <f t="shared" si="749"/>
        <v>51</v>
      </c>
      <c r="L1532">
        <f t="shared" ca="1" si="750"/>
        <v>0.05</v>
      </c>
      <c r="M1532">
        <f t="shared" ca="1" si="723"/>
        <v>0.505</v>
      </c>
      <c r="N1532">
        <f t="shared" ca="1" si="724"/>
        <v>4.9509803921568632E-2</v>
      </c>
      <c r="O1532">
        <f t="shared" ca="1" si="725"/>
        <v>100.99009900990099</v>
      </c>
      <c r="P1532">
        <f t="shared" ca="1" si="726"/>
        <v>631.9251999999999</v>
      </c>
      <c r="Q1532">
        <f t="shared" ca="1" si="727"/>
        <v>1151.7519124377982</v>
      </c>
      <c r="R1532">
        <f t="shared" ca="1" si="728"/>
        <v>126.22687744506716</v>
      </c>
      <c r="S1532">
        <f t="shared" ca="1" si="729"/>
        <v>144.19801835501045</v>
      </c>
      <c r="T1532">
        <f t="shared" ca="1" si="730"/>
        <v>525.03760456217628</v>
      </c>
      <c r="U1532">
        <f t="shared" ca="1" si="751"/>
        <v>-110.59524637089112</v>
      </c>
      <c r="V1532">
        <f t="shared" ca="1" si="752"/>
        <v>0</v>
      </c>
      <c r="W1532">
        <f t="shared" ca="1" si="731"/>
        <v>1.3749161050192953</v>
      </c>
      <c r="X1532">
        <f t="shared" ca="1" si="732"/>
        <v>13.886652660694882</v>
      </c>
      <c r="Y1532">
        <f t="shared" ca="1" si="733"/>
        <v>1.0806874699769466</v>
      </c>
      <c r="Z1532">
        <f t="shared" ca="1" si="734"/>
        <v>3.6725913181620533</v>
      </c>
      <c r="AA1532">
        <f t="shared" ca="1" si="735"/>
        <v>633.25011610501929</v>
      </c>
      <c r="AB1532">
        <f t="shared" ca="1" si="736"/>
        <v>633.93757415752896</v>
      </c>
      <c r="AC1532">
        <f t="shared" ca="1" si="737"/>
        <v>2.73649233796067E-3</v>
      </c>
      <c r="AD1532">
        <f t="shared" ca="1" si="738"/>
        <v>1</v>
      </c>
      <c r="AE1532">
        <f t="shared" ca="1" si="739"/>
        <v>28.639473581997663</v>
      </c>
      <c r="AF1532">
        <f t="shared" ca="1" si="740"/>
        <v>589.36939862766178</v>
      </c>
      <c r="AG1532">
        <f t="shared" ca="1" si="741"/>
        <v>1</v>
      </c>
      <c r="AH1532">
        <f ca="1">IF(V32="Supercritical",L1532,IF(V32="Subcritical",W1532,IF(AND(V1532=1,AG1532=1),IF(T1532&gt;=AE1532,L1532,W1532),IF(V1532=1,L1532,IF(AG1532=1,W1532,MAX($D$16,POWER((ABS(K1532)^2)/($I$5*MAX(F1532,0.1)^2),1/3)))))))</f>
        <v>1.3749161050192953</v>
      </c>
      <c r="AI1532">
        <f t="shared" ca="1" si="742"/>
        <v>633.25011610501929</v>
      </c>
      <c r="AJ1532">
        <f t="shared" ca="1" si="743"/>
        <v>633.93757415752896</v>
      </c>
      <c r="AM1532">
        <v>0</v>
      </c>
      <c r="AN1532">
        <v>0</v>
      </c>
      <c r="AO1532">
        <f t="shared" si="744"/>
        <v>0</v>
      </c>
      <c r="AP1532">
        <f t="shared" si="753"/>
        <v>0</v>
      </c>
      <c r="AQ1532">
        <f t="shared" ca="1" si="745"/>
        <v>1</v>
      </c>
      <c r="AR1532" t="str">
        <f t="shared" ca="1" si="746"/>
        <v>Supercritical</v>
      </c>
      <c r="AS1532">
        <f t="shared" ca="1" si="747"/>
        <v>2.73649233796067E-3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192</v>
      </c>
      <c r="I1533">
        <v>0</v>
      </c>
      <c r="J1533">
        <f t="shared" si="748"/>
        <v>0.50900000000001455</v>
      </c>
      <c r="K1533">
        <f t="shared" si="749"/>
        <v>51</v>
      </c>
      <c r="L1533">
        <f t="shared" ca="1" si="750"/>
        <v>0.05</v>
      </c>
      <c r="M1533">
        <f t="shared" ca="1" si="723"/>
        <v>0.51029999999999998</v>
      </c>
      <c r="N1533">
        <f t="shared" ca="1" si="724"/>
        <v>4.9514845720939261E-2</v>
      </c>
      <c r="O1533">
        <f t="shared" ca="1" si="725"/>
        <v>99.941211052322174</v>
      </c>
      <c r="P1533">
        <f t="shared" ca="1" si="726"/>
        <v>631.92499999999995</v>
      </c>
      <c r="Q1533">
        <f t="shared" ca="1" si="727"/>
        <v>1141.009896361101</v>
      </c>
      <c r="R1533">
        <f t="shared" ca="1" si="728"/>
        <v>123.60171404484957</v>
      </c>
      <c r="S1533">
        <f t="shared" ca="1" si="729"/>
        <v>142.70037089806053</v>
      </c>
      <c r="T1533">
        <f t="shared" ca="1" si="730"/>
        <v>519.58480272613974</v>
      </c>
      <c r="U1533">
        <f t="shared" ca="1" si="751"/>
        <v>-56.06190528049774</v>
      </c>
      <c r="V1533">
        <f t="shared" ca="1" si="752"/>
        <v>0</v>
      </c>
      <c r="W1533">
        <f ca="1">MAX($D$16,($I$14)-E1533)</f>
        <v>5.0000000002796696E-2</v>
      </c>
      <c r="X1533">
        <f t="shared" ca="1" si="732"/>
        <v>0.51030000002854303</v>
      </c>
      <c r="Y1533">
        <f t="shared" ca="1" si="733"/>
        <v>4.9514845723681943E-2</v>
      </c>
      <c r="Z1533">
        <f t="shared" ca="1" si="734"/>
        <v>99.941211046732064</v>
      </c>
      <c r="AA1533">
        <f t="shared" ca="1" si="735"/>
        <v>631.9250000000028</v>
      </c>
      <c r="AB1533">
        <f t="shared" ca="1" si="736"/>
        <v>1141.0098963041537</v>
      </c>
      <c r="AC1533">
        <f t="shared" ca="1" si="737"/>
        <v>123.60171402189398</v>
      </c>
      <c r="AD1533">
        <f t="shared" ca="1" si="738"/>
        <v>142.70037088608785</v>
      </c>
      <c r="AE1533">
        <f t="shared" ca="1" si="739"/>
        <v>519.58480269707945</v>
      </c>
      <c r="AF1533">
        <v>0</v>
      </c>
      <c r="AG1533">
        <v>1</v>
      </c>
      <c r="AH1533">
        <f ca="1">IF(V32="Supercritical",L1533,IF(V32="Subcritical",W1533,IF(AND(V1533=1,AG1533=1),IF(T1533&gt;=AE1533,L1533,W1533),IF(V1533=1,L1533,IF(AG1533=1,W1533,MAX($D$16,POWER((ABS(K1533)^2)/($I$5*MAX(F1533,0.1)^2),1/3)))))))</f>
        <v>5.0000000002796696E-2</v>
      </c>
      <c r="AI1533">
        <f t="shared" ca="1" si="742"/>
        <v>631.9250000000028</v>
      </c>
      <c r="AJ1533">
        <f t="shared" ca="1" si="743"/>
        <v>1141.0098963041537</v>
      </c>
      <c r="AM1533">
        <v>0</v>
      </c>
      <c r="AN1533">
        <v>0</v>
      </c>
      <c r="AO1533">
        <f t="shared" si="744"/>
        <v>0</v>
      </c>
      <c r="AP1533">
        <f t="shared" si="753"/>
        <v>0</v>
      </c>
      <c r="AQ1533">
        <f t="shared" ca="1" si="745"/>
        <v>142.70037088608785</v>
      </c>
      <c r="AR1533" t="str">
        <f t="shared" ca="1" si="746"/>
        <v>Supercritical</v>
      </c>
      <c r="AS1533">
        <f t="shared" ca="1" si="747"/>
        <v>123.60171402189398</v>
      </c>
    </row>
    <row r="1536" spans="1:45" x14ac:dyDescent="0.35">
      <c r="A1536" t="s">
        <v>194</v>
      </c>
      <c r="E1536">
        <f>E33</f>
        <v>17.254999999999999</v>
      </c>
      <c r="F1536" t="s">
        <v>141</v>
      </c>
      <c r="H1536">
        <f>N33</f>
        <v>0</v>
      </c>
      <c r="I1536" t="s">
        <v>13</v>
      </c>
      <c r="K1536" t="str">
        <f>V33</f>
        <v>Mixed</v>
      </c>
      <c r="L1536" t="s">
        <v>142</v>
      </c>
    </row>
    <row r="1537" spans="1:45" x14ac:dyDescent="0.35">
      <c r="A1537" t="s">
        <v>143</v>
      </c>
      <c r="B1537" t="s">
        <v>144</v>
      </c>
      <c r="C1537" t="s">
        <v>145</v>
      </c>
      <c r="D1537" t="s">
        <v>146</v>
      </c>
      <c r="E1537" t="s">
        <v>147</v>
      </c>
      <c r="F1537" t="s">
        <v>148</v>
      </c>
      <c r="G1537" t="s">
        <v>149</v>
      </c>
      <c r="H1537" t="s">
        <v>9</v>
      </c>
      <c r="I1537" t="s">
        <v>150</v>
      </c>
      <c r="J1537" t="s">
        <v>151</v>
      </c>
      <c r="K1537" t="s">
        <v>152</v>
      </c>
      <c r="L1537" t="s">
        <v>153</v>
      </c>
      <c r="M1537" t="s">
        <v>154</v>
      </c>
      <c r="N1537" t="s">
        <v>155</v>
      </c>
      <c r="O1537" t="s">
        <v>156</v>
      </c>
      <c r="P1537" t="s">
        <v>157</v>
      </c>
      <c r="Q1537" t="s">
        <v>158</v>
      </c>
      <c r="R1537" t="s">
        <v>159</v>
      </c>
      <c r="S1537" t="s">
        <v>160</v>
      </c>
      <c r="T1537" t="s">
        <v>161</v>
      </c>
      <c r="U1537" t="s">
        <v>162</v>
      </c>
      <c r="V1537" t="s">
        <v>163</v>
      </c>
      <c r="W1537" t="s">
        <v>164</v>
      </c>
      <c r="X1537" t="s">
        <v>165</v>
      </c>
      <c r="Y1537" t="s">
        <v>166</v>
      </c>
      <c r="Z1537" t="s">
        <v>167</v>
      </c>
      <c r="AA1537" t="s">
        <v>168</v>
      </c>
      <c r="AB1537" t="s">
        <v>169</v>
      </c>
      <c r="AC1537" t="s">
        <v>170</v>
      </c>
      <c r="AD1537" t="s">
        <v>171</v>
      </c>
      <c r="AE1537" t="s">
        <v>172</v>
      </c>
      <c r="AF1537" t="s">
        <v>173</v>
      </c>
      <c r="AG1537" t="s">
        <v>174</v>
      </c>
      <c r="AH1537" t="s">
        <v>175</v>
      </c>
      <c r="AI1537" t="s">
        <v>176</v>
      </c>
      <c r="AJ1537" t="s">
        <v>177</v>
      </c>
      <c r="AK1537" t="s">
        <v>178</v>
      </c>
      <c r="AL1537" t="s">
        <v>179</v>
      </c>
      <c r="AM1537" t="s">
        <v>180</v>
      </c>
      <c r="AN1537" t="s">
        <v>181</v>
      </c>
      <c r="AO1537" t="s">
        <v>182</v>
      </c>
      <c r="AP1537" t="s">
        <v>183</v>
      </c>
      <c r="AQ1537" t="s">
        <v>184</v>
      </c>
      <c r="AR1537" t="s">
        <v>185</v>
      </c>
      <c r="AS1537" t="s">
        <v>186</v>
      </c>
    </row>
    <row r="1538" spans="1:45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187</v>
      </c>
      <c r="J1538" t="s">
        <v>52</v>
      </c>
      <c r="K1538" t="s">
        <v>13</v>
      </c>
      <c r="L1538" t="s">
        <v>52</v>
      </c>
      <c r="M1538" t="s">
        <v>188</v>
      </c>
      <c r="N1538" t="s">
        <v>52</v>
      </c>
      <c r="O1538" t="s">
        <v>189</v>
      </c>
      <c r="P1538" t="s">
        <v>52</v>
      </c>
      <c r="Q1538" t="s">
        <v>52</v>
      </c>
      <c r="R1538" t="s">
        <v>22</v>
      </c>
      <c r="S1538" t="s">
        <v>22</v>
      </c>
      <c r="T1538" t="s">
        <v>190</v>
      </c>
      <c r="U1538" t="s">
        <v>52</v>
      </c>
      <c r="V1538" t="s">
        <v>22</v>
      </c>
      <c r="W1538" t="s">
        <v>52</v>
      </c>
      <c r="X1538" t="s">
        <v>188</v>
      </c>
      <c r="Y1538" t="s">
        <v>52</v>
      </c>
      <c r="Z1538" t="s">
        <v>189</v>
      </c>
      <c r="AA1538" t="s">
        <v>52</v>
      </c>
      <c r="AB1538" t="s">
        <v>52</v>
      </c>
      <c r="AC1538" t="s">
        <v>22</v>
      </c>
      <c r="AD1538" t="s">
        <v>22</v>
      </c>
      <c r="AE1538" t="s">
        <v>190</v>
      </c>
      <c r="AF1538" t="s">
        <v>52</v>
      </c>
      <c r="AG1538" t="s">
        <v>22</v>
      </c>
      <c r="AH1538" t="s">
        <v>52</v>
      </c>
      <c r="AI1538" t="s">
        <v>52</v>
      </c>
      <c r="AJ1538" t="s">
        <v>52</v>
      </c>
      <c r="AK1538" t="s">
        <v>52</v>
      </c>
      <c r="AL1538" t="s">
        <v>52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192</v>
      </c>
      <c r="I1539">
        <v>0</v>
      </c>
      <c r="J1539">
        <v>0</v>
      </c>
      <c r="K1539">
        <f>N33</f>
        <v>0</v>
      </c>
      <c r="L1539">
        <f ca="1">MAX($D$16,($I$13)-E1539)</f>
        <v>5.0000000001546141E-2</v>
      </c>
      <c r="M1539">
        <f t="shared" ref="M1539:M1557" ca="1" si="754">((F1539)+(G1539)*(L1539))*(L1539)</f>
        <v>0.32790000001013958</v>
      </c>
      <c r="N1539">
        <f t="shared" ref="N1539:N1557" ca="1" si="755">(((F1539)+(G1539)*(L1539))*(L1539))/MAX((F1539)+2*(L1539)*SQRT(1+(G1539)^2),0.000001)</f>
        <v>4.9249023732350149E-2</v>
      </c>
      <c r="O1539">
        <f t="shared" ref="O1539:O1557" ca="1" si="756">ABS(K1539)/MAX(((F1539)+(G1539)*(L1539))*(L1539),0.000001)</f>
        <v>0</v>
      </c>
      <c r="P1539">
        <f t="shared" ref="P1539:P1557" ca="1" si="757">E1539+L1539</f>
        <v>634.34800000000155</v>
      </c>
      <c r="Q1539">
        <f t="shared" ref="Q1539:Q1557" ca="1" si="758">P1539+((ABS(K1539)/MAX(((F1539)+(G1539)*(L1539))*(L1539),0.000001))^2)/(2*$I$5)</f>
        <v>634.34800000000155</v>
      </c>
      <c r="R1539">
        <f t="shared" ref="R1539:R1557" ca="1" si="759">((ABS(K1539)*$D$6)/(MAX(((F1539)+(G1539)*(L1539))*(L1539),0.000001)*MAX(((((F1539)+(G1539)*(L1539))*(L1539))/MAX((F1539)+2*(L1539)*SQRT(1+(G1539)^2),0.000001))^(2/3),0.000001)))^2</f>
        <v>0</v>
      </c>
      <c r="S1539">
        <f t="shared" ref="S1539:S1557" ca="1" si="760">ABS(ABS(K1539)/MAX(((F1539)+(G1539)*(L1539))*(L1539),0.000001))/SQRT($I$5*MAX((((F1539)+(G1539)*(L1539))*(L1539))/MAX((F1539)+2*(G1539)*(L1539),0.000001),0.000001))</f>
        <v>0</v>
      </c>
      <c r="T1539">
        <f t="shared" ref="T1539:T1557" ca="1" si="761">((F1539)*(L1539)^2)/2+(G1539)*(L1539)^3/3+(ABS(K1539)^2)/($I$5*MAX(((F1539)+(G1539)*(L1539))*(L1539),0.000001))</f>
        <v>8.1975000005069798E-3</v>
      </c>
      <c r="U1539">
        <v>0</v>
      </c>
      <c r="V1539">
        <v>1</v>
      </c>
      <c r="W1539">
        <f t="shared" ref="W1539:W1556" ca="1" si="762">IF(OR($D$20=0,AG1540=0),W1540,IF(OR(W1539=0,AD1540&gt;1),MAX($D$16,POWER((ABS(K1539)^2)/($I$5*MAX(F1539,0.1)^2),1/3)),IF(AF1539&gt;0,MAX($D$16,W1539+((AF1539)*$D$18*IF((AD1539)&lt;1,1,-1))),IF(AF1539&lt;0,IF(ABS((MAX($D$16,POWER((ABS(K1539)^2)/($I$5*MAX(F1539,0.1)^2),1/3)))-W1539)&gt;$D$19,MAX($D$16,W1539+($D$18*((MAX($D$16,POWER((ABS(K1539)^2)/($I$5*MAX(F1539,0.1)^2),1/3)))-W1539))),MAX($D$16,POWER((ABS(K1539)^2)/($I$5*MAX(F1539,0.1)^2),1/3))),W1539))))</f>
        <v>0.05</v>
      </c>
      <c r="X1539">
        <f t="shared" ref="X1539:X1557" ca="1" si="763">((F1539)+(G1539)*(W1539))*(W1539)</f>
        <v>0.32790000000000002</v>
      </c>
      <c r="Y1539">
        <f t="shared" ref="Y1539:Y1557" ca="1" si="764">(((F1539)+(G1539)*(W1539))*(W1539))/MAX((F1539)+2*(W1539)*SQRT(1+(G1539)^2),0.000001)</f>
        <v>4.9249023730850112E-2</v>
      </c>
      <c r="Z1539">
        <f t="shared" ref="Z1539:Z1557" ca="1" si="765">ABS(K1539)/MAX(((F1539)+(G1539)*(W1539))*(W1539),0.000001)</f>
        <v>0</v>
      </c>
      <c r="AA1539">
        <f t="shared" ref="AA1539:AA1557" ca="1" si="766">E1539+W1539</f>
        <v>634.34799999999996</v>
      </c>
      <c r="AB1539">
        <f t="shared" ref="AB1539:AB1557" ca="1" si="767">AA1539+((ABS(K1539)/MAX(((F1539)+(G1539)*(W1539))*(W1539),0.000001))^2)/(2*$I$5)</f>
        <v>634.34799999999996</v>
      </c>
      <c r="AC1539">
        <f t="shared" ref="AC1539:AC1557" ca="1" si="768">((ABS(K1539)*$D$6)/(MAX(((F1539)+(G1539)*(W1539))*(W1539),0.000001)*MAX(((((F1539)+(G1539)*(W1539))*(W1539))/MAX((F1539)+2*(W1539)*SQRT(1+(G1539)^2),0.000001))^(2/3),0.000001)))^2</f>
        <v>0</v>
      </c>
      <c r="AD1539">
        <f t="shared" ref="AD1539:AD1557" ca="1" si="769">ABS(ABS(K1539)/MAX(((F1539)+(G1539)*(W1539))*(W1539),0.000001))/SQRT($I$5*MAX((((F1539)+(G1539)*(W1539))*(W1539))/MAX((F1539)+2*(G1539)*(W1539),0.000001),0.000001))</f>
        <v>0</v>
      </c>
      <c r="AE1539">
        <f t="shared" ref="AE1539:AE1557" ca="1" si="770">((F1539)*(W1539)^2)/2+(G1539)*(W1539)^3/3+(ABS(K1539)^2)/($I$5*MAX(((F1539)+(G1539)*(W1539))*(W1539),0.000001))</f>
        <v>8.1975000000000017E-3</v>
      </c>
      <c r="AF1539">
        <f t="shared" ref="AF1539:AF1556" ca="1" si="771">AB1540+(((AC1539+AC1540)/2)*J1540)+(IF(Z1539&gt;Z1540,$D$8*((Z1539^2-Z1540^2)/(2*$I$5)),$D$9*((Z1540^2-Z1539^2)/(2*$I$5)))+($D$10*(ABS(I1540)/90)*(MAX(Z1539^2,Z1540^2)/(2*$I$5))))-AB1539</f>
        <v>-1.9999999999527063E-3</v>
      </c>
      <c r="AG1539">
        <f t="shared" ref="AG1539:AG1556" ca="1" si="772">IF(ROUND(AD1539,3)=1,1,IF(AND(ABS(AF1539)&lt;$D$19,AD1539&lt;1),1,0))</f>
        <v>0</v>
      </c>
      <c r="AH1539">
        <f ca="1">IF(V33="Supercritical",L1539,IF(V33="Subcritical",W1539,IF(AND(V1539=1,AG1539=1),IF(T1539&gt;=AE1539,L1539,W1539),IF(V1539=1,L1539,IF(AG1539=1,W1539,MAX($D$16,POWER((ABS(K1539)^2)/($I$5*MAX(F1539,0.1)^2),1/3)))))))</f>
        <v>5.0000000001546141E-2</v>
      </c>
      <c r="AI1539">
        <f t="shared" ref="AI1539:AI1557" ca="1" si="773">E1539+AH1539</f>
        <v>634.34800000000155</v>
      </c>
      <c r="AJ1539">
        <f t="shared" ref="AJ1539:AJ1557" ca="1" si="774">AI1539+((ABS(K1539)/MAX(((F1539)+(G1539)*(AH1539))*(AH1539),0.000001))^2)/(2*$I$5)</f>
        <v>634.34800000000155</v>
      </c>
      <c r="AM1539">
        <v>0</v>
      </c>
      <c r="AN1539">
        <v>0</v>
      </c>
      <c r="AO1539">
        <f t="shared" ref="AO1539:AO1557" si="775">AM1539+AN1539</f>
        <v>0</v>
      </c>
      <c r="AP1539">
        <f>AO1539</f>
        <v>0</v>
      </c>
      <c r="AQ1539">
        <f t="shared" ref="AQ1539:AQ1557" ca="1" si="776">ABS(ABS(K1539)/MAX(((F1539)+(G1539)*(AH1539))*(AH1539),0.000001))/SQRT($I$5*MAX((((F1539)+(G1539)*(AH1539))*(AH1539))/MAX((F1539)+2*(G1539)*(AH1539),0.000001),0.000001))</f>
        <v>0</v>
      </c>
      <c r="AR1539" t="str">
        <f t="shared" ref="AR1539:AR1557" ca="1" si="777">IF(AQ1539&lt;1,"Subcritical","Supercritical")</f>
        <v>Subcritical</v>
      </c>
      <c r="AS1539">
        <f t="shared" ref="AS1539:AS1557" ca="1" si="778">((ABS(K1539)*$D$6)/(MAX(((F1539)+(G1539)*(AH1539))*(AH1539),0.000001)*MAX(((((F1539)+(G1539)*(AH1539))*(AH1539))/MAX((F1539)+2*(AH1539)*SQRT(1+(G1539)^2),0.000001))^(2/3),0.000001)))^2</f>
        <v>0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192</v>
      </c>
      <c r="I1540">
        <v>2.7E-2</v>
      </c>
      <c r="J1540">
        <f t="shared" ref="J1540:J1557" si="779">B1540-B1539</f>
        <v>1</v>
      </c>
      <c r="K1540">
        <f t="shared" ref="K1540:K1557" si="780">MAX(0,K1539-AO1539)</f>
        <v>0</v>
      </c>
      <c r="L1540">
        <f t="shared" ref="L1540:L1557" ca="1" si="781">IF(OR($D$20=0,V1539=0),L1539,IF(OR(L1540=0,S1539&lt;1,S1540&lt;1),MAX($D$16,POWER((ABS(K1540)^2)/($I$5*MAX(F1540,0.1)^2),1/3)),IF(U1540&gt;0,MAX($D$16,L1540+((U1540)*$D$18*IF((S1540)&lt;1,1,-1))),IF(U1540&lt;0,IF(ABS((MAX($D$16,POWER((ABS(K1540)^2)/($I$5*MAX(F1540,0.1)^2),1/3)))-L1540)&gt;$D$19,MAX($D$16,L1540+($D$18*((MAX($D$16,POWER((ABS(K1540)^2)/($I$5*MAX(F1540,0.1)^2),1/3)))-L1540))),MAX($D$16,POWER((ABS(K1540)^2)/($I$5*MAX(F1540,0.1)^2),1/3))),L1540))))</f>
        <v>0.05</v>
      </c>
      <c r="M1540">
        <f t="shared" ca="1" si="754"/>
        <v>0.35955000000000004</v>
      </c>
      <c r="N1540">
        <f t="shared" ca="1" si="755"/>
        <v>4.9314223014675633E-2</v>
      </c>
      <c r="O1540">
        <f t="shared" ca="1" si="756"/>
        <v>0</v>
      </c>
      <c r="P1540">
        <f t="shared" ca="1" si="757"/>
        <v>634.346</v>
      </c>
      <c r="Q1540">
        <f t="shared" ca="1" si="758"/>
        <v>634.346</v>
      </c>
      <c r="R1540">
        <f t="shared" ca="1" si="759"/>
        <v>0</v>
      </c>
      <c r="S1540">
        <f t="shared" ca="1" si="760"/>
        <v>0</v>
      </c>
      <c r="T1540">
        <f t="shared" ca="1" si="761"/>
        <v>8.9887500000000019E-3</v>
      </c>
      <c r="U1540">
        <f t="shared" ref="U1540:U1557" ca="1" si="782">Q1539-(((R1539+R1540)/2)*J1540)-(IF(O1539&gt;O1540,$D$8*((O1539^2-O1540^2)/(2*$I$5)),$D$9*((O1540^2-O1539^2)/(2*$I$5)))+($D$10*(ABS(I1540)/90)*(MAX(O1539^2,O1540^2)/(2*$I$5))))-Q1540</f>
        <v>2.000000001544322E-3</v>
      </c>
      <c r="V1540">
        <f t="shared" ref="V1540:V1557" ca="1" si="783">IF(ROUND(S1540,3)=1,1,IF(AND(ABS(U1540)&lt;$D$19,S1540&gt;1),1,0))</f>
        <v>0</v>
      </c>
      <c r="W1540">
        <f t="shared" ca="1" si="762"/>
        <v>0.05</v>
      </c>
      <c r="X1540">
        <f t="shared" ca="1" si="763"/>
        <v>0.35955000000000004</v>
      </c>
      <c r="Y1540">
        <f t="shared" ca="1" si="764"/>
        <v>4.9314223014675633E-2</v>
      </c>
      <c r="Z1540">
        <f t="shared" ca="1" si="765"/>
        <v>0</v>
      </c>
      <c r="AA1540">
        <f t="shared" ca="1" si="766"/>
        <v>634.346</v>
      </c>
      <c r="AB1540">
        <f t="shared" ca="1" si="767"/>
        <v>634.346</v>
      </c>
      <c r="AC1540">
        <f t="shared" ca="1" si="768"/>
        <v>0</v>
      </c>
      <c r="AD1540">
        <f t="shared" ca="1" si="769"/>
        <v>0</v>
      </c>
      <c r="AE1540">
        <f t="shared" ca="1" si="770"/>
        <v>8.9887500000000019E-3</v>
      </c>
      <c r="AF1540">
        <f t="shared" ca="1" si="771"/>
        <v>-2.0000000000663931E-3</v>
      </c>
      <c r="AG1540">
        <f t="shared" ca="1" si="772"/>
        <v>0</v>
      </c>
      <c r="AH1540">
        <f ca="1">IF(V33="Supercritical",L1540,IF(V33="Subcritical",W1540,IF(AND(V1540=1,AG1540=1),IF(T1540&gt;=AE1540,L1540,W1540),IF(V1540=1,L1540,IF(AG1540=1,W1540,MAX($D$16,POWER((ABS(K1540)^2)/($I$5*MAX(F1540,0.1)^2),1/3)))))))</f>
        <v>0.05</v>
      </c>
      <c r="AI1540">
        <f t="shared" ca="1" si="773"/>
        <v>634.346</v>
      </c>
      <c r="AJ1540">
        <f t="shared" ca="1" si="774"/>
        <v>634.346</v>
      </c>
      <c r="AM1540">
        <v>0</v>
      </c>
      <c r="AN1540">
        <v>0</v>
      </c>
      <c r="AO1540">
        <f t="shared" si="775"/>
        <v>0</v>
      </c>
      <c r="AP1540">
        <f t="shared" ref="AP1540:AP1557" si="784">AP1539+AO1540</f>
        <v>0</v>
      </c>
      <c r="AQ1540">
        <f t="shared" ca="1" si="776"/>
        <v>0</v>
      </c>
      <c r="AR1540" t="str">
        <f t="shared" ca="1" si="777"/>
        <v>Subcritical</v>
      </c>
      <c r="AS1540">
        <f t="shared" ca="1" si="778"/>
        <v>0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192</v>
      </c>
      <c r="I1541">
        <v>2.7E-2</v>
      </c>
      <c r="J1541">
        <f t="shared" si="779"/>
        <v>1</v>
      </c>
      <c r="K1541">
        <f t="shared" si="780"/>
        <v>0</v>
      </c>
      <c r="L1541">
        <f t="shared" ca="1" si="781"/>
        <v>0.05</v>
      </c>
      <c r="M1541">
        <f t="shared" ca="1" si="754"/>
        <v>0.39634999999999998</v>
      </c>
      <c r="N1541">
        <f t="shared" ca="1" si="755"/>
        <v>4.9377102279805657E-2</v>
      </c>
      <c r="O1541">
        <f t="shared" ca="1" si="756"/>
        <v>0</v>
      </c>
      <c r="P1541">
        <f t="shared" ca="1" si="757"/>
        <v>634.34399999999994</v>
      </c>
      <c r="Q1541">
        <f t="shared" ca="1" si="758"/>
        <v>634.34399999999994</v>
      </c>
      <c r="R1541">
        <f t="shared" ca="1" si="759"/>
        <v>0</v>
      </c>
      <c r="S1541">
        <f t="shared" ca="1" si="760"/>
        <v>0</v>
      </c>
      <c r="T1541">
        <f t="shared" ca="1" si="761"/>
        <v>9.9087500000000009E-3</v>
      </c>
      <c r="U1541">
        <f t="shared" ca="1" si="782"/>
        <v>2.0000000000663931E-3</v>
      </c>
      <c r="V1541">
        <f t="shared" ca="1" si="783"/>
        <v>0</v>
      </c>
      <c r="W1541">
        <f t="shared" ca="1" si="762"/>
        <v>0.05</v>
      </c>
      <c r="X1541">
        <f t="shared" ca="1" si="763"/>
        <v>0.39634999999999998</v>
      </c>
      <c r="Y1541">
        <f t="shared" ca="1" si="764"/>
        <v>4.9377102279805657E-2</v>
      </c>
      <c r="Z1541">
        <f t="shared" ca="1" si="765"/>
        <v>0</v>
      </c>
      <c r="AA1541">
        <f t="shared" ca="1" si="766"/>
        <v>634.34399999999994</v>
      </c>
      <c r="AB1541">
        <f t="shared" ca="1" si="767"/>
        <v>634.34399999999994</v>
      </c>
      <c r="AC1541">
        <f t="shared" ca="1" si="768"/>
        <v>0</v>
      </c>
      <c r="AD1541">
        <f t="shared" ca="1" si="769"/>
        <v>0</v>
      </c>
      <c r="AE1541">
        <f t="shared" ca="1" si="770"/>
        <v>9.9087500000000009E-3</v>
      </c>
      <c r="AF1541">
        <f t="shared" ca="1" si="771"/>
        <v>-1.9999999999527063E-3</v>
      </c>
      <c r="AG1541">
        <f t="shared" ca="1" si="772"/>
        <v>0</v>
      </c>
      <c r="AH1541">
        <f ca="1">IF(V33="Supercritical",L1541,IF(V33="Subcritical",W1541,IF(AND(V1541=1,AG1541=1),IF(T1541&gt;=AE1541,L1541,W1541),IF(V1541=1,L1541,IF(AG1541=1,W1541,MAX($D$16,POWER((ABS(K1541)^2)/($I$5*MAX(F1541,0.1)^2),1/3)))))))</f>
        <v>0.05</v>
      </c>
      <c r="AI1541">
        <f t="shared" ca="1" si="773"/>
        <v>634.34399999999994</v>
      </c>
      <c r="AJ1541">
        <f t="shared" ca="1" si="774"/>
        <v>634.34399999999994</v>
      </c>
      <c r="AM1541">
        <v>0</v>
      </c>
      <c r="AN1541">
        <v>0</v>
      </c>
      <c r="AO1541">
        <f t="shared" si="775"/>
        <v>0</v>
      </c>
      <c r="AP1541">
        <f t="shared" si="784"/>
        <v>0</v>
      </c>
      <c r="AQ1541">
        <f t="shared" ca="1" si="776"/>
        <v>0</v>
      </c>
      <c r="AR1541" t="str">
        <f t="shared" ca="1" si="777"/>
        <v>Subcritical</v>
      </c>
      <c r="AS1541">
        <f t="shared" ca="1" si="778"/>
        <v>0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192</v>
      </c>
      <c r="I1542">
        <v>0</v>
      </c>
      <c r="J1542">
        <f t="shared" si="779"/>
        <v>1</v>
      </c>
      <c r="K1542">
        <f t="shared" si="780"/>
        <v>0</v>
      </c>
      <c r="L1542">
        <f t="shared" ca="1" si="781"/>
        <v>0.05</v>
      </c>
      <c r="M1542">
        <f t="shared" ca="1" si="754"/>
        <v>0.43320000000000003</v>
      </c>
      <c r="N1542">
        <f t="shared" ca="1" si="755"/>
        <v>4.9429484253765414E-2</v>
      </c>
      <c r="O1542">
        <f t="shared" ca="1" si="756"/>
        <v>0</v>
      </c>
      <c r="P1542">
        <f t="shared" ca="1" si="757"/>
        <v>634.34199999999998</v>
      </c>
      <c r="Q1542">
        <f t="shared" ca="1" si="758"/>
        <v>634.34199999999998</v>
      </c>
      <c r="R1542">
        <f t="shared" ca="1" si="759"/>
        <v>0</v>
      </c>
      <c r="S1542">
        <f t="shared" ca="1" si="760"/>
        <v>0</v>
      </c>
      <c r="T1542">
        <f t="shared" ca="1" si="761"/>
        <v>1.0830000000000001E-2</v>
      </c>
      <c r="U1542">
        <f t="shared" ca="1" si="782"/>
        <v>1.9999999999527063E-3</v>
      </c>
      <c r="V1542">
        <f t="shared" ca="1" si="783"/>
        <v>0</v>
      </c>
      <c r="W1542">
        <f t="shared" ca="1" si="762"/>
        <v>0.05</v>
      </c>
      <c r="X1542">
        <f t="shared" ca="1" si="763"/>
        <v>0.43320000000000003</v>
      </c>
      <c r="Y1542">
        <f t="shared" ca="1" si="764"/>
        <v>4.9429484253765414E-2</v>
      </c>
      <c r="Z1542">
        <f t="shared" ca="1" si="765"/>
        <v>0</v>
      </c>
      <c r="AA1542">
        <f t="shared" ca="1" si="766"/>
        <v>634.34199999999998</v>
      </c>
      <c r="AB1542">
        <f t="shared" ca="1" si="767"/>
        <v>634.34199999999998</v>
      </c>
      <c r="AC1542">
        <f t="shared" ca="1" si="768"/>
        <v>0</v>
      </c>
      <c r="AD1542">
        <f t="shared" ca="1" si="769"/>
        <v>0</v>
      </c>
      <c r="AE1542">
        <f t="shared" ca="1" si="770"/>
        <v>1.0830000000000001E-2</v>
      </c>
      <c r="AF1542">
        <f t="shared" ca="1" si="771"/>
        <v>-2.0000000000663931E-3</v>
      </c>
      <c r="AG1542">
        <f t="shared" ca="1" si="772"/>
        <v>0</v>
      </c>
      <c r="AH1542">
        <f ca="1">IF(V33="Supercritical",L1542,IF(V33="Subcritical",W1542,IF(AND(V1542=1,AG1542=1),IF(T1542&gt;=AE1542,L1542,W1542),IF(V1542=1,L1542,IF(AG1542=1,W1542,MAX($D$16,POWER((ABS(K1542)^2)/($I$5*MAX(F1542,0.1)^2),1/3)))))))</f>
        <v>0.05</v>
      </c>
      <c r="AI1542">
        <f t="shared" ca="1" si="773"/>
        <v>634.34199999999998</v>
      </c>
      <c r="AJ1542">
        <f t="shared" ca="1" si="774"/>
        <v>634.34199999999998</v>
      </c>
      <c r="AM1542">
        <v>0</v>
      </c>
      <c r="AN1542">
        <v>0</v>
      </c>
      <c r="AO1542">
        <f t="shared" si="775"/>
        <v>0</v>
      </c>
      <c r="AP1542">
        <f t="shared" si="784"/>
        <v>0</v>
      </c>
      <c r="AQ1542">
        <f t="shared" ca="1" si="776"/>
        <v>0</v>
      </c>
      <c r="AR1542" t="str">
        <f t="shared" ca="1" si="777"/>
        <v>Subcritical</v>
      </c>
      <c r="AS1542">
        <f t="shared" ca="1" si="778"/>
        <v>0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192</v>
      </c>
      <c r="I1543">
        <v>0</v>
      </c>
      <c r="J1543">
        <f t="shared" si="779"/>
        <v>1</v>
      </c>
      <c r="K1543">
        <f t="shared" si="780"/>
        <v>0</v>
      </c>
      <c r="L1543">
        <f t="shared" ca="1" si="781"/>
        <v>0.05</v>
      </c>
      <c r="M1543">
        <f t="shared" ca="1" si="754"/>
        <v>0.47005000000000002</v>
      </c>
      <c r="N1543">
        <f t="shared" ca="1" si="755"/>
        <v>4.9473739606357231E-2</v>
      </c>
      <c r="O1543">
        <f t="shared" ca="1" si="756"/>
        <v>0</v>
      </c>
      <c r="P1543">
        <f t="shared" ca="1" si="757"/>
        <v>634.33999999999992</v>
      </c>
      <c r="Q1543">
        <f t="shared" ca="1" si="758"/>
        <v>634.33999999999992</v>
      </c>
      <c r="R1543">
        <f t="shared" ca="1" si="759"/>
        <v>0</v>
      </c>
      <c r="S1543">
        <f t="shared" ca="1" si="760"/>
        <v>0</v>
      </c>
      <c r="T1543">
        <f t="shared" ca="1" si="761"/>
        <v>1.1751250000000001E-2</v>
      </c>
      <c r="U1543">
        <f t="shared" ca="1" si="782"/>
        <v>2.0000000000663931E-3</v>
      </c>
      <c r="V1543">
        <f t="shared" ca="1" si="783"/>
        <v>0</v>
      </c>
      <c r="W1543">
        <f t="shared" ca="1" si="762"/>
        <v>0.05</v>
      </c>
      <c r="X1543">
        <f t="shared" ca="1" si="763"/>
        <v>0.47005000000000002</v>
      </c>
      <c r="Y1543">
        <f t="shared" ca="1" si="764"/>
        <v>4.9473739606357231E-2</v>
      </c>
      <c r="Z1543">
        <f t="shared" ca="1" si="765"/>
        <v>0</v>
      </c>
      <c r="AA1543">
        <f t="shared" ca="1" si="766"/>
        <v>634.33999999999992</v>
      </c>
      <c r="AB1543">
        <f t="shared" ca="1" si="767"/>
        <v>634.33999999999992</v>
      </c>
      <c r="AC1543">
        <f t="shared" ca="1" si="768"/>
        <v>0</v>
      </c>
      <c r="AD1543">
        <f t="shared" ca="1" si="769"/>
        <v>0</v>
      </c>
      <c r="AE1543">
        <f t="shared" ca="1" si="770"/>
        <v>1.1751250000000001E-2</v>
      </c>
      <c r="AF1543">
        <f t="shared" ca="1" si="771"/>
        <v>-1.9999999999527063E-3</v>
      </c>
      <c r="AG1543">
        <f t="shared" ca="1" si="772"/>
        <v>0</v>
      </c>
      <c r="AH1543">
        <f ca="1">IF(V33="Supercritical",L1543,IF(V33="Subcritical",W1543,IF(AND(V1543=1,AG1543=1),IF(T1543&gt;=AE1543,L1543,W1543),IF(V1543=1,L1543,IF(AG1543=1,W1543,MAX($D$16,POWER((ABS(K1543)^2)/($I$5*MAX(F1543,0.1)^2),1/3)))))))</f>
        <v>0.05</v>
      </c>
      <c r="AI1543">
        <f t="shared" ca="1" si="773"/>
        <v>634.33999999999992</v>
      </c>
      <c r="AJ1543">
        <f t="shared" ca="1" si="774"/>
        <v>634.33999999999992</v>
      </c>
      <c r="AM1543">
        <v>0</v>
      </c>
      <c r="AN1543">
        <v>0</v>
      </c>
      <c r="AO1543">
        <f t="shared" si="775"/>
        <v>0</v>
      </c>
      <c r="AP1543">
        <f t="shared" si="784"/>
        <v>0</v>
      </c>
      <c r="AQ1543">
        <f t="shared" ca="1" si="776"/>
        <v>0</v>
      </c>
      <c r="AR1543" t="str">
        <f t="shared" ca="1" si="777"/>
        <v>Subcritical</v>
      </c>
      <c r="AS1543">
        <f t="shared" ca="1" si="778"/>
        <v>0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192</v>
      </c>
      <c r="I1544">
        <v>2.7E-2</v>
      </c>
      <c r="J1544">
        <f t="shared" si="779"/>
        <v>1.0010000000000003</v>
      </c>
      <c r="K1544">
        <f t="shared" si="780"/>
        <v>0</v>
      </c>
      <c r="L1544">
        <f t="shared" ca="1" si="781"/>
        <v>0.05</v>
      </c>
      <c r="M1544">
        <f t="shared" ca="1" si="754"/>
        <v>0.50690000000000002</v>
      </c>
      <c r="N1544">
        <f t="shared" ca="1" si="755"/>
        <v>4.9511623363938273E-2</v>
      </c>
      <c r="O1544">
        <f t="shared" ca="1" si="756"/>
        <v>0</v>
      </c>
      <c r="P1544">
        <f t="shared" ca="1" si="757"/>
        <v>634.33799999999997</v>
      </c>
      <c r="Q1544">
        <f t="shared" ca="1" si="758"/>
        <v>634.33799999999997</v>
      </c>
      <c r="R1544">
        <f t="shared" ca="1" si="759"/>
        <v>0</v>
      </c>
      <c r="S1544">
        <f t="shared" ca="1" si="760"/>
        <v>0</v>
      </c>
      <c r="T1544">
        <f t="shared" ca="1" si="761"/>
        <v>1.2672500000000001E-2</v>
      </c>
      <c r="U1544">
        <f t="shared" ca="1" si="782"/>
        <v>1.9999999999527063E-3</v>
      </c>
      <c r="V1544">
        <f t="shared" ca="1" si="783"/>
        <v>0</v>
      </c>
      <c r="W1544">
        <f t="shared" ca="1" si="762"/>
        <v>0.05</v>
      </c>
      <c r="X1544">
        <f t="shared" ca="1" si="763"/>
        <v>0.50690000000000002</v>
      </c>
      <c r="Y1544">
        <f t="shared" ca="1" si="764"/>
        <v>4.9511623363938273E-2</v>
      </c>
      <c r="Z1544">
        <f t="shared" ca="1" si="765"/>
        <v>0</v>
      </c>
      <c r="AA1544">
        <f t="shared" ca="1" si="766"/>
        <v>634.33799999999997</v>
      </c>
      <c r="AB1544">
        <f t="shared" ca="1" si="767"/>
        <v>634.33799999999997</v>
      </c>
      <c r="AC1544">
        <f t="shared" ca="1" si="768"/>
        <v>0</v>
      </c>
      <c r="AD1544">
        <f t="shared" ca="1" si="769"/>
        <v>0</v>
      </c>
      <c r="AE1544">
        <f t="shared" ca="1" si="770"/>
        <v>1.2672500000000001E-2</v>
      </c>
      <c r="AF1544">
        <f t="shared" ca="1" si="771"/>
        <v>-2.0000000000663931E-3</v>
      </c>
      <c r="AG1544">
        <f t="shared" ca="1" si="772"/>
        <v>0</v>
      </c>
      <c r="AH1544">
        <f ca="1">IF(V33="Supercritical",L1544,IF(V33="Subcritical",W1544,IF(AND(V1544=1,AG1544=1),IF(T1544&gt;=AE1544,L1544,W1544),IF(V1544=1,L1544,IF(AG1544=1,W1544,MAX($D$16,POWER((ABS(K1544)^2)/($I$5*MAX(F1544,0.1)^2),1/3)))))))</f>
        <v>0.05</v>
      </c>
      <c r="AI1544">
        <f t="shared" ca="1" si="773"/>
        <v>634.33799999999997</v>
      </c>
      <c r="AJ1544">
        <f t="shared" ca="1" si="774"/>
        <v>634.33799999999997</v>
      </c>
      <c r="AM1544">
        <v>0</v>
      </c>
      <c r="AN1544">
        <v>0</v>
      </c>
      <c r="AO1544">
        <f t="shared" si="775"/>
        <v>0</v>
      </c>
      <c r="AP1544">
        <f t="shared" si="784"/>
        <v>0</v>
      </c>
      <c r="AQ1544">
        <f t="shared" ca="1" si="776"/>
        <v>0</v>
      </c>
      <c r="AR1544" t="str">
        <f t="shared" ca="1" si="777"/>
        <v>Subcritical</v>
      </c>
      <c r="AS1544">
        <f t="shared" ca="1" si="778"/>
        <v>0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192</v>
      </c>
      <c r="I1545">
        <v>2.7E-2</v>
      </c>
      <c r="J1545">
        <f t="shared" si="779"/>
        <v>0.99899999999999967</v>
      </c>
      <c r="K1545">
        <f t="shared" si="780"/>
        <v>0</v>
      </c>
      <c r="L1545">
        <f t="shared" ca="1" si="781"/>
        <v>0.05</v>
      </c>
      <c r="M1545">
        <f t="shared" ca="1" si="754"/>
        <v>0.54370000000000007</v>
      </c>
      <c r="N1545">
        <f t="shared" ca="1" si="755"/>
        <v>4.9544377619828689E-2</v>
      </c>
      <c r="O1545">
        <f t="shared" ca="1" si="756"/>
        <v>0</v>
      </c>
      <c r="P1545">
        <f t="shared" ca="1" si="757"/>
        <v>634.3359999999999</v>
      </c>
      <c r="Q1545">
        <f t="shared" ca="1" si="758"/>
        <v>634.3359999999999</v>
      </c>
      <c r="R1545">
        <f t="shared" ca="1" si="759"/>
        <v>0</v>
      </c>
      <c r="S1545">
        <f t="shared" ca="1" si="760"/>
        <v>0</v>
      </c>
      <c r="T1545">
        <f t="shared" ca="1" si="761"/>
        <v>1.3592500000000004E-2</v>
      </c>
      <c r="U1545">
        <f t="shared" ca="1" si="782"/>
        <v>2.0000000000663931E-3</v>
      </c>
      <c r="V1545">
        <f t="shared" ca="1" si="783"/>
        <v>0</v>
      </c>
      <c r="W1545">
        <f t="shared" ca="1" si="762"/>
        <v>0.05</v>
      </c>
      <c r="X1545">
        <f t="shared" ca="1" si="763"/>
        <v>0.54370000000000007</v>
      </c>
      <c r="Y1545">
        <f t="shared" ca="1" si="764"/>
        <v>4.9544377619828689E-2</v>
      </c>
      <c r="Z1545">
        <f t="shared" ca="1" si="765"/>
        <v>0</v>
      </c>
      <c r="AA1545">
        <f t="shared" ca="1" si="766"/>
        <v>634.3359999999999</v>
      </c>
      <c r="AB1545">
        <f t="shared" ca="1" si="767"/>
        <v>634.3359999999999</v>
      </c>
      <c r="AC1545">
        <f t="shared" ca="1" si="768"/>
        <v>0</v>
      </c>
      <c r="AD1545">
        <f t="shared" ca="1" si="769"/>
        <v>0</v>
      </c>
      <c r="AE1545">
        <f t="shared" ca="1" si="770"/>
        <v>1.3592500000000004E-2</v>
      </c>
      <c r="AF1545">
        <f t="shared" ca="1" si="771"/>
        <v>-1.9999999999527063E-3</v>
      </c>
      <c r="AG1545">
        <f t="shared" ca="1" si="772"/>
        <v>0</v>
      </c>
      <c r="AH1545">
        <f ca="1">IF(V33="Supercritical",L1545,IF(V33="Subcritical",W1545,IF(AND(V1545=1,AG1545=1),IF(T1545&gt;=AE1545,L1545,W1545),IF(V1545=1,L1545,IF(AG1545=1,W1545,MAX($D$16,POWER((ABS(K1545)^2)/($I$5*MAX(F1545,0.1)^2),1/3)))))))</f>
        <v>0.05</v>
      </c>
      <c r="AI1545">
        <f t="shared" ca="1" si="773"/>
        <v>634.3359999999999</v>
      </c>
      <c r="AJ1545">
        <f t="shared" ca="1" si="774"/>
        <v>634.3359999999999</v>
      </c>
      <c r="AM1545">
        <v>0</v>
      </c>
      <c r="AN1545">
        <v>0</v>
      </c>
      <c r="AO1545">
        <f t="shared" si="775"/>
        <v>0</v>
      </c>
      <c r="AP1545">
        <f t="shared" si="784"/>
        <v>0</v>
      </c>
      <c r="AQ1545">
        <f t="shared" ca="1" si="776"/>
        <v>0</v>
      </c>
      <c r="AR1545" t="str">
        <f t="shared" ca="1" si="777"/>
        <v>Subcritical</v>
      </c>
      <c r="AS1545">
        <f t="shared" ca="1" si="778"/>
        <v>0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192</v>
      </c>
      <c r="I1546">
        <v>0</v>
      </c>
      <c r="J1546">
        <f t="shared" si="779"/>
        <v>1</v>
      </c>
      <c r="K1546">
        <f t="shared" si="780"/>
        <v>0</v>
      </c>
      <c r="L1546">
        <f t="shared" ca="1" si="781"/>
        <v>0.05</v>
      </c>
      <c r="M1546">
        <f t="shared" ca="1" si="754"/>
        <v>0.58055000000000001</v>
      </c>
      <c r="N1546">
        <f t="shared" ca="1" si="755"/>
        <v>4.9573050977713258E-2</v>
      </c>
      <c r="O1546">
        <f t="shared" ca="1" si="756"/>
        <v>0</v>
      </c>
      <c r="P1546">
        <f t="shared" ca="1" si="757"/>
        <v>634.33399999999995</v>
      </c>
      <c r="Q1546">
        <f t="shared" ca="1" si="758"/>
        <v>634.33399999999995</v>
      </c>
      <c r="R1546">
        <f t="shared" ca="1" si="759"/>
        <v>0</v>
      </c>
      <c r="S1546">
        <f t="shared" ca="1" si="760"/>
        <v>0</v>
      </c>
      <c r="T1546">
        <f t="shared" ca="1" si="761"/>
        <v>1.4513750000000004E-2</v>
      </c>
      <c r="U1546">
        <f t="shared" ca="1" si="782"/>
        <v>1.9999999999527063E-3</v>
      </c>
      <c r="V1546">
        <f t="shared" ca="1" si="783"/>
        <v>0</v>
      </c>
      <c r="W1546">
        <f t="shared" ca="1" si="762"/>
        <v>0.05</v>
      </c>
      <c r="X1546">
        <f t="shared" ca="1" si="763"/>
        <v>0.58055000000000001</v>
      </c>
      <c r="Y1546">
        <f t="shared" ca="1" si="764"/>
        <v>4.9573050977713258E-2</v>
      </c>
      <c r="Z1546">
        <f t="shared" ca="1" si="765"/>
        <v>0</v>
      </c>
      <c r="AA1546">
        <f t="shared" ca="1" si="766"/>
        <v>634.33399999999995</v>
      </c>
      <c r="AB1546">
        <f t="shared" ca="1" si="767"/>
        <v>634.33399999999995</v>
      </c>
      <c r="AC1546">
        <f t="shared" ca="1" si="768"/>
        <v>0</v>
      </c>
      <c r="AD1546">
        <f t="shared" ca="1" si="769"/>
        <v>0</v>
      </c>
      <c r="AE1546">
        <f t="shared" ca="1" si="770"/>
        <v>1.4513750000000004E-2</v>
      </c>
      <c r="AF1546">
        <f t="shared" ca="1" si="771"/>
        <v>-1.9999999999527063E-3</v>
      </c>
      <c r="AG1546">
        <f t="shared" ca="1" si="772"/>
        <v>0</v>
      </c>
      <c r="AH1546">
        <f ca="1">IF(V33="Supercritical",L1546,IF(V33="Subcritical",W1546,IF(AND(V1546=1,AG1546=1),IF(T1546&gt;=AE1546,L1546,W1546),IF(V1546=1,L1546,IF(AG1546=1,W1546,MAX($D$16,POWER((ABS(K1546)^2)/($I$5*MAX(F1546,0.1)^2),1/3)))))))</f>
        <v>0.05</v>
      </c>
      <c r="AI1546">
        <f t="shared" ca="1" si="773"/>
        <v>634.33399999999995</v>
      </c>
      <c r="AJ1546">
        <f t="shared" ca="1" si="774"/>
        <v>634.33399999999995</v>
      </c>
      <c r="AM1546">
        <v>0</v>
      </c>
      <c r="AN1546">
        <v>0</v>
      </c>
      <c r="AO1546">
        <f t="shared" si="775"/>
        <v>0</v>
      </c>
      <c r="AP1546">
        <f t="shared" si="784"/>
        <v>0</v>
      </c>
      <c r="AQ1546">
        <f t="shared" ca="1" si="776"/>
        <v>0</v>
      </c>
      <c r="AR1546" t="str">
        <f t="shared" ca="1" si="777"/>
        <v>Subcritical</v>
      </c>
      <c r="AS1546">
        <f t="shared" ca="1" si="778"/>
        <v>0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192</v>
      </c>
      <c r="I1547">
        <v>2.7E-2</v>
      </c>
      <c r="J1547">
        <f t="shared" si="779"/>
        <v>1.0009999999999994</v>
      </c>
      <c r="K1547">
        <f t="shared" si="780"/>
        <v>0</v>
      </c>
      <c r="L1547">
        <f t="shared" ca="1" si="781"/>
        <v>0.05</v>
      </c>
      <c r="M1547">
        <f t="shared" ca="1" si="754"/>
        <v>0.61740000000000006</v>
      </c>
      <c r="N1547">
        <f t="shared" ca="1" si="755"/>
        <v>4.959832904884319E-2</v>
      </c>
      <c r="O1547">
        <f t="shared" ca="1" si="756"/>
        <v>0</v>
      </c>
      <c r="P1547">
        <f t="shared" ca="1" si="757"/>
        <v>634.33199999999999</v>
      </c>
      <c r="Q1547">
        <f t="shared" ca="1" si="758"/>
        <v>634.33199999999999</v>
      </c>
      <c r="R1547">
        <f t="shared" ca="1" si="759"/>
        <v>0</v>
      </c>
      <c r="S1547">
        <f t="shared" ca="1" si="760"/>
        <v>0</v>
      </c>
      <c r="T1547">
        <f t="shared" ca="1" si="761"/>
        <v>1.5435000000000004E-2</v>
      </c>
      <c r="U1547">
        <f t="shared" ca="1" si="782"/>
        <v>1.9999999999527063E-3</v>
      </c>
      <c r="V1547">
        <f t="shared" ca="1" si="783"/>
        <v>0</v>
      </c>
      <c r="W1547">
        <f t="shared" ca="1" si="762"/>
        <v>0.05</v>
      </c>
      <c r="X1547">
        <f t="shared" ca="1" si="763"/>
        <v>0.61740000000000006</v>
      </c>
      <c r="Y1547">
        <f t="shared" ca="1" si="764"/>
        <v>4.959832904884319E-2</v>
      </c>
      <c r="Z1547">
        <f t="shared" ca="1" si="765"/>
        <v>0</v>
      </c>
      <c r="AA1547">
        <f t="shared" ca="1" si="766"/>
        <v>634.33199999999999</v>
      </c>
      <c r="AB1547">
        <f t="shared" ca="1" si="767"/>
        <v>634.33199999999999</v>
      </c>
      <c r="AC1547">
        <f t="shared" ca="1" si="768"/>
        <v>0</v>
      </c>
      <c r="AD1547">
        <f t="shared" ca="1" si="769"/>
        <v>0</v>
      </c>
      <c r="AE1547">
        <f t="shared" ca="1" si="770"/>
        <v>1.5435000000000004E-2</v>
      </c>
      <c r="AF1547">
        <f t="shared" ca="1" si="771"/>
        <v>-2.0000000000663931E-3</v>
      </c>
      <c r="AG1547">
        <f t="shared" ca="1" si="772"/>
        <v>0</v>
      </c>
      <c r="AH1547">
        <f ca="1">IF(V33="Supercritical",L1547,IF(V33="Subcritical",W1547,IF(AND(V1547=1,AG1547=1),IF(T1547&gt;=AE1547,L1547,W1547),IF(V1547=1,L1547,IF(AG1547=1,W1547,MAX($D$16,POWER((ABS(K1547)^2)/($I$5*MAX(F1547,0.1)^2),1/3)))))))</f>
        <v>0.05</v>
      </c>
      <c r="AI1547">
        <f t="shared" ca="1" si="773"/>
        <v>634.33199999999999</v>
      </c>
      <c r="AJ1547">
        <f t="shared" ca="1" si="774"/>
        <v>634.33199999999999</v>
      </c>
      <c r="AM1547">
        <v>0</v>
      </c>
      <c r="AN1547">
        <v>0</v>
      </c>
      <c r="AO1547">
        <f t="shared" si="775"/>
        <v>0</v>
      </c>
      <c r="AP1547">
        <f t="shared" si="784"/>
        <v>0</v>
      </c>
      <c r="AQ1547">
        <f t="shared" ca="1" si="776"/>
        <v>0</v>
      </c>
      <c r="AR1547" t="str">
        <f t="shared" ca="1" si="777"/>
        <v>Subcritical</v>
      </c>
      <c r="AS1547">
        <f t="shared" ca="1" si="778"/>
        <v>0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191</v>
      </c>
      <c r="I1548">
        <v>2.7E-2</v>
      </c>
      <c r="J1548">
        <f t="shared" si="779"/>
        <v>0.99900000000000055</v>
      </c>
      <c r="K1548">
        <f t="shared" si="780"/>
        <v>0</v>
      </c>
      <c r="L1548">
        <f t="shared" ca="1" si="781"/>
        <v>0.05</v>
      </c>
      <c r="M1548">
        <f t="shared" ca="1" si="754"/>
        <v>0.31120000000000003</v>
      </c>
      <c r="N1548">
        <f t="shared" ca="1" si="755"/>
        <v>4.9209361163820374E-2</v>
      </c>
      <c r="O1548">
        <f t="shared" ca="1" si="756"/>
        <v>0</v>
      </c>
      <c r="P1548">
        <f t="shared" ca="1" si="757"/>
        <v>634.32999999999993</v>
      </c>
      <c r="Q1548">
        <f t="shared" ca="1" si="758"/>
        <v>634.32999999999993</v>
      </c>
      <c r="R1548">
        <f t="shared" ca="1" si="759"/>
        <v>0</v>
      </c>
      <c r="S1548">
        <f t="shared" ca="1" si="760"/>
        <v>0</v>
      </c>
      <c r="T1548">
        <f t="shared" ca="1" si="761"/>
        <v>7.7800000000000022E-3</v>
      </c>
      <c r="U1548">
        <f t="shared" ca="1" si="782"/>
        <v>2.0000000000663931E-3</v>
      </c>
      <c r="V1548">
        <f t="shared" ca="1" si="783"/>
        <v>0</v>
      </c>
      <c r="W1548">
        <f t="shared" ca="1" si="762"/>
        <v>0.05</v>
      </c>
      <c r="X1548">
        <f t="shared" ca="1" si="763"/>
        <v>0.31120000000000003</v>
      </c>
      <c r="Y1548">
        <f t="shared" ca="1" si="764"/>
        <v>4.9209361163820374E-2</v>
      </c>
      <c r="Z1548">
        <f t="shared" ca="1" si="765"/>
        <v>0</v>
      </c>
      <c r="AA1548">
        <f t="shared" ca="1" si="766"/>
        <v>634.32999999999993</v>
      </c>
      <c r="AB1548">
        <f t="shared" ca="1" si="767"/>
        <v>634.32999999999993</v>
      </c>
      <c r="AC1548">
        <f t="shared" ca="1" si="768"/>
        <v>0</v>
      </c>
      <c r="AD1548">
        <f t="shared" ca="1" si="769"/>
        <v>0</v>
      </c>
      <c r="AE1548">
        <f t="shared" ca="1" si="770"/>
        <v>7.7800000000000022E-3</v>
      </c>
      <c r="AF1548">
        <f t="shared" ca="1" si="771"/>
        <v>-1.9999999999527063E-3</v>
      </c>
      <c r="AG1548">
        <f t="shared" ca="1" si="772"/>
        <v>0</v>
      </c>
      <c r="AH1548">
        <f ca="1">IF(V33="Supercritical",L1548,IF(V33="Subcritical",W1548,IF(AND(V1548=1,AG1548=1),IF(T1548&gt;=AE1548,L1548,W1548),IF(V1548=1,L1548,IF(AG1548=1,W1548,MAX($D$16,POWER((ABS(K1548)^2)/($I$5*MAX(F1548,0.1)^2),1/3)))))))</f>
        <v>0.05</v>
      </c>
      <c r="AI1548">
        <f t="shared" ca="1" si="773"/>
        <v>634.32999999999993</v>
      </c>
      <c r="AJ1548">
        <f t="shared" ca="1" si="774"/>
        <v>634.32999999999993</v>
      </c>
      <c r="AM1548">
        <v>0</v>
      </c>
      <c r="AN1548">
        <v>0</v>
      </c>
      <c r="AO1548">
        <f t="shared" si="775"/>
        <v>0</v>
      </c>
      <c r="AP1548">
        <f t="shared" si="784"/>
        <v>0</v>
      </c>
      <c r="AQ1548">
        <f t="shared" ca="1" si="776"/>
        <v>0</v>
      </c>
      <c r="AR1548" t="str">
        <f t="shared" ca="1" si="777"/>
        <v>Subcritical</v>
      </c>
      <c r="AS1548">
        <f t="shared" ca="1" si="778"/>
        <v>0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191</v>
      </c>
      <c r="I1549">
        <v>0</v>
      </c>
      <c r="J1549">
        <f t="shared" si="779"/>
        <v>1</v>
      </c>
      <c r="K1549">
        <f t="shared" si="780"/>
        <v>0</v>
      </c>
      <c r="L1549">
        <f t="shared" ca="1" si="781"/>
        <v>0.05</v>
      </c>
      <c r="M1549">
        <f t="shared" ca="1" si="754"/>
        <v>0.31120000000000003</v>
      </c>
      <c r="N1549">
        <f t="shared" ca="1" si="755"/>
        <v>4.9209361163820374E-2</v>
      </c>
      <c r="O1549">
        <f t="shared" ca="1" si="756"/>
        <v>0</v>
      </c>
      <c r="P1549">
        <f t="shared" ca="1" si="757"/>
        <v>634.32799999999997</v>
      </c>
      <c r="Q1549">
        <f t="shared" ca="1" si="758"/>
        <v>634.32799999999997</v>
      </c>
      <c r="R1549">
        <f t="shared" ca="1" si="759"/>
        <v>0</v>
      </c>
      <c r="S1549">
        <f t="shared" ca="1" si="760"/>
        <v>0</v>
      </c>
      <c r="T1549">
        <f t="shared" ca="1" si="761"/>
        <v>7.7800000000000022E-3</v>
      </c>
      <c r="U1549">
        <f t="shared" ca="1" si="782"/>
        <v>1.9999999999527063E-3</v>
      </c>
      <c r="V1549">
        <f t="shared" ca="1" si="783"/>
        <v>0</v>
      </c>
      <c r="W1549">
        <f t="shared" ca="1" si="762"/>
        <v>0.05</v>
      </c>
      <c r="X1549">
        <f t="shared" ca="1" si="763"/>
        <v>0.31120000000000003</v>
      </c>
      <c r="Y1549">
        <f t="shared" ca="1" si="764"/>
        <v>4.9209361163820374E-2</v>
      </c>
      <c r="Z1549">
        <f t="shared" ca="1" si="765"/>
        <v>0</v>
      </c>
      <c r="AA1549">
        <f t="shared" ca="1" si="766"/>
        <v>634.32799999999997</v>
      </c>
      <c r="AB1549">
        <f t="shared" ca="1" si="767"/>
        <v>634.32799999999997</v>
      </c>
      <c r="AC1549">
        <f t="shared" ca="1" si="768"/>
        <v>0</v>
      </c>
      <c r="AD1549">
        <f t="shared" ca="1" si="769"/>
        <v>0</v>
      </c>
      <c r="AE1549">
        <f t="shared" ca="1" si="770"/>
        <v>7.7800000000000022E-3</v>
      </c>
      <c r="AF1549">
        <f t="shared" ca="1" si="771"/>
        <v>-2.0000000000663931E-3</v>
      </c>
      <c r="AG1549">
        <f t="shared" ca="1" si="772"/>
        <v>0</v>
      </c>
      <c r="AH1549">
        <f ca="1">IF(V33="Supercritical",L1549,IF(V33="Subcritical",W1549,IF(AND(V1549=1,AG1549=1),IF(T1549&gt;=AE1549,L1549,W1549),IF(V1549=1,L1549,IF(AG1549=1,W1549,MAX($D$16,POWER((ABS(K1549)^2)/($I$5*MAX(F1549,0.1)^2),1/3)))))))</f>
        <v>0.05</v>
      </c>
      <c r="AI1549">
        <f t="shared" ca="1" si="773"/>
        <v>634.32799999999997</v>
      </c>
      <c r="AJ1549">
        <f t="shared" ca="1" si="774"/>
        <v>634.32799999999997</v>
      </c>
      <c r="AM1549">
        <v>0</v>
      </c>
      <c r="AN1549">
        <v>0</v>
      </c>
      <c r="AO1549">
        <f t="shared" si="775"/>
        <v>0</v>
      </c>
      <c r="AP1549">
        <f t="shared" si="784"/>
        <v>0</v>
      </c>
      <c r="AQ1549">
        <f t="shared" ca="1" si="776"/>
        <v>0</v>
      </c>
      <c r="AR1549" t="str">
        <f t="shared" ca="1" si="777"/>
        <v>Subcritical</v>
      </c>
      <c r="AS1549">
        <f t="shared" ca="1" si="778"/>
        <v>0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191</v>
      </c>
      <c r="I1550">
        <v>2.7E-2</v>
      </c>
      <c r="J1550">
        <f t="shared" si="779"/>
        <v>1.0009999999999994</v>
      </c>
      <c r="K1550">
        <f t="shared" si="780"/>
        <v>0</v>
      </c>
      <c r="L1550">
        <f t="shared" ca="1" si="781"/>
        <v>0.05</v>
      </c>
      <c r="M1550">
        <f t="shared" ca="1" si="754"/>
        <v>0.29975000000000002</v>
      </c>
      <c r="N1550">
        <f t="shared" ca="1" si="755"/>
        <v>4.9179655455291224E-2</v>
      </c>
      <c r="O1550">
        <f t="shared" ca="1" si="756"/>
        <v>0</v>
      </c>
      <c r="P1550">
        <f t="shared" ca="1" si="757"/>
        <v>634.32599999999991</v>
      </c>
      <c r="Q1550">
        <f t="shared" ca="1" si="758"/>
        <v>634.32599999999991</v>
      </c>
      <c r="R1550">
        <f t="shared" ca="1" si="759"/>
        <v>0</v>
      </c>
      <c r="S1550">
        <f t="shared" ca="1" si="760"/>
        <v>0</v>
      </c>
      <c r="T1550">
        <f t="shared" ca="1" si="761"/>
        <v>7.4937500000000013E-3</v>
      </c>
      <c r="U1550">
        <f t="shared" ca="1" si="782"/>
        <v>2.0000000000663931E-3</v>
      </c>
      <c r="V1550">
        <f t="shared" ca="1" si="783"/>
        <v>0</v>
      </c>
      <c r="W1550">
        <f t="shared" ca="1" si="762"/>
        <v>0.05</v>
      </c>
      <c r="X1550">
        <f t="shared" ca="1" si="763"/>
        <v>0.29975000000000002</v>
      </c>
      <c r="Y1550">
        <f t="shared" ca="1" si="764"/>
        <v>4.9179655455291224E-2</v>
      </c>
      <c r="Z1550">
        <f t="shared" ca="1" si="765"/>
        <v>0</v>
      </c>
      <c r="AA1550">
        <f t="shared" ca="1" si="766"/>
        <v>634.32599999999991</v>
      </c>
      <c r="AB1550">
        <f t="shared" ca="1" si="767"/>
        <v>634.32599999999991</v>
      </c>
      <c r="AC1550">
        <f t="shared" ca="1" si="768"/>
        <v>0</v>
      </c>
      <c r="AD1550">
        <f t="shared" ca="1" si="769"/>
        <v>0</v>
      </c>
      <c r="AE1550">
        <f t="shared" ca="1" si="770"/>
        <v>7.4937500000000013E-3</v>
      </c>
      <c r="AF1550">
        <f t="shared" ca="1" si="771"/>
        <v>-1.9999999999527063E-3</v>
      </c>
      <c r="AG1550">
        <f t="shared" ca="1" si="772"/>
        <v>0</v>
      </c>
      <c r="AH1550">
        <f ca="1">IF(V33="Supercritical",L1550,IF(V33="Subcritical",W1550,IF(AND(V1550=1,AG1550=1),IF(T1550&gt;=AE1550,L1550,W1550),IF(V1550=1,L1550,IF(AG1550=1,W1550,MAX($D$16,POWER((ABS(K1550)^2)/($I$5*MAX(F1550,0.1)^2),1/3)))))))</f>
        <v>0.05</v>
      </c>
      <c r="AI1550">
        <f t="shared" ca="1" si="773"/>
        <v>634.32599999999991</v>
      </c>
      <c r="AJ1550">
        <f t="shared" ca="1" si="774"/>
        <v>634.32599999999991</v>
      </c>
      <c r="AM1550">
        <v>0</v>
      </c>
      <c r="AN1550">
        <v>0</v>
      </c>
      <c r="AO1550">
        <f t="shared" si="775"/>
        <v>0</v>
      </c>
      <c r="AP1550">
        <f t="shared" si="784"/>
        <v>0</v>
      </c>
      <c r="AQ1550">
        <f t="shared" ca="1" si="776"/>
        <v>0</v>
      </c>
      <c r="AR1550" t="str">
        <f t="shared" ca="1" si="777"/>
        <v>Subcritical</v>
      </c>
      <c r="AS1550">
        <f t="shared" ca="1" si="778"/>
        <v>0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191</v>
      </c>
      <c r="I1551">
        <v>2.7E-2</v>
      </c>
      <c r="J1551">
        <f t="shared" si="779"/>
        <v>0.99900000000000055</v>
      </c>
      <c r="K1551">
        <f t="shared" si="780"/>
        <v>0</v>
      </c>
      <c r="L1551">
        <f t="shared" ca="1" si="781"/>
        <v>0.05</v>
      </c>
      <c r="M1551">
        <f t="shared" ca="1" si="754"/>
        <v>0.29975000000000002</v>
      </c>
      <c r="N1551">
        <f t="shared" ca="1" si="755"/>
        <v>4.9179655455291224E-2</v>
      </c>
      <c r="O1551">
        <f t="shared" ca="1" si="756"/>
        <v>0</v>
      </c>
      <c r="P1551">
        <f t="shared" ca="1" si="757"/>
        <v>634.32399999999996</v>
      </c>
      <c r="Q1551">
        <f t="shared" ca="1" si="758"/>
        <v>634.32399999999996</v>
      </c>
      <c r="R1551">
        <f t="shared" ca="1" si="759"/>
        <v>0</v>
      </c>
      <c r="S1551">
        <f t="shared" ca="1" si="760"/>
        <v>0</v>
      </c>
      <c r="T1551">
        <f t="shared" ca="1" si="761"/>
        <v>7.4937500000000013E-3</v>
      </c>
      <c r="U1551">
        <f t="shared" ca="1" si="782"/>
        <v>1.9999999999527063E-3</v>
      </c>
      <c r="V1551">
        <f t="shared" ca="1" si="783"/>
        <v>0</v>
      </c>
      <c r="W1551">
        <f t="shared" ca="1" si="762"/>
        <v>0.05</v>
      </c>
      <c r="X1551">
        <f t="shared" ca="1" si="763"/>
        <v>0.29975000000000002</v>
      </c>
      <c r="Y1551">
        <f t="shared" ca="1" si="764"/>
        <v>4.9179655455291224E-2</v>
      </c>
      <c r="Z1551">
        <f t="shared" ca="1" si="765"/>
        <v>0</v>
      </c>
      <c r="AA1551">
        <f t="shared" ca="1" si="766"/>
        <v>634.32399999999996</v>
      </c>
      <c r="AB1551">
        <f t="shared" ca="1" si="767"/>
        <v>634.32399999999996</v>
      </c>
      <c r="AC1551">
        <f t="shared" ca="1" si="768"/>
        <v>0</v>
      </c>
      <c r="AD1551">
        <f t="shared" ca="1" si="769"/>
        <v>0</v>
      </c>
      <c r="AE1551">
        <f t="shared" ca="1" si="770"/>
        <v>7.4937500000000013E-3</v>
      </c>
      <c r="AF1551">
        <f t="shared" ca="1" si="771"/>
        <v>-1.9999999999527063E-3</v>
      </c>
      <c r="AG1551">
        <f t="shared" ca="1" si="772"/>
        <v>0</v>
      </c>
      <c r="AH1551">
        <f ca="1">IF(V33="Supercritical",L1551,IF(V33="Subcritical",W1551,IF(AND(V1551=1,AG1551=1),IF(T1551&gt;=AE1551,L1551,W1551),IF(V1551=1,L1551,IF(AG1551=1,W1551,MAX($D$16,POWER((ABS(K1551)^2)/($I$5*MAX(F1551,0.1)^2),1/3)))))))</f>
        <v>0.05</v>
      </c>
      <c r="AI1551">
        <f t="shared" ca="1" si="773"/>
        <v>634.32399999999996</v>
      </c>
      <c r="AJ1551">
        <f t="shared" ca="1" si="774"/>
        <v>634.32399999999996</v>
      </c>
      <c r="AM1551">
        <v>0</v>
      </c>
      <c r="AN1551">
        <v>0</v>
      </c>
      <c r="AO1551">
        <f t="shared" si="775"/>
        <v>0</v>
      </c>
      <c r="AP1551">
        <f t="shared" si="784"/>
        <v>0</v>
      </c>
      <c r="AQ1551">
        <f t="shared" ca="1" si="776"/>
        <v>0</v>
      </c>
      <c r="AR1551" t="str">
        <f t="shared" ca="1" si="777"/>
        <v>Subcritical</v>
      </c>
      <c r="AS1551">
        <f t="shared" ca="1" si="778"/>
        <v>0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191</v>
      </c>
      <c r="I1552">
        <v>0</v>
      </c>
      <c r="J1552">
        <f t="shared" si="779"/>
        <v>1</v>
      </c>
      <c r="K1552">
        <f t="shared" si="780"/>
        <v>0</v>
      </c>
      <c r="L1552">
        <f t="shared" ca="1" si="781"/>
        <v>0.05</v>
      </c>
      <c r="M1552">
        <f t="shared" ca="1" si="754"/>
        <v>0.29975000000000002</v>
      </c>
      <c r="N1552">
        <f t="shared" ca="1" si="755"/>
        <v>4.9179655455291224E-2</v>
      </c>
      <c r="O1552">
        <f t="shared" ca="1" si="756"/>
        <v>0</v>
      </c>
      <c r="P1552">
        <f t="shared" ca="1" si="757"/>
        <v>634.322</v>
      </c>
      <c r="Q1552">
        <f t="shared" ca="1" si="758"/>
        <v>634.322</v>
      </c>
      <c r="R1552">
        <f t="shared" ca="1" si="759"/>
        <v>0</v>
      </c>
      <c r="S1552">
        <f t="shared" ca="1" si="760"/>
        <v>0</v>
      </c>
      <c r="T1552">
        <f t="shared" ca="1" si="761"/>
        <v>7.4937500000000013E-3</v>
      </c>
      <c r="U1552">
        <f t="shared" ca="1" si="782"/>
        <v>1.9999999999527063E-3</v>
      </c>
      <c r="V1552">
        <f t="shared" ca="1" si="783"/>
        <v>0</v>
      </c>
      <c r="W1552">
        <f t="shared" ca="1" si="762"/>
        <v>0.05</v>
      </c>
      <c r="X1552">
        <f t="shared" ca="1" si="763"/>
        <v>0.29975000000000002</v>
      </c>
      <c r="Y1552">
        <f t="shared" ca="1" si="764"/>
        <v>4.9179655455291224E-2</v>
      </c>
      <c r="Z1552">
        <f t="shared" ca="1" si="765"/>
        <v>0</v>
      </c>
      <c r="AA1552">
        <f t="shared" ca="1" si="766"/>
        <v>634.322</v>
      </c>
      <c r="AB1552">
        <f t="shared" ca="1" si="767"/>
        <v>634.322</v>
      </c>
      <c r="AC1552">
        <f t="shared" ca="1" si="768"/>
        <v>0</v>
      </c>
      <c r="AD1552">
        <f t="shared" ca="1" si="769"/>
        <v>0</v>
      </c>
      <c r="AE1552">
        <f t="shared" ca="1" si="770"/>
        <v>7.4937500000000013E-3</v>
      </c>
      <c r="AF1552">
        <f t="shared" ca="1" si="771"/>
        <v>-2.0000000000663931E-3</v>
      </c>
      <c r="AG1552">
        <f t="shared" ca="1" si="772"/>
        <v>0</v>
      </c>
      <c r="AH1552">
        <f ca="1">IF(V33="Supercritical",L1552,IF(V33="Subcritical",W1552,IF(AND(V1552=1,AG1552=1),IF(T1552&gt;=AE1552,L1552,W1552),IF(V1552=1,L1552,IF(AG1552=1,W1552,MAX($D$16,POWER((ABS(K1552)^2)/($I$5*MAX(F1552,0.1)^2),1/3)))))))</f>
        <v>0.05</v>
      </c>
      <c r="AI1552">
        <f t="shared" ca="1" si="773"/>
        <v>634.322</v>
      </c>
      <c r="AJ1552">
        <f t="shared" ca="1" si="774"/>
        <v>634.322</v>
      </c>
      <c r="AM1552">
        <v>0</v>
      </c>
      <c r="AN1552">
        <v>0</v>
      </c>
      <c r="AO1552">
        <f t="shared" si="775"/>
        <v>0</v>
      </c>
      <c r="AP1552">
        <f t="shared" si="784"/>
        <v>0</v>
      </c>
      <c r="AQ1552">
        <f t="shared" ca="1" si="776"/>
        <v>0</v>
      </c>
      <c r="AR1552" t="str">
        <f t="shared" ca="1" si="777"/>
        <v>Subcritical</v>
      </c>
      <c r="AS1552">
        <f t="shared" ca="1" si="778"/>
        <v>0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191</v>
      </c>
      <c r="I1553">
        <v>2.7E-2</v>
      </c>
      <c r="J1553">
        <f t="shared" si="779"/>
        <v>1.0009999999999994</v>
      </c>
      <c r="K1553">
        <f t="shared" si="780"/>
        <v>0</v>
      </c>
      <c r="L1553">
        <f t="shared" ca="1" si="781"/>
        <v>0.05</v>
      </c>
      <c r="M1553">
        <f t="shared" ca="1" si="754"/>
        <v>0.29970000000000002</v>
      </c>
      <c r="N1553">
        <f t="shared" ca="1" si="755"/>
        <v>4.9179520840170667E-2</v>
      </c>
      <c r="O1553">
        <f t="shared" ca="1" si="756"/>
        <v>0</v>
      </c>
      <c r="P1553">
        <f t="shared" ca="1" si="757"/>
        <v>634.31999999999994</v>
      </c>
      <c r="Q1553">
        <f t="shared" ca="1" si="758"/>
        <v>634.31999999999994</v>
      </c>
      <c r="R1553">
        <f t="shared" ca="1" si="759"/>
        <v>0</v>
      </c>
      <c r="S1553">
        <f t="shared" ca="1" si="760"/>
        <v>0</v>
      </c>
      <c r="T1553">
        <f t="shared" ca="1" si="761"/>
        <v>7.4925000000000009E-3</v>
      </c>
      <c r="U1553">
        <f t="shared" ca="1" si="782"/>
        <v>2.0000000000663931E-3</v>
      </c>
      <c r="V1553">
        <f t="shared" ca="1" si="783"/>
        <v>0</v>
      </c>
      <c r="W1553">
        <f t="shared" ca="1" si="762"/>
        <v>0.05</v>
      </c>
      <c r="X1553">
        <f t="shared" ca="1" si="763"/>
        <v>0.29970000000000002</v>
      </c>
      <c r="Y1553">
        <f t="shared" ca="1" si="764"/>
        <v>4.9179520840170667E-2</v>
      </c>
      <c r="Z1553">
        <f t="shared" ca="1" si="765"/>
        <v>0</v>
      </c>
      <c r="AA1553">
        <f t="shared" ca="1" si="766"/>
        <v>634.31999999999994</v>
      </c>
      <c r="AB1553">
        <f t="shared" ca="1" si="767"/>
        <v>634.31999999999994</v>
      </c>
      <c r="AC1553">
        <f t="shared" ca="1" si="768"/>
        <v>0</v>
      </c>
      <c r="AD1553">
        <f t="shared" ca="1" si="769"/>
        <v>0</v>
      </c>
      <c r="AE1553">
        <f t="shared" ca="1" si="770"/>
        <v>7.4925000000000009E-3</v>
      </c>
      <c r="AF1553">
        <f t="shared" ca="1" si="771"/>
        <v>-1.9999999999527063E-3</v>
      </c>
      <c r="AG1553">
        <f t="shared" ca="1" si="772"/>
        <v>0</v>
      </c>
      <c r="AH1553">
        <f ca="1">IF(V33="Supercritical",L1553,IF(V33="Subcritical",W1553,IF(AND(V1553=1,AG1553=1),IF(T1553&gt;=AE1553,L1553,W1553),IF(V1553=1,L1553,IF(AG1553=1,W1553,MAX($D$16,POWER((ABS(K1553)^2)/($I$5*MAX(F1553,0.1)^2),1/3)))))))</f>
        <v>0.05</v>
      </c>
      <c r="AI1553">
        <f t="shared" ca="1" si="773"/>
        <v>634.31999999999994</v>
      </c>
      <c r="AJ1553">
        <f t="shared" ca="1" si="774"/>
        <v>634.31999999999994</v>
      </c>
      <c r="AM1553">
        <v>0</v>
      </c>
      <c r="AN1553">
        <v>0</v>
      </c>
      <c r="AO1553">
        <f t="shared" si="775"/>
        <v>0</v>
      </c>
      <c r="AP1553">
        <f t="shared" si="784"/>
        <v>0</v>
      </c>
      <c r="AQ1553">
        <f t="shared" ca="1" si="776"/>
        <v>0</v>
      </c>
      <c r="AR1553" t="str">
        <f t="shared" ca="1" si="777"/>
        <v>Subcritical</v>
      </c>
      <c r="AS1553">
        <f t="shared" ca="1" si="778"/>
        <v>0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191</v>
      </c>
      <c r="I1554">
        <v>2.7E-2</v>
      </c>
      <c r="J1554">
        <f t="shared" si="779"/>
        <v>0.99900000000000055</v>
      </c>
      <c r="K1554">
        <f t="shared" si="780"/>
        <v>0</v>
      </c>
      <c r="L1554">
        <f t="shared" ca="1" si="781"/>
        <v>0.05</v>
      </c>
      <c r="M1554">
        <f t="shared" ca="1" si="754"/>
        <v>0.29970000000000002</v>
      </c>
      <c r="N1554">
        <f t="shared" ca="1" si="755"/>
        <v>4.9179520840170667E-2</v>
      </c>
      <c r="O1554">
        <f t="shared" ca="1" si="756"/>
        <v>0</v>
      </c>
      <c r="P1554">
        <f t="shared" ca="1" si="757"/>
        <v>634.31799999999998</v>
      </c>
      <c r="Q1554">
        <f t="shared" ca="1" si="758"/>
        <v>634.31799999999998</v>
      </c>
      <c r="R1554">
        <f t="shared" ca="1" si="759"/>
        <v>0</v>
      </c>
      <c r="S1554">
        <f t="shared" ca="1" si="760"/>
        <v>0</v>
      </c>
      <c r="T1554">
        <f t="shared" ca="1" si="761"/>
        <v>7.4925000000000009E-3</v>
      </c>
      <c r="U1554">
        <f t="shared" ca="1" si="782"/>
        <v>1.9999999999527063E-3</v>
      </c>
      <c r="V1554">
        <f t="shared" ca="1" si="783"/>
        <v>0</v>
      </c>
      <c r="W1554">
        <f t="shared" ca="1" si="762"/>
        <v>0.05</v>
      </c>
      <c r="X1554">
        <f t="shared" ca="1" si="763"/>
        <v>0.29970000000000002</v>
      </c>
      <c r="Y1554">
        <f t="shared" ca="1" si="764"/>
        <v>4.9179520840170667E-2</v>
      </c>
      <c r="Z1554">
        <f t="shared" ca="1" si="765"/>
        <v>0</v>
      </c>
      <c r="AA1554">
        <f t="shared" ca="1" si="766"/>
        <v>634.31799999999998</v>
      </c>
      <c r="AB1554">
        <f t="shared" ca="1" si="767"/>
        <v>634.31799999999998</v>
      </c>
      <c r="AC1554">
        <f t="shared" ca="1" si="768"/>
        <v>0</v>
      </c>
      <c r="AD1554">
        <f t="shared" ca="1" si="769"/>
        <v>0</v>
      </c>
      <c r="AE1554">
        <f t="shared" ca="1" si="770"/>
        <v>7.4925000000000009E-3</v>
      </c>
      <c r="AF1554">
        <f t="shared" ca="1" si="771"/>
        <v>-2.0000000000663931E-3</v>
      </c>
      <c r="AG1554">
        <f t="shared" ca="1" si="772"/>
        <v>0</v>
      </c>
      <c r="AH1554">
        <f ca="1">IF(V33="Supercritical",L1554,IF(V33="Subcritical",W1554,IF(AND(V1554=1,AG1554=1),IF(T1554&gt;=AE1554,L1554,W1554),IF(V1554=1,L1554,IF(AG1554=1,W1554,MAX($D$16,POWER((ABS(K1554)^2)/($I$5*MAX(F1554,0.1)^2),1/3)))))))</f>
        <v>0.05</v>
      </c>
      <c r="AI1554">
        <f t="shared" ca="1" si="773"/>
        <v>634.31799999999998</v>
      </c>
      <c r="AJ1554">
        <f t="shared" ca="1" si="774"/>
        <v>634.31799999999998</v>
      </c>
      <c r="AM1554">
        <v>0</v>
      </c>
      <c r="AN1554">
        <v>0</v>
      </c>
      <c r="AO1554">
        <f t="shared" si="775"/>
        <v>0</v>
      </c>
      <c r="AP1554">
        <f t="shared" si="784"/>
        <v>0</v>
      </c>
      <c r="AQ1554">
        <f t="shared" ca="1" si="776"/>
        <v>0</v>
      </c>
      <c r="AR1554" t="str">
        <f t="shared" ca="1" si="777"/>
        <v>Subcritical</v>
      </c>
      <c r="AS1554">
        <f t="shared" ca="1" si="778"/>
        <v>0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191</v>
      </c>
      <c r="I1555">
        <v>0</v>
      </c>
      <c r="J1555">
        <f t="shared" si="779"/>
        <v>1</v>
      </c>
      <c r="K1555">
        <f t="shared" si="780"/>
        <v>0</v>
      </c>
      <c r="L1555">
        <f t="shared" ca="1" si="781"/>
        <v>0.05</v>
      </c>
      <c r="M1555">
        <f t="shared" ca="1" si="754"/>
        <v>0.29970000000000002</v>
      </c>
      <c r="N1555">
        <f t="shared" ca="1" si="755"/>
        <v>4.9179520840170667E-2</v>
      </c>
      <c r="O1555">
        <f t="shared" ca="1" si="756"/>
        <v>0</v>
      </c>
      <c r="P1555">
        <f t="shared" ca="1" si="757"/>
        <v>634.31599999999992</v>
      </c>
      <c r="Q1555">
        <f t="shared" ca="1" si="758"/>
        <v>634.31599999999992</v>
      </c>
      <c r="R1555">
        <f t="shared" ca="1" si="759"/>
        <v>0</v>
      </c>
      <c r="S1555">
        <f t="shared" ca="1" si="760"/>
        <v>0</v>
      </c>
      <c r="T1555">
        <f t="shared" ca="1" si="761"/>
        <v>7.4925000000000009E-3</v>
      </c>
      <c r="U1555">
        <f t="shared" ca="1" si="782"/>
        <v>2.0000000000663931E-3</v>
      </c>
      <c r="V1555">
        <f t="shared" ca="1" si="783"/>
        <v>0</v>
      </c>
      <c r="W1555">
        <f t="shared" ca="1" si="762"/>
        <v>0.05</v>
      </c>
      <c r="X1555">
        <f t="shared" ca="1" si="763"/>
        <v>0.29970000000000002</v>
      </c>
      <c r="Y1555">
        <f t="shared" ca="1" si="764"/>
        <v>4.9179520840170667E-2</v>
      </c>
      <c r="Z1555">
        <f t="shared" ca="1" si="765"/>
        <v>0</v>
      </c>
      <c r="AA1555">
        <f t="shared" ca="1" si="766"/>
        <v>634.31599999999992</v>
      </c>
      <c r="AB1555">
        <f t="shared" ca="1" si="767"/>
        <v>634.31599999999992</v>
      </c>
      <c r="AC1555">
        <f t="shared" ca="1" si="768"/>
        <v>0</v>
      </c>
      <c r="AD1555">
        <f t="shared" ca="1" si="769"/>
        <v>0</v>
      </c>
      <c r="AE1555">
        <f t="shared" ca="1" si="770"/>
        <v>7.4925000000000009E-3</v>
      </c>
      <c r="AF1555">
        <f t="shared" ca="1" si="771"/>
        <v>-1.9999999999527063E-3</v>
      </c>
      <c r="AG1555">
        <f t="shared" ca="1" si="772"/>
        <v>0</v>
      </c>
      <c r="AH1555">
        <f ca="1">IF(V33="Supercritical",L1555,IF(V33="Subcritical",W1555,IF(AND(V1555=1,AG1555=1),IF(T1555&gt;=AE1555,L1555,W1555),IF(V1555=1,L1555,IF(AG1555=1,W1555,MAX($D$16,POWER((ABS(K1555)^2)/($I$5*MAX(F1555,0.1)^2),1/3)))))))</f>
        <v>0.05</v>
      </c>
      <c r="AI1555">
        <f t="shared" ca="1" si="773"/>
        <v>634.31599999999992</v>
      </c>
      <c r="AJ1555">
        <f t="shared" ca="1" si="774"/>
        <v>634.31599999999992</v>
      </c>
      <c r="AM1555">
        <v>0</v>
      </c>
      <c r="AN1555">
        <v>0</v>
      </c>
      <c r="AO1555">
        <f t="shared" si="775"/>
        <v>0</v>
      </c>
      <c r="AP1555">
        <f t="shared" si="784"/>
        <v>0</v>
      </c>
      <c r="AQ1555">
        <f t="shared" ca="1" si="776"/>
        <v>0</v>
      </c>
      <c r="AR1555" t="str">
        <f t="shared" ca="1" si="777"/>
        <v>Subcritical</v>
      </c>
      <c r="AS1555">
        <f t="shared" ca="1" si="778"/>
        <v>0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191</v>
      </c>
      <c r="I1556">
        <v>0.151</v>
      </c>
      <c r="J1556">
        <f t="shared" si="779"/>
        <v>1.0010000000000012</v>
      </c>
      <c r="K1556">
        <f t="shared" si="780"/>
        <v>0</v>
      </c>
      <c r="L1556">
        <f t="shared" ca="1" si="781"/>
        <v>0.05</v>
      </c>
      <c r="M1556">
        <f t="shared" ca="1" si="754"/>
        <v>0.29970000000000002</v>
      </c>
      <c r="N1556">
        <f t="shared" ca="1" si="755"/>
        <v>4.9179520840170667E-2</v>
      </c>
      <c r="O1556">
        <f t="shared" ca="1" si="756"/>
        <v>0</v>
      </c>
      <c r="P1556">
        <f t="shared" ca="1" si="757"/>
        <v>634.31399999999996</v>
      </c>
      <c r="Q1556">
        <f t="shared" ca="1" si="758"/>
        <v>634.31399999999996</v>
      </c>
      <c r="R1556">
        <f t="shared" ca="1" si="759"/>
        <v>0</v>
      </c>
      <c r="S1556">
        <f t="shared" ca="1" si="760"/>
        <v>0</v>
      </c>
      <c r="T1556">
        <f t="shared" ca="1" si="761"/>
        <v>7.4925000000000009E-3</v>
      </c>
      <c r="U1556">
        <f t="shared" ca="1" si="782"/>
        <v>1.9999999999527063E-3</v>
      </c>
      <c r="V1556">
        <f t="shared" ca="1" si="783"/>
        <v>0</v>
      </c>
      <c r="W1556">
        <f t="shared" ca="1" si="762"/>
        <v>0.05</v>
      </c>
      <c r="X1556">
        <f t="shared" ca="1" si="763"/>
        <v>0.29970000000000002</v>
      </c>
      <c r="Y1556">
        <f t="shared" ca="1" si="764"/>
        <v>4.9179520840170667E-2</v>
      </c>
      <c r="Z1556">
        <f t="shared" ca="1" si="765"/>
        <v>0</v>
      </c>
      <c r="AA1556">
        <f t="shared" ca="1" si="766"/>
        <v>634.31399999999996</v>
      </c>
      <c r="AB1556">
        <f t="shared" ca="1" si="767"/>
        <v>634.31399999999996</v>
      </c>
      <c r="AC1556">
        <f t="shared" ca="1" si="768"/>
        <v>0</v>
      </c>
      <c r="AD1556">
        <f t="shared" ca="1" si="769"/>
        <v>0</v>
      </c>
      <c r="AE1556">
        <f t="shared" ca="1" si="770"/>
        <v>7.4925000000000009E-3</v>
      </c>
      <c r="AF1556">
        <f t="shared" ca="1" si="771"/>
        <v>-2.0000000000663931E-3</v>
      </c>
      <c r="AG1556">
        <f t="shared" ca="1" si="772"/>
        <v>0</v>
      </c>
      <c r="AH1556">
        <f ca="1">IF(V33="Supercritical",L1556,IF(V33="Subcritical",W1556,IF(AND(V1556=1,AG1556=1),IF(T1556&gt;=AE1556,L1556,W1556),IF(V1556=1,L1556,IF(AG1556=1,W1556,MAX($D$16,POWER((ABS(K1556)^2)/($I$5*MAX(F1556,0.1)^2),1/3)))))))</f>
        <v>0.05</v>
      </c>
      <c r="AI1556">
        <f t="shared" ca="1" si="773"/>
        <v>634.31399999999996</v>
      </c>
      <c r="AJ1556">
        <f t="shared" ca="1" si="774"/>
        <v>634.31399999999996</v>
      </c>
      <c r="AM1556">
        <v>0</v>
      </c>
      <c r="AN1556">
        <v>0</v>
      </c>
      <c r="AO1556">
        <f t="shared" si="775"/>
        <v>0</v>
      </c>
      <c r="AP1556">
        <f t="shared" si="784"/>
        <v>0</v>
      </c>
      <c r="AQ1556">
        <f t="shared" ca="1" si="776"/>
        <v>0</v>
      </c>
      <c r="AR1556" t="str">
        <f t="shared" ca="1" si="777"/>
        <v>Subcritical</v>
      </c>
      <c r="AS1556">
        <f t="shared" ca="1" si="778"/>
        <v>0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191</v>
      </c>
      <c r="I1557">
        <v>0</v>
      </c>
      <c r="J1557">
        <f t="shared" si="779"/>
        <v>0.25399999999999778</v>
      </c>
      <c r="K1557">
        <f t="shared" si="780"/>
        <v>0</v>
      </c>
      <c r="L1557">
        <f t="shared" ca="1" si="781"/>
        <v>0.05</v>
      </c>
      <c r="M1557">
        <f t="shared" ca="1" si="754"/>
        <v>0.29970000000000002</v>
      </c>
      <c r="N1557">
        <f t="shared" ca="1" si="755"/>
        <v>4.9179520840170667E-2</v>
      </c>
      <c r="O1557">
        <f t="shared" ca="1" si="756"/>
        <v>0</v>
      </c>
      <c r="P1557">
        <f t="shared" ca="1" si="757"/>
        <v>634.3119999999999</v>
      </c>
      <c r="Q1557">
        <f t="shared" ca="1" si="758"/>
        <v>634.3119999999999</v>
      </c>
      <c r="R1557">
        <f t="shared" ca="1" si="759"/>
        <v>0</v>
      </c>
      <c r="S1557">
        <f t="shared" ca="1" si="760"/>
        <v>0</v>
      </c>
      <c r="T1557">
        <f t="shared" ca="1" si="761"/>
        <v>7.4925000000000009E-3</v>
      </c>
      <c r="U1557">
        <f t="shared" ca="1" si="782"/>
        <v>2.0000000000663931E-3</v>
      </c>
      <c r="V1557">
        <f t="shared" ca="1" si="783"/>
        <v>0</v>
      </c>
      <c r="W1557">
        <f>MAX($D$16,(P6)-E1557)</f>
        <v>0.05</v>
      </c>
      <c r="X1557">
        <f t="shared" si="763"/>
        <v>0.29970000000000002</v>
      </c>
      <c r="Y1557">
        <f t="shared" si="764"/>
        <v>4.9179520840170667E-2</v>
      </c>
      <c r="Z1557">
        <f t="shared" si="765"/>
        <v>0</v>
      </c>
      <c r="AA1557">
        <f t="shared" si="766"/>
        <v>634.3119999999999</v>
      </c>
      <c r="AB1557">
        <f t="shared" si="767"/>
        <v>634.3119999999999</v>
      </c>
      <c r="AC1557">
        <f t="shared" si="768"/>
        <v>0</v>
      </c>
      <c r="AD1557">
        <f t="shared" si="769"/>
        <v>0</v>
      </c>
      <c r="AE1557">
        <f t="shared" si="770"/>
        <v>7.4925000000000009E-3</v>
      </c>
      <c r="AF1557">
        <v>0</v>
      </c>
      <c r="AG1557">
        <v>1</v>
      </c>
      <c r="AH1557">
        <f ca="1">IF(V33="Supercritical",L1557,IF(V33="Subcritical",W1557,IF(AND(V1557=1,AG1557=1),IF(T1557&gt;=AE1557,L1557,W1557),IF(V1557=1,L1557,IF(AG1557=1,W1557,MAX($D$16,POWER((ABS(K1557)^2)/($I$5*MAX(F1557,0.1)^2),1/3)))))))</f>
        <v>0.05</v>
      </c>
      <c r="AI1557">
        <f t="shared" ca="1" si="773"/>
        <v>634.3119999999999</v>
      </c>
      <c r="AJ1557">
        <f t="shared" ca="1" si="774"/>
        <v>634.3119999999999</v>
      </c>
      <c r="AM1557">
        <v>0</v>
      </c>
      <c r="AN1557">
        <v>0</v>
      </c>
      <c r="AO1557">
        <f t="shared" si="775"/>
        <v>0</v>
      </c>
      <c r="AP1557">
        <f t="shared" si="784"/>
        <v>0</v>
      </c>
      <c r="AQ1557">
        <f t="shared" ca="1" si="776"/>
        <v>0</v>
      </c>
      <c r="AR1557" t="str">
        <f t="shared" ca="1" si="777"/>
        <v>Subcritical</v>
      </c>
      <c r="AS1557">
        <f t="shared" ca="1" si="778"/>
        <v>0</v>
      </c>
    </row>
    <row r="1559" spans="1:45" x14ac:dyDescent="0.35">
      <c r="Z1559">
        <v>1</v>
      </c>
      <c r="AA1559">
        <v>1</v>
      </c>
    </row>
    <row r="1560" spans="1:45" x14ac:dyDescent="0.35">
      <c r="A1560" t="s">
        <v>195</v>
      </c>
      <c r="E1560">
        <f>E34</f>
        <v>38</v>
      </c>
      <c r="F1560" t="s">
        <v>141</v>
      </c>
      <c r="H1560">
        <f ca="1">N34</f>
        <v>49.98</v>
      </c>
      <c r="I1560" t="s">
        <v>13</v>
      </c>
      <c r="K1560" t="str">
        <f>V34</f>
        <v>Mixed</v>
      </c>
      <c r="L1560" t="s">
        <v>142</v>
      </c>
    </row>
    <row r="1561" spans="1:45" x14ac:dyDescent="0.35">
      <c r="A1561" t="s">
        <v>143</v>
      </c>
      <c r="B1561" t="s">
        <v>144</v>
      </c>
      <c r="C1561" t="s">
        <v>145</v>
      </c>
      <c r="D1561" t="s">
        <v>146</v>
      </c>
      <c r="E1561" t="s">
        <v>147</v>
      </c>
      <c r="F1561" t="s">
        <v>148</v>
      </c>
      <c r="G1561" t="s">
        <v>149</v>
      </c>
      <c r="H1561" t="s">
        <v>9</v>
      </c>
      <c r="I1561" t="s">
        <v>150</v>
      </c>
      <c r="J1561" t="s">
        <v>151</v>
      </c>
      <c r="K1561" t="s">
        <v>152</v>
      </c>
      <c r="L1561" t="s">
        <v>153</v>
      </c>
      <c r="M1561" t="s">
        <v>154</v>
      </c>
      <c r="N1561" t="s">
        <v>155</v>
      </c>
      <c r="O1561" t="s">
        <v>156</v>
      </c>
      <c r="P1561" t="s">
        <v>157</v>
      </c>
      <c r="Q1561" t="s">
        <v>158</v>
      </c>
      <c r="R1561" t="s">
        <v>159</v>
      </c>
      <c r="S1561" t="s">
        <v>160</v>
      </c>
      <c r="T1561" t="s">
        <v>161</v>
      </c>
      <c r="U1561" t="s">
        <v>162</v>
      </c>
      <c r="V1561" t="s">
        <v>163</v>
      </c>
      <c r="W1561" t="s">
        <v>164</v>
      </c>
      <c r="X1561" t="s">
        <v>165</v>
      </c>
      <c r="Y1561" t="s">
        <v>166</v>
      </c>
      <c r="Z1561" t="s">
        <v>167</v>
      </c>
      <c r="AA1561" t="s">
        <v>168</v>
      </c>
      <c r="AB1561" t="s">
        <v>169</v>
      </c>
      <c r="AC1561" t="s">
        <v>170</v>
      </c>
      <c r="AD1561" t="s">
        <v>171</v>
      </c>
      <c r="AE1561" t="s">
        <v>172</v>
      </c>
      <c r="AF1561" t="s">
        <v>173</v>
      </c>
      <c r="AG1561" t="s">
        <v>174</v>
      </c>
      <c r="AH1561" t="s">
        <v>175</v>
      </c>
      <c r="AI1561" t="s">
        <v>176</v>
      </c>
      <c r="AJ1561" t="s">
        <v>177</v>
      </c>
      <c r="AK1561" t="s">
        <v>178</v>
      </c>
      <c r="AL1561" t="s">
        <v>179</v>
      </c>
      <c r="AM1561" t="s">
        <v>180</v>
      </c>
      <c r="AN1561" t="s">
        <v>181</v>
      </c>
      <c r="AO1561" t="s">
        <v>182</v>
      </c>
      <c r="AP1561" t="s">
        <v>183</v>
      </c>
      <c r="AQ1561" t="s">
        <v>184</v>
      </c>
      <c r="AR1561" t="s">
        <v>185</v>
      </c>
      <c r="AS1561" t="s">
        <v>186</v>
      </c>
    </row>
    <row r="1562" spans="1:45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187</v>
      </c>
      <c r="J1562" t="s">
        <v>52</v>
      </c>
      <c r="K1562" t="s">
        <v>13</v>
      </c>
      <c r="L1562" t="s">
        <v>52</v>
      </c>
      <c r="M1562" t="s">
        <v>188</v>
      </c>
      <c r="N1562" t="s">
        <v>52</v>
      </c>
      <c r="O1562" t="s">
        <v>189</v>
      </c>
      <c r="P1562" t="s">
        <v>52</v>
      </c>
      <c r="Q1562" t="s">
        <v>52</v>
      </c>
      <c r="R1562" t="s">
        <v>22</v>
      </c>
      <c r="S1562" t="s">
        <v>22</v>
      </c>
      <c r="T1562" t="s">
        <v>190</v>
      </c>
      <c r="U1562" t="s">
        <v>52</v>
      </c>
      <c r="V1562" t="s">
        <v>22</v>
      </c>
      <c r="W1562" t="s">
        <v>52</v>
      </c>
      <c r="X1562" t="s">
        <v>188</v>
      </c>
      <c r="Y1562" t="s">
        <v>52</v>
      </c>
      <c r="Z1562" t="s">
        <v>189</v>
      </c>
      <c r="AA1562" t="s">
        <v>52</v>
      </c>
      <c r="AB1562" t="s">
        <v>52</v>
      </c>
      <c r="AC1562" t="s">
        <v>22</v>
      </c>
      <c r="AD1562" t="s">
        <v>22</v>
      </c>
      <c r="AE1562" t="s">
        <v>190</v>
      </c>
      <c r="AF1562" t="s">
        <v>52</v>
      </c>
      <c r="AG1562" t="s">
        <v>22</v>
      </c>
      <c r="AH1562" t="s">
        <v>52</v>
      </c>
      <c r="AI1562" t="s">
        <v>52</v>
      </c>
      <c r="AJ1562" t="s">
        <v>52</v>
      </c>
      <c r="AK1562" t="s">
        <v>52</v>
      </c>
      <c r="AL1562" t="s">
        <v>52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192</v>
      </c>
      <c r="I1563">
        <v>0</v>
      </c>
      <c r="J1563">
        <v>0</v>
      </c>
      <c r="K1563">
        <f ca="1">N34</f>
        <v>49.98</v>
      </c>
      <c r="L1563">
        <f ca="1">IF($I$14-E1563&lt;=$D$16,POWER((ABS(K1563)^2)/($I$5*MAX(F1563,0.1)^2),1/3),$I$14-E1563)</f>
        <v>5.0000000002796696E-2</v>
      </c>
      <c r="M1563">
        <f t="shared" ref="M1563:M1601" ca="1" si="785">((F1563)+(G1563)*(L1563))*(L1563)</f>
        <v>0.51030000002854303</v>
      </c>
      <c r="N1563">
        <f t="shared" ref="N1563:N1601" ca="1" si="786">(((F1563)+(G1563)*(L1563))*(L1563))/MAX((F1563)+2*(L1563)*SQRT(1+(G1563)^2),0.000001)</f>
        <v>4.9514845723681943E-2</v>
      </c>
      <c r="O1563">
        <f t="shared" ref="O1563:O1601" ca="1" si="787">ABS(K1563)/MAX(((F1563)+(G1563)*(L1563))*(L1563),0.000001)</f>
        <v>97.942386825797428</v>
      </c>
      <c r="P1563">
        <f t="shared" ref="P1563:P1601" ca="1" si="788">E1563+L1563</f>
        <v>631.9250000000028</v>
      </c>
      <c r="Q1563">
        <f t="shared" ref="Q1563:Q1601" ca="1" si="789">P1563+((ABS(K1563)/MAX(((F1563)+(G1563)*(L1563))*(L1563),0.000001))^2)/(2*$I$5)</f>
        <v>1120.8501344105093</v>
      </c>
      <c r="R1563">
        <f t="shared" ref="R1563:R1601" ca="1" si="790">((ABS(K1563)*$D$6)/(MAX(((F1563)+(G1563)*(L1563))*(L1563),0.000001)*MAX(((((F1563)+(G1563)*(L1563))*(L1563))/MAX((F1563)+2*(L1563)*SQRT(1+(G1563)^2),0.000001))^(2/3),0.000001)))^2</f>
        <v>118.70708614662696</v>
      </c>
      <c r="S1563">
        <f t="shared" ref="S1563:S1601" ca="1" si="791">ABS(ABS(K1563)/MAX(((F1563)+(G1563)*(L1563))*(L1563),0.000001))/SQRT($I$5*MAX((((F1563)+(G1563)*(L1563))*(L1563))/MAX((F1563)+2*(G1563)*(L1563),0.000001),0.000001))</f>
        <v>139.84636346836609</v>
      </c>
      <c r="T1563">
        <f t="shared" ref="T1563:T1601" ca="1" si="792">((F1563)*(L1563)^2)/2+(G1563)*(L1563)^3/3+(ABS(K1563)^2)/($I$5*MAX(((F1563)+(G1563)*(L1563))*(L1563),0.000001))</f>
        <v>499.00974970727515</v>
      </c>
      <c r="U1563">
        <v>0</v>
      </c>
      <c r="V1563">
        <v>1</v>
      </c>
      <c r="W1563" t="e">
        <f t="shared" ref="W1563:W1600" ca="1" si="793">IF(OR($D$20=0,AG1564=0),W1564,IF(OR(W1563=0,AD1564&gt;1),MAX($D$16,POWER((ABS(K1563)^2)/($I$5*MAX(F1563,0.1)^2),1/3)),IF(AF1563&gt;0,MAX($D$16,W1563+((AF1563)*$D$18*IF((AD1563)&lt;1,1,-1))),IF(AF1563&lt;0,IF(ABS((MAX($D$16,POWER((ABS(K1563)^2)/($I$5*MAX(F1563,0.1)^2),1/3)))-W1563)&gt;$D$19,MAX($D$16,W1563+($D$18*((MAX($D$16,POWER((ABS(K1563)^2)/($I$5*MAX(F1563,0.1)^2),1/3)))-W1563))),MAX($D$16,POWER((ABS(K1563)^2)/($I$5*MAX(F1563,0.1)^2),1/3))),W1563))))</f>
        <v>#VALUE!</v>
      </c>
      <c r="X1563" t="e">
        <f t="shared" ref="X1563:X1601" ca="1" si="794">((F1563)+(G1563)*(W1563))*(W1563)</f>
        <v>#VALUE!</v>
      </c>
      <c r="Y1563" t="e">
        <f t="shared" ref="Y1563:Y1601" ca="1" si="795">(((F1563)+(G1563)*(W1563))*(W1563))/MAX((F1563)+2*(W1563)*SQRT(1+(G1563)^2),0.000001)</f>
        <v>#VALUE!</v>
      </c>
      <c r="Z1563" t="e">
        <f t="shared" ref="Z1563:Z1601" ca="1" si="796">ABS(K1563)/MAX(((F1563)+(G1563)*(W1563))*(W1563),0.000001)</f>
        <v>#VALUE!</v>
      </c>
      <c r="AA1563" t="e">
        <f t="shared" ref="AA1563:AA1601" ca="1" si="797">E1563+W1563</f>
        <v>#VALUE!</v>
      </c>
      <c r="AB1563" t="e">
        <f t="shared" ref="AB1563:AB1601" ca="1" si="798">AA1563+((ABS(K1563)/MAX(((F1563)+(G1563)*(W1563))*(W1563),0.000001))^2)/(2*$I$5)</f>
        <v>#VALUE!</v>
      </c>
      <c r="AC1563" t="e">
        <f t="shared" ref="AC1563:AC1601" ca="1" si="799">((ABS(K1563)*$D$6)/(MAX(((F1563)+(G1563)*(W1563))*(W1563),0.000001)*MAX(((((F1563)+(G1563)*(W1563))*(W1563))/MAX((F1563)+2*(W1563)*SQRT(1+(G1563)^2),0.000001))^(2/3),0.000001)))^2</f>
        <v>#VALUE!</v>
      </c>
      <c r="AD1563" t="e">
        <f t="shared" ref="AD1563:AD1601" ca="1" si="800">ABS(ABS(K1563)/MAX(((F1563)+(G1563)*(W1563))*(W1563),0.000001))/SQRT($I$5*MAX((((F1563)+(G1563)*(W1563))*(W1563))/MAX((F1563)+2*(G1563)*(W1563),0.000001),0.000001))</f>
        <v>#VALUE!</v>
      </c>
      <c r="AE1563" t="e">
        <f t="shared" ref="AE1563:AE1601" ca="1" si="801">((F1563)*(W1563)^2)/2+(G1563)*(W1563)^3/3+(ABS(K1563)^2)/($I$5*MAX(((F1563)+(G1563)*(W1563))*(W1563),0.000001))</f>
        <v>#VALUE!</v>
      </c>
      <c r="AF1563" t="e">
        <f t="shared" ref="AF1563:AF1600" ca="1" si="802">AB1564+(((AC1563+AC1564)/2)*J1564)+(IF(Z1563&gt;Z1564,$D$8*((Z1563^2-Z1564^2)/(2*$I$5)),$D$9*((Z1564^2-Z1563^2)/(2*$I$5)))+($D$10*(ABS(I1564)/90)*(MAX(Z1563^2,Z1564^2)/(2*$I$5))))-AB1563</f>
        <v>#VALUE!</v>
      </c>
      <c r="AG1563" t="e">
        <f t="shared" ref="AG1563:AG1600" ca="1" si="803">IF(ROUND(AD1563,3)=1,1,IF(AND(ABS(AF1563)&lt;$D$19,AD1563&lt;1),1,0))</f>
        <v>#VALUE!</v>
      </c>
      <c r="AH1563" t="e">
        <f ca="1">IF(V34="Supercritical",L1563,IF(V34="Subcritical",W1563,IF(AND(V1563=1,AG1563=1),IF(T1563&gt;=AE1563,L1563,W1563),IF(V1563=1,L1563,IF(AG1563=1,W1563,MAX($D$16,POWER((ABS(K1563)^2)/($I$5*MAX(F1563,0.1)^2),1/3)))))))</f>
        <v>#VALUE!</v>
      </c>
      <c r="AI1563" t="e">
        <f t="shared" ref="AI1563:AI1601" ca="1" si="804">E1563+AH1563</f>
        <v>#VALUE!</v>
      </c>
      <c r="AJ1563" t="e">
        <f t="shared" ref="AJ1563:AJ1601" ca="1" si="805">AI1563+((ABS(K1563)/MAX(((F1563)+(G1563)*(AH1563))*(AH1563),0.000001))^2)/(2*$I$5)</f>
        <v>#VALUE!</v>
      </c>
      <c r="AM1563">
        <v>0</v>
      </c>
      <c r="AN1563">
        <v>0</v>
      </c>
      <c r="AO1563">
        <f t="shared" ref="AO1563:AO1601" si="806">AM1563+AN1563</f>
        <v>0</v>
      </c>
      <c r="AP1563">
        <f>AO1563</f>
        <v>0</v>
      </c>
      <c r="AQ1563" t="e">
        <f t="shared" ref="AQ1563:AQ1601" ca="1" si="807">ABS(ABS(K1563)/MAX(((F1563)+(G1563)*(AH1563))*(AH1563),0.000001))/SQRT($I$5*MAX((((F1563)+(G1563)*(AH1563))*(AH1563))/MAX((F1563)+2*(G1563)*(AH1563),0.000001),0.000001))</f>
        <v>#VALUE!</v>
      </c>
      <c r="AR1563" t="e">
        <f t="shared" ref="AR1563:AR1601" ca="1" si="808">IF(AQ1563&lt;1,"Subcritical","Supercritical")</f>
        <v>#VALUE!</v>
      </c>
      <c r="AS1563" t="e">
        <f t="shared" ref="AS1563:AS1601" ca="1" si="809">((ABS(K1563)*$D$6)/(MAX(((F1563)+(G1563)*(AH1563))*(AH1563),0.000001)*MAX(((((F1563)+(G1563)*(AH1563))*(AH1563))/MAX((F1563)+2*(AH1563)*SQRT(1+(G1563)^2),0.000001))^(2/3),0.000001)))^2</f>
        <v>#VALUE!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192</v>
      </c>
      <c r="I1564">
        <v>0</v>
      </c>
      <c r="J1564">
        <f t="shared" ref="J1564:J1601" si="810">B1564-B1563</f>
        <v>1</v>
      </c>
      <c r="K1564">
        <f t="shared" ref="K1564:K1601" ca="1" si="811">MAX(0.001,K1563-AO1563)</f>
        <v>49.98</v>
      </c>
      <c r="L1564">
        <f t="shared" ref="L1564:L1601" ca="1" si="812">IF(OR($D$20=0,V1563=0),L1563,IF(OR(L1564=0,S1563&lt;1,S1564&lt;1),MAX($D$16,POWER((ABS(K1564)^2)/($I$5*MAX(F1564,0.1)^2),1/3)),IF(U1564&gt;0,MAX($D$16,L1564+((U1564)*$D$18*IF((S1564)&lt;1,1,-1))),IF(U1564&lt;0,IF(ABS((MAX($D$16,POWER((ABS(K1564)^2)/($I$5*MAX(F1564,0.1)^2),1/3)))-L1564)&gt;$D$19,MAX($D$16,L1564+($D$18*((MAX($D$16,POWER((ABS(K1564)^2)/($I$5*MAX(F1564,0.1)^2),1/3)))-L1564))),MAX($D$16,POWER((ABS(K1564)^2)/($I$5*MAX(F1564,0.1)^2),1/3))),L1564))))</f>
        <v>0.2226305528149925</v>
      </c>
      <c r="M1564">
        <f t="shared" ca="1" si="785"/>
        <v>2.6996180834345989</v>
      </c>
      <c r="N1564">
        <f t="shared" ca="1" si="786"/>
        <v>0.21474520819757587</v>
      </c>
      <c r="O1564">
        <f t="shared" ca="1" si="787"/>
        <v>18.513729888937757</v>
      </c>
      <c r="P1564">
        <f t="shared" ca="1" si="788"/>
        <v>631.87483055281496</v>
      </c>
      <c r="Q1564">
        <f t="shared" ca="1" si="789"/>
        <v>649.34466716854115</v>
      </c>
      <c r="R1564">
        <f t="shared" ca="1" si="790"/>
        <v>0.59970691340031856</v>
      </c>
      <c r="S1564">
        <f t="shared" ca="1" si="791"/>
        <v>12.527575740905853</v>
      </c>
      <c r="T1564">
        <f t="shared" ca="1" si="792"/>
        <v>94.624282418076675</v>
      </c>
      <c r="U1564">
        <f t="shared" ref="U1564:U1601" ca="1" si="813">Q1563-(((R1563+R1564)/2)*J1564)-(IF(O1563&gt;O1564,$D$8*((O1563^2-O1564^2)/(2*$I$5)),$D$9*((O1564^2-O1563^2)/(2*$I$5)))+($D$10*(ABS(I1564)/90)*(MAX(O1563^2,O1564^2)/(2*$I$5))))-Q1564</f>
        <v>270.41548137352049</v>
      </c>
      <c r="V1564">
        <f t="shared" ref="V1564:V1601" ca="1" si="814">IF(ROUND(S1564,3)=1,1,IF(AND(ABS(U1564)&lt;$D$19,S1564&gt;1),1,0))</f>
        <v>0</v>
      </c>
      <c r="W1564" t="e">
        <f t="shared" ca="1" si="793"/>
        <v>#VALUE!</v>
      </c>
      <c r="X1564" t="e">
        <f t="shared" ca="1" si="794"/>
        <v>#VALUE!</v>
      </c>
      <c r="Y1564" t="e">
        <f t="shared" ca="1" si="795"/>
        <v>#VALUE!</v>
      </c>
      <c r="Z1564" t="e">
        <f t="shared" ca="1" si="796"/>
        <v>#VALUE!</v>
      </c>
      <c r="AA1564" t="e">
        <f t="shared" ca="1" si="797"/>
        <v>#VALUE!</v>
      </c>
      <c r="AB1564" t="e">
        <f t="shared" ca="1" si="798"/>
        <v>#VALUE!</v>
      </c>
      <c r="AC1564" t="e">
        <f t="shared" ca="1" si="799"/>
        <v>#VALUE!</v>
      </c>
      <c r="AD1564" t="e">
        <f t="shared" ca="1" si="800"/>
        <v>#VALUE!</v>
      </c>
      <c r="AE1564" t="e">
        <f t="shared" ca="1" si="801"/>
        <v>#VALUE!</v>
      </c>
      <c r="AF1564" t="e">
        <f t="shared" ca="1" si="802"/>
        <v>#VALUE!</v>
      </c>
      <c r="AG1564" t="e">
        <f t="shared" ca="1" si="803"/>
        <v>#VALUE!</v>
      </c>
      <c r="AH1564" t="e">
        <f ca="1">IF(V34="Supercritical",L1564,IF(V34="Subcritical",W1564,IF(AND(V1564=1,AG1564=1),IF(T1564&gt;=AE1564,L1564,W1564),IF(V1564=1,L1564,IF(AG1564=1,W1564,MAX($D$16,POWER((ABS(K1564)^2)/($I$5*MAX(F1564,0.1)^2),1/3)))))))</f>
        <v>#VALUE!</v>
      </c>
      <c r="AI1564" t="e">
        <f t="shared" ca="1" si="804"/>
        <v>#VALUE!</v>
      </c>
      <c r="AJ1564" t="e">
        <f t="shared" ca="1" si="805"/>
        <v>#VALUE!</v>
      </c>
      <c r="AM1564">
        <v>0</v>
      </c>
      <c r="AN1564">
        <v>0</v>
      </c>
      <c r="AO1564">
        <f t="shared" si="806"/>
        <v>0</v>
      </c>
      <c r="AP1564">
        <f t="shared" ref="AP1564:AP1601" si="815">AP1563+AO1564</f>
        <v>0</v>
      </c>
      <c r="AQ1564" t="e">
        <f t="shared" ca="1" si="807"/>
        <v>#VALUE!</v>
      </c>
      <c r="AR1564" t="e">
        <f t="shared" ca="1" si="808"/>
        <v>#VALUE!</v>
      </c>
      <c r="AS1564" t="e">
        <f t="shared" ca="1" si="809"/>
        <v>#VALUE!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192</v>
      </c>
      <c r="I1565">
        <v>0</v>
      </c>
      <c r="J1565">
        <f t="shared" si="810"/>
        <v>1</v>
      </c>
      <c r="K1565">
        <f t="shared" ca="1" si="811"/>
        <v>49.98</v>
      </c>
      <c r="L1565">
        <f t="shared" ca="1" si="812"/>
        <v>0.2226305528149925</v>
      </c>
      <c r="M1565">
        <f t="shared" ca="1" si="785"/>
        <v>3.0375712626077576</v>
      </c>
      <c r="N1565">
        <f t="shared" ca="1" si="786"/>
        <v>0.21559478810382485</v>
      </c>
      <c r="O1565">
        <f t="shared" ca="1" si="787"/>
        <v>16.453934962859808</v>
      </c>
      <c r="P1565">
        <f t="shared" ca="1" si="788"/>
        <v>631.65193055281497</v>
      </c>
      <c r="Q1565">
        <f t="shared" ca="1" si="789"/>
        <v>645.45070607585376</v>
      </c>
      <c r="R1565">
        <f t="shared" ca="1" si="790"/>
        <v>0.47119903651033296</v>
      </c>
      <c r="S1565">
        <f t="shared" ca="1" si="791"/>
        <v>11.133786531385544</v>
      </c>
      <c r="T1565">
        <f t="shared" ca="1" si="792"/>
        <v>84.167656060620374</v>
      </c>
      <c r="U1565">
        <f t="shared" ca="1" si="813"/>
        <v>2.2571897899258602</v>
      </c>
      <c r="V1565">
        <f t="shared" ca="1" si="814"/>
        <v>0</v>
      </c>
      <c r="W1565" t="e">
        <f t="shared" ca="1" si="793"/>
        <v>#VALUE!</v>
      </c>
      <c r="X1565" t="e">
        <f t="shared" ca="1" si="794"/>
        <v>#VALUE!</v>
      </c>
      <c r="Y1565" t="e">
        <f t="shared" ca="1" si="795"/>
        <v>#VALUE!</v>
      </c>
      <c r="Z1565" t="e">
        <f t="shared" ca="1" si="796"/>
        <v>#VALUE!</v>
      </c>
      <c r="AA1565" t="e">
        <f t="shared" ca="1" si="797"/>
        <v>#VALUE!</v>
      </c>
      <c r="AB1565" t="e">
        <f t="shared" ca="1" si="798"/>
        <v>#VALUE!</v>
      </c>
      <c r="AC1565" t="e">
        <f t="shared" ca="1" si="799"/>
        <v>#VALUE!</v>
      </c>
      <c r="AD1565" t="e">
        <f t="shared" ca="1" si="800"/>
        <v>#VALUE!</v>
      </c>
      <c r="AE1565" t="e">
        <f t="shared" ca="1" si="801"/>
        <v>#VALUE!</v>
      </c>
      <c r="AF1565" t="e">
        <f t="shared" ca="1" si="802"/>
        <v>#VALUE!</v>
      </c>
      <c r="AG1565" t="e">
        <f t="shared" ca="1" si="803"/>
        <v>#VALUE!</v>
      </c>
      <c r="AH1565" t="e">
        <f ca="1">IF(V34="Supercritical",L1565,IF(V34="Subcritical",W1565,IF(AND(V1565=1,AG1565=1),IF(T1565&gt;=AE1565,L1565,W1565),IF(V1565=1,L1565,IF(AG1565=1,W1565,MAX($D$16,POWER((ABS(K1565)^2)/($I$5*MAX(F1565,0.1)^2),1/3)))))))</f>
        <v>#VALUE!</v>
      </c>
      <c r="AI1565" t="e">
        <f t="shared" ca="1" si="804"/>
        <v>#VALUE!</v>
      </c>
      <c r="AJ1565" t="e">
        <f t="shared" ca="1" si="805"/>
        <v>#VALUE!</v>
      </c>
      <c r="AM1565">
        <v>0</v>
      </c>
      <c r="AN1565">
        <v>0</v>
      </c>
      <c r="AO1565">
        <f t="shared" si="806"/>
        <v>0</v>
      </c>
      <c r="AP1565">
        <f t="shared" si="815"/>
        <v>0</v>
      </c>
      <c r="AQ1565" t="e">
        <f t="shared" ca="1" si="807"/>
        <v>#VALUE!</v>
      </c>
      <c r="AR1565" t="e">
        <f t="shared" ca="1" si="808"/>
        <v>#VALUE!</v>
      </c>
      <c r="AS1565" t="e">
        <f t="shared" ca="1" si="809"/>
        <v>#VALUE!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192</v>
      </c>
      <c r="I1566">
        <v>0</v>
      </c>
      <c r="J1566">
        <f t="shared" si="810"/>
        <v>1</v>
      </c>
      <c r="K1566">
        <f t="shared" ca="1" si="811"/>
        <v>49.98</v>
      </c>
      <c r="L1566">
        <f t="shared" ca="1" si="812"/>
        <v>0.2226305528149925</v>
      </c>
      <c r="M1566">
        <f t="shared" ca="1" si="785"/>
        <v>3.3394582922248874</v>
      </c>
      <c r="N1566">
        <f t="shared" ca="1" si="786"/>
        <v>0.21621248545986796</v>
      </c>
      <c r="O1566">
        <f t="shared" ca="1" si="787"/>
        <v>14.966499242217282</v>
      </c>
      <c r="P1566">
        <f t="shared" ca="1" si="788"/>
        <v>631.42913055281497</v>
      </c>
      <c r="Q1566">
        <f t="shared" ca="1" si="789"/>
        <v>642.84585326266665</v>
      </c>
      <c r="R1566">
        <f t="shared" ca="1" si="790"/>
        <v>0.3883726292555375</v>
      </c>
      <c r="S1566">
        <f t="shared" ca="1" si="791"/>
        <v>10.12729222894829</v>
      </c>
      <c r="T1566">
        <f t="shared" ca="1" si="792"/>
        <v>76.623071369743258</v>
      </c>
      <c r="U1566">
        <f t="shared" ca="1" si="813"/>
        <v>1.4604511363480697</v>
      </c>
      <c r="V1566">
        <f t="shared" ca="1" si="814"/>
        <v>0</v>
      </c>
      <c r="W1566" t="e">
        <f t="shared" ca="1" si="793"/>
        <v>#VALUE!</v>
      </c>
      <c r="X1566" t="e">
        <f t="shared" ca="1" si="794"/>
        <v>#VALUE!</v>
      </c>
      <c r="Y1566" t="e">
        <f t="shared" ca="1" si="795"/>
        <v>#VALUE!</v>
      </c>
      <c r="Z1566" t="e">
        <f t="shared" ca="1" si="796"/>
        <v>#VALUE!</v>
      </c>
      <c r="AA1566" t="e">
        <f t="shared" ca="1" si="797"/>
        <v>#VALUE!</v>
      </c>
      <c r="AB1566" t="e">
        <f t="shared" ca="1" si="798"/>
        <v>#VALUE!</v>
      </c>
      <c r="AC1566" t="e">
        <f t="shared" ca="1" si="799"/>
        <v>#VALUE!</v>
      </c>
      <c r="AD1566" t="e">
        <f t="shared" ca="1" si="800"/>
        <v>#VALUE!</v>
      </c>
      <c r="AE1566" t="e">
        <f t="shared" ca="1" si="801"/>
        <v>#VALUE!</v>
      </c>
      <c r="AF1566" t="e">
        <f t="shared" ca="1" si="802"/>
        <v>#VALUE!</v>
      </c>
      <c r="AG1566" t="e">
        <f t="shared" ca="1" si="803"/>
        <v>#VALUE!</v>
      </c>
      <c r="AH1566" t="e">
        <f ca="1">IF(V34="Supercritical",L1566,IF(V34="Subcritical",W1566,IF(AND(V1566=1,AG1566=1),IF(T1566&gt;=AE1566,L1566,W1566),IF(V1566=1,L1566,IF(AG1566=1,W1566,MAX($D$16,POWER((ABS(K1566)^2)/($I$5*MAX(F1566,0.1)^2),1/3)))))))</f>
        <v>#VALUE!</v>
      </c>
      <c r="AI1566" t="e">
        <f t="shared" ca="1" si="804"/>
        <v>#VALUE!</v>
      </c>
      <c r="AJ1566" t="e">
        <f t="shared" ca="1" si="805"/>
        <v>#VALUE!</v>
      </c>
      <c r="AM1566">
        <v>0</v>
      </c>
      <c r="AN1566">
        <v>0</v>
      </c>
      <c r="AO1566">
        <f t="shared" si="806"/>
        <v>0</v>
      </c>
      <c r="AP1566">
        <f t="shared" si="815"/>
        <v>0</v>
      </c>
      <c r="AQ1566" t="e">
        <f t="shared" ca="1" si="807"/>
        <v>#VALUE!</v>
      </c>
      <c r="AR1566" t="e">
        <f t="shared" ca="1" si="808"/>
        <v>#VALUE!</v>
      </c>
      <c r="AS1566" t="e">
        <f t="shared" ca="1" si="809"/>
        <v>#VALUE!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192</v>
      </c>
      <c r="I1567">
        <v>0</v>
      </c>
      <c r="J1567">
        <f t="shared" si="810"/>
        <v>1</v>
      </c>
      <c r="K1567">
        <f t="shared" ca="1" si="811"/>
        <v>49.98</v>
      </c>
      <c r="L1567">
        <f t="shared" ca="1" si="812"/>
        <v>0.2226305528149925</v>
      </c>
      <c r="M1567">
        <f t="shared" ca="1" si="785"/>
        <v>3.7847193978548725</v>
      </c>
      <c r="N1567">
        <f t="shared" ca="1" si="786"/>
        <v>0.21694828039194305</v>
      </c>
      <c r="O1567">
        <f t="shared" ca="1" si="787"/>
        <v>13.205734625485837</v>
      </c>
      <c r="P1567">
        <f t="shared" ca="1" si="788"/>
        <v>631.20623055281499</v>
      </c>
      <c r="Q1567">
        <f t="shared" ca="1" si="789"/>
        <v>640.09468248955079</v>
      </c>
      <c r="R1567">
        <f t="shared" ca="1" si="790"/>
        <v>0.30099967964535773</v>
      </c>
      <c r="S1567">
        <f t="shared" ca="1" si="791"/>
        <v>8.9358460843661387</v>
      </c>
      <c r="T1567">
        <f t="shared" ca="1" si="792"/>
        <v>67.701890009626084</v>
      </c>
      <c r="U1567">
        <f t="shared" ca="1" si="813"/>
        <v>1.6480033867306929</v>
      </c>
      <c r="V1567">
        <f t="shared" ca="1" si="814"/>
        <v>0</v>
      </c>
      <c r="W1567" t="e">
        <f t="shared" ca="1" si="793"/>
        <v>#VALUE!</v>
      </c>
      <c r="X1567" t="e">
        <f t="shared" ca="1" si="794"/>
        <v>#VALUE!</v>
      </c>
      <c r="Y1567" t="e">
        <f t="shared" ca="1" si="795"/>
        <v>#VALUE!</v>
      </c>
      <c r="Z1567" t="e">
        <f t="shared" ca="1" si="796"/>
        <v>#VALUE!</v>
      </c>
      <c r="AA1567" t="e">
        <f t="shared" ca="1" si="797"/>
        <v>#VALUE!</v>
      </c>
      <c r="AB1567" t="e">
        <f t="shared" ca="1" si="798"/>
        <v>#VALUE!</v>
      </c>
      <c r="AC1567" t="e">
        <f t="shared" ca="1" si="799"/>
        <v>#VALUE!</v>
      </c>
      <c r="AD1567" t="e">
        <f t="shared" ca="1" si="800"/>
        <v>#VALUE!</v>
      </c>
      <c r="AE1567" t="e">
        <f t="shared" ca="1" si="801"/>
        <v>#VALUE!</v>
      </c>
      <c r="AF1567" t="e">
        <f t="shared" ca="1" si="802"/>
        <v>#VALUE!</v>
      </c>
      <c r="AG1567" t="e">
        <f t="shared" ca="1" si="803"/>
        <v>#VALUE!</v>
      </c>
      <c r="AH1567" t="e">
        <f ca="1">IF(V34="Supercritical",L1567,IF(V34="Subcritical",W1567,IF(AND(V1567=1,AG1567=1),IF(T1567&gt;=AE1567,L1567,W1567),IF(V1567=1,L1567,IF(AG1567=1,W1567,MAX($D$16,POWER((ABS(K1567)^2)/($I$5*MAX(F1567,0.1)^2),1/3)))))))</f>
        <v>#VALUE!</v>
      </c>
      <c r="AI1567" t="e">
        <f t="shared" ca="1" si="804"/>
        <v>#VALUE!</v>
      </c>
      <c r="AJ1567" t="e">
        <f t="shared" ca="1" si="805"/>
        <v>#VALUE!</v>
      </c>
      <c r="AM1567">
        <v>0</v>
      </c>
      <c r="AN1567">
        <v>0</v>
      </c>
      <c r="AO1567">
        <f t="shared" si="806"/>
        <v>0</v>
      </c>
      <c r="AP1567">
        <f t="shared" si="815"/>
        <v>0</v>
      </c>
      <c r="AQ1567" t="e">
        <f t="shared" ca="1" si="807"/>
        <v>#VALUE!</v>
      </c>
      <c r="AR1567" t="e">
        <f t="shared" ca="1" si="808"/>
        <v>#VALUE!</v>
      </c>
      <c r="AS1567" t="e">
        <f t="shared" ca="1" si="809"/>
        <v>#VALUE!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192</v>
      </c>
      <c r="I1568">
        <v>0</v>
      </c>
      <c r="J1568">
        <f t="shared" si="810"/>
        <v>1</v>
      </c>
      <c r="K1568">
        <f t="shared" ca="1" si="811"/>
        <v>49.98</v>
      </c>
      <c r="L1568">
        <f t="shared" ca="1" si="812"/>
        <v>0.2226305528149925</v>
      </c>
      <c r="M1568">
        <f t="shared" ca="1" si="785"/>
        <v>4.2299805034848577</v>
      </c>
      <c r="N1568">
        <f t="shared" ca="1" si="786"/>
        <v>0.21753271815209269</v>
      </c>
      <c r="O1568">
        <f t="shared" ca="1" si="787"/>
        <v>11.815657296487327</v>
      </c>
      <c r="P1568">
        <f t="shared" ca="1" si="788"/>
        <v>630.98343055281498</v>
      </c>
      <c r="Q1568">
        <f t="shared" ca="1" si="789"/>
        <v>638.09911645230704</v>
      </c>
      <c r="R1568">
        <f t="shared" ca="1" si="790"/>
        <v>0.24010369394262876</v>
      </c>
      <c r="S1568">
        <f t="shared" ca="1" si="791"/>
        <v>7.9952307070644402</v>
      </c>
      <c r="T1568">
        <f t="shared" ca="1" si="792"/>
        <v>60.669286696490794</v>
      </c>
      <c r="U1568">
        <f t="shared" ca="1" si="813"/>
        <v>1.1931845392766718</v>
      </c>
      <c r="V1568">
        <f t="shared" ca="1" si="814"/>
        <v>0</v>
      </c>
      <c r="W1568" t="e">
        <f t="shared" ca="1" si="793"/>
        <v>#VALUE!</v>
      </c>
      <c r="X1568" t="e">
        <f t="shared" ca="1" si="794"/>
        <v>#VALUE!</v>
      </c>
      <c r="Y1568" t="e">
        <f t="shared" ca="1" si="795"/>
        <v>#VALUE!</v>
      </c>
      <c r="Z1568" t="e">
        <f t="shared" ca="1" si="796"/>
        <v>#VALUE!</v>
      </c>
      <c r="AA1568" t="e">
        <f t="shared" ca="1" si="797"/>
        <v>#VALUE!</v>
      </c>
      <c r="AB1568" t="e">
        <f t="shared" ca="1" si="798"/>
        <v>#VALUE!</v>
      </c>
      <c r="AC1568" t="e">
        <f t="shared" ca="1" si="799"/>
        <v>#VALUE!</v>
      </c>
      <c r="AD1568" t="e">
        <f t="shared" ca="1" si="800"/>
        <v>#VALUE!</v>
      </c>
      <c r="AE1568" t="e">
        <f t="shared" ca="1" si="801"/>
        <v>#VALUE!</v>
      </c>
      <c r="AF1568" t="e">
        <f t="shared" ca="1" si="802"/>
        <v>#VALUE!</v>
      </c>
      <c r="AG1568" t="e">
        <f t="shared" ca="1" si="803"/>
        <v>#VALUE!</v>
      </c>
      <c r="AH1568" t="e">
        <f ca="1">IF(V34="Supercritical",L1568,IF(V34="Subcritical",W1568,IF(AND(V1568=1,AG1568=1),IF(T1568&gt;=AE1568,L1568,W1568),IF(V1568=1,L1568,IF(AG1568=1,W1568,MAX($D$16,POWER((ABS(K1568)^2)/($I$5*MAX(F1568,0.1)^2),1/3)))))))</f>
        <v>#VALUE!</v>
      </c>
      <c r="AI1568" t="e">
        <f t="shared" ca="1" si="804"/>
        <v>#VALUE!</v>
      </c>
      <c r="AJ1568" t="e">
        <f t="shared" ca="1" si="805"/>
        <v>#VALUE!</v>
      </c>
      <c r="AM1568">
        <v>0</v>
      </c>
      <c r="AN1568">
        <v>0</v>
      </c>
      <c r="AO1568">
        <f t="shared" si="806"/>
        <v>0</v>
      </c>
      <c r="AP1568">
        <f t="shared" si="815"/>
        <v>0</v>
      </c>
      <c r="AQ1568" t="e">
        <f t="shared" ca="1" si="807"/>
        <v>#VALUE!</v>
      </c>
      <c r="AR1568" t="e">
        <f t="shared" ca="1" si="808"/>
        <v>#VALUE!</v>
      </c>
      <c r="AS1568" t="e">
        <f t="shared" ca="1" si="809"/>
        <v>#VALUE!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191</v>
      </c>
      <c r="I1569">
        <v>0</v>
      </c>
      <c r="J1569">
        <f t="shared" si="810"/>
        <v>1</v>
      </c>
      <c r="K1569">
        <f t="shared" ca="1" si="811"/>
        <v>49.98</v>
      </c>
      <c r="L1569">
        <f t="shared" ca="1" si="812"/>
        <v>0.2226305528149925</v>
      </c>
      <c r="M1569">
        <f t="shared" ca="1" si="785"/>
        <v>2.645073597994926</v>
      </c>
      <c r="N1569">
        <f t="shared" ca="1" si="786"/>
        <v>0.21458847701893935</v>
      </c>
      <c r="O1569">
        <f t="shared" ca="1" si="787"/>
        <v>18.895504472120127</v>
      </c>
      <c r="P1569">
        <f t="shared" ca="1" si="788"/>
        <v>630.760530552815</v>
      </c>
      <c r="Q1569">
        <f t="shared" ca="1" si="789"/>
        <v>648.9582924924639</v>
      </c>
      <c r="R1569">
        <f t="shared" ca="1" si="790"/>
        <v>0.62530365977056435</v>
      </c>
      <c r="S1569">
        <f t="shared" ca="1" si="791"/>
        <v>12.785908882604526</v>
      </c>
      <c r="T1569">
        <f t="shared" ca="1" si="792"/>
        <v>96.563276397003534</v>
      </c>
      <c r="U1569">
        <f t="shared" ca="1" si="813"/>
        <v>-12.400087321029105</v>
      </c>
      <c r="V1569">
        <f t="shared" ca="1" si="814"/>
        <v>0</v>
      </c>
      <c r="W1569" t="e">
        <f t="shared" ca="1" si="793"/>
        <v>#VALUE!</v>
      </c>
      <c r="X1569" t="e">
        <f t="shared" ca="1" si="794"/>
        <v>#VALUE!</v>
      </c>
      <c r="Y1569" t="e">
        <f t="shared" ca="1" si="795"/>
        <v>#VALUE!</v>
      </c>
      <c r="Z1569" t="e">
        <f t="shared" ca="1" si="796"/>
        <v>#VALUE!</v>
      </c>
      <c r="AA1569" t="e">
        <f t="shared" ca="1" si="797"/>
        <v>#VALUE!</v>
      </c>
      <c r="AB1569" t="e">
        <f t="shared" ca="1" si="798"/>
        <v>#VALUE!</v>
      </c>
      <c r="AC1569" t="e">
        <f t="shared" ca="1" si="799"/>
        <v>#VALUE!</v>
      </c>
      <c r="AD1569" t="e">
        <f t="shared" ca="1" si="800"/>
        <v>#VALUE!</v>
      </c>
      <c r="AE1569" t="e">
        <f t="shared" ca="1" si="801"/>
        <v>#VALUE!</v>
      </c>
      <c r="AF1569" t="e">
        <f t="shared" ca="1" si="802"/>
        <v>#VALUE!</v>
      </c>
      <c r="AG1569" t="e">
        <f t="shared" ca="1" si="803"/>
        <v>#VALUE!</v>
      </c>
      <c r="AH1569" t="e">
        <f ca="1">IF(V34="Supercritical",L1569,IF(V34="Subcritical",W1569,IF(AND(V1569=1,AG1569=1),IF(T1569&gt;=AE1569,L1569,W1569),IF(V1569=1,L1569,IF(AG1569=1,W1569,MAX($D$16,POWER((ABS(K1569)^2)/($I$5*MAX(F1569,0.1)^2),1/3)))))))</f>
        <v>#VALUE!</v>
      </c>
      <c r="AI1569" t="e">
        <f t="shared" ca="1" si="804"/>
        <v>#VALUE!</v>
      </c>
      <c r="AJ1569" t="e">
        <f t="shared" ca="1" si="805"/>
        <v>#VALUE!</v>
      </c>
      <c r="AM1569">
        <v>0</v>
      </c>
      <c r="AN1569">
        <v>0</v>
      </c>
      <c r="AO1569">
        <f t="shared" si="806"/>
        <v>0</v>
      </c>
      <c r="AP1569">
        <f t="shared" si="815"/>
        <v>0</v>
      </c>
      <c r="AQ1569" t="e">
        <f t="shared" ca="1" si="807"/>
        <v>#VALUE!</v>
      </c>
      <c r="AR1569" t="e">
        <f t="shared" ca="1" si="808"/>
        <v>#VALUE!</v>
      </c>
      <c r="AS1569" t="e">
        <f t="shared" ca="1" si="809"/>
        <v>#VALUE!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191</v>
      </c>
      <c r="I1570">
        <v>0</v>
      </c>
      <c r="J1570">
        <f t="shared" si="810"/>
        <v>1</v>
      </c>
      <c r="K1570">
        <f t="shared" ca="1" si="811"/>
        <v>49.98</v>
      </c>
      <c r="L1570">
        <f t="shared" ca="1" si="812"/>
        <v>0.2226305528149925</v>
      </c>
      <c r="M1570">
        <f t="shared" ca="1" si="785"/>
        <v>2.6715666337799098</v>
      </c>
      <c r="N1570">
        <f t="shared" ca="1" si="786"/>
        <v>0.21466537432238741</v>
      </c>
      <c r="O1570">
        <f t="shared" ca="1" si="787"/>
        <v>18.708124052771606</v>
      </c>
      <c r="P1570">
        <f t="shared" ca="1" si="788"/>
        <v>630.53773055281499</v>
      </c>
      <c r="Q1570">
        <f t="shared" ca="1" si="789"/>
        <v>648.37635978695823</v>
      </c>
      <c r="R1570">
        <f t="shared" ca="1" si="790"/>
        <v>0.61267054673517141</v>
      </c>
      <c r="S1570">
        <f t="shared" ca="1" si="791"/>
        <v>12.659115286185367</v>
      </c>
      <c r="T1570">
        <f t="shared" ca="1" si="792"/>
        <v>95.611559486896439</v>
      </c>
      <c r="U1570">
        <f t="shared" ca="1" si="813"/>
        <v>-0.14479420939881038</v>
      </c>
      <c r="V1570">
        <f t="shared" ca="1" si="814"/>
        <v>0</v>
      </c>
      <c r="W1570" t="e">
        <f t="shared" ca="1" si="793"/>
        <v>#VALUE!</v>
      </c>
      <c r="X1570" t="e">
        <f t="shared" ca="1" si="794"/>
        <v>#VALUE!</v>
      </c>
      <c r="Y1570" t="e">
        <f t="shared" ca="1" si="795"/>
        <v>#VALUE!</v>
      </c>
      <c r="Z1570" t="e">
        <f t="shared" ca="1" si="796"/>
        <v>#VALUE!</v>
      </c>
      <c r="AA1570" t="e">
        <f t="shared" ca="1" si="797"/>
        <v>#VALUE!</v>
      </c>
      <c r="AB1570" t="e">
        <f t="shared" ca="1" si="798"/>
        <v>#VALUE!</v>
      </c>
      <c r="AC1570" t="e">
        <f t="shared" ca="1" si="799"/>
        <v>#VALUE!</v>
      </c>
      <c r="AD1570" t="e">
        <f t="shared" ca="1" si="800"/>
        <v>#VALUE!</v>
      </c>
      <c r="AE1570" t="e">
        <f t="shared" ca="1" si="801"/>
        <v>#VALUE!</v>
      </c>
      <c r="AF1570" t="e">
        <f t="shared" ca="1" si="802"/>
        <v>#VALUE!</v>
      </c>
      <c r="AG1570" t="e">
        <f t="shared" ca="1" si="803"/>
        <v>#VALUE!</v>
      </c>
      <c r="AH1570" t="e">
        <f ca="1">IF(V34="Supercritical",L1570,IF(V34="Subcritical",W1570,IF(AND(V1570=1,AG1570=1),IF(T1570&gt;=AE1570,L1570,W1570),IF(V1570=1,L1570,IF(AG1570=1,W1570,MAX($D$16,POWER((ABS(K1570)^2)/($I$5*MAX(F1570,0.1)^2),1/3)))))))</f>
        <v>#VALUE!</v>
      </c>
      <c r="AI1570" t="e">
        <f t="shared" ca="1" si="804"/>
        <v>#VALUE!</v>
      </c>
      <c r="AJ1570" t="e">
        <f t="shared" ca="1" si="805"/>
        <v>#VALUE!</v>
      </c>
      <c r="AK1570">
        <v>635.5</v>
      </c>
      <c r="AM1570" t="e">
        <f t="shared" ref="AM1570:AM1595" ca="1" si="816">$D$12*MAX(J1570,0.1)*POWER(MAX(0,AI1570-AK1570),1.5)</f>
        <v>#VALUE!</v>
      </c>
      <c r="AN1570">
        <v>0</v>
      </c>
      <c r="AO1570" t="e">
        <f t="shared" ca="1" si="806"/>
        <v>#VALUE!</v>
      </c>
      <c r="AP1570" t="e">
        <f t="shared" ca="1" si="815"/>
        <v>#VALUE!</v>
      </c>
      <c r="AQ1570" t="e">
        <f t="shared" ca="1" si="807"/>
        <v>#VALUE!</v>
      </c>
      <c r="AR1570" t="e">
        <f t="shared" ca="1" si="808"/>
        <v>#VALUE!</v>
      </c>
      <c r="AS1570" t="e">
        <f t="shared" ca="1" si="809"/>
        <v>#VALUE!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191</v>
      </c>
      <c r="I1571">
        <v>0</v>
      </c>
      <c r="J1571">
        <f t="shared" si="810"/>
        <v>1</v>
      </c>
      <c r="K1571" t="e">
        <f t="shared" ca="1" si="811"/>
        <v>#VALUE!</v>
      </c>
      <c r="L1571">
        <f t="shared" ca="1" si="812"/>
        <v>0.2226305528149925</v>
      </c>
      <c r="M1571">
        <f t="shared" ca="1" si="785"/>
        <v>2.7154248526844635</v>
      </c>
      <c r="N1571">
        <f t="shared" ca="1" si="786"/>
        <v>0.21478949295511718</v>
      </c>
      <c r="O1571" t="e">
        <f t="shared" ca="1" si="787"/>
        <v>#VALUE!</v>
      </c>
      <c r="P1571">
        <f t="shared" ca="1" si="788"/>
        <v>630.31483055281501</v>
      </c>
      <c r="Q1571" t="e">
        <f t="shared" ca="1" si="789"/>
        <v>#VALUE!</v>
      </c>
      <c r="R1571" t="e">
        <f t="shared" ca="1" si="790"/>
        <v>#VALUE!</v>
      </c>
      <c r="S1571" t="e">
        <f t="shared" ca="1" si="791"/>
        <v>#VALUE!</v>
      </c>
      <c r="T1571" t="e">
        <f t="shared" ca="1" si="792"/>
        <v>#VALUE!</v>
      </c>
      <c r="U1571" t="e">
        <f t="shared" ca="1" si="813"/>
        <v>#VALUE!</v>
      </c>
      <c r="V1571" t="e">
        <f t="shared" ca="1" si="814"/>
        <v>#VALUE!</v>
      </c>
      <c r="W1571" t="e">
        <f t="shared" ca="1" si="793"/>
        <v>#VALUE!</v>
      </c>
      <c r="X1571" t="e">
        <f t="shared" ca="1" si="794"/>
        <v>#VALUE!</v>
      </c>
      <c r="Y1571" t="e">
        <f t="shared" ca="1" si="795"/>
        <v>#VALUE!</v>
      </c>
      <c r="Z1571" t="e">
        <f t="shared" ca="1" si="796"/>
        <v>#VALUE!</v>
      </c>
      <c r="AA1571" t="e">
        <f t="shared" ca="1" si="797"/>
        <v>#VALUE!</v>
      </c>
      <c r="AB1571" t="e">
        <f t="shared" ca="1" si="798"/>
        <v>#VALUE!</v>
      </c>
      <c r="AC1571" t="e">
        <f t="shared" ca="1" si="799"/>
        <v>#VALUE!</v>
      </c>
      <c r="AD1571" t="e">
        <f t="shared" ca="1" si="800"/>
        <v>#VALUE!</v>
      </c>
      <c r="AE1571" t="e">
        <f t="shared" ca="1" si="801"/>
        <v>#VALUE!</v>
      </c>
      <c r="AF1571" t="e">
        <f t="shared" ca="1" si="802"/>
        <v>#VALUE!</v>
      </c>
      <c r="AG1571" t="e">
        <f t="shared" ca="1" si="803"/>
        <v>#VALUE!</v>
      </c>
      <c r="AH1571" t="e">
        <f ca="1">IF(V34="Supercritical",L1571,IF(V34="Subcritical",W1571,IF(AND(V1571=1,AG1571=1),IF(T1571&gt;=AE1571,L1571,W1571),IF(V1571=1,L1571,IF(AG1571=1,W1571,MAX($D$16,POWER((ABS(K1571)^2)/($I$5*MAX(F1571,0.1)^2),1/3)))))))</f>
        <v>#VALUE!</v>
      </c>
      <c r="AI1571" t="e">
        <f t="shared" ca="1" si="804"/>
        <v>#VALUE!</v>
      </c>
      <c r="AJ1571" t="e">
        <f t="shared" ca="1" si="805"/>
        <v>#VALUE!</v>
      </c>
      <c r="AK1571">
        <v>635.5</v>
      </c>
      <c r="AM1571" t="e">
        <f t="shared" ca="1" si="816"/>
        <v>#VALUE!</v>
      </c>
      <c r="AN1571">
        <v>0</v>
      </c>
      <c r="AO1571" t="e">
        <f t="shared" ca="1" si="806"/>
        <v>#VALUE!</v>
      </c>
      <c r="AP1571" t="e">
        <f t="shared" ca="1" si="815"/>
        <v>#VALUE!</v>
      </c>
      <c r="AQ1571" t="e">
        <f t="shared" ca="1" si="807"/>
        <v>#VALUE!</v>
      </c>
      <c r="AR1571" t="e">
        <f t="shared" ca="1" si="808"/>
        <v>#VALUE!</v>
      </c>
      <c r="AS1571" t="e">
        <f t="shared" ca="1" si="809"/>
        <v>#VALUE!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191</v>
      </c>
      <c r="I1572">
        <v>0</v>
      </c>
      <c r="J1572">
        <f t="shared" si="810"/>
        <v>1</v>
      </c>
      <c r="K1572" t="e">
        <f t="shared" ca="1" si="811"/>
        <v>#VALUE!</v>
      </c>
      <c r="L1572" t="e">
        <f t="shared" ca="1" si="812"/>
        <v>#VALUE!</v>
      </c>
      <c r="M1572" t="e">
        <f t="shared" ca="1" si="785"/>
        <v>#VALUE!</v>
      </c>
      <c r="N1572" t="e">
        <f t="shared" ca="1" si="786"/>
        <v>#VALUE!</v>
      </c>
      <c r="O1572" t="e">
        <f t="shared" ca="1" si="787"/>
        <v>#VALUE!</v>
      </c>
      <c r="P1572" t="e">
        <f t="shared" ca="1" si="788"/>
        <v>#VALUE!</v>
      </c>
      <c r="Q1572" t="e">
        <f t="shared" ca="1" si="789"/>
        <v>#VALUE!</v>
      </c>
      <c r="R1572" t="e">
        <f t="shared" ca="1" si="790"/>
        <v>#VALUE!</v>
      </c>
      <c r="S1572" t="e">
        <f t="shared" ca="1" si="791"/>
        <v>#VALUE!</v>
      </c>
      <c r="T1572" t="e">
        <f t="shared" ca="1" si="792"/>
        <v>#VALUE!</v>
      </c>
      <c r="U1572" t="e">
        <f t="shared" ca="1" si="813"/>
        <v>#VALUE!</v>
      </c>
      <c r="V1572" t="e">
        <f t="shared" ca="1" si="814"/>
        <v>#VALUE!</v>
      </c>
      <c r="W1572" t="e">
        <f t="shared" ca="1" si="793"/>
        <v>#VALUE!</v>
      </c>
      <c r="X1572" t="e">
        <f t="shared" ca="1" si="794"/>
        <v>#VALUE!</v>
      </c>
      <c r="Y1572" t="e">
        <f t="shared" ca="1" si="795"/>
        <v>#VALUE!</v>
      </c>
      <c r="Z1572" t="e">
        <f t="shared" ca="1" si="796"/>
        <v>#VALUE!</v>
      </c>
      <c r="AA1572" t="e">
        <f t="shared" ca="1" si="797"/>
        <v>#VALUE!</v>
      </c>
      <c r="AB1572" t="e">
        <f t="shared" ca="1" si="798"/>
        <v>#VALUE!</v>
      </c>
      <c r="AC1572" t="e">
        <f t="shared" ca="1" si="799"/>
        <v>#VALUE!</v>
      </c>
      <c r="AD1572" t="e">
        <f t="shared" ca="1" si="800"/>
        <v>#VALUE!</v>
      </c>
      <c r="AE1572" t="e">
        <f t="shared" ca="1" si="801"/>
        <v>#VALUE!</v>
      </c>
      <c r="AF1572" t="e">
        <f t="shared" ca="1" si="802"/>
        <v>#VALUE!</v>
      </c>
      <c r="AG1572" t="e">
        <f t="shared" ca="1" si="803"/>
        <v>#VALUE!</v>
      </c>
      <c r="AH1572" t="e">
        <f ca="1">IF(V34="Supercritical",L1572,IF(V34="Subcritical",W1572,IF(AND(V1572=1,AG1572=1),IF(T1572&gt;=AE1572,L1572,W1572),IF(V1572=1,L1572,IF(AG1572=1,W1572,MAX($D$16,POWER((ABS(K1572)^2)/($I$5*MAX(F1572,0.1)^2),1/3)))))))</f>
        <v>#VALUE!</v>
      </c>
      <c r="AI1572" t="e">
        <f t="shared" ca="1" si="804"/>
        <v>#VALUE!</v>
      </c>
      <c r="AJ1572" t="e">
        <f t="shared" ca="1" si="805"/>
        <v>#VALUE!</v>
      </c>
      <c r="AK1572">
        <v>635.5</v>
      </c>
      <c r="AM1572" t="e">
        <f t="shared" ca="1" si="816"/>
        <v>#VALUE!</v>
      </c>
      <c r="AN1572">
        <v>0</v>
      </c>
      <c r="AO1572" t="e">
        <f t="shared" ca="1" si="806"/>
        <v>#VALUE!</v>
      </c>
      <c r="AP1572" t="e">
        <f t="shared" ca="1" si="815"/>
        <v>#VALUE!</v>
      </c>
      <c r="AQ1572" t="e">
        <f t="shared" ca="1" si="807"/>
        <v>#VALUE!</v>
      </c>
      <c r="AR1572" t="e">
        <f t="shared" ca="1" si="808"/>
        <v>#VALUE!</v>
      </c>
      <c r="AS1572" t="e">
        <f t="shared" ca="1" si="809"/>
        <v>#VALUE!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191</v>
      </c>
      <c r="I1573">
        <v>0</v>
      </c>
      <c r="J1573">
        <f t="shared" si="810"/>
        <v>1</v>
      </c>
      <c r="K1573" t="e">
        <f t="shared" ca="1" si="811"/>
        <v>#VALUE!</v>
      </c>
      <c r="L1573" t="e">
        <f t="shared" ca="1" si="812"/>
        <v>#VALUE!</v>
      </c>
      <c r="M1573" t="e">
        <f t="shared" ca="1" si="785"/>
        <v>#VALUE!</v>
      </c>
      <c r="N1573" t="e">
        <f t="shared" ca="1" si="786"/>
        <v>#VALUE!</v>
      </c>
      <c r="O1573" t="e">
        <f t="shared" ca="1" si="787"/>
        <v>#VALUE!</v>
      </c>
      <c r="P1573" t="e">
        <f t="shared" ca="1" si="788"/>
        <v>#VALUE!</v>
      </c>
      <c r="Q1573" t="e">
        <f t="shared" ca="1" si="789"/>
        <v>#VALUE!</v>
      </c>
      <c r="R1573" t="e">
        <f t="shared" ca="1" si="790"/>
        <v>#VALUE!</v>
      </c>
      <c r="S1573" t="e">
        <f t="shared" ca="1" si="791"/>
        <v>#VALUE!</v>
      </c>
      <c r="T1573" t="e">
        <f t="shared" ca="1" si="792"/>
        <v>#VALUE!</v>
      </c>
      <c r="U1573" t="e">
        <f t="shared" ca="1" si="813"/>
        <v>#VALUE!</v>
      </c>
      <c r="V1573" t="e">
        <f t="shared" ca="1" si="814"/>
        <v>#VALUE!</v>
      </c>
      <c r="W1573" t="e">
        <f t="shared" ca="1" si="793"/>
        <v>#VALUE!</v>
      </c>
      <c r="X1573" t="e">
        <f t="shared" ca="1" si="794"/>
        <v>#VALUE!</v>
      </c>
      <c r="Y1573" t="e">
        <f t="shared" ca="1" si="795"/>
        <v>#VALUE!</v>
      </c>
      <c r="Z1573" t="e">
        <f t="shared" ca="1" si="796"/>
        <v>#VALUE!</v>
      </c>
      <c r="AA1573" t="e">
        <f t="shared" ca="1" si="797"/>
        <v>#VALUE!</v>
      </c>
      <c r="AB1573" t="e">
        <f t="shared" ca="1" si="798"/>
        <v>#VALUE!</v>
      </c>
      <c r="AC1573" t="e">
        <f t="shared" ca="1" si="799"/>
        <v>#VALUE!</v>
      </c>
      <c r="AD1573" t="e">
        <f t="shared" ca="1" si="800"/>
        <v>#VALUE!</v>
      </c>
      <c r="AE1573" t="e">
        <f t="shared" ca="1" si="801"/>
        <v>#VALUE!</v>
      </c>
      <c r="AF1573" t="e">
        <f t="shared" ca="1" si="802"/>
        <v>#VALUE!</v>
      </c>
      <c r="AG1573" t="e">
        <f t="shared" ca="1" si="803"/>
        <v>#VALUE!</v>
      </c>
      <c r="AH1573" t="e">
        <f ca="1">IF(V34="Supercritical",L1573,IF(V34="Subcritical",W1573,IF(AND(V1573=1,AG1573=1),IF(T1573&gt;=AE1573,L1573,W1573),IF(V1573=1,L1573,IF(AG1573=1,W1573,MAX($D$16,POWER((ABS(K1573)^2)/($I$5*MAX(F1573,0.1)^2),1/3)))))))</f>
        <v>#VALUE!</v>
      </c>
      <c r="AI1573" t="e">
        <f t="shared" ca="1" si="804"/>
        <v>#VALUE!</v>
      </c>
      <c r="AJ1573" t="e">
        <f t="shared" ca="1" si="805"/>
        <v>#VALUE!</v>
      </c>
      <c r="AK1573">
        <v>635.5</v>
      </c>
      <c r="AM1573" t="e">
        <f t="shared" ca="1" si="816"/>
        <v>#VALUE!</v>
      </c>
      <c r="AN1573">
        <v>0</v>
      </c>
      <c r="AO1573" t="e">
        <f t="shared" ca="1" si="806"/>
        <v>#VALUE!</v>
      </c>
      <c r="AP1573" t="e">
        <f t="shared" ca="1" si="815"/>
        <v>#VALUE!</v>
      </c>
      <c r="AQ1573" t="e">
        <f t="shared" ca="1" si="807"/>
        <v>#VALUE!</v>
      </c>
      <c r="AR1573" t="e">
        <f t="shared" ca="1" si="808"/>
        <v>#VALUE!</v>
      </c>
      <c r="AS1573" t="e">
        <f t="shared" ca="1" si="809"/>
        <v>#VALUE!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191</v>
      </c>
      <c r="I1574">
        <v>0</v>
      </c>
      <c r="J1574">
        <f t="shared" si="810"/>
        <v>1</v>
      </c>
      <c r="K1574" t="e">
        <f t="shared" ca="1" si="811"/>
        <v>#VALUE!</v>
      </c>
      <c r="L1574" t="e">
        <f t="shared" ca="1" si="812"/>
        <v>#VALUE!</v>
      </c>
      <c r="M1574" t="e">
        <f t="shared" ca="1" si="785"/>
        <v>#VALUE!</v>
      </c>
      <c r="N1574" t="e">
        <f t="shared" ca="1" si="786"/>
        <v>#VALUE!</v>
      </c>
      <c r="O1574" t="e">
        <f t="shared" ca="1" si="787"/>
        <v>#VALUE!</v>
      </c>
      <c r="P1574" t="e">
        <f t="shared" ca="1" si="788"/>
        <v>#VALUE!</v>
      </c>
      <c r="Q1574" t="e">
        <f t="shared" ca="1" si="789"/>
        <v>#VALUE!</v>
      </c>
      <c r="R1574" t="e">
        <f t="shared" ca="1" si="790"/>
        <v>#VALUE!</v>
      </c>
      <c r="S1574" t="e">
        <f t="shared" ca="1" si="791"/>
        <v>#VALUE!</v>
      </c>
      <c r="T1574" t="e">
        <f t="shared" ca="1" si="792"/>
        <v>#VALUE!</v>
      </c>
      <c r="U1574" t="e">
        <f t="shared" ca="1" si="813"/>
        <v>#VALUE!</v>
      </c>
      <c r="V1574" t="e">
        <f t="shared" ca="1" si="814"/>
        <v>#VALUE!</v>
      </c>
      <c r="W1574" t="e">
        <f t="shared" ca="1" si="793"/>
        <v>#VALUE!</v>
      </c>
      <c r="X1574" t="e">
        <f t="shared" ca="1" si="794"/>
        <v>#VALUE!</v>
      </c>
      <c r="Y1574" t="e">
        <f t="shared" ca="1" si="795"/>
        <v>#VALUE!</v>
      </c>
      <c r="Z1574" t="e">
        <f t="shared" ca="1" si="796"/>
        <v>#VALUE!</v>
      </c>
      <c r="AA1574" t="e">
        <f t="shared" ca="1" si="797"/>
        <v>#VALUE!</v>
      </c>
      <c r="AB1574" t="e">
        <f t="shared" ca="1" si="798"/>
        <v>#VALUE!</v>
      </c>
      <c r="AC1574" t="e">
        <f t="shared" ca="1" si="799"/>
        <v>#VALUE!</v>
      </c>
      <c r="AD1574" t="e">
        <f t="shared" ca="1" si="800"/>
        <v>#VALUE!</v>
      </c>
      <c r="AE1574" t="e">
        <f t="shared" ca="1" si="801"/>
        <v>#VALUE!</v>
      </c>
      <c r="AF1574" t="e">
        <f t="shared" ca="1" si="802"/>
        <v>#VALUE!</v>
      </c>
      <c r="AG1574" t="e">
        <f t="shared" ca="1" si="803"/>
        <v>#VALUE!</v>
      </c>
      <c r="AH1574" t="e">
        <f ca="1">IF(V34="Supercritical",L1574,IF(V34="Subcritical",W1574,IF(AND(V1574=1,AG1574=1),IF(T1574&gt;=AE1574,L1574,W1574),IF(V1574=1,L1574,IF(AG1574=1,W1574,MAX($D$16,POWER((ABS(K1574)^2)/($I$5*MAX(F1574,0.1)^2),1/3)))))))</f>
        <v>#VALUE!</v>
      </c>
      <c r="AI1574" t="e">
        <f t="shared" ca="1" si="804"/>
        <v>#VALUE!</v>
      </c>
      <c r="AJ1574" t="e">
        <f t="shared" ca="1" si="805"/>
        <v>#VALUE!</v>
      </c>
      <c r="AK1574">
        <v>635.5</v>
      </c>
      <c r="AM1574" t="e">
        <f t="shared" ca="1" si="816"/>
        <v>#VALUE!</v>
      </c>
      <c r="AN1574">
        <v>0</v>
      </c>
      <c r="AO1574" t="e">
        <f t="shared" ca="1" si="806"/>
        <v>#VALUE!</v>
      </c>
      <c r="AP1574" t="e">
        <f t="shared" ca="1" si="815"/>
        <v>#VALUE!</v>
      </c>
      <c r="AQ1574" t="e">
        <f t="shared" ca="1" si="807"/>
        <v>#VALUE!</v>
      </c>
      <c r="AR1574" t="e">
        <f t="shared" ca="1" si="808"/>
        <v>#VALUE!</v>
      </c>
      <c r="AS1574" t="e">
        <f t="shared" ca="1" si="809"/>
        <v>#VALUE!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191</v>
      </c>
      <c r="I1575">
        <v>0</v>
      </c>
      <c r="J1575">
        <f t="shared" si="810"/>
        <v>1</v>
      </c>
      <c r="K1575" t="e">
        <f t="shared" ca="1" si="811"/>
        <v>#VALUE!</v>
      </c>
      <c r="L1575" t="e">
        <f t="shared" ca="1" si="812"/>
        <v>#VALUE!</v>
      </c>
      <c r="M1575" t="e">
        <f t="shared" ca="1" si="785"/>
        <v>#VALUE!</v>
      </c>
      <c r="N1575" t="e">
        <f t="shared" ca="1" si="786"/>
        <v>#VALUE!</v>
      </c>
      <c r="O1575" t="e">
        <f t="shared" ca="1" si="787"/>
        <v>#VALUE!</v>
      </c>
      <c r="P1575" t="e">
        <f t="shared" ca="1" si="788"/>
        <v>#VALUE!</v>
      </c>
      <c r="Q1575" t="e">
        <f t="shared" ca="1" si="789"/>
        <v>#VALUE!</v>
      </c>
      <c r="R1575" t="e">
        <f t="shared" ca="1" si="790"/>
        <v>#VALUE!</v>
      </c>
      <c r="S1575" t="e">
        <f t="shared" ca="1" si="791"/>
        <v>#VALUE!</v>
      </c>
      <c r="T1575" t="e">
        <f t="shared" ca="1" si="792"/>
        <v>#VALUE!</v>
      </c>
      <c r="U1575" t="e">
        <f t="shared" ca="1" si="813"/>
        <v>#VALUE!</v>
      </c>
      <c r="V1575" t="e">
        <f t="shared" ca="1" si="814"/>
        <v>#VALUE!</v>
      </c>
      <c r="W1575" t="e">
        <f t="shared" ca="1" si="793"/>
        <v>#VALUE!</v>
      </c>
      <c r="X1575" t="e">
        <f t="shared" ca="1" si="794"/>
        <v>#VALUE!</v>
      </c>
      <c r="Y1575" t="e">
        <f t="shared" ca="1" si="795"/>
        <v>#VALUE!</v>
      </c>
      <c r="Z1575" t="e">
        <f t="shared" ca="1" si="796"/>
        <v>#VALUE!</v>
      </c>
      <c r="AA1575" t="e">
        <f t="shared" ca="1" si="797"/>
        <v>#VALUE!</v>
      </c>
      <c r="AB1575" t="e">
        <f t="shared" ca="1" si="798"/>
        <v>#VALUE!</v>
      </c>
      <c r="AC1575" t="e">
        <f t="shared" ca="1" si="799"/>
        <v>#VALUE!</v>
      </c>
      <c r="AD1575" t="e">
        <f t="shared" ca="1" si="800"/>
        <v>#VALUE!</v>
      </c>
      <c r="AE1575" t="e">
        <f t="shared" ca="1" si="801"/>
        <v>#VALUE!</v>
      </c>
      <c r="AF1575" t="e">
        <f t="shared" ca="1" si="802"/>
        <v>#VALUE!</v>
      </c>
      <c r="AG1575" t="e">
        <f t="shared" ca="1" si="803"/>
        <v>#VALUE!</v>
      </c>
      <c r="AH1575" t="e">
        <f ca="1">IF(V34="Supercritical",L1575,IF(V34="Subcritical",W1575,IF(AND(V1575=1,AG1575=1),IF(T1575&gt;=AE1575,L1575,W1575),IF(V1575=1,L1575,IF(AG1575=1,W1575,MAX($D$16,POWER((ABS(K1575)^2)/($I$5*MAX(F1575,0.1)^2),1/3)))))))</f>
        <v>#VALUE!</v>
      </c>
      <c r="AI1575" t="e">
        <f t="shared" ca="1" si="804"/>
        <v>#VALUE!</v>
      </c>
      <c r="AJ1575" t="e">
        <f t="shared" ca="1" si="805"/>
        <v>#VALUE!</v>
      </c>
      <c r="AK1575">
        <v>635.5</v>
      </c>
      <c r="AM1575" t="e">
        <f t="shared" ca="1" si="816"/>
        <v>#VALUE!</v>
      </c>
      <c r="AN1575">
        <v>0</v>
      </c>
      <c r="AO1575" t="e">
        <f t="shared" ca="1" si="806"/>
        <v>#VALUE!</v>
      </c>
      <c r="AP1575" t="e">
        <f t="shared" ca="1" si="815"/>
        <v>#VALUE!</v>
      </c>
      <c r="AQ1575" t="e">
        <f t="shared" ca="1" si="807"/>
        <v>#VALUE!</v>
      </c>
      <c r="AR1575" t="e">
        <f t="shared" ca="1" si="808"/>
        <v>#VALUE!</v>
      </c>
      <c r="AS1575" t="e">
        <f t="shared" ca="1" si="809"/>
        <v>#VALUE!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191</v>
      </c>
      <c r="I1576">
        <v>0</v>
      </c>
      <c r="J1576">
        <f t="shared" si="810"/>
        <v>1</v>
      </c>
      <c r="K1576" t="e">
        <f t="shared" ca="1" si="811"/>
        <v>#VALUE!</v>
      </c>
      <c r="L1576" t="e">
        <f t="shared" ca="1" si="812"/>
        <v>#VALUE!</v>
      </c>
      <c r="M1576" t="e">
        <f t="shared" ca="1" si="785"/>
        <v>#VALUE!</v>
      </c>
      <c r="N1576" t="e">
        <f t="shared" ca="1" si="786"/>
        <v>#VALUE!</v>
      </c>
      <c r="O1576" t="e">
        <f t="shared" ca="1" si="787"/>
        <v>#VALUE!</v>
      </c>
      <c r="P1576" t="e">
        <f t="shared" ca="1" si="788"/>
        <v>#VALUE!</v>
      </c>
      <c r="Q1576" t="e">
        <f t="shared" ca="1" si="789"/>
        <v>#VALUE!</v>
      </c>
      <c r="R1576" t="e">
        <f t="shared" ca="1" si="790"/>
        <v>#VALUE!</v>
      </c>
      <c r="S1576" t="e">
        <f t="shared" ca="1" si="791"/>
        <v>#VALUE!</v>
      </c>
      <c r="T1576" t="e">
        <f t="shared" ca="1" si="792"/>
        <v>#VALUE!</v>
      </c>
      <c r="U1576" t="e">
        <f t="shared" ca="1" si="813"/>
        <v>#VALUE!</v>
      </c>
      <c r="V1576" t="e">
        <f t="shared" ca="1" si="814"/>
        <v>#VALUE!</v>
      </c>
      <c r="W1576" t="e">
        <f t="shared" ca="1" si="793"/>
        <v>#VALUE!</v>
      </c>
      <c r="X1576" t="e">
        <f t="shared" ca="1" si="794"/>
        <v>#VALUE!</v>
      </c>
      <c r="Y1576" t="e">
        <f t="shared" ca="1" si="795"/>
        <v>#VALUE!</v>
      </c>
      <c r="Z1576" t="e">
        <f t="shared" ca="1" si="796"/>
        <v>#VALUE!</v>
      </c>
      <c r="AA1576" t="e">
        <f t="shared" ca="1" si="797"/>
        <v>#VALUE!</v>
      </c>
      <c r="AB1576" t="e">
        <f t="shared" ca="1" si="798"/>
        <v>#VALUE!</v>
      </c>
      <c r="AC1576" t="e">
        <f t="shared" ca="1" si="799"/>
        <v>#VALUE!</v>
      </c>
      <c r="AD1576" t="e">
        <f t="shared" ca="1" si="800"/>
        <v>#VALUE!</v>
      </c>
      <c r="AE1576" t="e">
        <f t="shared" ca="1" si="801"/>
        <v>#VALUE!</v>
      </c>
      <c r="AF1576" t="e">
        <f t="shared" ca="1" si="802"/>
        <v>#VALUE!</v>
      </c>
      <c r="AG1576" t="e">
        <f t="shared" ca="1" si="803"/>
        <v>#VALUE!</v>
      </c>
      <c r="AH1576" t="e">
        <f ca="1">IF(V34="Supercritical",L1576,IF(V34="Subcritical",W1576,IF(AND(V1576=1,AG1576=1),IF(T1576&gt;=AE1576,L1576,W1576),IF(V1576=1,L1576,IF(AG1576=1,W1576,MAX($D$16,POWER((ABS(K1576)^2)/($I$5*MAX(F1576,0.1)^2),1/3)))))))</f>
        <v>#VALUE!</v>
      </c>
      <c r="AI1576" t="e">
        <f t="shared" ca="1" si="804"/>
        <v>#VALUE!</v>
      </c>
      <c r="AJ1576" t="e">
        <f t="shared" ca="1" si="805"/>
        <v>#VALUE!</v>
      </c>
      <c r="AK1576">
        <v>635.5</v>
      </c>
      <c r="AM1576" t="e">
        <f t="shared" ca="1" si="816"/>
        <v>#VALUE!</v>
      </c>
      <c r="AN1576">
        <v>0</v>
      </c>
      <c r="AO1576" t="e">
        <f t="shared" ca="1" si="806"/>
        <v>#VALUE!</v>
      </c>
      <c r="AP1576" t="e">
        <f t="shared" ca="1" si="815"/>
        <v>#VALUE!</v>
      </c>
      <c r="AQ1576" t="e">
        <f t="shared" ca="1" si="807"/>
        <v>#VALUE!</v>
      </c>
      <c r="AR1576" t="e">
        <f t="shared" ca="1" si="808"/>
        <v>#VALUE!</v>
      </c>
      <c r="AS1576" t="e">
        <f t="shared" ca="1" si="809"/>
        <v>#VALUE!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191</v>
      </c>
      <c r="I1577">
        <v>0</v>
      </c>
      <c r="J1577">
        <f t="shared" si="810"/>
        <v>1</v>
      </c>
      <c r="K1577" t="e">
        <f t="shared" ca="1" si="811"/>
        <v>#VALUE!</v>
      </c>
      <c r="L1577" t="e">
        <f t="shared" ca="1" si="812"/>
        <v>#VALUE!</v>
      </c>
      <c r="M1577" t="e">
        <f t="shared" ca="1" si="785"/>
        <v>#VALUE!</v>
      </c>
      <c r="N1577" t="e">
        <f t="shared" ca="1" si="786"/>
        <v>#VALUE!</v>
      </c>
      <c r="O1577" t="e">
        <f t="shared" ca="1" si="787"/>
        <v>#VALUE!</v>
      </c>
      <c r="P1577" t="e">
        <f t="shared" ca="1" si="788"/>
        <v>#VALUE!</v>
      </c>
      <c r="Q1577" t="e">
        <f t="shared" ca="1" si="789"/>
        <v>#VALUE!</v>
      </c>
      <c r="R1577" t="e">
        <f t="shared" ca="1" si="790"/>
        <v>#VALUE!</v>
      </c>
      <c r="S1577" t="e">
        <f t="shared" ca="1" si="791"/>
        <v>#VALUE!</v>
      </c>
      <c r="T1577" t="e">
        <f t="shared" ca="1" si="792"/>
        <v>#VALUE!</v>
      </c>
      <c r="U1577" t="e">
        <f t="shared" ca="1" si="813"/>
        <v>#VALUE!</v>
      </c>
      <c r="V1577" t="e">
        <f t="shared" ca="1" si="814"/>
        <v>#VALUE!</v>
      </c>
      <c r="W1577" t="e">
        <f t="shared" ca="1" si="793"/>
        <v>#VALUE!</v>
      </c>
      <c r="X1577" t="e">
        <f t="shared" ca="1" si="794"/>
        <v>#VALUE!</v>
      </c>
      <c r="Y1577" t="e">
        <f t="shared" ca="1" si="795"/>
        <v>#VALUE!</v>
      </c>
      <c r="Z1577" t="e">
        <f t="shared" ca="1" si="796"/>
        <v>#VALUE!</v>
      </c>
      <c r="AA1577" t="e">
        <f t="shared" ca="1" si="797"/>
        <v>#VALUE!</v>
      </c>
      <c r="AB1577" t="e">
        <f t="shared" ca="1" si="798"/>
        <v>#VALUE!</v>
      </c>
      <c r="AC1577" t="e">
        <f t="shared" ca="1" si="799"/>
        <v>#VALUE!</v>
      </c>
      <c r="AD1577" t="e">
        <f t="shared" ca="1" si="800"/>
        <v>#VALUE!</v>
      </c>
      <c r="AE1577" t="e">
        <f t="shared" ca="1" si="801"/>
        <v>#VALUE!</v>
      </c>
      <c r="AF1577" t="e">
        <f t="shared" ca="1" si="802"/>
        <v>#VALUE!</v>
      </c>
      <c r="AG1577" t="e">
        <f t="shared" ca="1" si="803"/>
        <v>#VALUE!</v>
      </c>
      <c r="AH1577" t="e">
        <f ca="1">IF(V34="Supercritical",L1577,IF(V34="Subcritical",W1577,IF(AND(V1577=1,AG1577=1),IF(T1577&gt;=AE1577,L1577,W1577),IF(V1577=1,L1577,IF(AG1577=1,W1577,MAX($D$16,POWER((ABS(K1577)^2)/($I$5*MAX(F1577,0.1)^2),1/3)))))))</f>
        <v>#VALUE!</v>
      </c>
      <c r="AI1577" t="e">
        <f t="shared" ca="1" si="804"/>
        <v>#VALUE!</v>
      </c>
      <c r="AJ1577" t="e">
        <f t="shared" ca="1" si="805"/>
        <v>#VALUE!</v>
      </c>
      <c r="AK1577">
        <v>635.5</v>
      </c>
      <c r="AM1577" t="e">
        <f t="shared" ca="1" si="816"/>
        <v>#VALUE!</v>
      </c>
      <c r="AN1577">
        <v>0</v>
      </c>
      <c r="AO1577" t="e">
        <f t="shared" ca="1" si="806"/>
        <v>#VALUE!</v>
      </c>
      <c r="AP1577" t="e">
        <f t="shared" ca="1" si="815"/>
        <v>#VALUE!</v>
      </c>
      <c r="AQ1577" t="e">
        <f t="shared" ca="1" si="807"/>
        <v>#VALUE!</v>
      </c>
      <c r="AR1577" t="e">
        <f t="shared" ca="1" si="808"/>
        <v>#VALUE!</v>
      </c>
      <c r="AS1577" t="e">
        <f t="shared" ca="1" si="809"/>
        <v>#VALUE!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191</v>
      </c>
      <c r="I1578">
        <v>0</v>
      </c>
      <c r="J1578">
        <f t="shared" si="810"/>
        <v>1</v>
      </c>
      <c r="K1578" t="e">
        <f t="shared" ca="1" si="811"/>
        <v>#VALUE!</v>
      </c>
      <c r="L1578" t="e">
        <f t="shared" ca="1" si="812"/>
        <v>#VALUE!</v>
      </c>
      <c r="M1578" t="e">
        <f t="shared" ca="1" si="785"/>
        <v>#VALUE!</v>
      </c>
      <c r="N1578" t="e">
        <f t="shared" ca="1" si="786"/>
        <v>#VALUE!</v>
      </c>
      <c r="O1578" t="e">
        <f t="shared" ca="1" si="787"/>
        <v>#VALUE!</v>
      </c>
      <c r="P1578" t="e">
        <f t="shared" ca="1" si="788"/>
        <v>#VALUE!</v>
      </c>
      <c r="Q1578" t="e">
        <f t="shared" ca="1" si="789"/>
        <v>#VALUE!</v>
      </c>
      <c r="R1578" t="e">
        <f t="shared" ca="1" si="790"/>
        <v>#VALUE!</v>
      </c>
      <c r="S1578" t="e">
        <f t="shared" ca="1" si="791"/>
        <v>#VALUE!</v>
      </c>
      <c r="T1578" t="e">
        <f t="shared" ca="1" si="792"/>
        <v>#VALUE!</v>
      </c>
      <c r="U1578" t="e">
        <f t="shared" ca="1" si="813"/>
        <v>#VALUE!</v>
      </c>
      <c r="V1578" t="e">
        <f t="shared" ca="1" si="814"/>
        <v>#VALUE!</v>
      </c>
      <c r="W1578" t="e">
        <f t="shared" ca="1" si="793"/>
        <v>#VALUE!</v>
      </c>
      <c r="X1578" t="e">
        <f t="shared" ca="1" si="794"/>
        <v>#VALUE!</v>
      </c>
      <c r="Y1578" t="e">
        <f t="shared" ca="1" si="795"/>
        <v>#VALUE!</v>
      </c>
      <c r="Z1578" t="e">
        <f t="shared" ca="1" si="796"/>
        <v>#VALUE!</v>
      </c>
      <c r="AA1578" t="e">
        <f t="shared" ca="1" si="797"/>
        <v>#VALUE!</v>
      </c>
      <c r="AB1578" t="e">
        <f t="shared" ca="1" si="798"/>
        <v>#VALUE!</v>
      </c>
      <c r="AC1578" t="e">
        <f t="shared" ca="1" si="799"/>
        <v>#VALUE!</v>
      </c>
      <c r="AD1578" t="e">
        <f t="shared" ca="1" si="800"/>
        <v>#VALUE!</v>
      </c>
      <c r="AE1578" t="e">
        <f t="shared" ca="1" si="801"/>
        <v>#VALUE!</v>
      </c>
      <c r="AF1578" t="e">
        <f t="shared" ca="1" si="802"/>
        <v>#VALUE!</v>
      </c>
      <c r="AG1578" t="e">
        <f t="shared" ca="1" si="803"/>
        <v>#VALUE!</v>
      </c>
      <c r="AH1578" t="e">
        <f ca="1">IF(V34="Supercritical",L1578,IF(V34="Subcritical",W1578,IF(AND(V1578=1,AG1578=1),IF(T1578&gt;=AE1578,L1578,W1578),IF(V1578=1,L1578,IF(AG1578=1,W1578,MAX($D$16,POWER((ABS(K1578)^2)/($I$5*MAX(F1578,0.1)^2),1/3)))))))</f>
        <v>#VALUE!</v>
      </c>
      <c r="AI1578" t="e">
        <f t="shared" ca="1" si="804"/>
        <v>#VALUE!</v>
      </c>
      <c r="AJ1578" t="e">
        <f t="shared" ca="1" si="805"/>
        <v>#VALUE!</v>
      </c>
      <c r="AK1578">
        <v>635.5</v>
      </c>
      <c r="AM1578" t="e">
        <f t="shared" ca="1" si="816"/>
        <v>#VALUE!</v>
      </c>
      <c r="AN1578">
        <v>0</v>
      </c>
      <c r="AO1578" t="e">
        <f t="shared" ca="1" si="806"/>
        <v>#VALUE!</v>
      </c>
      <c r="AP1578" t="e">
        <f t="shared" ca="1" si="815"/>
        <v>#VALUE!</v>
      </c>
      <c r="AQ1578" t="e">
        <f t="shared" ca="1" si="807"/>
        <v>#VALUE!</v>
      </c>
      <c r="AR1578" t="e">
        <f t="shared" ca="1" si="808"/>
        <v>#VALUE!</v>
      </c>
      <c r="AS1578" t="e">
        <f t="shared" ca="1" si="809"/>
        <v>#VALUE!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191</v>
      </c>
      <c r="I1579">
        <v>0</v>
      </c>
      <c r="J1579">
        <f t="shared" si="810"/>
        <v>1</v>
      </c>
      <c r="K1579" t="e">
        <f t="shared" ca="1" si="811"/>
        <v>#VALUE!</v>
      </c>
      <c r="L1579" t="e">
        <f t="shared" ca="1" si="812"/>
        <v>#VALUE!</v>
      </c>
      <c r="M1579" t="e">
        <f t="shared" ca="1" si="785"/>
        <v>#VALUE!</v>
      </c>
      <c r="N1579" t="e">
        <f t="shared" ca="1" si="786"/>
        <v>#VALUE!</v>
      </c>
      <c r="O1579" t="e">
        <f t="shared" ca="1" si="787"/>
        <v>#VALUE!</v>
      </c>
      <c r="P1579" t="e">
        <f t="shared" ca="1" si="788"/>
        <v>#VALUE!</v>
      </c>
      <c r="Q1579" t="e">
        <f t="shared" ca="1" si="789"/>
        <v>#VALUE!</v>
      </c>
      <c r="R1579" t="e">
        <f t="shared" ca="1" si="790"/>
        <v>#VALUE!</v>
      </c>
      <c r="S1579" t="e">
        <f t="shared" ca="1" si="791"/>
        <v>#VALUE!</v>
      </c>
      <c r="T1579" t="e">
        <f t="shared" ca="1" si="792"/>
        <v>#VALUE!</v>
      </c>
      <c r="U1579" t="e">
        <f t="shared" ca="1" si="813"/>
        <v>#VALUE!</v>
      </c>
      <c r="V1579" t="e">
        <f t="shared" ca="1" si="814"/>
        <v>#VALUE!</v>
      </c>
      <c r="W1579" t="e">
        <f t="shared" ca="1" si="793"/>
        <v>#VALUE!</v>
      </c>
      <c r="X1579" t="e">
        <f t="shared" ca="1" si="794"/>
        <v>#VALUE!</v>
      </c>
      <c r="Y1579" t="e">
        <f t="shared" ca="1" si="795"/>
        <v>#VALUE!</v>
      </c>
      <c r="Z1579" t="e">
        <f t="shared" ca="1" si="796"/>
        <v>#VALUE!</v>
      </c>
      <c r="AA1579" t="e">
        <f t="shared" ca="1" si="797"/>
        <v>#VALUE!</v>
      </c>
      <c r="AB1579" t="e">
        <f t="shared" ca="1" si="798"/>
        <v>#VALUE!</v>
      </c>
      <c r="AC1579" t="e">
        <f t="shared" ca="1" si="799"/>
        <v>#VALUE!</v>
      </c>
      <c r="AD1579" t="e">
        <f t="shared" ca="1" si="800"/>
        <v>#VALUE!</v>
      </c>
      <c r="AE1579" t="e">
        <f t="shared" ca="1" si="801"/>
        <v>#VALUE!</v>
      </c>
      <c r="AF1579" t="e">
        <f t="shared" ca="1" si="802"/>
        <v>#VALUE!</v>
      </c>
      <c r="AG1579" t="e">
        <f t="shared" ca="1" si="803"/>
        <v>#VALUE!</v>
      </c>
      <c r="AH1579" t="e">
        <f ca="1">IF(V34="Supercritical",L1579,IF(V34="Subcritical",W1579,IF(AND(V1579=1,AG1579=1),IF(T1579&gt;=AE1579,L1579,W1579),IF(V1579=1,L1579,IF(AG1579=1,W1579,MAX($D$16,POWER((ABS(K1579)^2)/($I$5*MAX(F1579,0.1)^2),1/3)))))))</f>
        <v>#VALUE!</v>
      </c>
      <c r="AI1579" t="e">
        <f t="shared" ca="1" si="804"/>
        <v>#VALUE!</v>
      </c>
      <c r="AJ1579" t="e">
        <f t="shared" ca="1" si="805"/>
        <v>#VALUE!</v>
      </c>
      <c r="AK1579">
        <v>635.5</v>
      </c>
      <c r="AM1579" t="e">
        <f t="shared" ca="1" si="816"/>
        <v>#VALUE!</v>
      </c>
      <c r="AN1579">
        <v>0</v>
      </c>
      <c r="AO1579" t="e">
        <f t="shared" ca="1" si="806"/>
        <v>#VALUE!</v>
      </c>
      <c r="AP1579" t="e">
        <f t="shared" ca="1" si="815"/>
        <v>#VALUE!</v>
      </c>
      <c r="AQ1579" t="e">
        <f t="shared" ca="1" si="807"/>
        <v>#VALUE!</v>
      </c>
      <c r="AR1579" t="e">
        <f t="shared" ca="1" si="808"/>
        <v>#VALUE!</v>
      </c>
      <c r="AS1579" t="e">
        <f t="shared" ca="1" si="809"/>
        <v>#VALUE!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191</v>
      </c>
      <c r="I1580">
        <v>0</v>
      </c>
      <c r="J1580">
        <f t="shared" si="810"/>
        <v>1</v>
      </c>
      <c r="K1580" t="e">
        <f t="shared" ca="1" si="811"/>
        <v>#VALUE!</v>
      </c>
      <c r="L1580" t="e">
        <f t="shared" ca="1" si="812"/>
        <v>#VALUE!</v>
      </c>
      <c r="M1580" t="e">
        <f t="shared" ca="1" si="785"/>
        <v>#VALUE!</v>
      </c>
      <c r="N1580" t="e">
        <f t="shared" ca="1" si="786"/>
        <v>#VALUE!</v>
      </c>
      <c r="O1580" t="e">
        <f t="shared" ca="1" si="787"/>
        <v>#VALUE!</v>
      </c>
      <c r="P1580" t="e">
        <f t="shared" ca="1" si="788"/>
        <v>#VALUE!</v>
      </c>
      <c r="Q1580" t="e">
        <f t="shared" ca="1" si="789"/>
        <v>#VALUE!</v>
      </c>
      <c r="R1580" t="e">
        <f t="shared" ca="1" si="790"/>
        <v>#VALUE!</v>
      </c>
      <c r="S1580" t="e">
        <f t="shared" ca="1" si="791"/>
        <v>#VALUE!</v>
      </c>
      <c r="T1580" t="e">
        <f t="shared" ca="1" si="792"/>
        <v>#VALUE!</v>
      </c>
      <c r="U1580" t="e">
        <f t="shared" ca="1" si="813"/>
        <v>#VALUE!</v>
      </c>
      <c r="V1580" t="e">
        <f t="shared" ca="1" si="814"/>
        <v>#VALUE!</v>
      </c>
      <c r="W1580" t="e">
        <f t="shared" ca="1" si="793"/>
        <v>#VALUE!</v>
      </c>
      <c r="X1580" t="e">
        <f t="shared" ca="1" si="794"/>
        <v>#VALUE!</v>
      </c>
      <c r="Y1580" t="e">
        <f t="shared" ca="1" si="795"/>
        <v>#VALUE!</v>
      </c>
      <c r="Z1580" t="e">
        <f t="shared" ca="1" si="796"/>
        <v>#VALUE!</v>
      </c>
      <c r="AA1580" t="e">
        <f t="shared" ca="1" si="797"/>
        <v>#VALUE!</v>
      </c>
      <c r="AB1580" t="e">
        <f t="shared" ca="1" si="798"/>
        <v>#VALUE!</v>
      </c>
      <c r="AC1580" t="e">
        <f t="shared" ca="1" si="799"/>
        <v>#VALUE!</v>
      </c>
      <c r="AD1580" t="e">
        <f t="shared" ca="1" si="800"/>
        <v>#VALUE!</v>
      </c>
      <c r="AE1580" t="e">
        <f t="shared" ca="1" si="801"/>
        <v>#VALUE!</v>
      </c>
      <c r="AF1580" t="e">
        <f t="shared" ca="1" si="802"/>
        <v>#VALUE!</v>
      </c>
      <c r="AG1580" t="e">
        <f t="shared" ca="1" si="803"/>
        <v>#VALUE!</v>
      </c>
      <c r="AH1580" t="e">
        <f ca="1">IF(V34="Supercritical",L1580,IF(V34="Subcritical",W1580,IF(AND(V1580=1,AG1580=1),IF(T1580&gt;=AE1580,L1580,W1580),IF(V1580=1,L1580,IF(AG1580=1,W1580,MAX($D$16,POWER((ABS(K1580)^2)/($I$5*MAX(F1580,0.1)^2),1/3)))))))</f>
        <v>#VALUE!</v>
      </c>
      <c r="AI1580" t="e">
        <f t="shared" ca="1" si="804"/>
        <v>#VALUE!</v>
      </c>
      <c r="AJ1580" t="e">
        <f t="shared" ca="1" si="805"/>
        <v>#VALUE!</v>
      </c>
      <c r="AK1580">
        <v>635.5</v>
      </c>
      <c r="AM1580" t="e">
        <f t="shared" ca="1" si="816"/>
        <v>#VALUE!</v>
      </c>
      <c r="AN1580">
        <v>0</v>
      </c>
      <c r="AO1580" t="e">
        <f t="shared" ca="1" si="806"/>
        <v>#VALUE!</v>
      </c>
      <c r="AP1580" t="e">
        <f t="shared" ca="1" si="815"/>
        <v>#VALUE!</v>
      </c>
      <c r="AQ1580" t="e">
        <f t="shared" ca="1" si="807"/>
        <v>#VALUE!</v>
      </c>
      <c r="AR1580" t="e">
        <f t="shared" ca="1" si="808"/>
        <v>#VALUE!</v>
      </c>
      <c r="AS1580" t="e">
        <f t="shared" ca="1" si="809"/>
        <v>#VALUE!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191</v>
      </c>
      <c r="I1581">
        <v>0</v>
      </c>
      <c r="J1581">
        <f t="shared" si="810"/>
        <v>1</v>
      </c>
      <c r="K1581" t="e">
        <f t="shared" ca="1" si="811"/>
        <v>#VALUE!</v>
      </c>
      <c r="L1581" t="e">
        <f t="shared" ca="1" si="812"/>
        <v>#VALUE!</v>
      </c>
      <c r="M1581" t="e">
        <f t="shared" ca="1" si="785"/>
        <v>#VALUE!</v>
      </c>
      <c r="N1581" t="e">
        <f t="shared" ca="1" si="786"/>
        <v>#VALUE!</v>
      </c>
      <c r="O1581" t="e">
        <f t="shared" ca="1" si="787"/>
        <v>#VALUE!</v>
      </c>
      <c r="P1581" t="e">
        <f t="shared" ca="1" si="788"/>
        <v>#VALUE!</v>
      </c>
      <c r="Q1581" t="e">
        <f t="shared" ca="1" si="789"/>
        <v>#VALUE!</v>
      </c>
      <c r="R1581" t="e">
        <f t="shared" ca="1" si="790"/>
        <v>#VALUE!</v>
      </c>
      <c r="S1581" t="e">
        <f t="shared" ca="1" si="791"/>
        <v>#VALUE!</v>
      </c>
      <c r="T1581" t="e">
        <f t="shared" ca="1" si="792"/>
        <v>#VALUE!</v>
      </c>
      <c r="U1581" t="e">
        <f t="shared" ca="1" si="813"/>
        <v>#VALUE!</v>
      </c>
      <c r="V1581" t="e">
        <f t="shared" ca="1" si="814"/>
        <v>#VALUE!</v>
      </c>
      <c r="W1581" t="e">
        <f t="shared" ca="1" si="793"/>
        <v>#VALUE!</v>
      </c>
      <c r="X1581" t="e">
        <f t="shared" ca="1" si="794"/>
        <v>#VALUE!</v>
      </c>
      <c r="Y1581" t="e">
        <f t="shared" ca="1" si="795"/>
        <v>#VALUE!</v>
      </c>
      <c r="Z1581" t="e">
        <f t="shared" ca="1" si="796"/>
        <v>#VALUE!</v>
      </c>
      <c r="AA1581" t="e">
        <f t="shared" ca="1" si="797"/>
        <v>#VALUE!</v>
      </c>
      <c r="AB1581" t="e">
        <f t="shared" ca="1" si="798"/>
        <v>#VALUE!</v>
      </c>
      <c r="AC1581" t="e">
        <f t="shared" ca="1" si="799"/>
        <v>#VALUE!</v>
      </c>
      <c r="AD1581" t="e">
        <f t="shared" ca="1" si="800"/>
        <v>#VALUE!</v>
      </c>
      <c r="AE1581" t="e">
        <f t="shared" ca="1" si="801"/>
        <v>#VALUE!</v>
      </c>
      <c r="AF1581" t="e">
        <f t="shared" ca="1" si="802"/>
        <v>#VALUE!</v>
      </c>
      <c r="AG1581" t="e">
        <f t="shared" ca="1" si="803"/>
        <v>#VALUE!</v>
      </c>
      <c r="AH1581" t="e">
        <f ca="1">IF(V34="Supercritical",L1581,IF(V34="Subcritical",W1581,IF(AND(V1581=1,AG1581=1),IF(T1581&gt;=AE1581,L1581,W1581),IF(V1581=1,L1581,IF(AG1581=1,W1581,MAX($D$16,POWER((ABS(K1581)^2)/($I$5*MAX(F1581,0.1)^2),1/3)))))))</f>
        <v>#VALUE!</v>
      </c>
      <c r="AI1581" t="e">
        <f t="shared" ca="1" si="804"/>
        <v>#VALUE!</v>
      </c>
      <c r="AJ1581" t="e">
        <f t="shared" ca="1" si="805"/>
        <v>#VALUE!</v>
      </c>
      <c r="AK1581">
        <v>635.5</v>
      </c>
      <c r="AM1581" t="e">
        <f t="shared" ca="1" si="816"/>
        <v>#VALUE!</v>
      </c>
      <c r="AN1581">
        <v>0</v>
      </c>
      <c r="AO1581" t="e">
        <f t="shared" ca="1" si="806"/>
        <v>#VALUE!</v>
      </c>
      <c r="AP1581" t="e">
        <f t="shared" ca="1" si="815"/>
        <v>#VALUE!</v>
      </c>
      <c r="AQ1581" t="e">
        <f t="shared" ca="1" si="807"/>
        <v>#VALUE!</v>
      </c>
      <c r="AR1581" t="e">
        <f t="shared" ca="1" si="808"/>
        <v>#VALUE!</v>
      </c>
      <c r="AS1581" t="e">
        <f t="shared" ca="1" si="809"/>
        <v>#VALUE!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191</v>
      </c>
      <c r="I1582">
        <v>0</v>
      </c>
      <c r="J1582">
        <f t="shared" si="810"/>
        <v>1</v>
      </c>
      <c r="K1582" t="e">
        <f t="shared" ca="1" si="811"/>
        <v>#VALUE!</v>
      </c>
      <c r="L1582" t="e">
        <f t="shared" ca="1" si="812"/>
        <v>#VALUE!</v>
      </c>
      <c r="M1582" t="e">
        <f t="shared" ca="1" si="785"/>
        <v>#VALUE!</v>
      </c>
      <c r="N1582" t="e">
        <f t="shared" ca="1" si="786"/>
        <v>#VALUE!</v>
      </c>
      <c r="O1582" t="e">
        <f t="shared" ca="1" si="787"/>
        <v>#VALUE!</v>
      </c>
      <c r="P1582" t="e">
        <f t="shared" ca="1" si="788"/>
        <v>#VALUE!</v>
      </c>
      <c r="Q1582" t="e">
        <f t="shared" ca="1" si="789"/>
        <v>#VALUE!</v>
      </c>
      <c r="R1582" t="e">
        <f t="shared" ca="1" si="790"/>
        <v>#VALUE!</v>
      </c>
      <c r="S1582" t="e">
        <f t="shared" ca="1" si="791"/>
        <v>#VALUE!</v>
      </c>
      <c r="T1582" t="e">
        <f t="shared" ca="1" si="792"/>
        <v>#VALUE!</v>
      </c>
      <c r="U1582" t="e">
        <f t="shared" ca="1" si="813"/>
        <v>#VALUE!</v>
      </c>
      <c r="V1582" t="e">
        <f t="shared" ca="1" si="814"/>
        <v>#VALUE!</v>
      </c>
      <c r="W1582" t="e">
        <f t="shared" ca="1" si="793"/>
        <v>#VALUE!</v>
      </c>
      <c r="X1582" t="e">
        <f t="shared" ca="1" si="794"/>
        <v>#VALUE!</v>
      </c>
      <c r="Y1582" t="e">
        <f t="shared" ca="1" si="795"/>
        <v>#VALUE!</v>
      </c>
      <c r="Z1582" t="e">
        <f t="shared" ca="1" si="796"/>
        <v>#VALUE!</v>
      </c>
      <c r="AA1582" t="e">
        <f t="shared" ca="1" si="797"/>
        <v>#VALUE!</v>
      </c>
      <c r="AB1582" t="e">
        <f t="shared" ca="1" si="798"/>
        <v>#VALUE!</v>
      </c>
      <c r="AC1582" t="e">
        <f t="shared" ca="1" si="799"/>
        <v>#VALUE!</v>
      </c>
      <c r="AD1582" t="e">
        <f t="shared" ca="1" si="800"/>
        <v>#VALUE!</v>
      </c>
      <c r="AE1582" t="e">
        <f t="shared" ca="1" si="801"/>
        <v>#VALUE!</v>
      </c>
      <c r="AF1582" t="e">
        <f t="shared" ca="1" si="802"/>
        <v>#VALUE!</v>
      </c>
      <c r="AG1582" t="e">
        <f t="shared" ca="1" si="803"/>
        <v>#VALUE!</v>
      </c>
      <c r="AH1582" t="e">
        <f ca="1">IF(V34="Supercritical",L1582,IF(V34="Subcritical",W1582,IF(AND(V1582=1,AG1582=1),IF(T1582&gt;=AE1582,L1582,W1582),IF(V1582=1,L1582,IF(AG1582=1,W1582,MAX($D$16,POWER((ABS(K1582)^2)/($I$5*MAX(F1582,0.1)^2),1/3)))))))</f>
        <v>#VALUE!</v>
      </c>
      <c r="AI1582" t="e">
        <f t="shared" ca="1" si="804"/>
        <v>#VALUE!</v>
      </c>
      <c r="AJ1582" t="e">
        <f t="shared" ca="1" si="805"/>
        <v>#VALUE!</v>
      </c>
      <c r="AK1582">
        <v>635.5</v>
      </c>
      <c r="AM1582" t="e">
        <f t="shared" ca="1" si="816"/>
        <v>#VALUE!</v>
      </c>
      <c r="AN1582">
        <v>0</v>
      </c>
      <c r="AO1582" t="e">
        <f t="shared" ca="1" si="806"/>
        <v>#VALUE!</v>
      </c>
      <c r="AP1582" t="e">
        <f t="shared" ca="1" si="815"/>
        <v>#VALUE!</v>
      </c>
      <c r="AQ1582" t="e">
        <f t="shared" ca="1" si="807"/>
        <v>#VALUE!</v>
      </c>
      <c r="AR1582" t="e">
        <f t="shared" ca="1" si="808"/>
        <v>#VALUE!</v>
      </c>
      <c r="AS1582" t="e">
        <f t="shared" ca="1" si="809"/>
        <v>#VALUE!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191</v>
      </c>
      <c r="I1583">
        <v>0</v>
      </c>
      <c r="J1583">
        <f t="shared" si="810"/>
        <v>1</v>
      </c>
      <c r="K1583" t="e">
        <f t="shared" ca="1" si="811"/>
        <v>#VALUE!</v>
      </c>
      <c r="L1583" t="e">
        <f t="shared" ca="1" si="812"/>
        <v>#VALUE!</v>
      </c>
      <c r="M1583" t="e">
        <f t="shared" ca="1" si="785"/>
        <v>#VALUE!</v>
      </c>
      <c r="N1583" t="e">
        <f t="shared" ca="1" si="786"/>
        <v>#VALUE!</v>
      </c>
      <c r="O1583" t="e">
        <f t="shared" ca="1" si="787"/>
        <v>#VALUE!</v>
      </c>
      <c r="P1583" t="e">
        <f t="shared" ca="1" si="788"/>
        <v>#VALUE!</v>
      </c>
      <c r="Q1583" t="e">
        <f t="shared" ca="1" si="789"/>
        <v>#VALUE!</v>
      </c>
      <c r="R1583" t="e">
        <f t="shared" ca="1" si="790"/>
        <v>#VALUE!</v>
      </c>
      <c r="S1583" t="e">
        <f t="shared" ca="1" si="791"/>
        <v>#VALUE!</v>
      </c>
      <c r="T1583" t="e">
        <f t="shared" ca="1" si="792"/>
        <v>#VALUE!</v>
      </c>
      <c r="U1583" t="e">
        <f t="shared" ca="1" si="813"/>
        <v>#VALUE!</v>
      </c>
      <c r="V1583" t="e">
        <f t="shared" ca="1" si="814"/>
        <v>#VALUE!</v>
      </c>
      <c r="W1583" t="e">
        <f t="shared" ca="1" si="793"/>
        <v>#VALUE!</v>
      </c>
      <c r="X1583" t="e">
        <f t="shared" ca="1" si="794"/>
        <v>#VALUE!</v>
      </c>
      <c r="Y1583" t="e">
        <f t="shared" ca="1" si="795"/>
        <v>#VALUE!</v>
      </c>
      <c r="Z1583" t="e">
        <f t="shared" ca="1" si="796"/>
        <v>#VALUE!</v>
      </c>
      <c r="AA1583" t="e">
        <f t="shared" ca="1" si="797"/>
        <v>#VALUE!</v>
      </c>
      <c r="AB1583" t="e">
        <f t="shared" ca="1" si="798"/>
        <v>#VALUE!</v>
      </c>
      <c r="AC1583" t="e">
        <f t="shared" ca="1" si="799"/>
        <v>#VALUE!</v>
      </c>
      <c r="AD1583" t="e">
        <f t="shared" ca="1" si="800"/>
        <v>#VALUE!</v>
      </c>
      <c r="AE1583" t="e">
        <f t="shared" ca="1" si="801"/>
        <v>#VALUE!</v>
      </c>
      <c r="AF1583" t="e">
        <f t="shared" ca="1" si="802"/>
        <v>#VALUE!</v>
      </c>
      <c r="AG1583" t="e">
        <f t="shared" ca="1" si="803"/>
        <v>#VALUE!</v>
      </c>
      <c r="AH1583" t="e">
        <f ca="1">IF(V34="Supercritical",L1583,IF(V34="Subcritical",W1583,IF(AND(V1583=1,AG1583=1),IF(T1583&gt;=AE1583,L1583,W1583),IF(V1583=1,L1583,IF(AG1583=1,W1583,MAX($D$16,POWER((ABS(K1583)^2)/($I$5*MAX(F1583,0.1)^2),1/3)))))))</f>
        <v>#VALUE!</v>
      </c>
      <c r="AI1583" t="e">
        <f t="shared" ca="1" si="804"/>
        <v>#VALUE!</v>
      </c>
      <c r="AJ1583" t="e">
        <f t="shared" ca="1" si="805"/>
        <v>#VALUE!</v>
      </c>
      <c r="AK1583">
        <v>635.5</v>
      </c>
      <c r="AM1583" t="e">
        <f t="shared" ca="1" si="816"/>
        <v>#VALUE!</v>
      </c>
      <c r="AN1583">
        <v>0</v>
      </c>
      <c r="AO1583" t="e">
        <f t="shared" ca="1" si="806"/>
        <v>#VALUE!</v>
      </c>
      <c r="AP1583" t="e">
        <f t="shared" ca="1" si="815"/>
        <v>#VALUE!</v>
      </c>
      <c r="AQ1583" t="e">
        <f t="shared" ca="1" si="807"/>
        <v>#VALUE!</v>
      </c>
      <c r="AR1583" t="e">
        <f t="shared" ca="1" si="808"/>
        <v>#VALUE!</v>
      </c>
      <c r="AS1583" t="e">
        <f t="shared" ca="1" si="809"/>
        <v>#VALUE!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191</v>
      </c>
      <c r="I1584">
        <v>0</v>
      </c>
      <c r="J1584">
        <f t="shared" si="810"/>
        <v>1</v>
      </c>
      <c r="K1584" t="e">
        <f t="shared" ca="1" si="811"/>
        <v>#VALUE!</v>
      </c>
      <c r="L1584" t="e">
        <f t="shared" ca="1" si="812"/>
        <v>#VALUE!</v>
      </c>
      <c r="M1584" t="e">
        <f t="shared" ca="1" si="785"/>
        <v>#VALUE!</v>
      </c>
      <c r="N1584" t="e">
        <f t="shared" ca="1" si="786"/>
        <v>#VALUE!</v>
      </c>
      <c r="O1584" t="e">
        <f t="shared" ca="1" si="787"/>
        <v>#VALUE!</v>
      </c>
      <c r="P1584" t="e">
        <f t="shared" ca="1" si="788"/>
        <v>#VALUE!</v>
      </c>
      <c r="Q1584" t="e">
        <f t="shared" ca="1" si="789"/>
        <v>#VALUE!</v>
      </c>
      <c r="R1584" t="e">
        <f t="shared" ca="1" si="790"/>
        <v>#VALUE!</v>
      </c>
      <c r="S1584" t="e">
        <f t="shared" ca="1" si="791"/>
        <v>#VALUE!</v>
      </c>
      <c r="T1584" t="e">
        <f t="shared" ca="1" si="792"/>
        <v>#VALUE!</v>
      </c>
      <c r="U1584" t="e">
        <f t="shared" ca="1" si="813"/>
        <v>#VALUE!</v>
      </c>
      <c r="V1584" t="e">
        <f t="shared" ca="1" si="814"/>
        <v>#VALUE!</v>
      </c>
      <c r="W1584" t="e">
        <f t="shared" ca="1" si="793"/>
        <v>#VALUE!</v>
      </c>
      <c r="X1584" t="e">
        <f t="shared" ca="1" si="794"/>
        <v>#VALUE!</v>
      </c>
      <c r="Y1584" t="e">
        <f t="shared" ca="1" si="795"/>
        <v>#VALUE!</v>
      </c>
      <c r="Z1584" t="e">
        <f t="shared" ca="1" si="796"/>
        <v>#VALUE!</v>
      </c>
      <c r="AA1584" t="e">
        <f t="shared" ca="1" si="797"/>
        <v>#VALUE!</v>
      </c>
      <c r="AB1584" t="e">
        <f t="shared" ca="1" si="798"/>
        <v>#VALUE!</v>
      </c>
      <c r="AC1584" t="e">
        <f t="shared" ca="1" si="799"/>
        <v>#VALUE!</v>
      </c>
      <c r="AD1584" t="e">
        <f t="shared" ca="1" si="800"/>
        <v>#VALUE!</v>
      </c>
      <c r="AE1584" t="e">
        <f t="shared" ca="1" si="801"/>
        <v>#VALUE!</v>
      </c>
      <c r="AF1584" t="e">
        <f t="shared" ca="1" si="802"/>
        <v>#VALUE!</v>
      </c>
      <c r="AG1584" t="e">
        <f t="shared" ca="1" si="803"/>
        <v>#VALUE!</v>
      </c>
      <c r="AH1584" t="e">
        <f ca="1">IF(V34="Supercritical",L1584,IF(V34="Subcritical",W1584,IF(AND(V1584=1,AG1584=1),IF(T1584&gt;=AE1584,L1584,W1584),IF(V1584=1,L1584,IF(AG1584=1,W1584,MAX($D$16,POWER((ABS(K1584)^2)/($I$5*MAX(F1584,0.1)^2),1/3)))))))</f>
        <v>#VALUE!</v>
      </c>
      <c r="AI1584" t="e">
        <f t="shared" ca="1" si="804"/>
        <v>#VALUE!</v>
      </c>
      <c r="AJ1584" t="e">
        <f t="shared" ca="1" si="805"/>
        <v>#VALUE!</v>
      </c>
      <c r="AK1584">
        <v>635.5</v>
      </c>
      <c r="AM1584" t="e">
        <f t="shared" ca="1" si="816"/>
        <v>#VALUE!</v>
      </c>
      <c r="AN1584">
        <v>0</v>
      </c>
      <c r="AO1584" t="e">
        <f t="shared" ca="1" si="806"/>
        <v>#VALUE!</v>
      </c>
      <c r="AP1584" t="e">
        <f t="shared" ca="1" si="815"/>
        <v>#VALUE!</v>
      </c>
      <c r="AQ1584" t="e">
        <f t="shared" ca="1" si="807"/>
        <v>#VALUE!</v>
      </c>
      <c r="AR1584" t="e">
        <f t="shared" ca="1" si="808"/>
        <v>#VALUE!</v>
      </c>
      <c r="AS1584" t="e">
        <f t="shared" ca="1" si="809"/>
        <v>#VALUE!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191</v>
      </c>
      <c r="I1585">
        <v>0</v>
      </c>
      <c r="J1585">
        <f t="shared" si="810"/>
        <v>1</v>
      </c>
      <c r="K1585" t="e">
        <f t="shared" ca="1" si="811"/>
        <v>#VALUE!</v>
      </c>
      <c r="L1585" t="e">
        <f t="shared" ca="1" si="812"/>
        <v>#VALUE!</v>
      </c>
      <c r="M1585" t="e">
        <f t="shared" ca="1" si="785"/>
        <v>#VALUE!</v>
      </c>
      <c r="N1585" t="e">
        <f t="shared" ca="1" si="786"/>
        <v>#VALUE!</v>
      </c>
      <c r="O1585" t="e">
        <f t="shared" ca="1" si="787"/>
        <v>#VALUE!</v>
      </c>
      <c r="P1585" t="e">
        <f t="shared" ca="1" si="788"/>
        <v>#VALUE!</v>
      </c>
      <c r="Q1585" t="e">
        <f t="shared" ca="1" si="789"/>
        <v>#VALUE!</v>
      </c>
      <c r="R1585" t="e">
        <f t="shared" ca="1" si="790"/>
        <v>#VALUE!</v>
      </c>
      <c r="S1585" t="e">
        <f t="shared" ca="1" si="791"/>
        <v>#VALUE!</v>
      </c>
      <c r="T1585" t="e">
        <f t="shared" ca="1" si="792"/>
        <v>#VALUE!</v>
      </c>
      <c r="U1585" t="e">
        <f t="shared" ca="1" si="813"/>
        <v>#VALUE!</v>
      </c>
      <c r="V1585" t="e">
        <f t="shared" ca="1" si="814"/>
        <v>#VALUE!</v>
      </c>
      <c r="W1585" t="e">
        <f t="shared" ca="1" si="793"/>
        <v>#VALUE!</v>
      </c>
      <c r="X1585" t="e">
        <f t="shared" ca="1" si="794"/>
        <v>#VALUE!</v>
      </c>
      <c r="Y1585" t="e">
        <f t="shared" ca="1" si="795"/>
        <v>#VALUE!</v>
      </c>
      <c r="Z1585" t="e">
        <f t="shared" ca="1" si="796"/>
        <v>#VALUE!</v>
      </c>
      <c r="AA1585" t="e">
        <f t="shared" ca="1" si="797"/>
        <v>#VALUE!</v>
      </c>
      <c r="AB1585" t="e">
        <f t="shared" ca="1" si="798"/>
        <v>#VALUE!</v>
      </c>
      <c r="AC1585" t="e">
        <f t="shared" ca="1" si="799"/>
        <v>#VALUE!</v>
      </c>
      <c r="AD1585" t="e">
        <f t="shared" ca="1" si="800"/>
        <v>#VALUE!</v>
      </c>
      <c r="AE1585" t="e">
        <f t="shared" ca="1" si="801"/>
        <v>#VALUE!</v>
      </c>
      <c r="AF1585" t="e">
        <f t="shared" ca="1" si="802"/>
        <v>#VALUE!</v>
      </c>
      <c r="AG1585" t="e">
        <f t="shared" ca="1" si="803"/>
        <v>#VALUE!</v>
      </c>
      <c r="AH1585" t="e">
        <f ca="1">IF(V34="Supercritical",L1585,IF(V34="Subcritical",W1585,IF(AND(V1585=1,AG1585=1),IF(T1585&gt;=AE1585,L1585,W1585),IF(V1585=1,L1585,IF(AG1585=1,W1585,MAX($D$16,POWER((ABS(K1585)^2)/($I$5*MAX(F1585,0.1)^2),1/3)))))))</f>
        <v>#VALUE!</v>
      </c>
      <c r="AI1585" t="e">
        <f t="shared" ca="1" si="804"/>
        <v>#VALUE!</v>
      </c>
      <c r="AJ1585" t="e">
        <f t="shared" ca="1" si="805"/>
        <v>#VALUE!</v>
      </c>
      <c r="AK1585">
        <v>635.5</v>
      </c>
      <c r="AM1585" t="e">
        <f t="shared" ca="1" si="816"/>
        <v>#VALUE!</v>
      </c>
      <c r="AN1585">
        <v>0</v>
      </c>
      <c r="AO1585" t="e">
        <f t="shared" ca="1" si="806"/>
        <v>#VALUE!</v>
      </c>
      <c r="AP1585" t="e">
        <f t="shared" ca="1" si="815"/>
        <v>#VALUE!</v>
      </c>
      <c r="AQ1585" t="e">
        <f t="shared" ca="1" si="807"/>
        <v>#VALUE!</v>
      </c>
      <c r="AR1585" t="e">
        <f t="shared" ca="1" si="808"/>
        <v>#VALUE!</v>
      </c>
      <c r="AS1585" t="e">
        <f t="shared" ca="1" si="809"/>
        <v>#VALUE!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191</v>
      </c>
      <c r="I1586">
        <v>0</v>
      </c>
      <c r="J1586">
        <f t="shared" si="810"/>
        <v>1</v>
      </c>
      <c r="K1586" t="e">
        <f t="shared" ca="1" si="811"/>
        <v>#VALUE!</v>
      </c>
      <c r="L1586" t="e">
        <f t="shared" ca="1" si="812"/>
        <v>#VALUE!</v>
      </c>
      <c r="M1586" t="e">
        <f t="shared" ca="1" si="785"/>
        <v>#VALUE!</v>
      </c>
      <c r="N1586" t="e">
        <f t="shared" ca="1" si="786"/>
        <v>#VALUE!</v>
      </c>
      <c r="O1586" t="e">
        <f t="shared" ca="1" si="787"/>
        <v>#VALUE!</v>
      </c>
      <c r="P1586" t="e">
        <f t="shared" ca="1" si="788"/>
        <v>#VALUE!</v>
      </c>
      <c r="Q1586" t="e">
        <f t="shared" ca="1" si="789"/>
        <v>#VALUE!</v>
      </c>
      <c r="R1586" t="e">
        <f t="shared" ca="1" si="790"/>
        <v>#VALUE!</v>
      </c>
      <c r="S1586" t="e">
        <f t="shared" ca="1" si="791"/>
        <v>#VALUE!</v>
      </c>
      <c r="T1586" t="e">
        <f t="shared" ca="1" si="792"/>
        <v>#VALUE!</v>
      </c>
      <c r="U1586" t="e">
        <f t="shared" ca="1" si="813"/>
        <v>#VALUE!</v>
      </c>
      <c r="V1586" t="e">
        <f t="shared" ca="1" si="814"/>
        <v>#VALUE!</v>
      </c>
      <c r="W1586" t="e">
        <f t="shared" ca="1" si="793"/>
        <v>#VALUE!</v>
      </c>
      <c r="X1586" t="e">
        <f t="shared" ca="1" si="794"/>
        <v>#VALUE!</v>
      </c>
      <c r="Y1586" t="e">
        <f t="shared" ca="1" si="795"/>
        <v>#VALUE!</v>
      </c>
      <c r="Z1586" t="e">
        <f t="shared" ca="1" si="796"/>
        <v>#VALUE!</v>
      </c>
      <c r="AA1586" t="e">
        <f t="shared" ca="1" si="797"/>
        <v>#VALUE!</v>
      </c>
      <c r="AB1586" t="e">
        <f t="shared" ca="1" si="798"/>
        <v>#VALUE!</v>
      </c>
      <c r="AC1586" t="e">
        <f t="shared" ca="1" si="799"/>
        <v>#VALUE!</v>
      </c>
      <c r="AD1586" t="e">
        <f t="shared" ca="1" si="800"/>
        <v>#VALUE!</v>
      </c>
      <c r="AE1586" t="e">
        <f t="shared" ca="1" si="801"/>
        <v>#VALUE!</v>
      </c>
      <c r="AF1586" t="e">
        <f t="shared" ca="1" si="802"/>
        <v>#VALUE!</v>
      </c>
      <c r="AG1586" t="e">
        <f t="shared" ca="1" si="803"/>
        <v>#VALUE!</v>
      </c>
      <c r="AH1586" t="e">
        <f ca="1">IF(V34="Supercritical",L1586,IF(V34="Subcritical",W1586,IF(AND(V1586=1,AG1586=1),IF(T1586&gt;=AE1586,L1586,W1586),IF(V1586=1,L1586,IF(AG1586=1,W1586,MAX($D$16,POWER((ABS(K1586)^2)/($I$5*MAX(F1586,0.1)^2),1/3)))))))</f>
        <v>#VALUE!</v>
      </c>
      <c r="AI1586" t="e">
        <f t="shared" ca="1" si="804"/>
        <v>#VALUE!</v>
      </c>
      <c r="AJ1586" t="e">
        <f t="shared" ca="1" si="805"/>
        <v>#VALUE!</v>
      </c>
      <c r="AK1586">
        <v>635.5</v>
      </c>
      <c r="AM1586" t="e">
        <f t="shared" ca="1" si="816"/>
        <v>#VALUE!</v>
      </c>
      <c r="AN1586">
        <v>0</v>
      </c>
      <c r="AO1586" t="e">
        <f t="shared" ca="1" si="806"/>
        <v>#VALUE!</v>
      </c>
      <c r="AP1586" t="e">
        <f t="shared" ca="1" si="815"/>
        <v>#VALUE!</v>
      </c>
      <c r="AQ1586" t="e">
        <f t="shared" ca="1" si="807"/>
        <v>#VALUE!</v>
      </c>
      <c r="AR1586" t="e">
        <f t="shared" ca="1" si="808"/>
        <v>#VALUE!</v>
      </c>
      <c r="AS1586" t="e">
        <f t="shared" ca="1" si="809"/>
        <v>#VALUE!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191</v>
      </c>
      <c r="I1587">
        <v>0</v>
      </c>
      <c r="J1587">
        <f t="shared" si="810"/>
        <v>1</v>
      </c>
      <c r="K1587" t="e">
        <f t="shared" ca="1" si="811"/>
        <v>#VALUE!</v>
      </c>
      <c r="L1587" t="e">
        <f t="shared" ca="1" si="812"/>
        <v>#VALUE!</v>
      </c>
      <c r="M1587" t="e">
        <f t="shared" ca="1" si="785"/>
        <v>#VALUE!</v>
      </c>
      <c r="N1587" t="e">
        <f t="shared" ca="1" si="786"/>
        <v>#VALUE!</v>
      </c>
      <c r="O1587" t="e">
        <f t="shared" ca="1" si="787"/>
        <v>#VALUE!</v>
      </c>
      <c r="P1587" t="e">
        <f t="shared" ca="1" si="788"/>
        <v>#VALUE!</v>
      </c>
      <c r="Q1587" t="e">
        <f t="shared" ca="1" si="789"/>
        <v>#VALUE!</v>
      </c>
      <c r="R1587" t="e">
        <f t="shared" ca="1" si="790"/>
        <v>#VALUE!</v>
      </c>
      <c r="S1587" t="e">
        <f t="shared" ca="1" si="791"/>
        <v>#VALUE!</v>
      </c>
      <c r="T1587" t="e">
        <f t="shared" ca="1" si="792"/>
        <v>#VALUE!</v>
      </c>
      <c r="U1587" t="e">
        <f t="shared" ca="1" si="813"/>
        <v>#VALUE!</v>
      </c>
      <c r="V1587" t="e">
        <f t="shared" ca="1" si="814"/>
        <v>#VALUE!</v>
      </c>
      <c r="W1587" t="e">
        <f t="shared" ca="1" si="793"/>
        <v>#VALUE!</v>
      </c>
      <c r="X1587" t="e">
        <f t="shared" ca="1" si="794"/>
        <v>#VALUE!</v>
      </c>
      <c r="Y1587" t="e">
        <f t="shared" ca="1" si="795"/>
        <v>#VALUE!</v>
      </c>
      <c r="Z1587" t="e">
        <f t="shared" ca="1" si="796"/>
        <v>#VALUE!</v>
      </c>
      <c r="AA1587" t="e">
        <f t="shared" ca="1" si="797"/>
        <v>#VALUE!</v>
      </c>
      <c r="AB1587" t="e">
        <f t="shared" ca="1" si="798"/>
        <v>#VALUE!</v>
      </c>
      <c r="AC1587" t="e">
        <f t="shared" ca="1" si="799"/>
        <v>#VALUE!</v>
      </c>
      <c r="AD1587" t="e">
        <f t="shared" ca="1" si="800"/>
        <v>#VALUE!</v>
      </c>
      <c r="AE1587" t="e">
        <f t="shared" ca="1" si="801"/>
        <v>#VALUE!</v>
      </c>
      <c r="AF1587" t="e">
        <f t="shared" ca="1" si="802"/>
        <v>#VALUE!</v>
      </c>
      <c r="AG1587" t="e">
        <f t="shared" ca="1" si="803"/>
        <v>#VALUE!</v>
      </c>
      <c r="AH1587" t="e">
        <f ca="1">IF(V34="Supercritical",L1587,IF(V34="Subcritical",W1587,IF(AND(V1587=1,AG1587=1),IF(T1587&gt;=AE1587,L1587,W1587),IF(V1587=1,L1587,IF(AG1587=1,W1587,MAX($D$16,POWER((ABS(K1587)^2)/($I$5*MAX(F1587,0.1)^2),1/3)))))))</f>
        <v>#VALUE!</v>
      </c>
      <c r="AI1587" t="e">
        <f t="shared" ca="1" si="804"/>
        <v>#VALUE!</v>
      </c>
      <c r="AJ1587" t="e">
        <f t="shared" ca="1" si="805"/>
        <v>#VALUE!</v>
      </c>
      <c r="AK1587">
        <v>635.5</v>
      </c>
      <c r="AM1587" t="e">
        <f t="shared" ca="1" si="816"/>
        <v>#VALUE!</v>
      </c>
      <c r="AN1587">
        <v>0</v>
      </c>
      <c r="AO1587" t="e">
        <f t="shared" ca="1" si="806"/>
        <v>#VALUE!</v>
      </c>
      <c r="AP1587" t="e">
        <f t="shared" ca="1" si="815"/>
        <v>#VALUE!</v>
      </c>
      <c r="AQ1587" t="e">
        <f t="shared" ca="1" si="807"/>
        <v>#VALUE!</v>
      </c>
      <c r="AR1587" t="e">
        <f t="shared" ca="1" si="808"/>
        <v>#VALUE!</v>
      </c>
      <c r="AS1587" t="e">
        <f t="shared" ca="1" si="809"/>
        <v>#VALUE!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191</v>
      </c>
      <c r="I1588">
        <v>0</v>
      </c>
      <c r="J1588">
        <f t="shared" si="810"/>
        <v>1</v>
      </c>
      <c r="K1588" t="e">
        <f t="shared" ca="1" si="811"/>
        <v>#VALUE!</v>
      </c>
      <c r="L1588" t="e">
        <f t="shared" ca="1" si="812"/>
        <v>#VALUE!</v>
      </c>
      <c r="M1588" t="e">
        <f t="shared" ca="1" si="785"/>
        <v>#VALUE!</v>
      </c>
      <c r="N1588" t="e">
        <f t="shared" ca="1" si="786"/>
        <v>#VALUE!</v>
      </c>
      <c r="O1588" t="e">
        <f t="shared" ca="1" si="787"/>
        <v>#VALUE!</v>
      </c>
      <c r="P1588" t="e">
        <f t="shared" ca="1" si="788"/>
        <v>#VALUE!</v>
      </c>
      <c r="Q1588" t="e">
        <f t="shared" ca="1" si="789"/>
        <v>#VALUE!</v>
      </c>
      <c r="R1588" t="e">
        <f t="shared" ca="1" si="790"/>
        <v>#VALUE!</v>
      </c>
      <c r="S1588" t="e">
        <f t="shared" ca="1" si="791"/>
        <v>#VALUE!</v>
      </c>
      <c r="T1588" t="e">
        <f t="shared" ca="1" si="792"/>
        <v>#VALUE!</v>
      </c>
      <c r="U1588" t="e">
        <f t="shared" ca="1" si="813"/>
        <v>#VALUE!</v>
      </c>
      <c r="V1588" t="e">
        <f t="shared" ca="1" si="814"/>
        <v>#VALUE!</v>
      </c>
      <c r="W1588" t="e">
        <f t="shared" ca="1" si="793"/>
        <v>#VALUE!</v>
      </c>
      <c r="X1588" t="e">
        <f t="shared" ca="1" si="794"/>
        <v>#VALUE!</v>
      </c>
      <c r="Y1588" t="e">
        <f t="shared" ca="1" si="795"/>
        <v>#VALUE!</v>
      </c>
      <c r="Z1588" t="e">
        <f t="shared" ca="1" si="796"/>
        <v>#VALUE!</v>
      </c>
      <c r="AA1588" t="e">
        <f t="shared" ca="1" si="797"/>
        <v>#VALUE!</v>
      </c>
      <c r="AB1588" t="e">
        <f t="shared" ca="1" si="798"/>
        <v>#VALUE!</v>
      </c>
      <c r="AC1588" t="e">
        <f t="shared" ca="1" si="799"/>
        <v>#VALUE!</v>
      </c>
      <c r="AD1588" t="e">
        <f t="shared" ca="1" si="800"/>
        <v>#VALUE!</v>
      </c>
      <c r="AE1588" t="e">
        <f t="shared" ca="1" si="801"/>
        <v>#VALUE!</v>
      </c>
      <c r="AF1588" t="e">
        <f t="shared" ca="1" si="802"/>
        <v>#VALUE!</v>
      </c>
      <c r="AG1588" t="e">
        <f t="shared" ca="1" si="803"/>
        <v>#VALUE!</v>
      </c>
      <c r="AH1588" t="e">
        <f ca="1">IF(V34="Supercritical",L1588,IF(V34="Subcritical",W1588,IF(AND(V1588=1,AG1588=1),IF(T1588&gt;=AE1588,L1588,W1588),IF(V1588=1,L1588,IF(AG1588=1,W1588,MAX($D$16,POWER((ABS(K1588)^2)/($I$5*MAX(F1588,0.1)^2),1/3)))))))</f>
        <v>#VALUE!</v>
      </c>
      <c r="AI1588" t="e">
        <f t="shared" ca="1" si="804"/>
        <v>#VALUE!</v>
      </c>
      <c r="AJ1588" t="e">
        <f t="shared" ca="1" si="805"/>
        <v>#VALUE!</v>
      </c>
      <c r="AK1588">
        <v>635.5</v>
      </c>
      <c r="AM1588" t="e">
        <f t="shared" ca="1" si="816"/>
        <v>#VALUE!</v>
      </c>
      <c r="AN1588">
        <v>0</v>
      </c>
      <c r="AO1588" t="e">
        <f t="shared" ca="1" si="806"/>
        <v>#VALUE!</v>
      </c>
      <c r="AP1588" t="e">
        <f t="shared" ca="1" si="815"/>
        <v>#VALUE!</v>
      </c>
      <c r="AQ1588" t="e">
        <f t="shared" ca="1" si="807"/>
        <v>#VALUE!</v>
      </c>
      <c r="AR1588" t="e">
        <f t="shared" ca="1" si="808"/>
        <v>#VALUE!</v>
      </c>
      <c r="AS1588" t="e">
        <f t="shared" ca="1" si="809"/>
        <v>#VALUE!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191</v>
      </c>
      <c r="I1589">
        <v>0</v>
      </c>
      <c r="J1589">
        <f t="shared" si="810"/>
        <v>1</v>
      </c>
      <c r="K1589" t="e">
        <f t="shared" ca="1" si="811"/>
        <v>#VALUE!</v>
      </c>
      <c r="L1589" t="e">
        <f t="shared" ca="1" si="812"/>
        <v>#VALUE!</v>
      </c>
      <c r="M1589" t="e">
        <f t="shared" ca="1" si="785"/>
        <v>#VALUE!</v>
      </c>
      <c r="N1589" t="e">
        <f t="shared" ca="1" si="786"/>
        <v>#VALUE!</v>
      </c>
      <c r="O1589" t="e">
        <f t="shared" ca="1" si="787"/>
        <v>#VALUE!</v>
      </c>
      <c r="P1589" t="e">
        <f t="shared" ca="1" si="788"/>
        <v>#VALUE!</v>
      </c>
      <c r="Q1589" t="e">
        <f t="shared" ca="1" si="789"/>
        <v>#VALUE!</v>
      </c>
      <c r="R1589" t="e">
        <f t="shared" ca="1" si="790"/>
        <v>#VALUE!</v>
      </c>
      <c r="S1589" t="e">
        <f t="shared" ca="1" si="791"/>
        <v>#VALUE!</v>
      </c>
      <c r="T1589" t="e">
        <f t="shared" ca="1" si="792"/>
        <v>#VALUE!</v>
      </c>
      <c r="U1589" t="e">
        <f t="shared" ca="1" si="813"/>
        <v>#VALUE!</v>
      </c>
      <c r="V1589" t="e">
        <f t="shared" ca="1" si="814"/>
        <v>#VALUE!</v>
      </c>
      <c r="W1589" t="e">
        <f t="shared" ca="1" si="793"/>
        <v>#VALUE!</v>
      </c>
      <c r="X1589" t="e">
        <f t="shared" ca="1" si="794"/>
        <v>#VALUE!</v>
      </c>
      <c r="Y1589" t="e">
        <f t="shared" ca="1" si="795"/>
        <v>#VALUE!</v>
      </c>
      <c r="Z1589" t="e">
        <f t="shared" ca="1" si="796"/>
        <v>#VALUE!</v>
      </c>
      <c r="AA1589" t="e">
        <f t="shared" ca="1" si="797"/>
        <v>#VALUE!</v>
      </c>
      <c r="AB1589" t="e">
        <f t="shared" ca="1" si="798"/>
        <v>#VALUE!</v>
      </c>
      <c r="AC1589" t="e">
        <f t="shared" ca="1" si="799"/>
        <v>#VALUE!</v>
      </c>
      <c r="AD1589" t="e">
        <f t="shared" ca="1" si="800"/>
        <v>#VALUE!</v>
      </c>
      <c r="AE1589" t="e">
        <f t="shared" ca="1" si="801"/>
        <v>#VALUE!</v>
      </c>
      <c r="AF1589" t="e">
        <f t="shared" ca="1" si="802"/>
        <v>#VALUE!</v>
      </c>
      <c r="AG1589" t="e">
        <f t="shared" ca="1" si="803"/>
        <v>#VALUE!</v>
      </c>
      <c r="AH1589" t="e">
        <f ca="1">IF(V34="Supercritical",L1589,IF(V34="Subcritical",W1589,IF(AND(V1589=1,AG1589=1),IF(T1589&gt;=AE1589,L1589,W1589),IF(V1589=1,L1589,IF(AG1589=1,W1589,MAX($D$16,POWER((ABS(K1589)^2)/($I$5*MAX(F1589,0.1)^2),1/3)))))))</f>
        <v>#VALUE!</v>
      </c>
      <c r="AI1589" t="e">
        <f t="shared" ca="1" si="804"/>
        <v>#VALUE!</v>
      </c>
      <c r="AJ1589" t="e">
        <f t="shared" ca="1" si="805"/>
        <v>#VALUE!</v>
      </c>
      <c r="AK1589">
        <v>635.5</v>
      </c>
      <c r="AM1589" t="e">
        <f t="shared" ca="1" si="816"/>
        <v>#VALUE!</v>
      </c>
      <c r="AN1589">
        <v>0</v>
      </c>
      <c r="AO1589" t="e">
        <f t="shared" ca="1" si="806"/>
        <v>#VALUE!</v>
      </c>
      <c r="AP1589" t="e">
        <f t="shared" ca="1" si="815"/>
        <v>#VALUE!</v>
      </c>
      <c r="AQ1589" t="e">
        <f t="shared" ca="1" si="807"/>
        <v>#VALUE!</v>
      </c>
      <c r="AR1589" t="e">
        <f t="shared" ca="1" si="808"/>
        <v>#VALUE!</v>
      </c>
      <c r="AS1589" t="e">
        <f t="shared" ca="1" si="809"/>
        <v>#VALUE!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191</v>
      </c>
      <c r="I1590">
        <v>0</v>
      </c>
      <c r="J1590">
        <f t="shared" si="810"/>
        <v>1</v>
      </c>
      <c r="K1590" t="e">
        <f t="shared" ca="1" si="811"/>
        <v>#VALUE!</v>
      </c>
      <c r="L1590" t="e">
        <f t="shared" ca="1" si="812"/>
        <v>#VALUE!</v>
      </c>
      <c r="M1590" t="e">
        <f t="shared" ca="1" si="785"/>
        <v>#VALUE!</v>
      </c>
      <c r="N1590" t="e">
        <f t="shared" ca="1" si="786"/>
        <v>#VALUE!</v>
      </c>
      <c r="O1590" t="e">
        <f t="shared" ca="1" si="787"/>
        <v>#VALUE!</v>
      </c>
      <c r="P1590" t="e">
        <f t="shared" ca="1" si="788"/>
        <v>#VALUE!</v>
      </c>
      <c r="Q1590" t="e">
        <f t="shared" ca="1" si="789"/>
        <v>#VALUE!</v>
      </c>
      <c r="R1590" t="e">
        <f t="shared" ca="1" si="790"/>
        <v>#VALUE!</v>
      </c>
      <c r="S1590" t="e">
        <f t="shared" ca="1" si="791"/>
        <v>#VALUE!</v>
      </c>
      <c r="T1590" t="e">
        <f t="shared" ca="1" si="792"/>
        <v>#VALUE!</v>
      </c>
      <c r="U1590" t="e">
        <f t="shared" ca="1" si="813"/>
        <v>#VALUE!</v>
      </c>
      <c r="V1590" t="e">
        <f t="shared" ca="1" si="814"/>
        <v>#VALUE!</v>
      </c>
      <c r="W1590" t="e">
        <f t="shared" ca="1" si="793"/>
        <v>#VALUE!</v>
      </c>
      <c r="X1590" t="e">
        <f t="shared" ca="1" si="794"/>
        <v>#VALUE!</v>
      </c>
      <c r="Y1590" t="e">
        <f t="shared" ca="1" si="795"/>
        <v>#VALUE!</v>
      </c>
      <c r="Z1590" t="e">
        <f t="shared" ca="1" si="796"/>
        <v>#VALUE!</v>
      </c>
      <c r="AA1590" t="e">
        <f t="shared" ca="1" si="797"/>
        <v>#VALUE!</v>
      </c>
      <c r="AB1590" t="e">
        <f t="shared" ca="1" si="798"/>
        <v>#VALUE!</v>
      </c>
      <c r="AC1590" t="e">
        <f t="shared" ca="1" si="799"/>
        <v>#VALUE!</v>
      </c>
      <c r="AD1590" t="e">
        <f t="shared" ca="1" si="800"/>
        <v>#VALUE!</v>
      </c>
      <c r="AE1590" t="e">
        <f t="shared" ca="1" si="801"/>
        <v>#VALUE!</v>
      </c>
      <c r="AF1590" t="e">
        <f t="shared" ca="1" si="802"/>
        <v>#VALUE!</v>
      </c>
      <c r="AG1590" t="e">
        <f t="shared" ca="1" si="803"/>
        <v>#VALUE!</v>
      </c>
      <c r="AH1590" t="e">
        <f ca="1">IF(V34="Supercritical",L1590,IF(V34="Subcritical",W1590,IF(AND(V1590=1,AG1590=1),IF(T1590&gt;=AE1590,L1590,W1590),IF(V1590=1,L1590,IF(AG1590=1,W1590,MAX($D$16,POWER((ABS(K1590)^2)/($I$5*MAX(F1590,0.1)^2),1/3)))))))</f>
        <v>#VALUE!</v>
      </c>
      <c r="AI1590" t="e">
        <f t="shared" ca="1" si="804"/>
        <v>#VALUE!</v>
      </c>
      <c r="AJ1590" t="e">
        <f t="shared" ca="1" si="805"/>
        <v>#VALUE!</v>
      </c>
      <c r="AK1590">
        <v>635.5</v>
      </c>
      <c r="AM1590" t="e">
        <f t="shared" ca="1" si="816"/>
        <v>#VALUE!</v>
      </c>
      <c r="AN1590">
        <v>0</v>
      </c>
      <c r="AO1590" t="e">
        <f t="shared" ca="1" si="806"/>
        <v>#VALUE!</v>
      </c>
      <c r="AP1590" t="e">
        <f t="shared" ca="1" si="815"/>
        <v>#VALUE!</v>
      </c>
      <c r="AQ1590" t="e">
        <f t="shared" ca="1" si="807"/>
        <v>#VALUE!</v>
      </c>
      <c r="AR1590" t="e">
        <f t="shared" ca="1" si="808"/>
        <v>#VALUE!</v>
      </c>
      <c r="AS1590" t="e">
        <f t="shared" ca="1" si="809"/>
        <v>#VALUE!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191</v>
      </c>
      <c r="I1591">
        <v>0</v>
      </c>
      <c r="J1591">
        <f t="shared" si="810"/>
        <v>1</v>
      </c>
      <c r="K1591" t="e">
        <f t="shared" ca="1" si="811"/>
        <v>#VALUE!</v>
      </c>
      <c r="L1591" t="e">
        <f t="shared" ca="1" si="812"/>
        <v>#VALUE!</v>
      </c>
      <c r="M1591" t="e">
        <f t="shared" ca="1" si="785"/>
        <v>#VALUE!</v>
      </c>
      <c r="N1591" t="e">
        <f t="shared" ca="1" si="786"/>
        <v>#VALUE!</v>
      </c>
      <c r="O1591" t="e">
        <f t="shared" ca="1" si="787"/>
        <v>#VALUE!</v>
      </c>
      <c r="P1591" t="e">
        <f t="shared" ca="1" si="788"/>
        <v>#VALUE!</v>
      </c>
      <c r="Q1591" t="e">
        <f t="shared" ca="1" si="789"/>
        <v>#VALUE!</v>
      </c>
      <c r="R1591" t="e">
        <f t="shared" ca="1" si="790"/>
        <v>#VALUE!</v>
      </c>
      <c r="S1591" t="e">
        <f t="shared" ca="1" si="791"/>
        <v>#VALUE!</v>
      </c>
      <c r="T1591" t="e">
        <f t="shared" ca="1" si="792"/>
        <v>#VALUE!</v>
      </c>
      <c r="U1591" t="e">
        <f t="shared" ca="1" si="813"/>
        <v>#VALUE!</v>
      </c>
      <c r="V1591" t="e">
        <f t="shared" ca="1" si="814"/>
        <v>#VALUE!</v>
      </c>
      <c r="W1591" t="e">
        <f t="shared" ca="1" si="793"/>
        <v>#VALUE!</v>
      </c>
      <c r="X1591" t="e">
        <f t="shared" ca="1" si="794"/>
        <v>#VALUE!</v>
      </c>
      <c r="Y1591" t="e">
        <f t="shared" ca="1" si="795"/>
        <v>#VALUE!</v>
      </c>
      <c r="Z1591" t="e">
        <f t="shared" ca="1" si="796"/>
        <v>#VALUE!</v>
      </c>
      <c r="AA1591" t="e">
        <f t="shared" ca="1" si="797"/>
        <v>#VALUE!</v>
      </c>
      <c r="AB1591" t="e">
        <f t="shared" ca="1" si="798"/>
        <v>#VALUE!</v>
      </c>
      <c r="AC1591" t="e">
        <f t="shared" ca="1" si="799"/>
        <v>#VALUE!</v>
      </c>
      <c r="AD1591" t="e">
        <f t="shared" ca="1" si="800"/>
        <v>#VALUE!</v>
      </c>
      <c r="AE1591" t="e">
        <f t="shared" ca="1" si="801"/>
        <v>#VALUE!</v>
      </c>
      <c r="AF1591" t="e">
        <f t="shared" ca="1" si="802"/>
        <v>#VALUE!</v>
      </c>
      <c r="AG1591" t="e">
        <f t="shared" ca="1" si="803"/>
        <v>#VALUE!</v>
      </c>
      <c r="AH1591" t="e">
        <f ca="1">IF(V34="Supercritical",L1591,IF(V34="Subcritical",W1591,IF(AND(V1591=1,AG1591=1),IF(T1591&gt;=AE1591,L1591,W1591),IF(V1591=1,L1591,IF(AG1591=1,W1591,MAX($D$16,POWER((ABS(K1591)^2)/($I$5*MAX(F1591,0.1)^2),1/3)))))))</f>
        <v>#VALUE!</v>
      </c>
      <c r="AI1591" t="e">
        <f t="shared" ca="1" si="804"/>
        <v>#VALUE!</v>
      </c>
      <c r="AJ1591" t="e">
        <f t="shared" ca="1" si="805"/>
        <v>#VALUE!</v>
      </c>
      <c r="AK1591">
        <v>635.5</v>
      </c>
      <c r="AM1591" t="e">
        <f t="shared" ca="1" si="816"/>
        <v>#VALUE!</v>
      </c>
      <c r="AN1591">
        <v>0</v>
      </c>
      <c r="AO1591" t="e">
        <f t="shared" ca="1" si="806"/>
        <v>#VALUE!</v>
      </c>
      <c r="AP1591" t="e">
        <f t="shared" ca="1" si="815"/>
        <v>#VALUE!</v>
      </c>
      <c r="AQ1591" t="e">
        <f t="shared" ca="1" si="807"/>
        <v>#VALUE!</v>
      </c>
      <c r="AR1591" t="e">
        <f t="shared" ca="1" si="808"/>
        <v>#VALUE!</v>
      </c>
      <c r="AS1591" t="e">
        <f t="shared" ca="1" si="809"/>
        <v>#VALUE!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191</v>
      </c>
      <c r="I1592">
        <v>0</v>
      </c>
      <c r="J1592">
        <f t="shared" si="810"/>
        <v>1</v>
      </c>
      <c r="K1592" t="e">
        <f t="shared" ca="1" si="811"/>
        <v>#VALUE!</v>
      </c>
      <c r="L1592" t="e">
        <f t="shared" ca="1" si="812"/>
        <v>#VALUE!</v>
      </c>
      <c r="M1592" t="e">
        <f t="shared" ca="1" si="785"/>
        <v>#VALUE!</v>
      </c>
      <c r="N1592" t="e">
        <f t="shared" ca="1" si="786"/>
        <v>#VALUE!</v>
      </c>
      <c r="O1592" t="e">
        <f t="shared" ca="1" si="787"/>
        <v>#VALUE!</v>
      </c>
      <c r="P1592" t="e">
        <f t="shared" ca="1" si="788"/>
        <v>#VALUE!</v>
      </c>
      <c r="Q1592" t="e">
        <f t="shared" ca="1" si="789"/>
        <v>#VALUE!</v>
      </c>
      <c r="R1592" t="e">
        <f t="shared" ca="1" si="790"/>
        <v>#VALUE!</v>
      </c>
      <c r="S1592" t="e">
        <f t="shared" ca="1" si="791"/>
        <v>#VALUE!</v>
      </c>
      <c r="T1592" t="e">
        <f t="shared" ca="1" si="792"/>
        <v>#VALUE!</v>
      </c>
      <c r="U1592" t="e">
        <f t="shared" ca="1" si="813"/>
        <v>#VALUE!</v>
      </c>
      <c r="V1592" t="e">
        <f t="shared" ca="1" si="814"/>
        <v>#VALUE!</v>
      </c>
      <c r="W1592" t="e">
        <f t="shared" ca="1" si="793"/>
        <v>#VALUE!</v>
      </c>
      <c r="X1592" t="e">
        <f t="shared" ca="1" si="794"/>
        <v>#VALUE!</v>
      </c>
      <c r="Y1592" t="e">
        <f t="shared" ca="1" si="795"/>
        <v>#VALUE!</v>
      </c>
      <c r="Z1592" t="e">
        <f t="shared" ca="1" si="796"/>
        <v>#VALUE!</v>
      </c>
      <c r="AA1592" t="e">
        <f t="shared" ca="1" si="797"/>
        <v>#VALUE!</v>
      </c>
      <c r="AB1592" t="e">
        <f t="shared" ca="1" si="798"/>
        <v>#VALUE!</v>
      </c>
      <c r="AC1592" t="e">
        <f t="shared" ca="1" si="799"/>
        <v>#VALUE!</v>
      </c>
      <c r="AD1592" t="e">
        <f t="shared" ca="1" si="800"/>
        <v>#VALUE!</v>
      </c>
      <c r="AE1592" t="e">
        <f t="shared" ca="1" si="801"/>
        <v>#VALUE!</v>
      </c>
      <c r="AF1592" t="e">
        <f t="shared" ca="1" si="802"/>
        <v>#VALUE!</v>
      </c>
      <c r="AG1592" t="e">
        <f t="shared" ca="1" si="803"/>
        <v>#VALUE!</v>
      </c>
      <c r="AH1592" t="e">
        <f ca="1">IF(V34="Supercritical",L1592,IF(V34="Subcritical",W1592,IF(AND(V1592=1,AG1592=1),IF(T1592&gt;=AE1592,L1592,W1592),IF(V1592=1,L1592,IF(AG1592=1,W1592,MAX($D$16,POWER((ABS(K1592)^2)/($I$5*MAX(F1592,0.1)^2),1/3)))))))</f>
        <v>#VALUE!</v>
      </c>
      <c r="AI1592" t="e">
        <f t="shared" ca="1" si="804"/>
        <v>#VALUE!</v>
      </c>
      <c r="AJ1592" t="e">
        <f t="shared" ca="1" si="805"/>
        <v>#VALUE!</v>
      </c>
      <c r="AK1592">
        <v>635.5</v>
      </c>
      <c r="AM1592" t="e">
        <f t="shared" ca="1" si="816"/>
        <v>#VALUE!</v>
      </c>
      <c r="AN1592">
        <v>0</v>
      </c>
      <c r="AO1592" t="e">
        <f t="shared" ca="1" si="806"/>
        <v>#VALUE!</v>
      </c>
      <c r="AP1592" t="e">
        <f t="shared" ca="1" si="815"/>
        <v>#VALUE!</v>
      </c>
      <c r="AQ1592" t="e">
        <f t="shared" ca="1" si="807"/>
        <v>#VALUE!</v>
      </c>
      <c r="AR1592" t="e">
        <f t="shared" ca="1" si="808"/>
        <v>#VALUE!</v>
      </c>
      <c r="AS1592" t="e">
        <f t="shared" ca="1" si="809"/>
        <v>#VALUE!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191</v>
      </c>
      <c r="I1593">
        <v>0</v>
      </c>
      <c r="J1593">
        <f t="shared" si="810"/>
        <v>1</v>
      </c>
      <c r="K1593" t="e">
        <f t="shared" ca="1" si="811"/>
        <v>#VALUE!</v>
      </c>
      <c r="L1593" t="e">
        <f t="shared" ca="1" si="812"/>
        <v>#VALUE!</v>
      </c>
      <c r="M1593" t="e">
        <f t="shared" ca="1" si="785"/>
        <v>#VALUE!</v>
      </c>
      <c r="N1593" t="e">
        <f t="shared" ca="1" si="786"/>
        <v>#VALUE!</v>
      </c>
      <c r="O1593" t="e">
        <f t="shared" ca="1" si="787"/>
        <v>#VALUE!</v>
      </c>
      <c r="P1593" t="e">
        <f t="shared" ca="1" si="788"/>
        <v>#VALUE!</v>
      </c>
      <c r="Q1593" t="e">
        <f t="shared" ca="1" si="789"/>
        <v>#VALUE!</v>
      </c>
      <c r="R1593" t="e">
        <f t="shared" ca="1" si="790"/>
        <v>#VALUE!</v>
      </c>
      <c r="S1593" t="e">
        <f t="shared" ca="1" si="791"/>
        <v>#VALUE!</v>
      </c>
      <c r="T1593" t="e">
        <f t="shared" ca="1" si="792"/>
        <v>#VALUE!</v>
      </c>
      <c r="U1593" t="e">
        <f t="shared" ca="1" si="813"/>
        <v>#VALUE!</v>
      </c>
      <c r="V1593" t="e">
        <f t="shared" ca="1" si="814"/>
        <v>#VALUE!</v>
      </c>
      <c r="W1593" t="e">
        <f t="shared" ca="1" si="793"/>
        <v>#VALUE!</v>
      </c>
      <c r="X1593" t="e">
        <f t="shared" ca="1" si="794"/>
        <v>#VALUE!</v>
      </c>
      <c r="Y1593" t="e">
        <f t="shared" ca="1" si="795"/>
        <v>#VALUE!</v>
      </c>
      <c r="Z1593" t="e">
        <f t="shared" ca="1" si="796"/>
        <v>#VALUE!</v>
      </c>
      <c r="AA1593" t="e">
        <f t="shared" ca="1" si="797"/>
        <v>#VALUE!</v>
      </c>
      <c r="AB1593" t="e">
        <f t="shared" ca="1" si="798"/>
        <v>#VALUE!</v>
      </c>
      <c r="AC1593" t="e">
        <f t="shared" ca="1" si="799"/>
        <v>#VALUE!</v>
      </c>
      <c r="AD1593" t="e">
        <f t="shared" ca="1" si="800"/>
        <v>#VALUE!</v>
      </c>
      <c r="AE1593" t="e">
        <f t="shared" ca="1" si="801"/>
        <v>#VALUE!</v>
      </c>
      <c r="AF1593" t="e">
        <f t="shared" ca="1" si="802"/>
        <v>#VALUE!</v>
      </c>
      <c r="AG1593" t="e">
        <f t="shared" ca="1" si="803"/>
        <v>#VALUE!</v>
      </c>
      <c r="AH1593" t="e">
        <f ca="1">IF(V34="Supercritical",L1593,IF(V34="Subcritical",W1593,IF(AND(V1593=1,AG1593=1),IF(T1593&gt;=AE1593,L1593,W1593),IF(V1593=1,L1593,IF(AG1593=1,W1593,MAX($D$16,POWER((ABS(K1593)^2)/($I$5*MAX(F1593,0.1)^2),1/3)))))))</f>
        <v>#VALUE!</v>
      </c>
      <c r="AI1593" t="e">
        <f t="shared" ca="1" si="804"/>
        <v>#VALUE!</v>
      </c>
      <c r="AJ1593" t="e">
        <f t="shared" ca="1" si="805"/>
        <v>#VALUE!</v>
      </c>
      <c r="AK1593">
        <v>635.5</v>
      </c>
      <c r="AM1593" t="e">
        <f t="shared" ca="1" si="816"/>
        <v>#VALUE!</v>
      </c>
      <c r="AN1593">
        <v>0</v>
      </c>
      <c r="AO1593" t="e">
        <f t="shared" ca="1" si="806"/>
        <v>#VALUE!</v>
      </c>
      <c r="AP1593" t="e">
        <f t="shared" ca="1" si="815"/>
        <v>#VALUE!</v>
      </c>
      <c r="AQ1593" t="e">
        <f t="shared" ca="1" si="807"/>
        <v>#VALUE!</v>
      </c>
      <c r="AR1593" t="e">
        <f t="shared" ca="1" si="808"/>
        <v>#VALUE!</v>
      </c>
      <c r="AS1593" t="e">
        <f t="shared" ca="1" si="809"/>
        <v>#VALUE!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191</v>
      </c>
      <c r="I1594">
        <v>0</v>
      </c>
      <c r="J1594">
        <f t="shared" si="810"/>
        <v>1</v>
      </c>
      <c r="K1594" t="e">
        <f t="shared" ca="1" si="811"/>
        <v>#VALUE!</v>
      </c>
      <c r="L1594" t="e">
        <f t="shared" ca="1" si="812"/>
        <v>#VALUE!</v>
      </c>
      <c r="M1594" t="e">
        <f t="shared" ca="1" si="785"/>
        <v>#VALUE!</v>
      </c>
      <c r="N1594" t="e">
        <f t="shared" ca="1" si="786"/>
        <v>#VALUE!</v>
      </c>
      <c r="O1594" t="e">
        <f t="shared" ca="1" si="787"/>
        <v>#VALUE!</v>
      </c>
      <c r="P1594" t="e">
        <f t="shared" ca="1" si="788"/>
        <v>#VALUE!</v>
      </c>
      <c r="Q1594" t="e">
        <f t="shared" ca="1" si="789"/>
        <v>#VALUE!</v>
      </c>
      <c r="R1594" t="e">
        <f t="shared" ca="1" si="790"/>
        <v>#VALUE!</v>
      </c>
      <c r="S1594" t="e">
        <f t="shared" ca="1" si="791"/>
        <v>#VALUE!</v>
      </c>
      <c r="T1594" t="e">
        <f t="shared" ca="1" si="792"/>
        <v>#VALUE!</v>
      </c>
      <c r="U1594" t="e">
        <f t="shared" ca="1" si="813"/>
        <v>#VALUE!</v>
      </c>
      <c r="V1594" t="e">
        <f t="shared" ca="1" si="814"/>
        <v>#VALUE!</v>
      </c>
      <c r="W1594" t="e">
        <f t="shared" ca="1" si="793"/>
        <v>#VALUE!</v>
      </c>
      <c r="X1594" t="e">
        <f t="shared" ca="1" si="794"/>
        <v>#VALUE!</v>
      </c>
      <c r="Y1594" t="e">
        <f t="shared" ca="1" si="795"/>
        <v>#VALUE!</v>
      </c>
      <c r="Z1594" t="e">
        <f t="shared" ca="1" si="796"/>
        <v>#VALUE!</v>
      </c>
      <c r="AA1594" t="e">
        <f t="shared" ca="1" si="797"/>
        <v>#VALUE!</v>
      </c>
      <c r="AB1594" t="e">
        <f t="shared" ca="1" si="798"/>
        <v>#VALUE!</v>
      </c>
      <c r="AC1594" t="e">
        <f t="shared" ca="1" si="799"/>
        <v>#VALUE!</v>
      </c>
      <c r="AD1594" t="e">
        <f t="shared" ca="1" si="800"/>
        <v>#VALUE!</v>
      </c>
      <c r="AE1594" t="e">
        <f t="shared" ca="1" si="801"/>
        <v>#VALUE!</v>
      </c>
      <c r="AF1594" t="e">
        <f t="shared" ca="1" si="802"/>
        <v>#VALUE!</v>
      </c>
      <c r="AG1594" t="e">
        <f t="shared" ca="1" si="803"/>
        <v>#VALUE!</v>
      </c>
      <c r="AH1594" t="e">
        <f ca="1">IF(V34="Supercritical",L1594,IF(V34="Subcritical",W1594,IF(AND(V1594=1,AG1594=1),IF(T1594&gt;=AE1594,L1594,W1594),IF(V1594=1,L1594,IF(AG1594=1,W1594,MAX($D$16,POWER((ABS(K1594)^2)/($I$5*MAX(F1594,0.1)^2),1/3)))))))</f>
        <v>#VALUE!</v>
      </c>
      <c r="AI1594" t="e">
        <f t="shared" ca="1" si="804"/>
        <v>#VALUE!</v>
      </c>
      <c r="AJ1594" t="e">
        <f t="shared" ca="1" si="805"/>
        <v>#VALUE!</v>
      </c>
      <c r="AK1594">
        <v>635.5</v>
      </c>
      <c r="AM1594" t="e">
        <f t="shared" ca="1" si="816"/>
        <v>#VALUE!</v>
      </c>
      <c r="AN1594">
        <v>0</v>
      </c>
      <c r="AO1594" t="e">
        <f t="shared" ca="1" si="806"/>
        <v>#VALUE!</v>
      </c>
      <c r="AP1594" t="e">
        <f t="shared" ca="1" si="815"/>
        <v>#VALUE!</v>
      </c>
      <c r="AQ1594" t="e">
        <f t="shared" ca="1" si="807"/>
        <v>#VALUE!</v>
      </c>
      <c r="AR1594" t="e">
        <f t="shared" ca="1" si="808"/>
        <v>#VALUE!</v>
      </c>
      <c r="AS1594" t="e">
        <f t="shared" ca="1" si="809"/>
        <v>#VALUE!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191</v>
      </c>
      <c r="I1595">
        <v>0</v>
      </c>
      <c r="J1595">
        <f t="shared" si="810"/>
        <v>1</v>
      </c>
      <c r="K1595" t="e">
        <f t="shared" ca="1" si="811"/>
        <v>#VALUE!</v>
      </c>
      <c r="L1595" t="e">
        <f t="shared" ca="1" si="812"/>
        <v>#VALUE!</v>
      </c>
      <c r="M1595" t="e">
        <f t="shared" ca="1" si="785"/>
        <v>#VALUE!</v>
      </c>
      <c r="N1595" t="e">
        <f t="shared" ca="1" si="786"/>
        <v>#VALUE!</v>
      </c>
      <c r="O1595" t="e">
        <f t="shared" ca="1" si="787"/>
        <v>#VALUE!</v>
      </c>
      <c r="P1595" t="e">
        <f t="shared" ca="1" si="788"/>
        <v>#VALUE!</v>
      </c>
      <c r="Q1595" t="e">
        <f t="shared" ca="1" si="789"/>
        <v>#VALUE!</v>
      </c>
      <c r="R1595" t="e">
        <f t="shared" ca="1" si="790"/>
        <v>#VALUE!</v>
      </c>
      <c r="S1595" t="e">
        <f t="shared" ca="1" si="791"/>
        <v>#VALUE!</v>
      </c>
      <c r="T1595" t="e">
        <f t="shared" ca="1" si="792"/>
        <v>#VALUE!</v>
      </c>
      <c r="U1595" t="e">
        <f t="shared" ca="1" si="813"/>
        <v>#VALUE!</v>
      </c>
      <c r="V1595" t="e">
        <f t="shared" ca="1" si="814"/>
        <v>#VALUE!</v>
      </c>
      <c r="W1595" t="e">
        <f t="shared" ca="1" si="793"/>
        <v>#VALUE!</v>
      </c>
      <c r="X1595" t="e">
        <f t="shared" ca="1" si="794"/>
        <v>#VALUE!</v>
      </c>
      <c r="Y1595" t="e">
        <f t="shared" ca="1" si="795"/>
        <v>#VALUE!</v>
      </c>
      <c r="Z1595" t="e">
        <f t="shared" ca="1" si="796"/>
        <v>#VALUE!</v>
      </c>
      <c r="AA1595" t="e">
        <f t="shared" ca="1" si="797"/>
        <v>#VALUE!</v>
      </c>
      <c r="AB1595" t="e">
        <f t="shared" ca="1" si="798"/>
        <v>#VALUE!</v>
      </c>
      <c r="AC1595" t="e">
        <f t="shared" ca="1" si="799"/>
        <v>#VALUE!</v>
      </c>
      <c r="AD1595" t="e">
        <f t="shared" ca="1" si="800"/>
        <v>#VALUE!</v>
      </c>
      <c r="AE1595" t="e">
        <f t="shared" ca="1" si="801"/>
        <v>#VALUE!</v>
      </c>
      <c r="AF1595" t="e">
        <f t="shared" ca="1" si="802"/>
        <v>#VALUE!</v>
      </c>
      <c r="AG1595" t="e">
        <f t="shared" ca="1" si="803"/>
        <v>#VALUE!</v>
      </c>
      <c r="AH1595" t="e">
        <f ca="1">IF(V34="Supercritical",L1595,IF(V34="Subcritical",W1595,IF(AND(V1595=1,AG1595=1),IF(T1595&gt;=AE1595,L1595,W1595),IF(V1595=1,L1595,IF(AG1595=1,W1595,MAX($D$16,POWER((ABS(K1595)^2)/($I$5*MAX(F1595,0.1)^2),1/3)))))))</f>
        <v>#VALUE!</v>
      </c>
      <c r="AI1595" t="e">
        <f t="shared" ca="1" si="804"/>
        <v>#VALUE!</v>
      </c>
      <c r="AJ1595" t="e">
        <f t="shared" ca="1" si="805"/>
        <v>#VALUE!</v>
      </c>
      <c r="AK1595">
        <v>635.5</v>
      </c>
      <c r="AM1595" t="e">
        <f t="shared" ca="1" si="816"/>
        <v>#VALUE!</v>
      </c>
      <c r="AN1595">
        <v>0</v>
      </c>
      <c r="AO1595" t="e">
        <f t="shared" ca="1" si="806"/>
        <v>#VALUE!</v>
      </c>
      <c r="AP1595" t="e">
        <f t="shared" ca="1" si="815"/>
        <v>#VALUE!</v>
      </c>
      <c r="AQ1595" t="e">
        <f t="shared" ca="1" si="807"/>
        <v>#VALUE!</v>
      </c>
      <c r="AR1595" t="e">
        <f t="shared" ca="1" si="808"/>
        <v>#VALUE!</v>
      </c>
      <c r="AS1595" t="e">
        <f t="shared" ca="1" si="809"/>
        <v>#VALUE!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191</v>
      </c>
      <c r="I1596">
        <v>0</v>
      </c>
      <c r="J1596">
        <f t="shared" si="810"/>
        <v>1</v>
      </c>
      <c r="K1596" t="e">
        <f t="shared" ca="1" si="811"/>
        <v>#VALUE!</v>
      </c>
      <c r="L1596" t="e">
        <f t="shared" ca="1" si="812"/>
        <v>#VALUE!</v>
      </c>
      <c r="M1596" t="e">
        <f t="shared" ca="1" si="785"/>
        <v>#VALUE!</v>
      </c>
      <c r="N1596" t="e">
        <f t="shared" ca="1" si="786"/>
        <v>#VALUE!</v>
      </c>
      <c r="O1596" t="e">
        <f t="shared" ca="1" si="787"/>
        <v>#VALUE!</v>
      </c>
      <c r="P1596" t="e">
        <f t="shared" ca="1" si="788"/>
        <v>#VALUE!</v>
      </c>
      <c r="Q1596" t="e">
        <f t="shared" ca="1" si="789"/>
        <v>#VALUE!</v>
      </c>
      <c r="R1596" t="e">
        <f t="shared" ca="1" si="790"/>
        <v>#VALUE!</v>
      </c>
      <c r="S1596" t="e">
        <f t="shared" ca="1" si="791"/>
        <v>#VALUE!</v>
      </c>
      <c r="T1596" t="e">
        <f t="shared" ca="1" si="792"/>
        <v>#VALUE!</v>
      </c>
      <c r="U1596" t="e">
        <f t="shared" ca="1" si="813"/>
        <v>#VALUE!</v>
      </c>
      <c r="V1596" t="e">
        <f t="shared" ca="1" si="814"/>
        <v>#VALUE!</v>
      </c>
      <c r="W1596" t="e">
        <f t="shared" ca="1" si="793"/>
        <v>#VALUE!</v>
      </c>
      <c r="X1596" t="e">
        <f t="shared" ca="1" si="794"/>
        <v>#VALUE!</v>
      </c>
      <c r="Y1596" t="e">
        <f t="shared" ca="1" si="795"/>
        <v>#VALUE!</v>
      </c>
      <c r="Z1596" t="e">
        <f t="shared" ca="1" si="796"/>
        <v>#VALUE!</v>
      </c>
      <c r="AA1596" t="e">
        <f t="shared" ca="1" si="797"/>
        <v>#VALUE!</v>
      </c>
      <c r="AB1596" t="e">
        <f t="shared" ca="1" si="798"/>
        <v>#VALUE!</v>
      </c>
      <c r="AC1596" t="e">
        <f t="shared" ca="1" si="799"/>
        <v>#VALUE!</v>
      </c>
      <c r="AD1596" t="e">
        <f t="shared" ca="1" si="800"/>
        <v>#VALUE!</v>
      </c>
      <c r="AE1596" t="e">
        <f t="shared" ca="1" si="801"/>
        <v>#VALUE!</v>
      </c>
      <c r="AF1596" t="e">
        <f t="shared" ca="1" si="802"/>
        <v>#VALUE!</v>
      </c>
      <c r="AG1596" t="e">
        <f t="shared" ca="1" si="803"/>
        <v>#VALUE!</v>
      </c>
      <c r="AH1596" t="e">
        <f ca="1">IF(V34="Supercritical",L1596,IF(V34="Subcritical",W1596,IF(AND(V1596=1,AG1596=1),IF(T1596&gt;=AE1596,L1596,W1596),IF(V1596=1,L1596,IF(AG1596=1,W1596,MAX($D$16,POWER((ABS(K1596)^2)/($I$5*MAX(F1596,0.1)^2),1/3)))))))</f>
        <v>#VALUE!</v>
      </c>
      <c r="AI1596" t="e">
        <f t="shared" ca="1" si="804"/>
        <v>#VALUE!</v>
      </c>
      <c r="AJ1596" t="e">
        <f t="shared" ca="1" si="805"/>
        <v>#VALUE!</v>
      </c>
      <c r="AM1596">
        <v>0</v>
      </c>
      <c r="AN1596">
        <v>0</v>
      </c>
      <c r="AO1596">
        <f t="shared" si="806"/>
        <v>0</v>
      </c>
      <c r="AP1596" t="e">
        <f t="shared" ca="1" si="815"/>
        <v>#VALUE!</v>
      </c>
      <c r="AQ1596" t="e">
        <f t="shared" ca="1" si="807"/>
        <v>#VALUE!</v>
      </c>
      <c r="AR1596" t="e">
        <f t="shared" ca="1" si="808"/>
        <v>#VALUE!</v>
      </c>
      <c r="AS1596" t="e">
        <f t="shared" ca="1" si="809"/>
        <v>#VALUE!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191</v>
      </c>
      <c r="I1597">
        <v>0</v>
      </c>
      <c r="J1597">
        <f t="shared" si="810"/>
        <v>1</v>
      </c>
      <c r="K1597" t="e">
        <f t="shared" ca="1" si="811"/>
        <v>#VALUE!</v>
      </c>
      <c r="L1597" t="e">
        <f t="shared" ca="1" si="812"/>
        <v>#VALUE!</v>
      </c>
      <c r="M1597" t="e">
        <f t="shared" ca="1" si="785"/>
        <v>#VALUE!</v>
      </c>
      <c r="N1597" t="e">
        <f t="shared" ca="1" si="786"/>
        <v>#VALUE!</v>
      </c>
      <c r="O1597" t="e">
        <f t="shared" ca="1" si="787"/>
        <v>#VALUE!</v>
      </c>
      <c r="P1597" t="e">
        <f t="shared" ca="1" si="788"/>
        <v>#VALUE!</v>
      </c>
      <c r="Q1597" t="e">
        <f t="shared" ca="1" si="789"/>
        <v>#VALUE!</v>
      </c>
      <c r="R1597" t="e">
        <f t="shared" ca="1" si="790"/>
        <v>#VALUE!</v>
      </c>
      <c r="S1597" t="e">
        <f t="shared" ca="1" si="791"/>
        <v>#VALUE!</v>
      </c>
      <c r="T1597" t="e">
        <f t="shared" ca="1" si="792"/>
        <v>#VALUE!</v>
      </c>
      <c r="U1597" t="e">
        <f t="shared" ca="1" si="813"/>
        <v>#VALUE!</v>
      </c>
      <c r="V1597" t="e">
        <f t="shared" ca="1" si="814"/>
        <v>#VALUE!</v>
      </c>
      <c r="W1597" t="e">
        <f t="shared" ca="1" si="793"/>
        <v>#VALUE!</v>
      </c>
      <c r="X1597" t="e">
        <f t="shared" ca="1" si="794"/>
        <v>#VALUE!</v>
      </c>
      <c r="Y1597" t="e">
        <f t="shared" ca="1" si="795"/>
        <v>#VALUE!</v>
      </c>
      <c r="Z1597" t="e">
        <f t="shared" ca="1" si="796"/>
        <v>#VALUE!</v>
      </c>
      <c r="AA1597" t="e">
        <f t="shared" ca="1" si="797"/>
        <v>#VALUE!</v>
      </c>
      <c r="AB1597" t="e">
        <f t="shared" ca="1" si="798"/>
        <v>#VALUE!</v>
      </c>
      <c r="AC1597" t="e">
        <f t="shared" ca="1" si="799"/>
        <v>#VALUE!</v>
      </c>
      <c r="AD1597" t="e">
        <f t="shared" ca="1" si="800"/>
        <v>#VALUE!</v>
      </c>
      <c r="AE1597" t="e">
        <f t="shared" ca="1" si="801"/>
        <v>#VALUE!</v>
      </c>
      <c r="AF1597" t="e">
        <f t="shared" ca="1" si="802"/>
        <v>#VALUE!</v>
      </c>
      <c r="AG1597" t="e">
        <f t="shared" ca="1" si="803"/>
        <v>#VALUE!</v>
      </c>
      <c r="AH1597" t="e">
        <f ca="1">IF(V34="Supercritical",L1597,IF(V34="Subcritical",W1597,IF(AND(V1597=1,AG1597=1),IF(T1597&gt;=AE1597,L1597,W1597),IF(V1597=1,L1597,IF(AG1597=1,W1597,MAX($D$16,POWER((ABS(K1597)^2)/($I$5*MAX(F1597,0.1)^2),1/3)))))))</f>
        <v>#VALUE!</v>
      </c>
      <c r="AI1597" t="e">
        <f t="shared" ca="1" si="804"/>
        <v>#VALUE!</v>
      </c>
      <c r="AJ1597" t="e">
        <f t="shared" ca="1" si="805"/>
        <v>#VALUE!</v>
      </c>
      <c r="AM1597">
        <v>0</v>
      </c>
      <c r="AN1597">
        <v>0</v>
      </c>
      <c r="AO1597">
        <f t="shared" si="806"/>
        <v>0</v>
      </c>
      <c r="AP1597" t="e">
        <f t="shared" ca="1" si="815"/>
        <v>#VALUE!</v>
      </c>
      <c r="AQ1597" t="e">
        <f t="shared" ca="1" si="807"/>
        <v>#VALUE!</v>
      </c>
      <c r="AR1597" t="e">
        <f t="shared" ca="1" si="808"/>
        <v>#VALUE!</v>
      </c>
      <c r="AS1597" t="e">
        <f t="shared" ca="1" si="809"/>
        <v>#VALUE!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191</v>
      </c>
      <c r="I1598">
        <v>0</v>
      </c>
      <c r="J1598">
        <f t="shared" si="810"/>
        <v>1</v>
      </c>
      <c r="K1598" t="e">
        <f t="shared" ca="1" si="811"/>
        <v>#VALUE!</v>
      </c>
      <c r="L1598" t="e">
        <f t="shared" ca="1" si="812"/>
        <v>#VALUE!</v>
      </c>
      <c r="M1598" t="e">
        <f t="shared" ca="1" si="785"/>
        <v>#VALUE!</v>
      </c>
      <c r="N1598" t="e">
        <f t="shared" ca="1" si="786"/>
        <v>#VALUE!</v>
      </c>
      <c r="O1598" t="e">
        <f t="shared" ca="1" si="787"/>
        <v>#VALUE!</v>
      </c>
      <c r="P1598" t="e">
        <f t="shared" ca="1" si="788"/>
        <v>#VALUE!</v>
      </c>
      <c r="Q1598" t="e">
        <f t="shared" ca="1" si="789"/>
        <v>#VALUE!</v>
      </c>
      <c r="R1598" t="e">
        <f t="shared" ca="1" si="790"/>
        <v>#VALUE!</v>
      </c>
      <c r="S1598" t="e">
        <f t="shared" ca="1" si="791"/>
        <v>#VALUE!</v>
      </c>
      <c r="T1598" t="e">
        <f t="shared" ca="1" si="792"/>
        <v>#VALUE!</v>
      </c>
      <c r="U1598" t="e">
        <f t="shared" ca="1" si="813"/>
        <v>#VALUE!</v>
      </c>
      <c r="V1598" t="e">
        <f t="shared" ca="1" si="814"/>
        <v>#VALUE!</v>
      </c>
      <c r="W1598" t="e">
        <f t="shared" ca="1" si="793"/>
        <v>#VALUE!</v>
      </c>
      <c r="X1598" t="e">
        <f t="shared" ca="1" si="794"/>
        <v>#VALUE!</v>
      </c>
      <c r="Y1598" t="e">
        <f t="shared" ca="1" si="795"/>
        <v>#VALUE!</v>
      </c>
      <c r="Z1598" t="e">
        <f t="shared" ca="1" si="796"/>
        <v>#VALUE!</v>
      </c>
      <c r="AA1598" t="e">
        <f t="shared" ca="1" si="797"/>
        <v>#VALUE!</v>
      </c>
      <c r="AB1598" t="e">
        <f t="shared" ca="1" si="798"/>
        <v>#VALUE!</v>
      </c>
      <c r="AC1598" t="e">
        <f t="shared" ca="1" si="799"/>
        <v>#VALUE!</v>
      </c>
      <c r="AD1598" t="e">
        <f t="shared" ca="1" si="800"/>
        <v>#VALUE!</v>
      </c>
      <c r="AE1598" t="e">
        <f t="shared" ca="1" si="801"/>
        <v>#VALUE!</v>
      </c>
      <c r="AF1598" t="e">
        <f t="shared" ca="1" si="802"/>
        <v>#VALUE!</v>
      </c>
      <c r="AG1598" t="e">
        <f t="shared" ca="1" si="803"/>
        <v>#VALUE!</v>
      </c>
      <c r="AH1598" t="e">
        <f ca="1">IF(V34="Supercritical",L1598,IF(V34="Subcritical",W1598,IF(AND(V1598=1,AG1598=1),IF(T1598&gt;=AE1598,L1598,W1598),IF(V1598=1,L1598,IF(AG1598=1,W1598,MAX($D$16,POWER((ABS(K1598)^2)/($I$5*MAX(F1598,0.1)^2),1/3)))))))</f>
        <v>#VALUE!</v>
      </c>
      <c r="AI1598" t="e">
        <f t="shared" ca="1" si="804"/>
        <v>#VALUE!</v>
      </c>
      <c r="AJ1598" t="e">
        <f t="shared" ca="1" si="805"/>
        <v>#VALUE!</v>
      </c>
      <c r="AM1598">
        <v>0</v>
      </c>
      <c r="AN1598">
        <v>0</v>
      </c>
      <c r="AO1598">
        <f t="shared" si="806"/>
        <v>0</v>
      </c>
      <c r="AP1598" t="e">
        <f t="shared" ca="1" si="815"/>
        <v>#VALUE!</v>
      </c>
      <c r="AQ1598" t="e">
        <f t="shared" ca="1" si="807"/>
        <v>#VALUE!</v>
      </c>
      <c r="AR1598" t="e">
        <f t="shared" ca="1" si="808"/>
        <v>#VALUE!</v>
      </c>
      <c r="AS1598" t="e">
        <f t="shared" ca="1" si="809"/>
        <v>#VALUE!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191</v>
      </c>
      <c r="I1599">
        <v>0</v>
      </c>
      <c r="J1599">
        <f t="shared" si="810"/>
        <v>1</v>
      </c>
      <c r="K1599" t="e">
        <f t="shared" ca="1" si="811"/>
        <v>#VALUE!</v>
      </c>
      <c r="L1599" t="e">
        <f t="shared" ca="1" si="812"/>
        <v>#VALUE!</v>
      </c>
      <c r="M1599" t="e">
        <f t="shared" ca="1" si="785"/>
        <v>#VALUE!</v>
      </c>
      <c r="N1599" t="e">
        <f t="shared" ca="1" si="786"/>
        <v>#VALUE!</v>
      </c>
      <c r="O1599" t="e">
        <f t="shared" ca="1" si="787"/>
        <v>#VALUE!</v>
      </c>
      <c r="P1599" t="e">
        <f t="shared" ca="1" si="788"/>
        <v>#VALUE!</v>
      </c>
      <c r="Q1599" t="e">
        <f t="shared" ca="1" si="789"/>
        <v>#VALUE!</v>
      </c>
      <c r="R1599" t="e">
        <f t="shared" ca="1" si="790"/>
        <v>#VALUE!</v>
      </c>
      <c r="S1599" t="e">
        <f t="shared" ca="1" si="791"/>
        <v>#VALUE!</v>
      </c>
      <c r="T1599" t="e">
        <f t="shared" ca="1" si="792"/>
        <v>#VALUE!</v>
      </c>
      <c r="U1599" t="e">
        <f t="shared" ca="1" si="813"/>
        <v>#VALUE!</v>
      </c>
      <c r="V1599" t="e">
        <f t="shared" ca="1" si="814"/>
        <v>#VALUE!</v>
      </c>
      <c r="W1599" t="e">
        <f t="shared" ca="1" si="793"/>
        <v>#VALUE!</v>
      </c>
      <c r="X1599" t="e">
        <f t="shared" ca="1" si="794"/>
        <v>#VALUE!</v>
      </c>
      <c r="Y1599" t="e">
        <f t="shared" ca="1" si="795"/>
        <v>#VALUE!</v>
      </c>
      <c r="Z1599" t="e">
        <f t="shared" ca="1" si="796"/>
        <v>#VALUE!</v>
      </c>
      <c r="AA1599" t="e">
        <f t="shared" ca="1" si="797"/>
        <v>#VALUE!</v>
      </c>
      <c r="AB1599" t="e">
        <f t="shared" ca="1" si="798"/>
        <v>#VALUE!</v>
      </c>
      <c r="AC1599" t="e">
        <f t="shared" ca="1" si="799"/>
        <v>#VALUE!</v>
      </c>
      <c r="AD1599" t="e">
        <f t="shared" ca="1" si="800"/>
        <v>#VALUE!</v>
      </c>
      <c r="AE1599" t="e">
        <f t="shared" ca="1" si="801"/>
        <v>#VALUE!</v>
      </c>
      <c r="AF1599" t="e">
        <f t="shared" ca="1" si="802"/>
        <v>#VALUE!</v>
      </c>
      <c r="AG1599" t="e">
        <f t="shared" ca="1" si="803"/>
        <v>#VALUE!</v>
      </c>
      <c r="AH1599" t="e">
        <f ca="1">IF(V34="Supercritical",L1599,IF(V34="Subcritical",W1599,IF(AND(V1599=1,AG1599=1),IF(T1599&gt;=AE1599,L1599,W1599),IF(V1599=1,L1599,IF(AG1599=1,W1599,MAX($D$16,POWER((ABS(K1599)^2)/($I$5*MAX(F1599,0.1)^2),1/3)))))))</f>
        <v>#VALUE!</v>
      </c>
      <c r="AI1599" t="e">
        <f t="shared" ca="1" si="804"/>
        <v>#VALUE!</v>
      </c>
      <c r="AJ1599" t="e">
        <f t="shared" ca="1" si="805"/>
        <v>#VALUE!</v>
      </c>
      <c r="AM1599">
        <v>0</v>
      </c>
      <c r="AN1599">
        <v>0</v>
      </c>
      <c r="AO1599">
        <f t="shared" si="806"/>
        <v>0</v>
      </c>
      <c r="AP1599" t="e">
        <f t="shared" ca="1" si="815"/>
        <v>#VALUE!</v>
      </c>
      <c r="AQ1599" t="e">
        <f t="shared" ca="1" si="807"/>
        <v>#VALUE!</v>
      </c>
      <c r="AR1599" t="e">
        <f t="shared" ca="1" si="808"/>
        <v>#VALUE!</v>
      </c>
      <c r="AS1599" t="e">
        <f t="shared" ca="1" si="809"/>
        <v>#VALUE!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191</v>
      </c>
      <c r="I1600">
        <v>0</v>
      </c>
      <c r="J1600">
        <f t="shared" si="810"/>
        <v>1</v>
      </c>
      <c r="K1600" t="e">
        <f t="shared" ca="1" si="811"/>
        <v>#VALUE!</v>
      </c>
      <c r="L1600" t="e">
        <f t="shared" ca="1" si="812"/>
        <v>#VALUE!</v>
      </c>
      <c r="M1600" t="e">
        <f t="shared" ca="1" si="785"/>
        <v>#VALUE!</v>
      </c>
      <c r="N1600" t="e">
        <f t="shared" ca="1" si="786"/>
        <v>#VALUE!</v>
      </c>
      <c r="O1600" t="e">
        <f t="shared" ca="1" si="787"/>
        <v>#VALUE!</v>
      </c>
      <c r="P1600" t="e">
        <f t="shared" ca="1" si="788"/>
        <v>#VALUE!</v>
      </c>
      <c r="Q1600" t="e">
        <f t="shared" ca="1" si="789"/>
        <v>#VALUE!</v>
      </c>
      <c r="R1600" t="e">
        <f t="shared" ca="1" si="790"/>
        <v>#VALUE!</v>
      </c>
      <c r="S1600" t="e">
        <f t="shared" ca="1" si="791"/>
        <v>#VALUE!</v>
      </c>
      <c r="T1600" t="e">
        <f t="shared" ca="1" si="792"/>
        <v>#VALUE!</v>
      </c>
      <c r="U1600" t="e">
        <f t="shared" ca="1" si="813"/>
        <v>#VALUE!</v>
      </c>
      <c r="V1600" t="e">
        <f t="shared" ca="1" si="814"/>
        <v>#VALUE!</v>
      </c>
      <c r="W1600" t="e">
        <f t="shared" ca="1" si="793"/>
        <v>#VALUE!</v>
      </c>
      <c r="X1600" t="e">
        <f t="shared" ca="1" si="794"/>
        <v>#VALUE!</v>
      </c>
      <c r="Y1600" t="e">
        <f t="shared" ca="1" si="795"/>
        <v>#VALUE!</v>
      </c>
      <c r="Z1600" t="e">
        <f t="shared" ca="1" si="796"/>
        <v>#VALUE!</v>
      </c>
      <c r="AA1600" t="e">
        <f t="shared" ca="1" si="797"/>
        <v>#VALUE!</v>
      </c>
      <c r="AB1600" t="e">
        <f t="shared" ca="1" si="798"/>
        <v>#VALUE!</v>
      </c>
      <c r="AC1600" t="e">
        <f t="shared" ca="1" si="799"/>
        <v>#VALUE!</v>
      </c>
      <c r="AD1600" t="e">
        <f t="shared" ca="1" si="800"/>
        <v>#VALUE!</v>
      </c>
      <c r="AE1600" t="e">
        <f t="shared" ca="1" si="801"/>
        <v>#VALUE!</v>
      </c>
      <c r="AF1600" t="e">
        <f t="shared" ca="1" si="802"/>
        <v>#VALUE!</v>
      </c>
      <c r="AG1600" t="e">
        <f t="shared" ca="1" si="803"/>
        <v>#VALUE!</v>
      </c>
      <c r="AH1600" t="e">
        <f ca="1">IF(V34="Supercritical",L1600,IF(V34="Subcritical",W1600,IF(AND(V1600=1,AG1600=1),IF(T1600&gt;=AE1600,L1600,W1600),IF(V1600=1,L1600,IF(AG1600=1,W1600,MAX($D$16,POWER((ABS(K1600)^2)/($I$5*MAX(F1600,0.1)^2),1/3)))))))</f>
        <v>#VALUE!</v>
      </c>
      <c r="AI1600" t="e">
        <f t="shared" ca="1" si="804"/>
        <v>#VALUE!</v>
      </c>
      <c r="AJ1600" t="e">
        <f t="shared" ca="1" si="805"/>
        <v>#VALUE!</v>
      </c>
      <c r="AM1600">
        <v>0</v>
      </c>
      <c r="AN1600">
        <v>0</v>
      </c>
      <c r="AO1600">
        <f t="shared" si="806"/>
        <v>0</v>
      </c>
      <c r="AP1600" t="e">
        <f t="shared" ca="1" si="815"/>
        <v>#VALUE!</v>
      </c>
      <c r="AQ1600" t="e">
        <f t="shared" ca="1" si="807"/>
        <v>#VALUE!</v>
      </c>
      <c r="AR1600" t="e">
        <f t="shared" ca="1" si="808"/>
        <v>#VALUE!</v>
      </c>
      <c r="AS1600" t="e">
        <f t="shared" ca="1" si="809"/>
        <v>#VALUE!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191</v>
      </c>
      <c r="I1601">
        <v>0</v>
      </c>
      <c r="J1601">
        <f t="shared" si="810"/>
        <v>1</v>
      </c>
      <c r="K1601" t="e">
        <f t="shared" ca="1" si="811"/>
        <v>#VALUE!</v>
      </c>
      <c r="L1601" t="e">
        <f t="shared" ca="1" si="812"/>
        <v>#VALUE!</v>
      </c>
      <c r="M1601" t="e">
        <f t="shared" ca="1" si="785"/>
        <v>#VALUE!</v>
      </c>
      <c r="N1601" t="e">
        <f t="shared" ca="1" si="786"/>
        <v>#VALUE!</v>
      </c>
      <c r="O1601" t="e">
        <f t="shared" ca="1" si="787"/>
        <v>#VALUE!</v>
      </c>
      <c r="P1601" t="e">
        <f t="shared" ca="1" si="788"/>
        <v>#VALUE!</v>
      </c>
      <c r="Q1601" t="e">
        <f t="shared" ca="1" si="789"/>
        <v>#VALUE!</v>
      </c>
      <c r="R1601" t="e">
        <f t="shared" ca="1" si="790"/>
        <v>#VALUE!</v>
      </c>
      <c r="S1601" t="e">
        <f t="shared" ca="1" si="791"/>
        <v>#VALUE!</v>
      </c>
      <c r="T1601" t="e">
        <f t="shared" ca="1" si="792"/>
        <v>#VALUE!</v>
      </c>
      <c r="U1601" t="e">
        <f t="shared" ca="1" si="813"/>
        <v>#VALUE!</v>
      </c>
      <c r="V1601" t="e">
        <f t="shared" ca="1" si="814"/>
        <v>#VALUE!</v>
      </c>
      <c r="W1601">
        <f>MAX($D$16,(P7)-E1601)</f>
        <v>13.522000000000048</v>
      </c>
      <c r="X1601">
        <f t="shared" si="794"/>
        <v>67.677610000000243</v>
      </c>
      <c r="Y1601">
        <f t="shared" si="795"/>
        <v>2.1116917844550542</v>
      </c>
      <c r="Z1601" t="e">
        <f t="shared" ca="1" si="796"/>
        <v>#VALUE!</v>
      </c>
      <c r="AA1601">
        <f t="shared" si="797"/>
        <v>635.5</v>
      </c>
      <c r="AB1601" t="e">
        <f t="shared" ca="1" si="798"/>
        <v>#VALUE!</v>
      </c>
      <c r="AC1601" t="e">
        <f t="shared" ca="1" si="799"/>
        <v>#VALUE!</v>
      </c>
      <c r="AD1601" t="e">
        <f t="shared" ca="1" si="800"/>
        <v>#VALUE!</v>
      </c>
      <c r="AE1601" t="e">
        <f t="shared" ca="1" si="801"/>
        <v>#VALUE!</v>
      </c>
      <c r="AF1601">
        <v>0</v>
      </c>
      <c r="AG1601">
        <v>1</v>
      </c>
      <c r="AH1601" t="e">
        <f ca="1">IF(V34="Supercritical",L1601,IF(V34="Subcritical",W1601,IF(AND(V1601=1,AG1601=1),IF(T1601&gt;=AE1601,L1601,W1601),IF(V1601=1,L1601,IF(AG1601=1,W1601,MAX($D$16,POWER((ABS(K1601)^2)/($I$5*MAX(F1601,0.1)^2),1/3)))))))</f>
        <v>#VALUE!</v>
      </c>
      <c r="AI1601" t="e">
        <f t="shared" ca="1" si="804"/>
        <v>#VALUE!</v>
      </c>
      <c r="AJ1601" t="e">
        <f t="shared" ca="1" si="805"/>
        <v>#VALUE!</v>
      </c>
      <c r="AM1601">
        <v>0</v>
      </c>
      <c r="AN1601">
        <v>0</v>
      </c>
      <c r="AO1601">
        <f t="shared" si="806"/>
        <v>0</v>
      </c>
      <c r="AP1601" t="e">
        <f t="shared" ca="1" si="815"/>
        <v>#VALUE!</v>
      </c>
      <c r="AQ1601" t="e">
        <f t="shared" ca="1" si="807"/>
        <v>#VALUE!</v>
      </c>
      <c r="AR1601" t="e">
        <f t="shared" ca="1" si="808"/>
        <v>#VALUE!</v>
      </c>
      <c r="AS1601" t="e">
        <f t="shared" ca="1" si="809"/>
        <v>#VALUE!</v>
      </c>
    </row>
    <row r="1604" spans="1:45" x14ac:dyDescent="0.35">
      <c r="A1604" t="s">
        <v>196</v>
      </c>
      <c r="E1604">
        <f>E35</f>
        <v>34.930999999999997</v>
      </c>
      <c r="F1604" t="s">
        <v>141</v>
      </c>
      <c r="H1604">
        <f ca="1">N35</f>
        <v>1.0200000000000031</v>
      </c>
      <c r="I1604" t="s">
        <v>13</v>
      </c>
      <c r="K1604" t="str">
        <f>V35</f>
        <v>Mixed</v>
      </c>
      <c r="L1604" t="s">
        <v>142</v>
      </c>
    </row>
    <row r="1605" spans="1:45" x14ac:dyDescent="0.35">
      <c r="A1605" t="s">
        <v>143</v>
      </c>
      <c r="B1605" t="s">
        <v>144</v>
      </c>
      <c r="C1605" t="s">
        <v>145</v>
      </c>
      <c r="D1605" t="s">
        <v>146</v>
      </c>
      <c r="E1605" t="s">
        <v>147</v>
      </c>
      <c r="F1605" t="s">
        <v>148</v>
      </c>
      <c r="G1605" t="s">
        <v>149</v>
      </c>
      <c r="H1605" t="s">
        <v>9</v>
      </c>
      <c r="I1605" t="s">
        <v>150</v>
      </c>
      <c r="J1605" t="s">
        <v>151</v>
      </c>
      <c r="K1605" t="s">
        <v>152</v>
      </c>
      <c r="L1605" t="s">
        <v>153</v>
      </c>
      <c r="M1605" t="s">
        <v>154</v>
      </c>
      <c r="N1605" t="s">
        <v>155</v>
      </c>
      <c r="O1605" t="s">
        <v>156</v>
      </c>
      <c r="P1605" t="s">
        <v>157</v>
      </c>
      <c r="Q1605" t="s">
        <v>158</v>
      </c>
      <c r="R1605" t="s">
        <v>159</v>
      </c>
      <c r="S1605" t="s">
        <v>160</v>
      </c>
      <c r="T1605" t="s">
        <v>161</v>
      </c>
      <c r="U1605" t="s">
        <v>162</v>
      </c>
      <c r="V1605" t="s">
        <v>163</v>
      </c>
      <c r="W1605" t="s">
        <v>164</v>
      </c>
      <c r="X1605" t="s">
        <v>165</v>
      </c>
      <c r="Y1605" t="s">
        <v>166</v>
      </c>
      <c r="Z1605" t="s">
        <v>167</v>
      </c>
      <c r="AA1605" t="s">
        <v>168</v>
      </c>
      <c r="AB1605" t="s">
        <v>169</v>
      </c>
      <c r="AC1605" t="s">
        <v>170</v>
      </c>
      <c r="AD1605" t="s">
        <v>171</v>
      </c>
      <c r="AE1605" t="s">
        <v>172</v>
      </c>
      <c r="AF1605" t="s">
        <v>173</v>
      </c>
      <c r="AG1605" t="s">
        <v>174</v>
      </c>
      <c r="AH1605" t="s">
        <v>175</v>
      </c>
      <c r="AI1605" t="s">
        <v>176</v>
      </c>
      <c r="AJ1605" t="s">
        <v>177</v>
      </c>
      <c r="AK1605" t="s">
        <v>178</v>
      </c>
      <c r="AL1605" t="s">
        <v>179</v>
      </c>
      <c r="AM1605" t="s">
        <v>180</v>
      </c>
      <c r="AN1605" t="s">
        <v>181</v>
      </c>
      <c r="AO1605" t="s">
        <v>182</v>
      </c>
      <c r="AP1605" t="s">
        <v>183</v>
      </c>
      <c r="AQ1605" t="s">
        <v>184</v>
      </c>
      <c r="AR1605" t="s">
        <v>185</v>
      </c>
      <c r="AS1605" t="s">
        <v>186</v>
      </c>
    </row>
    <row r="1606" spans="1:45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187</v>
      </c>
      <c r="J1606" t="s">
        <v>52</v>
      </c>
      <c r="K1606" t="s">
        <v>13</v>
      </c>
      <c r="L1606" t="s">
        <v>52</v>
      </c>
      <c r="M1606" t="s">
        <v>188</v>
      </c>
      <c r="N1606" t="s">
        <v>52</v>
      </c>
      <c r="O1606" t="s">
        <v>189</v>
      </c>
      <c r="P1606" t="s">
        <v>52</v>
      </c>
      <c r="Q1606" t="s">
        <v>52</v>
      </c>
      <c r="R1606" t="s">
        <v>22</v>
      </c>
      <c r="S1606" t="s">
        <v>22</v>
      </c>
      <c r="T1606" t="s">
        <v>190</v>
      </c>
      <c r="U1606" t="s">
        <v>52</v>
      </c>
      <c r="V1606" t="s">
        <v>22</v>
      </c>
      <c r="W1606" t="s">
        <v>52</v>
      </c>
      <c r="X1606" t="s">
        <v>188</v>
      </c>
      <c r="Y1606" t="s">
        <v>52</v>
      </c>
      <c r="Z1606" t="s">
        <v>189</v>
      </c>
      <c r="AA1606" t="s">
        <v>52</v>
      </c>
      <c r="AB1606" t="s">
        <v>52</v>
      </c>
      <c r="AC1606" t="s">
        <v>22</v>
      </c>
      <c r="AD1606" t="s">
        <v>22</v>
      </c>
      <c r="AE1606" t="s">
        <v>190</v>
      </c>
      <c r="AF1606" t="s">
        <v>52</v>
      </c>
      <c r="AG1606" t="s">
        <v>22</v>
      </c>
      <c r="AH1606" t="s">
        <v>52</v>
      </c>
      <c r="AI1606" t="s">
        <v>52</v>
      </c>
      <c r="AJ1606" t="s">
        <v>52</v>
      </c>
      <c r="AK1606" t="s">
        <v>52</v>
      </c>
      <c r="AL1606" t="s">
        <v>52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192</v>
      </c>
      <c r="I1607">
        <v>0</v>
      </c>
      <c r="J1607">
        <v>0</v>
      </c>
      <c r="K1607">
        <f ca="1">N35</f>
        <v>1.0200000000000031</v>
      </c>
      <c r="L1607">
        <f ca="1">MAX($D$16,($I$14)-E1607)</f>
        <v>0.4250000000027967</v>
      </c>
      <c r="M1607">
        <f t="shared" ref="M1607:M1642" ca="1" si="817">((F1607)+(G1607)*(L1607))*(L1607)</f>
        <v>4.3375500000285427</v>
      </c>
      <c r="N1607">
        <f t="shared" ref="N1607:N1642" ca="1" si="818">(((F1607)+(G1607)*(L1607))*(L1607))/MAX((F1607)+2*(L1607)*SQRT(1+(G1607)^2),0.000001)</f>
        <v>0.39232543415578408</v>
      </c>
      <c r="O1607">
        <f t="shared" ref="O1607:O1642" ca="1" si="819">ABS(K1607)/MAX(((F1607)+(G1607)*(L1607))*(L1607),0.000001)</f>
        <v>0.23515579070979958</v>
      </c>
      <c r="P1607">
        <f t="shared" ref="P1607:P1642" ca="1" si="820">E1607+L1607</f>
        <v>631.9250000000028</v>
      </c>
      <c r="Q1607">
        <f t="shared" ref="Q1607:Q1642" ca="1" si="821">P1607+((ABS(K1607)/MAX(((F1607)+(G1607)*(L1607))*(L1607),0.000001))^2)/(2*$I$5)</f>
        <v>631.92781846309686</v>
      </c>
      <c r="R1607">
        <f t="shared" ref="R1607:R1642" ca="1" si="822">((ABS(K1607)*$D$6)/(MAX(((F1607)+(G1607)*(L1607))*(L1607),0.000001)*MAX(((((F1607)+(G1607)*(L1607))*(L1607))/MAX((F1607)+2*(L1607)*SQRT(1+(G1607)^2),0.000001))^(2/3),0.000001)))^2</f>
        <v>4.3321011478775579E-5</v>
      </c>
      <c r="S1607">
        <f t="shared" ref="S1607:S1642" ca="1" si="823">ABS(ABS(K1607)/MAX(((F1607)+(G1607)*(L1607))*(L1607),0.000001))/SQRT($I$5*MAX((((F1607)+(G1607)*(L1607))*(L1607))/MAX((F1607)+2*(G1607)*(L1607),0.000001),0.000001))</f>
        <v>0.11516664333217476</v>
      </c>
      <c r="T1607">
        <f t="shared" ref="T1607:T1642" ca="1" si="824">((F1607)*(L1607)^2)/2+(G1607)*(L1607)^3/3+(ABS(K1607)^2)/($I$5*MAX(((F1607)+(G1607)*(L1607))*(L1607),0.000001))</f>
        <v>0.94617982419908242</v>
      </c>
      <c r="U1607">
        <v>0</v>
      </c>
      <c r="V1607">
        <v>1</v>
      </c>
      <c r="W1607" t="e">
        <f t="shared" ref="W1607:W1641" ca="1" si="825">IF(OR($D$20=0,AG1608=0),W1608,IF(OR(W1607=0,AD1608&gt;1),MAX($D$16,POWER((ABS(K1607)^2)/($I$5*MAX(F1607,0.1)^2),1/3)),IF(AF1607&gt;0,MAX($D$16,W1607+((AF1607)*$D$18*IF((AD1607)&lt;1,1,-1))),IF(AF1607&lt;0,IF(ABS((MAX($D$16,POWER((ABS(K1607)^2)/($I$5*MAX(F1607,0.1)^2),1/3)))-W1607)&gt;$D$19,MAX($D$16,W1607+($D$18*((MAX($D$16,POWER((ABS(K1607)^2)/($I$5*MAX(F1607,0.1)^2),1/3)))-W1607))),MAX($D$16,POWER((ABS(K1607)^2)/($I$5*MAX(F1607,0.1)^2),1/3))),W1607))))</f>
        <v>#VALUE!</v>
      </c>
      <c r="X1607" t="e">
        <f t="shared" ref="X1607:X1642" ca="1" si="826">((F1607)+(G1607)*(W1607))*(W1607)</f>
        <v>#VALUE!</v>
      </c>
      <c r="Y1607" t="e">
        <f t="shared" ref="Y1607:Y1642" ca="1" si="827">(((F1607)+(G1607)*(W1607))*(W1607))/MAX((F1607)+2*(W1607)*SQRT(1+(G1607)^2),0.000001)</f>
        <v>#VALUE!</v>
      </c>
      <c r="Z1607" t="e">
        <f t="shared" ref="Z1607:Z1642" ca="1" si="828">ABS(K1607)/MAX(((F1607)+(G1607)*(W1607))*(W1607),0.000001)</f>
        <v>#VALUE!</v>
      </c>
      <c r="AA1607" t="e">
        <f t="shared" ref="AA1607:AA1642" ca="1" si="829">E1607+W1607</f>
        <v>#VALUE!</v>
      </c>
      <c r="AB1607" t="e">
        <f t="shared" ref="AB1607:AB1642" ca="1" si="830">AA1607+((ABS(K1607)/MAX(((F1607)+(G1607)*(W1607))*(W1607),0.000001))^2)/(2*$I$5)</f>
        <v>#VALUE!</v>
      </c>
      <c r="AC1607" t="e">
        <f t="shared" ref="AC1607:AC1642" ca="1" si="831">((ABS(K1607)*$D$6)/(MAX(((F1607)+(G1607)*(W1607))*(W1607),0.000001)*MAX(((((F1607)+(G1607)*(W1607))*(W1607))/MAX((F1607)+2*(W1607)*SQRT(1+(G1607)^2),0.000001))^(2/3),0.000001)))^2</f>
        <v>#VALUE!</v>
      </c>
      <c r="AD1607" t="e">
        <f t="shared" ref="AD1607:AD1642" ca="1" si="832">ABS(ABS(K1607)/MAX(((F1607)+(G1607)*(W1607))*(W1607),0.000001))/SQRT($I$5*MAX((((F1607)+(G1607)*(W1607))*(W1607))/MAX((F1607)+2*(G1607)*(W1607),0.000001),0.000001))</f>
        <v>#VALUE!</v>
      </c>
      <c r="AE1607" t="e">
        <f t="shared" ref="AE1607:AE1642" ca="1" si="833">((F1607)*(W1607)^2)/2+(G1607)*(W1607)^3/3+(ABS(K1607)^2)/($I$5*MAX(((F1607)+(G1607)*(W1607))*(W1607),0.000001))</f>
        <v>#VALUE!</v>
      </c>
      <c r="AF1607" t="e">
        <f t="shared" ref="AF1607:AF1641" ca="1" si="834">AB1608+(((AC1607+AC1608)/2)*J1608)+(IF(Z1607&gt;Z1608,$D$8*((Z1607^2-Z1608^2)/(2*$I$5)),$D$9*((Z1608^2-Z1607^2)/(2*$I$5)))+($D$10*(ABS(I1608)/90)*(MAX(Z1607^2,Z1608^2)/(2*$I$5))))-AB1607</f>
        <v>#VALUE!</v>
      </c>
      <c r="AG1607" t="e">
        <f t="shared" ref="AG1607:AG1641" ca="1" si="835">IF(ROUND(AD1607,3)=1,1,IF(AND(ABS(AF1607)&lt;$D$19,AD1607&lt;1),1,0))</f>
        <v>#VALUE!</v>
      </c>
      <c r="AH1607" t="e">
        <f ca="1">IF(V35="Supercritical",L1607,IF(V35="Subcritical",W1607,IF(AND(V1607=1,AG1607=1),IF(T1607&gt;=AE1607,L1607,W1607),IF(V1607=1,L1607,IF(AG1607=1,W1607,MAX($D$16,POWER((ABS(K1607)^2)/($I$5*MAX(F1607,0.1)^2),1/3)))))))</f>
        <v>#VALUE!</v>
      </c>
      <c r="AI1607" t="e">
        <f t="shared" ref="AI1607:AI1642" ca="1" si="836">E1607+AH1607</f>
        <v>#VALUE!</v>
      </c>
      <c r="AJ1607" t="e">
        <f t="shared" ref="AJ1607:AJ1642" ca="1" si="837">AI1607+((ABS(K1607)/MAX(((F1607)+(G1607)*(AH1607))*(AH1607),0.000001))^2)/(2*$I$5)</f>
        <v>#VALUE!</v>
      </c>
      <c r="AM1607">
        <v>0</v>
      </c>
      <c r="AN1607">
        <v>0</v>
      </c>
      <c r="AO1607">
        <f t="shared" ref="AO1607:AO1641" si="838">AM1607+AN1607</f>
        <v>0</v>
      </c>
      <c r="AP1607">
        <f>AO1607</f>
        <v>0</v>
      </c>
      <c r="AQ1607" t="e">
        <f t="shared" ref="AQ1607:AQ1642" ca="1" si="839">ABS(ABS(K1607)/MAX(((F1607)+(G1607)*(AH1607))*(AH1607),0.000001))/SQRT($I$5*MAX((((F1607)+(G1607)*(AH1607))*(AH1607))/MAX((F1607)+2*(G1607)*(AH1607),0.000001),0.000001))</f>
        <v>#VALUE!</v>
      </c>
      <c r="AR1607" t="e">
        <f t="shared" ref="AR1607:AR1642" ca="1" si="840">IF(AQ1607&lt;1,"Subcritical","Supercritical")</f>
        <v>#VALUE!</v>
      </c>
      <c r="AS1607" t="e">
        <f t="shared" ref="AS1607:AS1642" ca="1" si="841">((ABS(K1607)*$D$6)/(MAX(((F1607)+(G1607)*(AH1607))*(AH1607),0.000001)*MAX(((((F1607)+(G1607)*(AH1607))*(AH1607))/MAX((F1607)+2*(AH1607)*SQRT(1+(G1607)^2),0.000001))^(2/3),0.000001)))^2</f>
        <v>#VALUE!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192</v>
      </c>
      <c r="I1608">
        <v>7.1999999999999995E-2</v>
      </c>
      <c r="J1608">
        <f t="shared" ref="J1608:J1642" si="842">B1608-B1607</f>
        <v>1</v>
      </c>
      <c r="K1608">
        <f t="shared" ref="K1608:K1642" ca="1" si="843">MAX(0.05,K1607-AO1607)</f>
        <v>1.0200000000000031</v>
      </c>
      <c r="L1608">
        <f t="shared" ref="L1608:L1642" ca="1" si="844">IF(OR($D$20=0,V1607=0),L1607,IF(OR(L1608=0,S1607&lt;1,S1608&lt;1),MAX($D$16,POWER((ABS(K1608)^2)/($I$5*MAX(F1608,0.1)^2),1/3)),IF(U1608&gt;0,MAX($D$16,L1608+((U1608)*$D$18*IF((S1608)&lt;1,1,-1))),IF(U1608&lt;0,IF(ABS((MAX($D$16,POWER((ABS(K1608)^2)/($I$5*MAX(F1608,0.1)^2),1/3)))-L1608)&gt;$D$19,MAX($D$16,L1608+($D$18*((MAX($D$16,POWER((ABS(K1608)^2)/($I$5*MAX(F1608,0.1)^2),1/3)))-L1608))),MAX($D$16,POWER((ABS(K1608)^2)/($I$5*MAX(F1608,0.1)^2),1/3))),L1608))))</f>
        <v>8.9680647682380696E-2</v>
      </c>
      <c r="M1608">
        <f t="shared" ca="1" si="817"/>
        <v>1.0874675337965483</v>
      </c>
      <c r="N1608">
        <f t="shared" ca="1" si="818"/>
        <v>8.8373474593239326E-2</v>
      </c>
      <c r="O1608">
        <f t="shared" ca="1" si="819"/>
        <v>0.93795903629324584</v>
      </c>
      <c r="P1608">
        <f t="shared" ca="1" si="820"/>
        <v>631.58968064768237</v>
      </c>
      <c r="Q1608">
        <f t="shared" ca="1" si="821"/>
        <v>631.63452097152356</v>
      </c>
      <c r="R1608">
        <f t="shared" ca="1" si="822"/>
        <v>5.028684099304211E-3</v>
      </c>
      <c r="S1608">
        <f t="shared" ca="1" si="823"/>
        <v>0.99999999999999989</v>
      </c>
      <c r="T1608">
        <f t="shared" ca="1" si="824"/>
        <v>0.14628718914665348</v>
      </c>
      <c r="U1608">
        <f t="shared" ref="U1608:U1642" ca="1" si="845">Q1607-(((R1607+R1608)/2)*J1608)-(IF(O1607&gt;O1608,$D$8*((O1607^2-O1608^2)/(2*$I$5)),$D$9*((O1608^2-O1607^2)/(2*$I$5)))+($D$10*(ABS(I1608)/90)*(MAX(O1607^2,O1608^2)/(2*$I$5))))-Q1608</f>
        <v>0.28655392210430364</v>
      </c>
      <c r="V1608">
        <f t="shared" ref="V1608:V1642" ca="1" si="846">IF(ROUND(S1608,3)=1,1,IF(AND(ABS(U1608)&lt;$D$19,S1608&gt;1),1,0))</f>
        <v>1</v>
      </c>
      <c r="W1608" t="e">
        <f t="shared" ca="1" si="825"/>
        <v>#VALUE!</v>
      </c>
      <c r="X1608" t="e">
        <f t="shared" ca="1" si="826"/>
        <v>#VALUE!</v>
      </c>
      <c r="Y1608" t="e">
        <f t="shared" ca="1" si="827"/>
        <v>#VALUE!</v>
      </c>
      <c r="Z1608" t="e">
        <f t="shared" ca="1" si="828"/>
        <v>#VALUE!</v>
      </c>
      <c r="AA1608" t="e">
        <f t="shared" ca="1" si="829"/>
        <v>#VALUE!</v>
      </c>
      <c r="AB1608" t="e">
        <f t="shared" ca="1" si="830"/>
        <v>#VALUE!</v>
      </c>
      <c r="AC1608" t="e">
        <f t="shared" ca="1" si="831"/>
        <v>#VALUE!</v>
      </c>
      <c r="AD1608" t="e">
        <f t="shared" ca="1" si="832"/>
        <v>#VALUE!</v>
      </c>
      <c r="AE1608" t="e">
        <f t="shared" ca="1" si="833"/>
        <v>#VALUE!</v>
      </c>
      <c r="AF1608" t="e">
        <f t="shared" ca="1" si="834"/>
        <v>#VALUE!</v>
      </c>
      <c r="AG1608" t="e">
        <f t="shared" ca="1" si="835"/>
        <v>#VALUE!</v>
      </c>
      <c r="AH1608" t="e">
        <f ca="1">IF(V35="Supercritical",L1608,IF(V35="Subcritical",W1608,IF(AND(V1608=1,AG1608=1),IF(T1608&gt;=AE1608,L1608,W1608),IF(V1608=1,L1608,IF(AG1608=1,W1608,MAX($D$16,POWER((ABS(K1608)^2)/($I$5*MAX(F1608,0.1)^2),1/3)))))))</f>
        <v>#VALUE!</v>
      </c>
      <c r="AI1608" t="e">
        <f t="shared" ca="1" si="836"/>
        <v>#VALUE!</v>
      </c>
      <c r="AJ1608" t="e">
        <f t="shared" ca="1" si="837"/>
        <v>#VALUE!</v>
      </c>
      <c r="AM1608">
        <v>0</v>
      </c>
      <c r="AN1608">
        <v>0</v>
      </c>
      <c r="AO1608">
        <f t="shared" si="838"/>
        <v>0</v>
      </c>
      <c r="AP1608">
        <f t="shared" ref="AP1608:AP1642" si="847">AP1607+AO1608</f>
        <v>0</v>
      </c>
      <c r="AQ1608" t="e">
        <f t="shared" ca="1" si="839"/>
        <v>#VALUE!</v>
      </c>
      <c r="AR1608" t="e">
        <f t="shared" ca="1" si="840"/>
        <v>#VALUE!</v>
      </c>
      <c r="AS1608" t="e">
        <f t="shared" ca="1" si="841"/>
        <v>#VALUE!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192</v>
      </c>
      <c r="I1609">
        <v>7.1999999999999995E-2</v>
      </c>
      <c r="J1609">
        <f t="shared" si="842"/>
        <v>1.0009999999999999</v>
      </c>
      <c r="K1609">
        <f t="shared" ca="1" si="843"/>
        <v>1.0200000000000031</v>
      </c>
      <c r="L1609">
        <f t="shared" ca="1" si="844"/>
        <v>7.2082864185088913E-2</v>
      </c>
      <c r="M1609">
        <f t="shared" ca="1" si="817"/>
        <v>0.98349859894135316</v>
      </c>
      <c r="N1609">
        <f t="shared" ca="1" si="818"/>
        <v>7.1329183179001943E-2</v>
      </c>
      <c r="O1609">
        <f t="shared" ca="1" si="819"/>
        <v>1.0371138312733139</v>
      </c>
      <c r="P1609">
        <f t="shared" ca="1" si="820"/>
        <v>631.57208286418506</v>
      </c>
      <c r="Q1609">
        <f t="shared" ca="1" si="821"/>
        <v>631.62690473467535</v>
      </c>
      <c r="R1609">
        <f t="shared" ca="1" si="822"/>
        <v>8.1811125887201117E-3</v>
      </c>
      <c r="S1609">
        <f t="shared" ca="1" si="823"/>
        <v>1.2333203715375956</v>
      </c>
      <c r="T1609">
        <f t="shared" ca="1" si="824"/>
        <v>0.14328116360383836</v>
      </c>
      <c r="U1609">
        <f t="shared" ca="1" si="845"/>
        <v>3.1650415621697903E-10</v>
      </c>
      <c r="V1609">
        <f t="shared" ca="1" si="846"/>
        <v>1</v>
      </c>
      <c r="W1609" t="e">
        <f t="shared" ca="1" si="825"/>
        <v>#VALUE!</v>
      </c>
      <c r="X1609" t="e">
        <f t="shared" ca="1" si="826"/>
        <v>#VALUE!</v>
      </c>
      <c r="Y1609" t="e">
        <f t="shared" ca="1" si="827"/>
        <v>#VALUE!</v>
      </c>
      <c r="Z1609" t="e">
        <f t="shared" ca="1" si="828"/>
        <v>#VALUE!</v>
      </c>
      <c r="AA1609" t="e">
        <f t="shared" ca="1" si="829"/>
        <v>#VALUE!</v>
      </c>
      <c r="AB1609" t="e">
        <f t="shared" ca="1" si="830"/>
        <v>#VALUE!</v>
      </c>
      <c r="AC1609" t="e">
        <f t="shared" ca="1" si="831"/>
        <v>#VALUE!</v>
      </c>
      <c r="AD1609" t="e">
        <f t="shared" ca="1" si="832"/>
        <v>#VALUE!</v>
      </c>
      <c r="AE1609" t="e">
        <f t="shared" ca="1" si="833"/>
        <v>#VALUE!</v>
      </c>
      <c r="AF1609" t="e">
        <f t="shared" ca="1" si="834"/>
        <v>#VALUE!</v>
      </c>
      <c r="AG1609" t="e">
        <f t="shared" ca="1" si="835"/>
        <v>#VALUE!</v>
      </c>
      <c r="AH1609" t="e">
        <f ca="1">IF(V35="Supercritical",L1609,IF(V35="Subcritical",W1609,IF(AND(V1609=1,AG1609=1),IF(T1609&gt;=AE1609,L1609,W1609),IF(V1609=1,L1609,IF(AG1609=1,W1609,MAX($D$16,POWER((ABS(K1609)^2)/($I$5*MAX(F1609,0.1)^2),1/3)))))))</f>
        <v>#VALUE!</v>
      </c>
      <c r="AI1609" t="e">
        <f t="shared" ca="1" si="836"/>
        <v>#VALUE!</v>
      </c>
      <c r="AJ1609" t="e">
        <f t="shared" ca="1" si="837"/>
        <v>#VALUE!</v>
      </c>
      <c r="AM1609">
        <v>0</v>
      </c>
      <c r="AN1609">
        <v>0</v>
      </c>
      <c r="AO1609">
        <f t="shared" si="838"/>
        <v>0</v>
      </c>
      <c r="AP1609">
        <f t="shared" si="847"/>
        <v>0</v>
      </c>
      <c r="AQ1609" t="e">
        <f t="shared" ca="1" si="839"/>
        <v>#VALUE!</v>
      </c>
      <c r="AR1609" t="e">
        <f t="shared" ca="1" si="840"/>
        <v>#VALUE!</v>
      </c>
      <c r="AS1609" t="e">
        <f t="shared" ca="1" si="841"/>
        <v>#VALUE!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192</v>
      </c>
      <c r="I1610">
        <v>5.5E-2</v>
      </c>
      <c r="J1610">
        <f t="shared" si="842"/>
        <v>1</v>
      </c>
      <c r="K1610">
        <f t="shared" ca="1" si="843"/>
        <v>1.0200000000000031</v>
      </c>
      <c r="L1610">
        <f t="shared" ca="1" si="844"/>
        <v>7.7824488088914262E-2</v>
      </c>
      <c r="M1610">
        <f t="shared" ca="1" si="817"/>
        <v>1.1673673213337139</v>
      </c>
      <c r="N1610">
        <f t="shared" ca="1" si="818"/>
        <v>7.7025228228010695E-2</v>
      </c>
      <c r="O1610">
        <f t="shared" ca="1" si="819"/>
        <v>0.8737609674002661</v>
      </c>
      <c r="P1610">
        <f t="shared" ca="1" si="820"/>
        <v>631.57782448808894</v>
      </c>
      <c r="Q1610">
        <f t="shared" ca="1" si="821"/>
        <v>631.6167367321334</v>
      </c>
      <c r="R1610">
        <f t="shared" ca="1" si="822"/>
        <v>5.2415187023004371E-3</v>
      </c>
      <c r="S1610">
        <f t="shared" ca="1" si="823"/>
        <v>1</v>
      </c>
      <c r="T1610">
        <f t="shared" ca="1" si="824"/>
        <v>0.13627464629178504</v>
      </c>
      <c r="U1610">
        <f t="shared" ca="1" si="845"/>
        <v>-1.3212263753530351E-3</v>
      </c>
      <c r="V1610">
        <f t="shared" ca="1" si="846"/>
        <v>1</v>
      </c>
      <c r="W1610" t="e">
        <f t="shared" ca="1" si="825"/>
        <v>#VALUE!</v>
      </c>
      <c r="X1610" t="e">
        <f t="shared" ca="1" si="826"/>
        <v>#VALUE!</v>
      </c>
      <c r="Y1610" t="e">
        <f t="shared" ca="1" si="827"/>
        <v>#VALUE!</v>
      </c>
      <c r="Z1610" t="e">
        <f t="shared" ca="1" si="828"/>
        <v>#VALUE!</v>
      </c>
      <c r="AA1610" t="e">
        <f t="shared" ca="1" si="829"/>
        <v>#VALUE!</v>
      </c>
      <c r="AB1610" t="e">
        <f t="shared" ca="1" si="830"/>
        <v>#VALUE!</v>
      </c>
      <c r="AC1610" t="e">
        <f t="shared" ca="1" si="831"/>
        <v>#VALUE!</v>
      </c>
      <c r="AD1610" t="e">
        <f t="shared" ca="1" si="832"/>
        <v>#VALUE!</v>
      </c>
      <c r="AE1610" t="e">
        <f t="shared" ca="1" si="833"/>
        <v>#VALUE!</v>
      </c>
      <c r="AF1610" t="e">
        <f t="shared" ca="1" si="834"/>
        <v>#VALUE!</v>
      </c>
      <c r="AG1610" t="e">
        <f t="shared" ca="1" si="835"/>
        <v>#VALUE!</v>
      </c>
      <c r="AH1610" t="e">
        <f ca="1">IF(V35="Supercritical",L1610,IF(V35="Subcritical",W1610,IF(AND(V1610=1,AG1610=1),IF(T1610&gt;=AE1610,L1610,W1610),IF(V1610=1,L1610,IF(AG1610=1,W1610,MAX($D$16,POWER((ABS(K1610)^2)/($I$5*MAX(F1610,0.1)^2),1/3)))))))</f>
        <v>#VALUE!</v>
      </c>
      <c r="AI1610" t="e">
        <f t="shared" ca="1" si="836"/>
        <v>#VALUE!</v>
      </c>
      <c r="AJ1610" t="e">
        <f t="shared" ca="1" si="837"/>
        <v>#VALUE!</v>
      </c>
      <c r="AM1610">
        <v>0</v>
      </c>
      <c r="AN1610">
        <v>0</v>
      </c>
      <c r="AO1610">
        <f t="shared" si="838"/>
        <v>0</v>
      </c>
      <c r="AP1610">
        <f t="shared" si="847"/>
        <v>0</v>
      </c>
      <c r="AQ1610" t="e">
        <f t="shared" ca="1" si="839"/>
        <v>#VALUE!</v>
      </c>
      <c r="AR1610" t="e">
        <f t="shared" ca="1" si="840"/>
        <v>#VALUE!</v>
      </c>
      <c r="AS1610" t="e">
        <f t="shared" ca="1" si="841"/>
        <v>#VALUE!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192</v>
      </c>
      <c r="I1611">
        <v>5.5E-2</v>
      </c>
      <c r="J1611">
        <f t="shared" si="842"/>
        <v>0.99900000000000011</v>
      </c>
      <c r="K1611">
        <f t="shared" ca="1" si="843"/>
        <v>1.0200000000000031</v>
      </c>
      <c r="L1611">
        <f t="shared" ca="1" si="844"/>
        <v>7.4547049117168432E-2</v>
      </c>
      <c r="M1611">
        <f t="shared" ca="1" si="817"/>
        <v>1.1927527858746949</v>
      </c>
      <c r="N1611">
        <f t="shared" ca="1" si="818"/>
        <v>7.385880462515261E-2</v>
      </c>
      <c r="O1611">
        <f t="shared" ca="1" si="819"/>
        <v>0.85516463434792567</v>
      </c>
      <c r="P1611">
        <f t="shared" ca="1" si="820"/>
        <v>631.5745470491172</v>
      </c>
      <c r="Q1611">
        <f t="shared" ca="1" si="821"/>
        <v>631.6118205736758</v>
      </c>
      <c r="R1611">
        <f t="shared" ca="1" si="822"/>
        <v>5.3098096173633223E-3</v>
      </c>
      <c r="S1611">
        <f t="shared" ca="1" si="823"/>
        <v>0.99999999999999933</v>
      </c>
      <c r="T1611">
        <f t="shared" ca="1" si="824"/>
        <v>0.13337430076986043</v>
      </c>
      <c r="U1611">
        <f t="shared" ca="1" si="845"/>
        <v>-8.4941283955686231E-4</v>
      </c>
      <c r="V1611">
        <f t="shared" ca="1" si="846"/>
        <v>1</v>
      </c>
      <c r="W1611" t="e">
        <f t="shared" ca="1" si="825"/>
        <v>#VALUE!</v>
      </c>
      <c r="X1611" t="e">
        <f t="shared" ca="1" si="826"/>
        <v>#VALUE!</v>
      </c>
      <c r="Y1611" t="e">
        <f t="shared" ca="1" si="827"/>
        <v>#VALUE!</v>
      </c>
      <c r="Z1611" t="e">
        <f t="shared" ca="1" si="828"/>
        <v>#VALUE!</v>
      </c>
      <c r="AA1611" t="e">
        <f t="shared" ca="1" si="829"/>
        <v>#VALUE!</v>
      </c>
      <c r="AB1611" t="e">
        <f t="shared" ca="1" si="830"/>
        <v>#VALUE!</v>
      </c>
      <c r="AC1611" t="e">
        <f t="shared" ca="1" si="831"/>
        <v>#VALUE!</v>
      </c>
      <c r="AD1611" t="e">
        <f t="shared" ca="1" si="832"/>
        <v>#VALUE!</v>
      </c>
      <c r="AE1611" t="e">
        <f t="shared" ca="1" si="833"/>
        <v>#VALUE!</v>
      </c>
      <c r="AF1611" t="e">
        <f t="shared" ca="1" si="834"/>
        <v>#VALUE!</v>
      </c>
      <c r="AG1611" t="e">
        <f t="shared" ca="1" si="835"/>
        <v>#VALUE!</v>
      </c>
      <c r="AH1611" t="e">
        <f ca="1">IF(V35="Supercritical",L1611,IF(V35="Subcritical",W1611,IF(AND(V1611=1,AG1611=1),IF(T1611&gt;=AE1611,L1611,W1611),IF(V1611=1,L1611,IF(AG1611=1,W1611,MAX($D$16,POWER((ABS(K1611)^2)/($I$5*MAX(F1611,0.1)^2),1/3)))))))</f>
        <v>#VALUE!</v>
      </c>
      <c r="AI1611" t="e">
        <f t="shared" ca="1" si="836"/>
        <v>#VALUE!</v>
      </c>
      <c r="AJ1611" t="e">
        <f t="shared" ca="1" si="837"/>
        <v>#VALUE!</v>
      </c>
      <c r="AM1611">
        <v>0</v>
      </c>
      <c r="AN1611">
        <v>0</v>
      </c>
      <c r="AO1611">
        <f t="shared" si="838"/>
        <v>0</v>
      </c>
      <c r="AP1611">
        <f t="shared" si="847"/>
        <v>0</v>
      </c>
      <c r="AQ1611" t="e">
        <f t="shared" ca="1" si="839"/>
        <v>#VALUE!</v>
      </c>
      <c r="AR1611" t="e">
        <f t="shared" ca="1" si="840"/>
        <v>#VALUE!</v>
      </c>
      <c r="AS1611" t="e">
        <f t="shared" ca="1" si="841"/>
        <v>#VALUE!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192</v>
      </c>
      <c r="I1612">
        <v>5.5E-2</v>
      </c>
      <c r="J1612">
        <f t="shared" si="842"/>
        <v>1</v>
      </c>
      <c r="K1612">
        <f t="shared" ca="1" si="843"/>
        <v>1.0200000000000031</v>
      </c>
      <c r="L1612">
        <f t="shared" ca="1" si="844"/>
        <v>7.1594198438111448E-2</v>
      </c>
      <c r="M1612">
        <f t="shared" ca="1" si="817"/>
        <v>1.2171013734478946</v>
      </c>
      <c r="N1612">
        <f t="shared" ca="1" si="818"/>
        <v>7.0996208247333437E-2</v>
      </c>
      <c r="O1612">
        <f t="shared" ca="1" si="819"/>
        <v>0.83805673237429013</v>
      </c>
      <c r="P1612">
        <f t="shared" ca="1" si="820"/>
        <v>631.57159419843811</v>
      </c>
      <c r="Q1612">
        <f t="shared" ca="1" si="821"/>
        <v>631.60739129765716</v>
      </c>
      <c r="R1612">
        <f t="shared" ca="1" si="822"/>
        <v>5.3754622601949516E-3</v>
      </c>
      <c r="S1612">
        <f t="shared" ca="1" si="823"/>
        <v>0.99999999999999944</v>
      </c>
      <c r="T1612">
        <f t="shared" ca="1" si="824"/>
        <v>0.13070609587488974</v>
      </c>
      <c r="U1612">
        <f t="shared" ca="1" si="845"/>
        <v>-1.3597042617448096E-3</v>
      </c>
      <c r="V1612">
        <f t="shared" ca="1" si="846"/>
        <v>1</v>
      </c>
      <c r="W1612" t="e">
        <f t="shared" ca="1" si="825"/>
        <v>#VALUE!</v>
      </c>
      <c r="X1612" t="e">
        <f t="shared" ca="1" si="826"/>
        <v>#VALUE!</v>
      </c>
      <c r="Y1612" t="e">
        <f t="shared" ca="1" si="827"/>
        <v>#VALUE!</v>
      </c>
      <c r="Z1612" t="e">
        <f t="shared" ca="1" si="828"/>
        <v>#VALUE!</v>
      </c>
      <c r="AA1612" t="e">
        <f t="shared" ca="1" si="829"/>
        <v>#VALUE!</v>
      </c>
      <c r="AB1612" t="e">
        <f t="shared" ca="1" si="830"/>
        <v>#VALUE!</v>
      </c>
      <c r="AC1612" t="e">
        <f t="shared" ca="1" si="831"/>
        <v>#VALUE!</v>
      </c>
      <c r="AD1612" t="e">
        <f t="shared" ca="1" si="832"/>
        <v>#VALUE!</v>
      </c>
      <c r="AE1612" t="e">
        <f t="shared" ca="1" si="833"/>
        <v>#VALUE!</v>
      </c>
      <c r="AF1612" t="e">
        <f t="shared" ca="1" si="834"/>
        <v>#VALUE!</v>
      </c>
      <c r="AG1612" t="e">
        <f t="shared" ca="1" si="835"/>
        <v>#VALUE!</v>
      </c>
      <c r="AH1612" t="e">
        <f ca="1">IF(V35="Supercritical",L1612,IF(V35="Subcritical",W1612,IF(AND(V1612=1,AG1612=1),IF(T1612&gt;=AE1612,L1612,W1612),IF(V1612=1,L1612,IF(AG1612=1,W1612,MAX($D$16,POWER((ABS(K1612)^2)/($I$5*MAX(F1612,0.1)^2),1/3)))))))</f>
        <v>#VALUE!</v>
      </c>
      <c r="AI1612" t="e">
        <f t="shared" ca="1" si="836"/>
        <v>#VALUE!</v>
      </c>
      <c r="AJ1612" t="e">
        <f t="shared" ca="1" si="837"/>
        <v>#VALUE!</v>
      </c>
      <c r="AM1612">
        <v>0</v>
      </c>
      <c r="AN1612">
        <v>0</v>
      </c>
      <c r="AO1612">
        <f t="shared" si="838"/>
        <v>0</v>
      </c>
      <c r="AP1612">
        <f t="shared" si="847"/>
        <v>0</v>
      </c>
      <c r="AQ1612" t="e">
        <f t="shared" ca="1" si="839"/>
        <v>#VALUE!</v>
      </c>
      <c r="AR1612" t="e">
        <f t="shared" ca="1" si="840"/>
        <v>#VALUE!</v>
      </c>
      <c r="AS1612" t="e">
        <f t="shared" ca="1" si="841"/>
        <v>#VALUE!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192</v>
      </c>
      <c r="I1613">
        <v>3.6999999999999998E-2</v>
      </c>
      <c r="J1613">
        <f t="shared" si="842"/>
        <v>1</v>
      </c>
      <c r="K1613">
        <f t="shared" ca="1" si="843"/>
        <v>1.0200000000000031</v>
      </c>
      <c r="L1613">
        <f t="shared" ca="1" si="844"/>
        <v>6.8917382633278998E-2</v>
      </c>
      <c r="M1613">
        <f t="shared" ca="1" si="817"/>
        <v>1.2405128873990219</v>
      </c>
      <c r="N1613">
        <f t="shared" ca="1" si="818"/>
        <v>6.839365908077237E-2</v>
      </c>
      <c r="O1613">
        <f t="shared" ca="1" si="819"/>
        <v>0.82224055095359216</v>
      </c>
      <c r="P1613">
        <f t="shared" ca="1" si="820"/>
        <v>631.56891738263323</v>
      </c>
      <c r="Q1613">
        <f t="shared" ca="1" si="821"/>
        <v>631.6033760739499</v>
      </c>
      <c r="R1613">
        <f t="shared" ca="1" si="822"/>
        <v>5.4386675837224058E-3</v>
      </c>
      <c r="S1613">
        <f t="shared" ca="1" si="823"/>
        <v>0.99999999999999989</v>
      </c>
      <c r="T1613">
        <f t="shared" ca="1" si="824"/>
        <v>0.12823935198358818</v>
      </c>
      <c r="U1613">
        <f t="shared" ca="1" si="845"/>
        <v>-1.7955710732167063E-3</v>
      </c>
      <c r="V1613">
        <f t="shared" ca="1" si="846"/>
        <v>1</v>
      </c>
      <c r="W1613" t="e">
        <f t="shared" ca="1" si="825"/>
        <v>#VALUE!</v>
      </c>
      <c r="X1613" t="e">
        <f t="shared" ca="1" si="826"/>
        <v>#VALUE!</v>
      </c>
      <c r="Y1613" t="e">
        <f t="shared" ca="1" si="827"/>
        <v>#VALUE!</v>
      </c>
      <c r="Z1613" t="e">
        <f t="shared" ca="1" si="828"/>
        <v>#VALUE!</v>
      </c>
      <c r="AA1613" t="e">
        <f t="shared" ca="1" si="829"/>
        <v>#VALUE!</v>
      </c>
      <c r="AB1613" t="e">
        <f t="shared" ca="1" si="830"/>
        <v>#VALUE!</v>
      </c>
      <c r="AC1613" t="e">
        <f t="shared" ca="1" si="831"/>
        <v>#VALUE!</v>
      </c>
      <c r="AD1613" t="e">
        <f t="shared" ca="1" si="832"/>
        <v>#VALUE!</v>
      </c>
      <c r="AE1613" t="e">
        <f t="shared" ca="1" si="833"/>
        <v>#VALUE!</v>
      </c>
      <c r="AF1613" t="e">
        <f t="shared" ca="1" si="834"/>
        <v>#VALUE!</v>
      </c>
      <c r="AG1613" t="e">
        <f t="shared" ca="1" si="835"/>
        <v>#VALUE!</v>
      </c>
      <c r="AH1613" t="e">
        <f ca="1">IF(V35="Supercritical",L1613,IF(V35="Subcritical",W1613,IF(AND(V1613=1,AG1613=1),IF(T1613&gt;=AE1613,L1613,W1613),IF(V1613=1,L1613,IF(AG1613=1,W1613,MAX($D$16,POWER((ABS(K1613)^2)/($I$5*MAX(F1613,0.1)^2),1/3)))))))</f>
        <v>#VALUE!</v>
      </c>
      <c r="AI1613" t="e">
        <f t="shared" ca="1" si="836"/>
        <v>#VALUE!</v>
      </c>
      <c r="AJ1613" t="e">
        <f t="shared" ca="1" si="837"/>
        <v>#VALUE!</v>
      </c>
      <c r="AM1613">
        <v>0</v>
      </c>
      <c r="AN1613">
        <v>0</v>
      </c>
      <c r="AO1613">
        <f t="shared" si="838"/>
        <v>0</v>
      </c>
      <c r="AP1613">
        <f t="shared" si="847"/>
        <v>0</v>
      </c>
      <c r="AQ1613" t="e">
        <f t="shared" ca="1" si="839"/>
        <v>#VALUE!</v>
      </c>
      <c r="AR1613" t="e">
        <f t="shared" ca="1" si="840"/>
        <v>#VALUE!</v>
      </c>
      <c r="AS1613" t="e">
        <f t="shared" ca="1" si="841"/>
        <v>#VALUE!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192</v>
      </c>
      <c r="I1614">
        <v>3.6999999999999998E-2</v>
      </c>
      <c r="J1614">
        <f t="shared" si="842"/>
        <v>1.0010000000000003</v>
      </c>
      <c r="K1614">
        <f t="shared" ca="1" si="843"/>
        <v>1.0200000000000031</v>
      </c>
      <c r="L1614">
        <f t="shared" ca="1" si="844"/>
        <v>6.647750500781259E-2</v>
      </c>
      <c r="M1614">
        <f t="shared" ca="1" si="817"/>
        <v>1.2630725951484392</v>
      </c>
      <c r="N1614">
        <f t="shared" ca="1" si="818"/>
        <v>6.6015552458428522E-2</v>
      </c>
      <c r="O1614">
        <f t="shared" ca="1" si="819"/>
        <v>0.80755453322152904</v>
      </c>
      <c r="P1614">
        <f t="shared" ca="1" si="820"/>
        <v>631.56647750500781</v>
      </c>
      <c r="Q1614">
        <f t="shared" ca="1" si="821"/>
        <v>631.59971625751177</v>
      </c>
      <c r="R1614">
        <f t="shared" ca="1" si="822"/>
        <v>5.4996014880836228E-3</v>
      </c>
      <c r="S1614">
        <f t="shared" ca="1" si="823"/>
        <v>1</v>
      </c>
      <c r="T1614">
        <f t="shared" ca="1" si="824"/>
        <v>0.12594887215381684</v>
      </c>
      <c r="U1614">
        <f t="shared" ca="1" si="845"/>
        <v>-2.1828938287171695E-3</v>
      </c>
      <c r="V1614">
        <f t="shared" ca="1" si="846"/>
        <v>1</v>
      </c>
      <c r="W1614" t="e">
        <f t="shared" ca="1" si="825"/>
        <v>#VALUE!</v>
      </c>
      <c r="X1614" t="e">
        <f t="shared" ca="1" si="826"/>
        <v>#VALUE!</v>
      </c>
      <c r="Y1614" t="e">
        <f t="shared" ca="1" si="827"/>
        <v>#VALUE!</v>
      </c>
      <c r="Z1614" t="e">
        <f t="shared" ca="1" si="828"/>
        <v>#VALUE!</v>
      </c>
      <c r="AA1614" t="e">
        <f t="shared" ca="1" si="829"/>
        <v>#VALUE!</v>
      </c>
      <c r="AB1614" t="e">
        <f t="shared" ca="1" si="830"/>
        <v>#VALUE!</v>
      </c>
      <c r="AC1614" t="e">
        <f t="shared" ca="1" si="831"/>
        <v>#VALUE!</v>
      </c>
      <c r="AD1614" t="e">
        <f t="shared" ca="1" si="832"/>
        <v>#VALUE!</v>
      </c>
      <c r="AE1614" t="e">
        <f t="shared" ca="1" si="833"/>
        <v>#VALUE!</v>
      </c>
      <c r="AF1614" t="e">
        <f t="shared" ca="1" si="834"/>
        <v>#VALUE!</v>
      </c>
      <c r="AG1614" t="e">
        <f t="shared" ca="1" si="835"/>
        <v>#VALUE!</v>
      </c>
      <c r="AH1614" t="e">
        <f ca="1">IF(V35="Supercritical",L1614,IF(V35="Subcritical",W1614,IF(AND(V1614=1,AG1614=1),IF(T1614&gt;=AE1614,L1614,W1614),IF(V1614=1,L1614,IF(AG1614=1,W1614,MAX($D$16,POWER((ABS(K1614)^2)/($I$5*MAX(F1614,0.1)^2),1/3)))))))</f>
        <v>#VALUE!</v>
      </c>
      <c r="AI1614" t="e">
        <f t="shared" ca="1" si="836"/>
        <v>#VALUE!</v>
      </c>
      <c r="AJ1614" t="e">
        <f t="shared" ca="1" si="837"/>
        <v>#VALUE!</v>
      </c>
      <c r="AM1614">
        <v>0</v>
      </c>
      <c r="AN1614">
        <v>0</v>
      </c>
      <c r="AO1614">
        <f t="shared" si="838"/>
        <v>0</v>
      </c>
      <c r="AP1614">
        <f t="shared" si="847"/>
        <v>0</v>
      </c>
      <c r="AQ1614" t="e">
        <f t="shared" ca="1" si="839"/>
        <v>#VALUE!</v>
      </c>
      <c r="AR1614" t="e">
        <f t="shared" ca="1" si="840"/>
        <v>#VALUE!</v>
      </c>
      <c r="AS1614" t="e">
        <f t="shared" ca="1" si="841"/>
        <v>#VALUE!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191</v>
      </c>
      <c r="I1615">
        <v>5.5E-2</v>
      </c>
      <c r="J1615">
        <f t="shared" si="842"/>
        <v>0.99899999999999967</v>
      </c>
      <c r="K1615">
        <f t="shared" ca="1" si="843"/>
        <v>1.0200000000000031</v>
      </c>
      <c r="L1615">
        <f t="shared" ca="1" si="844"/>
        <v>0.13286950249397975</v>
      </c>
      <c r="M1615">
        <f t="shared" ca="1" si="817"/>
        <v>0.89341453476951982</v>
      </c>
      <c r="N1615">
        <f t="shared" ca="1" si="818"/>
        <v>0.12781801067707518</v>
      </c>
      <c r="O1615">
        <f t="shared" ca="1" si="819"/>
        <v>1.1416872686799744</v>
      </c>
      <c r="P1615">
        <f t="shared" ca="1" si="820"/>
        <v>631.63286950249403</v>
      </c>
      <c r="Q1615">
        <f t="shared" ca="1" si="821"/>
        <v>631.69930425374105</v>
      </c>
      <c r="R1615">
        <f t="shared" ca="1" si="822"/>
        <v>4.5549900118003221E-3</v>
      </c>
      <c r="S1615">
        <f t="shared" ca="1" si="823"/>
        <v>0.99999999999999944</v>
      </c>
      <c r="T1615">
        <f t="shared" ca="1" si="824"/>
        <v>0.17806131713357459</v>
      </c>
      <c r="U1615">
        <f t="shared" ca="1" si="845"/>
        <v>-0.1079359544099816</v>
      </c>
      <c r="V1615">
        <f t="shared" ca="1" si="846"/>
        <v>1</v>
      </c>
      <c r="W1615" t="e">
        <f t="shared" ca="1" si="825"/>
        <v>#VALUE!</v>
      </c>
      <c r="X1615" t="e">
        <f t="shared" ca="1" si="826"/>
        <v>#VALUE!</v>
      </c>
      <c r="Y1615" t="e">
        <f t="shared" ca="1" si="827"/>
        <v>#VALUE!</v>
      </c>
      <c r="Z1615" t="e">
        <f t="shared" ca="1" si="828"/>
        <v>#VALUE!</v>
      </c>
      <c r="AA1615" t="e">
        <f t="shared" ca="1" si="829"/>
        <v>#VALUE!</v>
      </c>
      <c r="AB1615" t="e">
        <f t="shared" ca="1" si="830"/>
        <v>#VALUE!</v>
      </c>
      <c r="AC1615" t="e">
        <f t="shared" ca="1" si="831"/>
        <v>#VALUE!</v>
      </c>
      <c r="AD1615" t="e">
        <f t="shared" ca="1" si="832"/>
        <v>#VALUE!</v>
      </c>
      <c r="AE1615" t="e">
        <f t="shared" ca="1" si="833"/>
        <v>#VALUE!</v>
      </c>
      <c r="AF1615" t="e">
        <f t="shared" ca="1" si="834"/>
        <v>#VALUE!</v>
      </c>
      <c r="AG1615" t="e">
        <f t="shared" ca="1" si="835"/>
        <v>#VALUE!</v>
      </c>
      <c r="AH1615" t="e">
        <f ca="1">IF(V35="Supercritical",L1615,IF(V35="Subcritical",W1615,IF(AND(V1615=1,AG1615=1),IF(T1615&gt;=AE1615,L1615,W1615),IF(V1615=1,L1615,IF(AG1615=1,W1615,MAX($D$16,POWER((ABS(K1615)^2)/($I$5*MAX(F1615,0.1)^2),1/3)))))))</f>
        <v>#VALUE!</v>
      </c>
      <c r="AI1615" t="e">
        <f t="shared" ca="1" si="836"/>
        <v>#VALUE!</v>
      </c>
      <c r="AJ1615" t="e">
        <f t="shared" ca="1" si="837"/>
        <v>#VALUE!</v>
      </c>
      <c r="AM1615">
        <v>0</v>
      </c>
      <c r="AN1615">
        <v>0</v>
      </c>
      <c r="AO1615">
        <f t="shared" si="838"/>
        <v>0</v>
      </c>
      <c r="AP1615">
        <f t="shared" si="847"/>
        <v>0</v>
      </c>
      <c r="AQ1615" t="e">
        <f t="shared" ca="1" si="839"/>
        <v>#VALUE!</v>
      </c>
      <c r="AR1615" t="e">
        <f t="shared" ca="1" si="840"/>
        <v>#VALUE!</v>
      </c>
      <c r="AS1615" t="e">
        <f t="shared" ca="1" si="841"/>
        <v>#VALUE!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191</v>
      </c>
      <c r="I1616">
        <v>5.5E-2</v>
      </c>
      <c r="J1616">
        <f t="shared" si="842"/>
        <v>1</v>
      </c>
      <c r="K1616">
        <f t="shared" ca="1" si="843"/>
        <v>1.0200000000000031</v>
      </c>
      <c r="L1616">
        <f t="shared" ca="1" si="844"/>
        <v>0.14284648452951118</v>
      </c>
      <c r="M1616">
        <f t="shared" ca="1" si="817"/>
        <v>0.86164999468201142</v>
      </c>
      <c r="N1616">
        <f t="shared" ca="1" si="818"/>
        <v>0.13638681064463765</v>
      </c>
      <c r="O1616">
        <f t="shared" ca="1" si="819"/>
        <v>1.183775322109101</v>
      </c>
      <c r="P1616">
        <f t="shared" ca="1" si="820"/>
        <v>631.64284648452951</v>
      </c>
      <c r="Q1616">
        <f t="shared" ca="1" si="821"/>
        <v>631.71426972679421</v>
      </c>
      <c r="R1616">
        <f t="shared" ca="1" si="822"/>
        <v>4.4911536925733887E-3</v>
      </c>
      <c r="S1616">
        <f t="shared" ca="1" si="823"/>
        <v>1.0000000000000004</v>
      </c>
      <c r="T1616">
        <f t="shared" ca="1" si="824"/>
        <v>0.18462550895279606</v>
      </c>
      <c r="U1616">
        <f t="shared" ca="1" si="845"/>
        <v>-1.9993941137727234E-2</v>
      </c>
      <c r="V1616">
        <f t="shared" ca="1" si="846"/>
        <v>1</v>
      </c>
      <c r="W1616" t="e">
        <f t="shared" ca="1" si="825"/>
        <v>#VALUE!</v>
      </c>
      <c r="X1616" t="e">
        <f t="shared" ca="1" si="826"/>
        <v>#VALUE!</v>
      </c>
      <c r="Y1616" t="e">
        <f t="shared" ca="1" si="827"/>
        <v>#VALUE!</v>
      </c>
      <c r="Z1616" t="e">
        <f t="shared" ca="1" si="828"/>
        <v>#VALUE!</v>
      </c>
      <c r="AA1616" t="e">
        <f t="shared" ca="1" si="829"/>
        <v>#VALUE!</v>
      </c>
      <c r="AB1616" t="e">
        <f t="shared" ca="1" si="830"/>
        <v>#VALUE!</v>
      </c>
      <c r="AC1616" t="e">
        <f t="shared" ca="1" si="831"/>
        <v>#VALUE!</v>
      </c>
      <c r="AD1616" t="e">
        <f t="shared" ca="1" si="832"/>
        <v>#VALUE!</v>
      </c>
      <c r="AE1616" t="e">
        <f t="shared" ca="1" si="833"/>
        <v>#VALUE!</v>
      </c>
      <c r="AF1616" t="e">
        <f t="shared" ca="1" si="834"/>
        <v>#VALUE!</v>
      </c>
      <c r="AG1616" t="e">
        <f t="shared" ca="1" si="835"/>
        <v>#VALUE!</v>
      </c>
      <c r="AH1616" t="e">
        <f ca="1">IF(V35="Supercritical",L1616,IF(V35="Subcritical",W1616,IF(AND(V1616=1,AG1616=1),IF(T1616&gt;=AE1616,L1616,W1616),IF(V1616=1,L1616,IF(AG1616=1,W1616,MAX($D$16,POWER((ABS(K1616)^2)/($I$5*MAX(F1616,0.1)^2),1/3)))))))</f>
        <v>#VALUE!</v>
      </c>
      <c r="AI1616" t="e">
        <f t="shared" ca="1" si="836"/>
        <v>#VALUE!</v>
      </c>
      <c r="AJ1616" t="e">
        <f t="shared" ca="1" si="837"/>
        <v>#VALUE!</v>
      </c>
      <c r="AL1616">
        <v>635.5</v>
      </c>
      <c r="AM1616">
        <v>0</v>
      </c>
      <c r="AN1616" t="e">
        <f t="shared" ref="AN1616:AN1642" ca="1" si="848">$D$12*MAX(J1616,0.1)*POWER(MAX(0,AI1616-AL1616),1.5)</f>
        <v>#VALUE!</v>
      </c>
      <c r="AO1616" t="e">
        <f t="shared" ca="1" si="838"/>
        <v>#VALUE!</v>
      </c>
      <c r="AP1616" t="e">
        <f t="shared" ca="1" si="847"/>
        <v>#VALUE!</v>
      </c>
      <c r="AQ1616" t="e">
        <f t="shared" ca="1" si="839"/>
        <v>#VALUE!</v>
      </c>
      <c r="AR1616" t="e">
        <f t="shared" ca="1" si="840"/>
        <v>#VALUE!</v>
      </c>
      <c r="AS1616" t="e">
        <f t="shared" ca="1" si="841"/>
        <v>#VALUE!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191</v>
      </c>
      <c r="I1617">
        <v>12.169</v>
      </c>
      <c r="J1617">
        <f t="shared" si="842"/>
        <v>1</v>
      </c>
      <c r="K1617" t="e">
        <f t="shared" ca="1" si="843"/>
        <v>#VALUE!</v>
      </c>
      <c r="L1617" t="e">
        <f t="shared" ca="1" si="844"/>
        <v>#VALUE!</v>
      </c>
      <c r="M1617" t="e">
        <f t="shared" ca="1" si="817"/>
        <v>#VALUE!</v>
      </c>
      <c r="N1617" t="e">
        <f t="shared" ca="1" si="818"/>
        <v>#VALUE!</v>
      </c>
      <c r="O1617" t="e">
        <f t="shared" ca="1" si="819"/>
        <v>#VALUE!</v>
      </c>
      <c r="P1617" t="e">
        <f t="shared" ca="1" si="820"/>
        <v>#VALUE!</v>
      </c>
      <c r="Q1617" t="e">
        <f t="shared" ca="1" si="821"/>
        <v>#VALUE!</v>
      </c>
      <c r="R1617" t="e">
        <f t="shared" ca="1" si="822"/>
        <v>#VALUE!</v>
      </c>
      <c r="S1617" t="e">
        <f t="shared" ca="1" si="823"/>
        <v>#VALUE!</v>
      </c>
      <c r="T1617" t="e">
        <f t="shared" ca="1" si="824"/>
        <v>#VALUE!</v>
      </c>
      <c r="U1617" t="e">
        <f t="shared" ca="1" si="845"/>
        <v>#VALUE!</v>
      </c>
      <c r="V1617" t="e">
        <f t="shared" ca="1" si="846"/>
        <v>#VALUE!</v>
      </c>
      <c r="W1617" t="e">
        <f t="shared" ca="1" si="825"/>
        <v>#VALUE!</v>
      </c>
      <c r="X1617" t="e">
        <f t="shared" ca="1" si="826"/>
        <v>#VALUE!</v>
      </c>
      <c r="Y1617" t="e">
        <f t="shared" ca="1" si="827"/>
        <v>#VALUE!</v>
      </c>
      <c r="Z1617" t="e">
        <f t="shared" ca="1" si="828"/>
        <v>#VALUE!</v>
      </c>
      <c r="AA1617" t="e">
        <f t="shared" ca="1" si="829"/>
        <v>#VALUE!</v>
      </c>
      <c r="AB1617" t="e">
        <f t="shared" ca="1" si="830"/>
        <v>#VALUE!</v>
      </c>
      <c r="AC1617" t="e">
        <f t="shared" ca="1" si="831"/>
        <v>#VALUE!</v>
      </c>
      <c r="AD1617" t="e">
        <f t="shared" ca="1" si="832"/>
        <v>#VALUE!</v>
      </c>
      <c r="AE1617" t="e">
        <f t="shared" ca="1" si="833"/>
        <v>#VALUE!</v>
      </c>
      <c r="AF1617" t="e">
        <f t="shared" ca="1" si="834"/>
        <v>#VALUE!</v>
      </c>
      <c r="AG1617" t="e">
        <f t="shared" ca="1" si="835"/>
        <v>#VALUE!</v>
      </c>
      <c r="AH1617" t="e">
        <f ca="1">IF(V35="Supercritical",L1617,IF(V35="Subcritical",W1617,IF(AND(V1617=1,AG1617=1),IF(T1617&gt;=AE1617,L1617,W1617),IF(V1617=1,L1617,IF(AG1617=1,W1617,MAX($D$16,POWER((ABS(K1617)^2)/($I$5*MAX(F1617,0.1)^2),1/3)))))))</f>
        <v>#VALUE!</v>
      </c>
      <c r="AI1617" t="e">
        <f t="shared" ca="1" si="836"/>
        <v>#VALUE!</v>
      </c>
      <c r="AJ1617" t="e">
        <f t="shared" ca="1" si="837"/>
        <v>#VALUE!</v>
      </c>
      <c r="AL1617">
        <v>635.5</v>
      </c>
      <c r="AM1617">
        <v>0</v>
      </c>
      <c r="AN1617" t="e">
        <f t="shared" ca="1" si="848"/>
        <v>#VALUE!</v>
      </c>
      <c r="AO1617" t="e">
        <f t="shared" ca="1" si="838"/>
        <v>#VALUE!</v>
      </c>
      <c r="AP1617" t="e">
        <f t="shared" ca="1" si="847"/>
        <v>#VALUE!</v>
      </c>
      <c r="AQ1617" t="e">
        <f t="shared" ca="1" si="839"/>
        <v>#VALUE!</v>
      </c>
      <c r="AR1617" t="e">
        <f t="shared" ca="1" si="840"/>
        <v>#VALUE!</v>
      </c>
      <c r="AS1617" t="e">
        <f t="shared" ca="1" si="841"/>
        <v>#VALUE!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191</v>
      </c>
      <c r="I1618">
        <v>30.655999999999999</v>
      </c>
      <c r="J1618">
        <f t="shared" si="842"/>
        <v>0.94400000000000084</v>
      </c>
      <c r="K1618" t="e">
        <f t="shared" ca="1" si="843"/>
        <v>#VALUE!</v>
      </c>
      <c r="L1618" t="e">
        <f t="shared" ca="1" si="844"/>
        <v>#VALUE!</v>
      </c>
      <c r="M1618" t="e">
        <f t="shared" ca="1" si="817"/>
        <v>#VALUE!</v>
      </c>
      <c r="N1618" t="e">
        <f t="shared" ca="1" si="818"/>
        <v>#VALUE!</v>
      </c>
      <c r="O1618" t="e">
        <f t="shared" ca="1" si="819"/>
        <v>#VALUE!</v>
      </c>
      <c r="P1618" t="e">
        <f t="shared" ca="1" si="820"/>
        <v>#VALUE!</v>
      </c>
      <c r="Q1618" t="e">
        <f t="shared" ca="1" si="821"/>
        <v>#VALUE!</v>
      </c>
      <c r="R1618" t="e">
        <f t="shared" ca="1" si="822"/>
        <v>#VALUE!</v>
      </c>
      <c r="S1618" t="e">
        <f t="shared" ca="1" si="823"/>
        <v>#VALUE!</v>
      </c>
      <c r="T1618" t="e">
        <f t="shared" ca="1" si="824"/>
        <v>#VALUE!</v>
      </c>
      <c r="U1618" t="e">
        <f t="shared" ca="1" si="845"/>
        <v>#VALUE!</v>
      </c>
      <c r="V1618" t="e">
        <f t="shared" ca="1" si="846"/>
        <v>#VALUE!</v>
      </c>
      <c r="W1618" t="e">
        <f t="shared" ca="1" si="825"/>
        <v>#VALUE!</v>
      </c>
      <c r="X1618" t="e">
        <f t="shared" ca="1" si="826"/>
        <v>#VALUE!</v>
      </c>
      <c r="Y1618" t="e">
        <f t="shared" ca="1" si="827"/>
        <v>#VALUE!</v>
      </c>
      <c r="Z1618" t="e">
        <f t="shared" ca="1" si="828"/>
        <v>#VALUE!</v>
      </c>
      <c r="AA1618" t="e">
        <f t="shared" ca="1" si="829"/>
        <v>#VALUE!</v>
      </c>
      <c r="AB1618" t="e">
        <f t="shared" ca="1" si="830"/>
        <v>#VALUE!</v>
      </c>
      <c r="AC1618" t="e">
        <f t="shared" ca="1" si="831"/>
        <v>#VALUE!</v>
      </c>
      <c r="AD1618" t="e">
        <f t="shared" ca="1" si="832"/>
        <v>#VALUE!</v>
      </c>
      <c r="AE1618" t="e">
        <f t="shared" ca="1" si="833"/>
        <v>#VALUE!</v>
      </c>
      <c r="AF1618" t="e">
        <f t="shared" ca="1" si="834"/>
        <v>#VALUE!</v>
      </c>
      <c r="AG1618" t="e">
        <f t="shared" ca="1" si="835"/>
        <v>#VALUE!</v>
      </c>
      <c r="AH1618" t="e">
        <f ca="1">IF(V35="Supercritical",L1618,IF(V35="Subcritical",W1618,IF(AND(V1618=1,AG1618=1),IF(T1618&gt;=AE1618,L1618,W1618),IF(V1618=1,L1618,IF(AG1618=1,W1618,MAX($D$16,POWER((ABS(K1618)^2)/($I$5*MAX(F1618,0.1)^2),1/3)))))))</f>
        <v>#VALUE!</v>
      </c>
      <c r="AI1618" t="e">
        <f t="shared" ca="1" si="836"/>
        <v>#VALUE!</v>
      </c>
      <c r="AJ1618" t="e">
        <f t="shared" ca="1" si="837"/>
        <v>#VALUE!</v>
      </c>
      <c r="AL1618">
        <v>635.5</v>
      </c>
      <c r="AM1618">
        <v>0</v>
      </c>
      <c r="AN1618" t="e">
        <f t="shared" ca="1" si="848"/>
        <v>#VALUE!</v>
      </c>
      <c r="AO1618" t="e">
        <f t="shared" ca="1" si="838"/>
        <v>#VALUE!</v>
      </c>
      <c r="AP1618" t="e">
        <f t="shared" ca="1" si="847"/>
        <v>#VALUE!</v>
      </c>
      <c r="AQ1618" t="e">
        <f t="shared" ca="1" si="839"/>
        <v>#VALUE!</v>
      </c>
      <c r="AR1618" t="e">
        <f t="shared" ca="1" si="840"/>
        <v>#VALUE!</v>
      </c>
      <c r="AS1618" t="e">
        <f t="shared" ca="1" si="841"/>
        <v>#VALUE!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191</v>
      </c>
      <c r="I1619">
        <v>7.8E-2</v>
      </c>
      <c r="J1619">
        <f t="shared" si="842"/>
        <v>1</v>
      </c>
      <c r="K1619" t="e">
        <f t="shared" ca="1" si="843"/>
        <v>#VALUE!</v>
      </c>
      <c r="L1619" t="e">
        <f t="shared" ca="1" si="844"/>
        <v>#VALUE!</v>
      </c>
      <c r="M1619" t="e">
        <f t="shared" ca="1" si="817"/>
        <v>#VALUE!</v>
      </c>
      <c r="N1619" t="e">
        <f t="shared" ca="1" si="818"/>
        <v>#VALUE!</v>
      </c>
      <c r="O1619" t="e">
        <f t="shared" ca="1" si="819"/>
        <v>#VALUE!</v>
      </c>
      <c r="P1619" t="e">
        <f t="shared" ca="1" si="820"/>
        <v>#VALUE!</v>
      </c>
      <c r="Q1619" t="e">
        <f t="shared" ca="1" si="821"/>
        <v>#VALUE!</v>
      </c>
      <c r="R1619" t="e">
        <f t="shared" ca="1" si="822"/>
        <v>#VALUE!</v>
      </c>
      <c r="S1619" t="e">
        <f t="shared" ca="1" si="823"/>
        <v>#VALUE!</v>
      </c>
      <c r="T1619" t="e">
        <f t="shared" ca="1" si="824"/>
        <v>#VALUE!</v>
      </c>
      <c r="U1619" t="e">
        <f t="shared" ca="1" si="845"/>
        <v>#VALUE!</v>
      </c>
      <c r="V1619" t="e">
        <f t="shared" ca="1" si="846"/>
        <v>#VALUE!</v>
      </c>
      <c r="W1619" t="e">
        <f t="shared" ca="1" si="825"/>
        <v>#VALUE!</v>
      </c>
      <c r="X1619" t="e">
        <f t="shared" ca="1" si="826"/>
        <v>#VALUE!</v>
      </c>
      <c r="Y1619" t="e">
        <f t="shared" ca="1" si="827"/>
        <v>#VALUE!</v>
      </c>
      <c r="Z1619" t="e">
        <f t="shared" ca="1" si="828"/>
        <v>#VALUE!</v>
      </c>
      <c r="AA1619" t="e">
        <f t="shared" ca="1" si="829"/>
        <v>#VALUE!</v>
      </c>
      <c r="AB1619" t="e">
        <f t="shared" ca="1" si="830"/>
        <v>#VALUE!</v>
      </c>
      <c r="AC1619" t="e">
        <f t="shared" ca="1" si="831"/>
        <v>#VALUE!</v>
      </c>
      <c r="AD1619" t="e">
        <f t="shared" ca="1" si="832"/>
        <v>#VALUE!</v>
      </c>
      <c r="AE1619" t="e">
        <f t="shared" ca="1" si="833"/>
        <v>#VALUE!</v>
      </c>
      <c r="AF1619" t="e">
        <f t="shared" ca="1" si="834"/>
        <v>#VALUE!</v>
      </c>
      <c r="AG1619" t="e">
        <f t="shared" ca="1" si="835"/>
        <v>#VALUE!</v>
      </c>
      <c r="AH1619" t="e">
        <f ca="1">IF(V35="Supercritical",L1619,IF(V35="Subcritical",W1619,IF(AND(V1619=1,AG1619=1),IF(T1619&gt;=AE1619,L1619,W1619),IF(V1619=1,L1619,IF(AG1619=1,W1619,MAX($D$16,POWER((ABS(K1619)^2)/($I$5*MAX(F1619,0.1)^2),1/3)))))))</f>
        <v>#VALUE!</v>
      </c>
      <c r="AI1619" t="e">
        <f t="shared" ca="1" si="836"/>
        <v>#VALUE!</v>
      </c>
      <c r="AJ1619" t="e">
        <f t="shared" ca="1" si="837"/>
        <v>#VALUE!</v>
      </c>
      <c r="AL1619">
        <v>635.5</v>
      </c>
      <c r="AM1619">
        <v>0</v>
      </c>
      <c r="AN1619" t="e">
        <f t="shared" ca="1" si="848"/>
        <v>#VALUE!</v>
      </c>
      <c r="AO1619" t="e">
        <f t="shared" ca="1" si="838"/>
        <v>#VALUE!</v>
      </c>
      <c r="AP1619" t="e">
        <f t="shared" ca="1" si="847"/>
        <v>#VALUE!</v>
      </c>
      <c r="AQ1619" t="e">
        <f t="shared" ca="1" si="839"/>
        <v>#VALUE!</v>
      </c>
      <c r="AR1619" t="e">
        <f t="shared" ca="1" si="840"/>
        <v>#VALUE!</v>
      </c>
      <c r="AS1619" t="e">
        <f t="shared" ca="1" si="841"/>
        <v>#VALUE!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191</v>
      </c>
      <c r="I1620">
        <v>2.8000000000000001E-2</v>
      </c>
      <c r="J1620">
        <f t="shared" si="842"/>
        <v>0.99899999999999878</v>
      </c>
      <c r="K1620" t="e">
        <f t="shared" ca="1" si="843"/>
        <v>#VALUE!</v>
      </c>
      <c r="L1620" t="e">
        <f t="shared" ca="1" si="844"/>
        <v>#VALUE!</v>
      </c>
      <c r="M1620" t="e">
        <f t="shared" ca="1" si="817"/>
        <v>#VALUE!</v>
      </c>
      <c r="N1620" t="e">
        <f t="shared" ca="1" si="818"/>
        <v>#VALUE!</v>
      </c>
      <c r="O1620" t="e">
        <f t="shared" ca="1" si="819"/>
        <v>#VALUE!</v>
      </c>
      <c r="P1620" t="e">
        <f t="shared" ca="1" si="820"/>
        <v>#VALUE!</v>
      </c>
      <c r="Q1620" t="e">
        <f t="shared" ca="1" si="821"/>
        <v>#VALUE!</v>
      </c>
      <c r="R1620" t="e">
        <f t="shared" ca="1" si="822"/>
        <v>#VALUE!</v>
      </c>
      <c r="S1620" t="e">
        <f t="shared" ca="1" si="823"/>
        <v>#VALUE!</v>
      </c>
      <c r="T1620" t="e">
        <f t="shared" ca="1" si="824"/>
        <v>#VALUE!</v>
      </c>
      <c r="U1620" t="e">
        <f t="shared" ca="1" si="845"/>
        <v>#VALUE!</v>
      </c>
      <c r="V1620" t="e">
        <f t="shared" ca="1" si="846"/>
        <v>#VALUE!</v>
      </c>
      <c r="W1620" t="e">
        <f t="shared" ca="1" si="825"/>
        <v>#VALUE!</v>
      </c>
      <c r="X1620" t="e">
        <f t="shared" ca="1" si="826"/>
        <v>#VALUE!</v>
      </c>
      <c r="Y1620" t="e">
        <f t="shared" ca="1" si="827"/>
        <v>#VALUE!</v>
      </c>
      <c r="Z1620" t="e">
        <f t="shared" ca="1" si="828"/>
        <v>#VALUE!</v>
      </c>
      <c r="AA1620" t="e">
        <f t="shared" ca="1" si="829"/>
        <v>#VALUE!</v>
      </c>
      <c r="AB1620" t="e">
        <f t="shared" ca="1" si="830"/>
        <v>#VALUE!</v>
      </c>
      <c r="AC1620" t="e">
        <f t="shared" ca="1" si="831"/>
        <v>#VALUE!</v>
      </c>
      <c r="AD1620" t="e">
        <f t="shared" ca="1" si="832"/>
        <v>#VALUE!</v>
      </c>
      <c r="AE1620" t="e">
        <f t="shared" ca="1" si="833"/>
        <v>#VALUE!</v>
      </c>
      <c r="AF1620" t="e">
        <f t="shared" ca="1" si="834"/>
        <v>#VALUE!</v>
      </c>
      <c r="AG1620" t="e">
        <f t="shared" ca="1" si="835"/>
        <v>#VALUE!</v>
      </c>
      <c r="AH1620" t="e">
        <f ca="1">IF(V35="Supercritical",L1620,IF(V35="Subcritical",W1620,IF(AND(V1620=1,AG1620=1),IF(T1620&gt;=AE1620,L1620,W1620),IF(V1620=1,L1620,IF(AG1620=1,W1620,MAX($D$16,POWER((ABS(K1620)^2)/($I$5*MAX(F1620,0.1)^2),1/3)))))))</f>
        <v>#VALUE!</v>
      </c>
      <c r="AI1620" t="e">
        <f t="shared" ca="1" si="836"/>
        <v>#VALUE!</v>
      </c>
      <c r="AJ1620" t="e">
        <f t="shared" ca="1" si="837"/>
        <v>#VALUE!</v>
      </c>
      <c r="AL1620">
        <v>635.5</v>
      </c>
      <c r="AM1620">
        <v>0</v>
      </c>
      <c r="AN1620" t="e">
        <f t="shared" ca="1" si="848"/>
        <v>#VALUE!</v>
      </c>
      <c r="AO1620" t="e">
        <f t="shared" ca="1" si="838"/>
        <v>#VALUE!</v>
      </c>
      <c r="AP1620" t="e">
        <f t="shared" ca="1" si="847"/>
        <v>#VALUE!</v>
      </c>
      <c r="AQ1620" t="e">
        <f t="shared" ca="1" si="839"/>
        <v>#VALUE!</v>
      </c>
      <c r="AR1620" t="e">
        <f t="shared" ca="1" si="840"/>
        <v>#VALUE!</v>
      </c>
      <c r="AS1620" t="e">
        <f t="shared" ca="1" si="841"/>
        <v>#VALUE!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191</v>
      </c>
      <c r="I1621">
        <v>0.05</v>
      </c>
      <c r="J1621">
        <f t="shared" si="842"/>
        <v>1.0010000000000012</v>
      </c>
      <c r="K1621" t="e">
        <f t="shared" ca="1" si="843"/>
        <v>#VALUE!</v>
      </c>
      <c r="L1621" t="e">
        <f t="shared" ca="1" si="844"/>
        <v>#VALUE!</v>
      </c>
      <c r="M1621" t="e">
        <f t="shared" ca="1" si="817"/>
        <v>#VALUE!</v>
      </c>
      <c r="N1621" t="e">
        <f t="shared" ca="1" si="818"/>
        <v>#VALUE!</v>
      </c>
      <c r="O1621" t="e">
        <f t="shared" ca="1" si="819"/>
        <v>#VALUE!</v>
      </c>
      <c r="P1621" t="e">
        <f t="shared" ca="1" si="820"/>
        <v>#VALUE!</v>
      </c>
      <c r="Q1621" t="e">
        <f t="shared" ca="1" si="821"/>
        <v>#VALUE!</v>
      </c>
      <c r="R1621" t="e">
        <f t="shared" ca="1" si="822"/>
        <v>#VALUE!</v>
      </c>
      <c r="S1621" t="e">
        <f t="shared" ca="1" si="823"/>
        <v>#VALUE!</v>
      </c>
      <c r="T1621" t="e">
        <f t="shared" ca="1" si="824"/>
        <v>#VALUE!</v>
      </c>
      <c r="U1621" t="e">
        <f t="shared" ca="1" si="845"/>
        <v>#VALUE!</v>
      </c>
      <c r="V1621" t="e">
        <f t="shared" ca="1" si="846"/>
        <v>#VALUE!</v>
      </c>
      <c r="W1621" t="e">
        <f t="shared" ca="1" si="825"/>
        <v>#VALUE!</v>
      </c>
      <c r="X1621" t="e">
        <f t="shared" ca="1" si="826"/>
        <v>#VALUE!</v>
      </c>
      <c r="Y1621" t="e">
        <f t="shared" ca="1" si="827"/>
        <v>#VALUE!</v>
      </c>
      <c r="Z1621" t="e">
        <f t="shared" ca="1" si="828"/>
        <v>#VALUE!</v>
      </c>
      <c r="AA1621" t="e">
        <f t="shared" ca="1" si="829"/>
        <v>#VALUE!</v>
      </c>
      <c r="AB1621" t="e">
        <f t="shared" ca="1" si="830"/>
        <v>#VALUE!</v>
      </c>
      <c r="AC1621" t="e">
        <f t="shared" ca="1" si="831"/>
        <v>#VALUE!</v>
      </c>
      <c r="AD1621" t="e">
        <f t="shared" ca="1" si="832"/>
        <v>#VALUE!</v>
      </c>
      <c r="AE1621" t="e">
        <f t="shared" ca="1" si="833"/>
        <v>#VALUE!</v>
      </c>
      <c r="AF1621" t="e">
        <f t="shared" ca="1" si="834"/>
        <v>#VALUE!</v>
      </c>
      <c r="AG1621" t="e">
        <f t="shared" ca="1" si="835"/>
        <v>#VALUE!</v>
      </c>
      <c r="AH1621" t="e">
        <f ca="1">IF(V35="Supercritical",L1621,IF(V35="Subcritical",W1621,IF(AND(V1621=1,AG1621=1),IF(T1621&gt;=AE1621,L1621,W1621),IF(V1621=1,L1621,IF(AG1621=1,W1621,MAX($D$16,POWER((ABS(K1621)^2)/($I$5*MAX(F1621,0.1)^2),1/3)))))))</f>
        <v>#VALUE!</v>
      </c>
      <c r="AI1621" t="e">
        <f t="shared" ca="1" si="836"/>
        <v>#VALUE!</v>
      </c>
      <c r="AJ1621" t="e">
        <f t="shared" ca="1" si="837"/>
        <v>#VALUE!</v>
      </c>
      <c r="AL1621">
        <v>635.5</v>
      </c>
      <c r="AM1621">
        <v>0</v>
      </c>
      <c r="AN1621" t="e">
        <f t="shared" ca="1" si="848"/>
        <v>#VALUE!</v>
      </c>
      <c r="AO1621" t="e">
        <f t="shared" ca="1" si="838"/>
        <v>#VALUE!</v>
      </c>
      <c r="AP1621" t="e">
        <f t="shared" ca="1" si="847"/>
        <v>#VALUE!</v>
      </c>
      <c r="AQ1621" t="e">
        <f t="shared" ca="1" si="839"/>
        <v>#VALUE!</v>
      </c>
      <c r="AR1621" t="e">
        <f t="shared" ca="1" si="840"/>
        <v>#VALUE!</v>
      </c>
      <c r="AS1621" t="e">
        <f t="shared" ca="1" si="841"/>
        <v>#VALUE!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191</v>
      </c>
      <c r="I1622">
        <v>0.05</v>
      </c>
      <c r="J1622">
        <f t="shared" si="842"/>
        <v>1</v>
      </c>
      <c r="K1622" t="e">
        <f t="shared" ca="1" si="843"/>
        <v>#VALUE!</v>
      </c>
      <c r="L1622" t="e">
        <f t="shared" ca="1" si="844"/>
        <v>#VALUE!</v>
      </c>
      <c r="M1622" t="e">
        <f t="shared" ca="1" si="817"/>
        <v>#VALUE!</v>
      </c>
      <c r="N1622" t="e">
        <f t="shared" ca="1" si="818"/>
        <v>#VALUE!</v>
      </c>
      <c r="O1622" t="e">
        <f t="shared" ca="1" si="819"/>
        <v>#VALUE!</v>
      </c>
      <c r="P1622" t="e">
        <f t="shared" ca="1" si="820"/>
        <v>#VALUE!</v>
      </c>
      <c r="Q1622" t="e">
        <f t="shared" ca="1" si="821"/>
        <v>#VALUE!</v>
      </c>
      <c r="R1622" t="e">
        <f t="shared" ca="1" si="822"/>
        <v>#VALUE!</v>
      </c>
      <c r="S1622" t="e">
        <f t="shared" ca="1" si="823"/>
        <v>#VALUE!</v>
      </c>
      <c r="T1622" t="e">
        <f t="shared" ca="1" si="824"/>
        <v>#VALUE!</v>
      </c>
      <c r="U1622" t="e">
        <f t="shared" ca="1" si="845"/>
        <v>#VALUE!</v>
      </c>
      <c r="V1622" t="e">
        <f t="shared" ca="1" si="846"/>
        <v>#VALUE!</v>
      </c>
      <c r="W1622" t="e">
        <f t="shared" ca="1" si="825"/>
        <v>#VALUE!</v>
      </c>
      <c r="X1622" t="e">
        <f t="shared" ca="1" si="826"/>
        <v>#VALUE!</v>
      </c>
      <c r="Y1622" t="e">
        <f t="shared" ca="1" si="827"/>
        <v>#VALUE!</v>
      </c>
      <c r="Z1622" t="e">
        <f t="shared" ca="1" si="828"/>
        <v>#VALUE!</v>
      </c>
      <c r="AA1622" t="e">
        <f t="shared" ca="1" si="829"/>
        <v>#VALUE!</v>
      </c>
      <c r="AB1622" t="e">
        <f t="shared" ca="1" si="830"/>
        <v>#VALUE!</v>
      </c>
      <c r="AC1622" t="e">
        <f t="shared" ca="1" si="831"/>
        <v>#VALUE!</v>
      </c>
      <c r="AD1622" t="e">
        <f t="shared" ca="1" si="832"/>
        <v>#VALUE!</v>
      </c>
      <c r="AE1622" t="e">
        <f t="shared" ca="1" si="833"/>
        <v>#VALUE!</v>
      </c>
      <c r="AF1622" t="e">
        <f t="shared" ca="1" si="834"/>
        <v>#VALUE!</v>
      </c>
      <c r="AG1622" t="e">
        <f t="shared" ca="1" si="835"/>
        <v>#VALUE!</v>
      </c>
      <c r="AH1622" t="e">
        <f ca="1">IF(V35="Supercritical",L1622,IF(V35="Subcritical",W1622,IF(AND(V1622=1,AG1622=1),IF(T1622&gt;=AE1622,L1622,W1622),IF(V1622=1,L1622,IF(AG1622=1,W1622,MAX($D$16,POWER((ABS(K1622)^2)/($I$5*MAX(F1622,0.1)^2),1/3)))))))</f>
        <v>#VALUE!</v>
      </c>
      <c r="AI1622" t="e">
        <f t="shared" ca="1" si="836"/>
        <v>#VALUE!</v>
      </c>
      <c r="AJ1622" t="e">
        <f t="shared" ca="1" si="837"/>
        <v>#VALUE!</v>
      </c>
      <c r="AL1622">
        <v>635.5</v>
      </c>
      <c r="AM1622">
        <v>0</v>
      </c>
      <c r="AN1622" t="e">
        <f t="shared" ca="1" si="848"/>
        <v>#VALUE!</v>
      </c>
      <c r="AO1622" t="e">
        <f t="shared" ca="1" si="838"/>
        <v>#VALUE!</v>
      </c>
      <c r="AP1622" t="e">
        <f t="shared" ca="1" si="847"/>
        <v>#VALUE!</v>
      </c>
      <c r="AQ1622" t="e">
        <f t="shared" ca="1" si="839"/>
        <v>#VALUE!</v>
      </c>
      <c r="AR1622" t="e">
        <f t="shared" ca="1" si="840"/>
        <v>#VALUE!</v>
      </c>
      <c r="AS1622" t="e">
        <f t="shared" ca="1" si="841"/>
        <v>#VALUE!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191</v>
      </c>
      <c r="I1623">
        <v>0.05</v>
      </c>
      <c r="J1623">
        <f t="shared" si="842"/>
        <v>1</v>
      </c>
      <c r="K1623" t="e">
        <f t="shared" ca="1" si="843"/>
        <v>#VALUE!</v>
      </c>
      <c r="L1623" t="e">
        <f t="shared" ca="1" si="844"/>
        <v>#VALUE!</v>
      </c>
      <c r="M1623" t="e">
        <f t="shared" ca="1" si="817"/>
        <v>#VALUE!</v>
      </c>
      <c r="N1623" t="e">
        <f t="shared" ca="1" si="818"/>
        <v>#VALUE!</v>
      </c>
      <c r="O1623" t="e">
        <f t="shared" ca="1" si="819"/>
        <v>#VALUE!</v>
      </c>
      <c r="P1623" t="e">
        <f t="shared" ca="1" si="820"/>
        <v>#VALUE!</v>
      </c>
      <c r="Q1623" t="e">
        <f t="shared" ca="1" si="821"/>
        <v>#VALUE!</v>
      </c>
      <c r="R1623" t="e">
        <f t="shared" ca="1" si="822"/>
        <v>#VALUE!</v>
      </c>
      <c r="S1623" t="e">
        <f t="shared" ca="1" si="823"/>
        <v>#VALUE!</v>
      </c>
      <c r="T1623" t="e">
        <f t="shared" ca="1" si="824"/>
        <v>#VALUE!</v>
      </c>
      <c r="U1623" t="e">
        <f t="shared" ca="1" si="845"/>
        <v>#VALUE!</v>
      </c>
      <c r="V1623" t="e">
        <f t="shared" ca="1" si="846"/>
        <v>#VALUE!</v>
      </c>
      <c r="W1623" t="e">
        <f t="shared" ca="1" si="825"/>
        <v>#VALUE!</v>
      </c>
      <c r="X1623" t="e">
        <f t="shared" ca="1" si="826"/>
        <v>#VALUE!</v>
      </c>
      <c r="Y1623" t="e">
        <f t="shared" ca="1" si="827"/>
        <v>#VALUE!</v>
      </c>
      <c r="Z1623" t="e">
        <f t="shared" ca="1" si="828"/>
        <v>#VALUE!</v>
      </c>
      <c r="AA1623" t="e">
        <f t="shared" ca="1" si="829"/>
        <v>#VALUE!</v>
      </c>
      <c r="AB1623" t="e">
        <f t="shared" ca="1" si="830"/>
        <v>#VALUE!</v>
      </c>
      <c r="AC1623" t="e">
        <f t="shared" ca="1" si="831"/>
        <v>#VALUE!</v>
      </c>
      <c r="AD1623" t="e">
        <f t="shared" ca="1" si="832"/>
        <v>#VALUE!</v>
      </c>
      <c r="AE1623" t="e">
        <f t="shared" ca="1" si="833"/>
        <v>#VALUE!</v>
      </c>
      <c r="AF1623" t="e">
        <f t="shared" ca="1" si="834"/>
        <v>#VALUE!</v>
      </c>
      <c r="AG1623" t="e">
        <f t="shared" ca="1" si="835"/>
        <v>#VALUE!</v>
      </c>
      <c r="AH1623" t="e">
        <f ca="1">IF(V35="Supercritical",L1623,IF(V35="Subcritical",W1623,IF(AND(V1623=1,AG1623=1),IF(T1623&gt;=AE1623,L1623,W1623),IF(V1623=1,L1623,IF(AG1623=1,W1623,MAX($D$16,POWER((ABS(K1623)^2)/($I$5*MAX(F1623,0.1)^2),1/3)))))))</f>
        <v>#VALUE!</v>
      </c>
      <c r="AI1623" t="e">
        <f t="shared" ca="1" si="836"/>
        <v>#VALUE!</v>
      </c>
      <c r="AJ1623" t="e">
        <f t="shared" ca="1" si="837"/>
        <v>#VALUE!</v>
      </c>
      <c r="AL1623">
        <v>635.5</v>
      </c>
      <c r="AM1623">
        <v>0</v>
      </c>
      <c r="AN1623" t="e">
        <f t="shared" ca="1" si="848"/>
        <v>#VALUE!</v>
      </c>
      <c r="AO1623" t="e">
        <f t="shared" ca="1" si="838"/>
        <v>#VALUE!</v>
      </c>
      <c r="AP1623" t="e">
        <f t="shared" ca="1" si="847"/>
        <v>#VALUE!</v>
      </c>
      <c r="AQ1623" t="e">
        <f t="shared" ca="1" si="839"/>
        <v>#VALUE!</v>
      </c>
      <c r="AR1623" t="e">
        <f t="shared" ca="1" si="840"/>
        <v>#VALUE!</v>
      </c>
      <c r="AS1623" t="e">
        <f t="shared" ca="1" si="841"/>
        <v>#VALUE!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191</v>
      </c>
      <c r="I1624">
        <v>0.05</v>
      </c>
      <c r="J1624">
        <f t="shared" si="842"/>
        <v>0.99999999999999822</v>
      </c>
      <c r="K1624" t="e">
        <f t="shared" ca="1" si="843"/>
        <v>#VALUE!</v>
      </c>
      <c r="L1624" t="e">
        <f t="shared" ca="1" si="844"/>
        <v>#VALUE!</v>
      </c>
      <c r="M1624" t="e">
        <f t="shared" ca="1" si="817"/>
        <v>#VALUE!</v>
      </c>
      <c r="N1624" t="e">
        <f t="shared" ca="1" si="818"/>
        <v>#VALUE!</v>
      </c>
      <c r="O1624" t="e">
        <f t="shared" ca="1" si="819"/>
        <v>#VALUE!</v>
      </c>
      <c r="P1624" t="e">
        <f t="shared" ca="1" si="820"/>
        <v>#VALUE!</v>
      </c>
      <c r="Q1624" t="e">
        <f t="shared" ca="1" si="821"/>
        <v>#VALUE!</v>
      </c>
      <c r="R1624" t="e">
        <f t="shared" ca="1" si="822"/>
        <v>#VALUE!</v>
      </c>
      <c r="S1624" t="e">
        <f t="shared" ca="1" si="823"/>
        <v>#VALUE!</v>
      </c>
      <c r="T1624" t="e">
        <f t="shared" ca="1" si="824"/>
        <v>#VALUE!</v>
      </c>
      <c r="U1624" t="e">
        <f t="shared" ca="1" si="845"/>
        <v>#VALUE!</v>
      </c>
      <c r="V1624" t="e">
        <f t="shared" ca="1" si="846"/>
        <v>#VALUE!</v>
      </c>
      <c r="W1624" t="e">
        <f t="shared" ca="1" si="825"/>
        <v>#VALUE!</v>
      </c>
      <c r="X1624" t="e">
        <f t="shared" ca="1" si="826"/>
        <v>#VALUE!</v>
      </c>
      <c r="Y1624" t="e">
        <f t="shared" ca="1" si="827"/>
        <v>#VALUE!</v>
      </c>
      <c r="Z1624" t="e">
        <f t="shared" ca="1" si="828"/>
        <v>#VALUE!</v>
      </c>
      <c r="AA1624" t="e">
        <f t="shared" ca="1" si="829"/>
        <v>#VALUE!</v>
      </c>
      <c r="AB1624" t="e">
        <f t="shared" ca="1" si="830"/>
        <v>#VALUE!</v>
      </c>
      <c r="AC1624" t="e">
        <f t="shared" ca="1" si="831"/>
        <v>#VALUE!</v>
      </c>
      <c r="AD1624" t="e">
        <f t="shared" ca="1" si="832"/>
        <v>#VALUE!</v>
      </c>
      <c r="AE1624" t="e">
        <f t="shared" ca="1" si="833"/>
        <v>#VALUE!</v>
      </c>
      <c r="AF1624" t="e">
        <f t="shared" ca="1" si="834"/>
        <v>#VALUE!</v>
      </c>
      <c r="AG1624" t="e">
        <f t="shared" ca="1" si="835"/>
        <v>#VALUE!</v>
      </c>
      <c r="AH1624" t="e">
        <f ca="1">IF(V35="Supercritical",L1624,IF(V35="Subcritical",W1624,IF(AND(V1624=1,AG1624=1),IF(T1624&gt;=AE1624,L1624,W1624),IF(V1624=1,L1624,IF(AG1624=1,W1624,MAX($D$16,POWER((ABS(K1624)^2)/($I$5*MAX(F1624,0.1)^2),1/3)))))))</f>
        <v>#VALUE!</v>
      </c>
      <c r="AI1624" t="e">
        <f t="shared" ca="1" si="836"/>
        <v>#VALUE!</v>
      </c>
      <c r="AJ1624" t="e">
        <f t="shared" ca="1" si="837"/>
        <v>#VALUE!</v>
      </c>
      <c r="AL1624">
        <v>635.5</v>
      </c>
      <c r="AM1624">
        <v>0</v>
      </c>
      <c r="AN1624" t="e">
        <f t="shared" ca="1" si="848"/>
        <v>#VALUE!</v>
      </c>
      <c r="AO1624" t="e">
        <f t="shared" ca="1" si="838"/>
        <v>#VALUE!</v>
      </c>
      <c r="AP1624" t="e">
        <f t="shared" ca="1" si="847"/>
        <v>#VALUE!</v>
      </c>
      <c r="AQ1624" t="e">
        <f t="shared" ca="1" si="839"/>
        <v>#VALUE!</v>
      </c>
      <c r="AR1624" t="e">
        <f t="shared" ca="1" si="840"/>
        <v>#VALUE!</v>
      </c>
      <c r="AS1624" t="e">
        <f t="shared" ca="1" si="841"/>
        <v>#VALUE!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191</v>
      </c>
      <c r="I1625">
        <v>0.05</v>
      </c>
      <c r="J1625">
        <f t="shared" si="842"/>
        <v>1</v>
      </c>
      <c r="K1625" t="e">
        <f t="shared" ca="1" si="843"/>
        <v>#VALUE!</v>
      </c>
      <c r="L1625" t="e">
        <f t="shared" ca="1" si="844"/>
        <v>#VALUE!</v>
      </c>
      <c r="M1625" t="e">
        <f t="shared" ca="1" si="817"/>
        <v>#VALUE!</v>
      </c>
      <c r="N1625" t="e">
        <f t="shared" ca="1" si="818"/>
        <v>#VALUE!</v>
      </c>
      <c r="O1625" t="e">
        <f t="shared" ca="1" si="819"/>
        <v>#VALUE!</v>
      </c>
      <c r="P1625" t="e">
        <f t="shared" ca="1" si="820"/>
        <v>#VALUE!</v>
      </c>
      <c r="Q1625" t="e">
        <f t="shared" ca="1" si="821"/>
        <v>#VALUE!</v>
      </c>
      <c r="R1625" t="e">
        <f t="shared" ca="1" si="822"/>
        <v>#VALUE!</v>
      </c>
      <c r="S1625" t="e">
        <f t="shared" ca="1" si="823"/>
        <v>#VALUE!</v>
      </c>
      <c r="T1625" t="e">
        <f t="shared" ca="1" si="824"/>
        <v>#VALUE!</v>
      </c>
      <c r="U1625" t="e">
        <f t="shared" ca="1" si="845"/>
        <v>#VALUE!</v>
      </c>
      <c r="V1625" t="e">
        <f t="shared" ca="1" si="846"/>
        <v>#VALUE!</v>
      </c>
      <c r="W1625" t="e">
        <f t="shared" ca="1" si="825"/>
        <v>#VALUE!</v>
      </c>
      <c r="X1625" t="e">
        <f t="shared" ca="1" si="826"/>
        <v>#VALUE!</v>
      </c>
      <c r="Y1625" t="e">
        <f t="shared" ca="1" si="827"/>
        <v>#VALUE!</v>
      </c>
      <c r="Z1625" t="e">
        <f t="shared" ca="1" si="828"/>
        <v>#VALUE!</v>
      </c>
      <c r="AA1625" t="e">
        <f t="shared" ca="1" si="829"/>
        <v>#VALUE!</v>
      </c>
      <c r="AB1625" t="e">
        <f t="shared" ca="1" si="830"/>
        <v>#VALUE!</v>
      </c>
      <c r="AC1625" t="e">
        <f t="shared" ca="1" si="831"/>
        <v>#VALUE!</v>
      </c>
      <c r="AD1625" t="e">
        <f t="shared" ca="1" si="832"/>
        <v>#VALUE!</v>
      </c>
      <c r="AE1625" t="e">
        <f t="shared" ca="1" si="833"/>
        <v>#VALUE!</v>
      </c>
      <c r="AF1625" t="e">
        <f t="shared" ca="1" si="834"/>
        <v>#VALUE!</v>
      </c>
      <c r="AG1625" t="e">
        <f t="shared" ca="1" si="835"/>
        <v>#VALUE!</v>
      </c>
      <c r="AH1625" t="e">
        <f ca="1">IF(V35="Supercritical",L1625,IF(V35="Subcritical",W1625,IF(AND(V1625=1,AG1625=1),IF(T1625&gt;=AE1625,L1625,W1625),IF(V1625=1,L1625,IF(AG1625=1,W1625,MAX($D$16,POWER((ABS(K1625)^2)/($I$5*MAX(F1625,0.1)^2),1/3)))))))</f>
        <v>#VALUE!</v>
      </c>
      <c r="AI1625" t="e">
        <f t="shared" ca="1" si="836"/>
        <v>#VALUE!</v>
      </c>
      <c r="AJ1625" t="e">
        <f t="shared" ca="1" si="837"/>
        <v>#VALUE!</v>
      </c>
      <c r="AL1625">
        <v>635.5</v>
      </c>
      <c r="AM1625">
        <v>0</v>
      </c>
      <c r="AN1625" t="e">
        <f t="shared" ca="1" si="848"/>
        <v>#VALUE!</v>
      </c>
      <c r="AO1625" t="e">
        <f t="shared" ca="1" si="838"/>
        <v>#VALUE!</v>
      </c>
      <c r="AP1625" t="e">
        <f t="shared" ca="1" si="847"/>
        <v>#VALUE!</v>
      </c>
      <c r="AQ1625" t="e">
        <f t="shared" ca="1" si="839"/>
        <v>#VALUE!</v>
      </c>
      <c r="AR1625" t="e">
        <f t="shared" ca="1" si="840"/>
        <v>#VALUE!</v>
      </c>
      <c r="AS1625" t="e">
        <f t="shared" ca="1" si="841"/>
        <v>#VALUE!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191</v>
      </c>
      <c r="I1626">
        <v>7.8E-2</v>
      </c>
      <c r="J1626">
        <f t="shared" si="842"/>
        <v>1</v>
      </c>
      <c r="K1626" t="e">
        <f t="shared" ca="1" si="843"/>
        <v>#VALUE!</v>
      </c>
      <c r="L1626" t="e">
        <f t="shared" ca="1" si="844"/>
        <v>#VALUE!</v>
      </c>
      <c r="M1626" t="e">
        <f t="shared" ca="1" si="817"/>
        <v>#VALUE!</v>
      </c>
      <c r="N1626" t="e">
        <f t="shared" ca="1" si="818"/>
        <v>#VALUE!</v>
      </c>
      <c r="O1626" t="e">
        <f t="shared" ca="1" si="819"/>
        <v>#VALUE!</v>
      </c>
      <c r="P1626" t="e">
        <f t="shared" ca="1" si="820"/>
        <v>#VALUE!</v>
      </c>
      <c r="Q1626" t="e">
        <f t="shared" ca="1" si="821"/>
        <v>#VALUE!</v>
      </c>
      <c r="R1626" t="e">
        <f t="shared" ca="1" si="822"/>
        <v>#VALUE!</v>
      </c>
      <c r="S1626" t="e">
        <f t="shared" ca="1" si="823"/>
        <v>#VALUE!</v>
      </c>
      <c r="T1626" t="e">
        <f t="shared" ca="1" si="824"/>
        <v>#VALUE!</v>
      </c>
      <c r="U1626" t="e">
        <f t="shared" ca="1" si="845"/>
        <v>#VALUE!</v>
      </c>
      <c r="V1626" t="e">
        <f t="shared" ca="1" si="846"/>
        <v>#VALUE!</v>
      </c>
      <c r="W1626" t="e">
        <f t="shared" ca="1" si="825"/>
        <v>#VALUE!</v>
      </c>
      <c r="X1626" t="e">
        <f t="shared" ca="1" si="826"/>
        <v>#VALUE!</v>
      </c>
      <c r="Y1626" t="e">
        <f t="shared" ca="1" si="827"/>
        <v>#VALUE!</v>
      </c>
      <c r="Z1626" t="e">
        <f t="shared" ca="1" si="828"/>
        <v>#VALUE!</v>
      </c>
      <c r="AA1626" t="e">
        <f t="shared" ca="1" si="829"/>
        <v>#VALUE!</v>
      </c>
      <c r="AB1626" t="e">
        <f t="shared" ca="1" si="830"/>
        <v>#VALUE!</v>
      </c>
      <c r="AC1626" t="e">
        <f t="shared" ca="1" si="831"/>
        <v>#VALUE!</v>
      </c>
      <c r="AD1626" t="e">
        <f t="shared" ca="1" si="832"/>
        <v>#VALUE!</v>
      </c>
      <c r="AE1626" t="e">
        <f t="shared" ca="1" si="833"/>
        <v>#VALUE!</v>
      </c>
      <c r="AF1626" t="e">
        <f t="shared" ca="1" si="834"/>
        <v>#VALUE!</v>
      </c>
      <c r="AG1626" t="e">
        <f t="shared" ca="1" si="835"/>
        <v>#VALUE!</v>
      </c>
      <c r="AH1626" t="e">
        <f ca="1">IF(V35="Supercritical",L1626,IF(V35="Subcritical",W1626,IF(AND(V1626=1,AG1626=1),IF(T1626&gt;=AE1626,L1626,W1626),IF(V1626=1,L1626,IF(AG1626=1,W1626,MAX($D$16,POWER((ABS(K1626)^2)/($I$5*MAX(F1626,0.1)^2),1/3)))))))</f>
        <v>#VALUE!</v>
      </c>
      <c r="AI1626" t="e">
        <f t="shared" ca="1" si="836"/>
        <v>#VALUE!</v>
      </c>
      <c r="AJ1626" t="e">
        <f t="shared" ca="1" si="837"/>
        <v>#VALUE!</v>
      </c>
      <c r="AL1626">
        <v>635.5</v>
      </c>
      <c r="AM1626">
        <v>0</v>
      </c>
      <c r="AN1626" t="e">
        <f t="shared" ca="1" si="848"/>
        <v>#VALUE!</v>
      </c>
      <c r="AO1626" t="e">
        <f t="shared" ca="1" si="838"/>
        <v>#VALUE!</v>
      </c>
      <c r="AP1626" t="e">
        <f t="shared" ca="1" si="847"/>
        <v>#VALUE!</v>
      </c>
      <c r="AQ1626" t="e">
        <f t="shared" ca="1" si="839"/>
        <v>#VALUE!</v>
      </c>
      <c r="AR1626" t="e">
        <f t="shared" ca="1" si="840"/>
        <v>#VALUE!</v>
      </c>
      <c r="AS1626" t="e">
        <f t="shared" ca="1" si="841"/>
        <v>#VALUE!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191</v>
      </c>
      <c r="I1627">
        <v>7.8E-2</v>
      </c>
      <c r="J1627">
        <f t="shared" si="842"/>
        <v>0.99900000000000233</v>
      </c>
      <c r="K1627" t="e">
        <f t="shared" ca="1" si="843"/>
        <v>#VALUE!</v>
      </c>
      <c r="L1627" t="e">
        <f t="shared" ca="1" si="844"/>
        <v>#VALUE!</v>
      </c>
      <c r="M1627" t="e">
        <f t="shared" ca="1" si="817"/>
        <v>#VALUE!</v>
      </c>
      <c r="N1627" t="e">
        <f t="shared" ca="1" si="818"/>
        <v>#VALUE!</v>
      </c>
      <c r="O1627" t="e">
        <f t="shared" ca="1" si="819"/>
        <v>#VALUE!</v>
      </c>
      <c r="P1627" t="e">
        <f t="shared" ca="1" si="820"/>
        <v>#VALUE!</v>
      </c>
      <c r="Q1627" t="e">
        <f t="shared" ca="1" si="821"/>
        <v>#VALUE!</v>
      </c>
      <c r="R1627" t="e">
        <f t="shared" ca="1" si="822"/>
        <v>#VALUE!</v>
      </c>
      <c r="S1627" t="e">
        <f t="shared" ca="1" si="823"/>
        <v>#VALUE!</v>
      </c>
      <c r="T1627" t="e">
        <f t="shared" ca="1" si="824"/>
        <v>#VALUE!</v>
      </c>
      <c r="U1627" t="e">
        <f t="shared" ca="1" si="845"/>
        <v>#VALUE!</v>
      </c>
      <c r="V1627" t="e">
        <f t="shared" ca="1" si="846"/>
        <v>#VALUE!</v>
      </c>
      <c r="W1627" t="e">
        <f t="shared" ca="1" si="825"/>
        <v>#VALUE!</v>
      </c>
      <c r="X1627" t="e">
        <f t="shared" ca="1" si="826"/>
        <v>#VALUE!</v>
      </c>
      <c r="Y1627" t="e">
        <f t="shared" ca="1" si="827"/>
        <v>#VALUE!</v>
      </c>
      <c r="Z1627" t="e">
        <f t="shared" ca="1" si="828"/>
        <v>#VALUE!</v>
      </c>
      <c r="AA1627" t="e">
        <f t="shared" ca="1" si="829"/>
        <v>#VALUE!</v>
      </c>
      <c r="AB1627" t="e">
        <f t="shared" ca="1" si="830"/>
        <v>#VALUE!</v>
      </c>
      <c r="AC1627" t="e">
        <f t="shared" ca="1" si="831"/>
        <v>#VALUE!</v>
      </c>
      <c r="AD1627" t="e">
        <f t="shared" ca="1" si="832"/>
        <v>#VALUE!</v>
      </c>
      <c r="AE1627" t="e">
        <f t="shared" ca="1" si="833"/>
        <v>#VALUE!</v>
      </c>
      <c r="AF1627" t="e">
        <f t="shared" ca="1" si="834"/>
        <v>#VALUE!</v>
      </c>
      <c r="AG1627" t="e">
        <f t="shared" ca="1" si="835"/>
        <v>#VALUE!</v>
      </c>
      <c r="AH1627" t="e">
        <f ca="1">IF(V35="Supercritical",L1627,IF(V35="Subcritical",W1627,IF(AND(V1627=1,AG1627=1),IF(T1627&gt;=AE1627,L1627,W1627),IF(V1627=1,L1627,IF(AG1627=1,W1627,MAX($D$16,POWER((ABS(K1627)^2)/($I$5*MAX(F1627,0.1)^2),1/3)))))))</f>
        <v>#VALUE!</v>
      </c>
      <c r="AI1627" t="e">
        <f t="shared" ca="1" si="836"/>
        <v>#VALUE!</v>
      </c>
      <c r="AJ1627" t="e">
        <f t="shared" ca="1" si="837"/>
        <v>#VALUE!</v>
      </c>
      <c r="AL1627">
        <v>635.5</v>
      </c>
      <c r="AM1627">
        <v>0</v>
      </c>
      <c r="AN1627" t="e">
        <f t="shared" ca="1" si="848"/>
        <v>#VALUE!</v>
      </c>
      <c r="AO1627" t="e">
        <f t="shared" ca="1" si="838"/>
        <v>#VALUE!</v>
      </c>
      <c r="AP1627" t="e">
        <f t="shared" ca="1" si="847"/>
        <v>#VALUE!</v>
      </c>
      <c r="AQ1627" t="e">
        <f t="shared" ca="1" si="839"/>
        <v>#VALUE!</v>
      </c>
      <c r="AR1627" t="e">
        <f t="shared" ca="1" si="840"/>
        <v>#VALUE!</v>
      </c>
      <c r="AS1627" t="e">
        <f t="shared" ca="1" si="841"/>
        <v>#VALUE!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191</v>
      </c>
      <c r="I1628">
        <v>4.04</v>
      </c>
      <c r="J1628">
        <f t="shared" si="842"/>
        <v>1</v>
      </c>
      <c r="K1628" t="e">
        <f t="shared" ca="1" si="843"/>
        <v>#VALUE!</v>
      </c>
      <c r="L1628" t="e">
        <f t="shared" ca="1" si="844"/>
        <v>#VALUE!</v>
      </c>
      <c r="M1628" t="e">
        <f t="shared" ca="1" si="817"/>
        <v>#VALUE!</v>
      </c>
      <c r="N1628" t="e">
        <f t="shared" ca="1" si="818"/>
        <v>#VALUE!</v>
      </c>
      <c r="O1628" t="e">
        <f t="shared" ca="1" si="819"/>
        <v>#VALUE!</v>
      </c>
      <c r="P1628" t="e">
        <f t="shared" ca="1" si="820"/>
        <v>#VALUE!</v>
      </c>
      <c r="Q1628" t="e">
        <f t="shared" ca="1" si="821"/>
        <v>#VALUE!</v>
      </c>
      <c r="R1628" t="e">
        <f t="shared" ca="1" si="822"/>
        <v>#VALUE!</v>
      </c>
      <c r="S1628" t="e">
        <f t="shared" ca="1" si="823"/>
        <v>#VALUE!</v>
      </c>
      <c r="T1628" t="e">
        <f t="shared" ca="1" si="824"/>
        <v>#VALUE!</v>
      </c>
      <c r="U1628" t="e">
        <f t="shared" ca="1" si="845"/>
        <v>#VALUE!</v>
      </c>
      <c r="V1628" t="e">
        <f t="shared" ca="1" si="846"/>
        <v>#VALUE!</v>
      </c>
      <c r="W1628" t="e">
        <f t="shared" ca="1" si="825"/>
        <v>#VALUE!</v>
      </c>
      <c r="X1628" t="e">
        <f t="shared" ca="1" si="826"/>
        <v>#VALUE!</v>
      </c>
      <c r="Y1628" t="e">
        <f t="shared" ca="1" si="827"/>
        <v>#VALUE!</v>
      </c>
      <c r="Z1628" t="e">
        <f t="shared" ca="1" si="828"/>
        <v>#VALUE!</v>
      </c>
      <c r="AA1628" t="e">
        <f t="shared" ca="1" si="829"/>
        <v>#VALUE!</v>
      </c>
      <c r="AB1628" t="e">
        <f t="shared" ca="1" si="830"/>
        <v>#VALUE!</v>
      </c>
      <c r="AC1628" t="e">
        <f t="shared" ca="1" si="831"/>
        <v>#VALUE!</v>
      </c>
      <c r="AD1628" t="e">
        <f t="shared" ca="1" si="832"/>
        <v>#VALUE!</v>
      </c>
      <c r="AE1628" t="e">
        <f t="shared" ca="1" si="833"/>
        <v>#VALUE!</v>
      </c>
      <c r="AF1628" t="e">
        <f t="shared" ca="1" si="834"/>
        <v>#VALUE!</v>
      </c>
      <c r="AG1628" t="e">
        <f t="shared" ca="1" si="835"/>
        <v>#VALUE!</v>
      </c>
      <c r="AH1628" t="e">
        <f ca="1">IF(V35="Supercritical",L1628,IF(V35="Subcritical",W1628,IF(AND(V1628=1,AG1628=1),IF(T1628&gt;=AE1628,L1628,W1628),IF(V1628=1,L1628,IF(AG1628=1,W1628,MAX($D$16,POWER((ABS(K1628)^2)/($I$5*MAX(F1628,0.1)^2),1/3)))))))</f>
        <v>#VALUE!</v>
      </c>
      <c r="AI1628" t="e">
        <f t="shared" ca="1" si="836"/>
        <v>#VALUE!</v>
      </c>
      <c r="AJ1628" t="e">
        <f t="shared" ca="1" si="837"/>
        <v>#VALUE!</v>
      </c>
      <c r="AL1628">
        <v>635.5</v>
      </c>
      <c r="AM1628">
        <v>0</v>
      </c>
      <c r="AN1628" t="e">
        <f t="shared" ca="1" si="848"/>
        <v>#VALUE!</v>
      </c>
      <c r="AO1628" t="e">
        <f t="shared" ca="1" si="838"/>
        <v>#VALUE!</v>
      </c>
      <c r="AP1628" t="e">
        <f t="shared" ca="1" si="847"/>
        <v>#VALUE!</v>
      </c>
      <c r="AQ1628" t="e">
        <f t="shared" ca="1" si="839"/>
        <v>#VALUE!</v>
      </c>
      <c r="AR1628" t="e">
        <f t="shared" ca="1" si="840"/>
        <v>#VALUE!</v>
      </c>
      <c r="AS1628" t="e">
        <f t="shared" ca="1" si="841"/>
        <v>#VALUE!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191</v>
      </c>
      <c r="I1629">
        <v>21.068999999999999</v>
      </c>
      <c r="J1629">
        <f t="shared" si="842"/>
        <v>0.98799999999999955</v>
      </c>
      <c r="K1629" t="e">
        <f t="shared" ca="1" si="843"/>
        <v>#VALUE!</v>
      </c>
      <c r="L1629" t="e">
        <f t="shared" ca="1" si="844"/>
        <v>#VALUE!</v>
      </c>
      <c r="M1629" t="e">
        <f t="shared" ca="1" si="817"/>
        <v>#VALUE!</v>
      </c>
      <c r="N1629" t="e">
        <f t="shared" ca="1" si="818"/>
        <v>#VALUE!</v>
      </c>
      <c r="O1629" t="e">
        <f t="shared" ca="1" si="819"/>
        <v>#VALUE!</v>
      </c>
      <c r="P1629" t="e">
        <f t="shared" ca="1" si="820"/>
        <v>#VALUE!</v>
      </c>
      <c r="Q1629" t="e">
        <f t="shared" ca="1" si="821"/>
        <v>#VALUE!</v>
      </c>
      <c r="R1629" t="e">
        <f t="shared" ca="1" si="822"/>
        <v>#VALUE!</v>
      </c>
      <c r="S1629" t="e">
        <f t="shared" ca="1" si="823"/>
        <v>#VALUE!</v>
      </c>
      <c r="T1629" t="e">
        <f t="shared" ca="1" si="824"/>
        <v>#VALUE!</v>
      </c>
      <c r="U1629" t="e">
        <f t="shared" ca="1" si="845"/>
        <v>#VALUE!</v>
      </c>
      <c r="V1629" t="e">
        <f t="shared" ca="1" si="846"/>
        <v>#VALUE!</v>
      </c>
      <c r="W1629" t="e">
        <f t="shared" ca="1" si="825"/>
        <v>#VALUE!</v>
      </c>
      <c r="X1629" t="e">
        <f t="shared" ca="1" si="826"/>
        <v>#VALUE!</v>
      </c>
      <c r="Y1629" t="e">
        <f t="shared" ca="1" si="827"/>
        <v>#VALUE!</v>
      </c>
      <c r="Z1629" t="e">
        <f t="shared" ca="1" si="828"/>
        <v>#VALUE!</v>
      </c>
      <c r="AA1629" t="e">
        <f t="shared" ca="1" si="829"/>
        <v>#VALUE!</v>
      </c>
      <c r="AB1629" t="e">
        <f t="shared" ca="1" si="830"/>
        <v>#VALUE!</v>
      </c>
      <c r="AC1629" t="e">
        <f t="shared" ca="1" si="831"/>
        <v>#VALUE!</v>
      </c>
      <c r="AD1629" t="e">
        <f t="shared" ca="1" si="832"/>
        <v>#VALUE!</v>
      </c>
      <c r="AE1629" t="e">
        <f t="shared" ca="1" si="833"/>
        <v>#VALUE!</v>
      </c>
      <c r="AF1629" t="e">
        <f t="shared" ca="1" si="834"/>
        <v>#VALUE!</v>
      </c>
      <c r="AG1629" t="e">
        <f t="shared" ca="1" si="835"/>
        <v>#VALUE!</v>
      </c>
      <c r="AH1629" t="e">
        <f ca="1">IF(V35="Supercritical",L1629,IF(V35="Subcritical",W1629,IF(AND(V1629=1,AG1629=1),IF(T1629&gt;=AE1629,L1629,W1629),IF(V1629=1,L1629,IF(AG1629=1,W1629,MAX($D$16,POWER((ABS(K1629)^2)/($I$5*MAX(F1629,0.1)^2),1/3)))))))</f>
        <v>#VALUE!</v>
      </c>
      <c r="AI1629" t="e">
        <f t="shared" ca="1" si="836"/>
        <v>#VALUE!</v>
      </c>
      <c r="AJ1629" t="e">
        <f t="shared" ca="1" si="837"/>
        <v>#VALUE!</v>
      </c>
      <c r="AL1629">
        <v>635.5</v>
      </c>
      <c r="AM1629">
        <v>0</v>
      </c>
      <c r="AN1629" t="e">
        <f t="shared" ca="1" si="848"/>
        <v>#VALUE!</v>
      </c>
      <c r="AO1629" t="e">
        <f t="shared" ca="1" si="838"/>
        <v>#VALUE!</v>
      </c>
      <c r="AP1629" t="e">
        <f t="shared" ca="1" si="847"/>
        <v>#VALUE!</v>
      </c>
      <c r="AQ1629" t="e">
        <f t="shared" ca="1" si="839"/>
        <v>#VALUE!</v>
      </c>
      <c r="AR1629" t="e">
        <f t="shared" ca="1" si="840"/>
        <v>#VALUE!</v>
      </c>
      <c r="AS1629" t="e">
        <f t="shared" ca="1" si="841"/>
        <v>#VALUE!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191</v>
      </c>
      <c r="I1630">
        <v>5.7000000000000002E-2</v>
      </c>
      <c r="J1630">
        <f t="shared" si="842"/>
        <v>0.99899999999999878</v>
      </c>
      <c r="K1630" t="e">
        <f t="shared" ca="1" si="843"/>
        <v>#VALUE!</v>
      </c>
      <c r="L1630" t="e">
        <f t="shared" ca="1" si="844"/>
        <v>#VALUE!</v>
      </c>
      <c r="M1630" t="e">
        <f t="shared" ca="1" si="817"/>
        <v>#VALUE!</v>
      </c>
      <c r="N1630" t="e">
        <f t="shared" ca="1" si="818"/>
        <v>#VALUE!</v>
      </c>
      <c r="O1630" t="e">
        <f t="shared" ca="1" si="819"/>
        <v>#VALUE!</v>
      </c>
      <c r="P1630" t="e">
        <f t="shared" ca="1" si="820"/>
        <v>#VALUE!</v>
      </c>
      <c r="Q1630" t="e">
        <f t="shared" ca="1" si="821"/>
        <v>#VALUE!</v>
      </c>
      <c r="R1630" t="e">
        <f t="shared" ca="1" si="822"/>
        <v>#VALUE!</v>
      </c>
      <c r="S1630" t="e">
        <f t="shared" ca="1" si="823"/>
        <v>#VALUE!</v>
      </c>
      <c r="T1630" t="e">
        <f t="shared" ca="1" si="824"/>
        <v>#VALUE!</v>
      </c>
      <c r="U1630" t="e">
        <f t="shared" ca="1" si="845"/>
        <v>#VALUE!</v>
      </c>
      <c r="V1630" t="e">
        <f t="shared" ca="1" si="846"/>
        <v>#VALUE!</v>
      </c>
      <c r="W1630" t="e">
        <f t="shared" ca="1" si="825"/>
        <v>#VALUE!</v>
      </c>
      <c r="X1630" t="e">
        <f t="shared" ca="1" si="826"/>
        <v>#VALUE!</v>
      </c>
      <c r="Y1630" t="e">
        <f t="shared" ca="1" si="827"/>
        <v>#VALUE!</v>
      </c>
      <c r="Z1630" t="e">
        <f t="shared" ca="1" si="828"/>
        <v>#VALUE!</v>
      </c>
      <c r="AA1630" t="e">
        <f t="shared" ca="1" si="829"/>
        <v>#VALUE!</v>
      </c>
      <c r="AB1630" t="e">
        <f t="shared" ca="1" si="830"/>
        <v>#VALUE!</v>
      </c>
      <c r="AC1630" t="e">
        <f t="shared" ca="1" si="831"/>
        <v>#VALUE!</v>
      </c>
      <c r="AD1630" t="e">
        <f t="shared" ca="1" si="832"/>
        <v>#VALUE!</v>
      </c>
      <c r="AE1630" t="e">
        <f t="shared" ca="1" si="833"/>
        <v>#VALUE!</v>
      </c>
      <c r="AF1630" t="e">
        <f t="shared" ca="1" si="834"/>
        <v>#VALUE!</v>
      </c>
      <c r="AG1630" t="e">
        <f t="shared" ca="1" si="835"/>
        <v>#VALUE!</v>
      </c>
      <c r="AH1630" t="e">
        <f ca="1">IF(V35="Supercritical",L1630,IF(V35="Subcritical",W1630,IF(AND(V1630=1,AG1630=1),IF(T1630&gt;=AE1630,L1630,W1630),IF(V1630=1,L1630,IF(AG1630=1,W1630,MAX($D$16,POWER((ABS(K1630)^2)/($I$5*MAX(F1630,0.1)^2),1/3)))))))</f>
        <v>#VALUE!</v>
      </c>
      <c r="AI1630" t="e">
        <f t="shared" ca="1" si="836"/>
        <v>#VALUE!</v>
      </c>
      <c r="AJ1630" t="e">
        <f t="shared" ca="1" si="837"/>
        <v>#VALUE!</v>
      </c>
      <c r="AL1630">
        <v>635.5</v>
      </c>
      <c r="AM1630">
        <v>0</v>
      </c>
      <c r="AN1630" t="e">
        <f t="shared" ca="1" si="848"/>
        <v>#VALUE!</v>
      </c>
      <c r="AO1630" t="e">
        <f t="shared" ca="1" si="838"/>
        <v>#VALUE!</v>
      </c>
      <c r="AP1630" t="e">
        <f t="shared" ca="1" si="847"/>
        <v>#VALUE!</v>
      </c>
      <c r="AQ1630" t="e">
        <f t="shared" ca="1" si="839"/>
        <v>#VALUE!</v>
      </c>
      <c r="AR1630" t="e">
        <f t="shared" ca="1" si="840"/>
        <v>#VALUE!</v>
      </c>
      <c r="AS1630" t="e">
        <f t="shared" ca="1" si="841"/>
        <v>#VALUE!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191</v>
      </c>
      <c r="I1631">
        <v>5.2999999999999999E-2</v>
      </c>
      <c r="J1631">
        <f t="shared" si="842"/>
        <v>1</v>
      </c>
      <c r="K1631" t="e">
        <f t="shared" ca="1" si="843"/>
        <v>#VALUE!</v>
      </c>
      <c r="L1631" t="e">
        <f t="shared" ca="1" si="844"/>
        <v>#VALUE!</v>
      </c>
      <c r="M1631" t="e">
        <f t="shared" ca="1" si="817"/>
        <v>#VALUE!</v>
      </c>
      <c r="N1631" t="e">
        <f t="shared" ca="1" si="818"/>
        <v>#VALUE!</v>
      </c>
      <c r="O1631" t="e">
        <f t="shared" ca="1" si="819"/>
        <v>#VALUE!</v>
      </c>
      <c r="P1631" t="e">
        <f t="shared" ca="1" si="820"/>
        <v>#VALUE!</v>
      </c>
      <c r="Q1631" t="e">
        <f t="shared" ca="1" si="821"/>
        <v>#VALUE!</v>
      </c>
      <c r="R1631" t="e">
        <f t="shared" ca="1" si="822"/>
        <v>#VALUE!</v>
      </c>
      <c r="S1631" t="e">
        <f t="shared" ca="1" si="823"/>
        <v>#VALUE!</v>
      </c>
      <c r="T1631" t="e">
        <f t="shared" ca="1" si="824"/>
        <v>#VALUE!</v>
      </c>
      <c r="U1631" t="e">
        <f t="shared" ca="1" si="845"/>
        <v>#VALUE!</v>
      </c>
      <c r="V1631" t="e">
        <f t="shared" ca="1" si="846"/>
        <v>#VALUE!</v>
      </c>
      <c r="W1631" t="e">
        <f t="shared" ca="1" si="825"/>
        <v>#VALUE!</v>
      </c>
      <c r="X1631" t="e">
        <f t="shared" ca="1" si="826"/>
        <v>#VALUE!</v>
      </c>
      <c r="Y1631" t="e">
        <f t="shared" ca="1" si="827"/>
        <v>#VALUE!</v>
      </c>
      <c r="Z1631" t="e">
        <f t="shared" ca="1" si="828"/>
        <v>#VALUE!</v>
      </c>
      <c r="AA1631" t="e">
        <f t="shared" ca="1" si="829"/>
        <v>#VALUE!</v>
      </c>
      <c r="AB1631" t="e">
        <f t="shared" ca="1" si="830"/>
        <v>#VALUE!</v>
      </c>
      <c r="AC1631" t="e">
        <f t="shared" ca="1" si="831"/>
        <v>#VALUE!</v>
      </c>
      <c r="AD1631" t="e">
        <f t="shared" ca="1" si="832"/>
        <v>#VALUE!</v>
      </c>
      <c r="AE1631" t="e">
        <f t="shared" ca="1" si="833"/>
        <v>#VALUE!</v>
      </c>
      <c r="AF1631" t="e">
        <f t="shared" ca="1" si="834"/>
        <v>#VALUE!</v>
      </c>
      <c r="AG1631" t="e">
        <f t="shared" ca="1" si="835"/>
        <v>#VALUE!</v>
      </c>
      <c r="AH1631" t="e">
        <f ca="1">IF(V35="Supercritical",L1631,IF(V35="Subcritical",W1631,IF(AND(V1631=1,AG1631=1),IF(T1631&gt;=AE1631,L1631,W1631),IF(V1631=1,L1631,IF(AG1631=1,W1631,MAX($D$16,POWER((ABS(K1631)^2)/($I$5*MAX(F1631,0.1)^2),1/3)))))))</f>
        <v>#VALUE!</v>
      </c>
      <c r="AI1631" t="e">
        <f t="shared" ca="1" si="836"/>
        <v>#VALUE!</v>
      </c>
      <c r="AJ1631" t="e">
        <f t="shared" ca="1" si="837"/>
        <v>#VALUE!</v>
      </c>
      <c r="AL1631">
        <v>635.5</v>
      </c>
      <c r="AM1631">
        <v>0</v>
      </c>
      <c r="AN1631" t="e">
        <f t="shared" ca="1" si="848"/>
        <v>#VALUE!</v>
      </c>
      <c r="AO1631" t="e">
        <f t="shared" ca="1" si="838"/>
        <v>#VALUE!</v>
      </c>
      <c r="AP1631" t="e">
        <f t="shared" ca="1" si="847"/>
        <v>#VALUE!</v>
      </c>
      <c r="AQ1631" t="e">
        <f t="shared" ca="1" si="839"/>
        <v>#VALUE!</v>
      </c>
      <c r="AR1631" t="e">
        <f t="shared" ca="1" si="840"/>
        <v>#VALUE!</v>
      </c>
      <c r="AS1631" t="e">
        <f t="shared" ca="1" si="841"/>
        <v>#VALUE!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191</v>
      </c>
      <c r="I1632">
        <v>5.2999999999999999E-2</v>
      </c>
      <c r="J1632">
        <f t="shared" si="842"/>
        <v>1.0010000000000012</v>
      </c>
      <c r="K1632" t="e">
        <f t="shared" ca="1" si="843"/>
        <v>#VALUE!</v>
      </c>
      <c r="L1632" t="e">
        <f t="shared" ca="1" si="844"/>
        <v>#VALUE!</v>
      </c>
      <c r="M1632" t="e">
        <f t="shared" ca="1" si="817"/>
        <v>#VALUE!</v>
      </c>
      <c r="N1632" t="e">
        <f t="shared" ca="1" si="818"/>
        <v>#VALUE!</v>
      </c>
      <c r="O1632" t="e">
        <f t="shared" ca="1" si="819"/>
        <v>#VALUE!</v>
      </c>
      <c r="P1632" t="e">
        <f t="shared" ca="1" si="820"/>
        <v>#VALUE!</v>
      </c>
      <c r="Q1632" t="e">
        <f t="shared" ca="1" si="821"/>
        <v>#VALUE!</v>
      </c>
      <c r="R1632" t="e">
        <f t="shared" ca="1" si="822"/>
        <v>#VALUE!</v>
      </c>
      <c r="S1632" t="e">
        <f t="shared" ca="1" si="823"/>
        <v>#VALUE!</v>
      </c>
      <c r="T1632" t="e">
        <f t="shared" ca="1" si="824"/>
        <v>#VALUE!</v>
      </c>
      <c r="U1632" t="e">
        <f t="shared" ca="1" si="845"/>
        <v>#VALUE!</v>
      </c>
      <c r="V1632" t="e">
        <f t="shared" ca="1" si="846"/>
        <v>#VALUE!</v>
      </c>
      <c r="W1632" t="e">
        <f t="shared" ca="1" si="825"/>
        <v>#VALUE!</v>
      </c>
      <c r="X1632" t="e">
        <f t="shared" ca="1" si="826"/>
        <v>#VALUE!</v>
      </c>
      <c r="Y1632" t="e">
        <f t="shared" ca="1" si="827"/>
        <v>#VALUE!</v>
      </c>
      <c r="Z1632" t="e">
        <f t="shared" ca="1" si="828"/>
        <v>#VALUE!</v>
      </c>
      <c r="AA1632" t="e">
        <f t="shared" ca="1" si="829"/>
        <v>#VALUE!</v>
      </c>
      <c r="AB1632" t="e">
        <f t="shared" ca="1" si="830"/>
        <v>#VALUE!</v>
      </c>
      <c r="AC1632" t="e">
        <f t="shared" ca="1" si="831"/>
        <v>#VALUE!</v>
      </c>
      <c r="AD1632" t="e">
        <f t="shared" ca="1" si="832"/>
        <v>#VALUE!</v>
      </c>
      <c r="AE1632" t="e">
        <f t="shared" ca="1" si="833"/>
        <v>#VALUE!</v>
      </c>
      <c r="AF1632" t="e">
        <f t="shared" ca="1" si="834"/>
        <v>#VALUE!</v>
      </c>
      <c r="AG1632" t="e">
        <f t="shared" ca="1" si="835"/>
        <v>#VALUE!</v>
      </c>
      <c r="AH1632" t="e">
        <f ca="1">IF(V35="Supercritical",L1632,IF(V35="Subcritical",W1632,IF(AND(V1632=1,AG1632=1),IF(T1632&gt;=AE1632,L1632,W1632),IF(V1632=1,L1632,IF(AG1632=1,W1632,MAX($D$16,POWER((ABS(K1632)^2)/($I$5*MAX(F1632,0.1)^2),1/3)))))))</f>
        <v>#VALUE!</v>
      </c>
      <c r="AI1632" t="e">
        <f t="shared" ca="1" si="836"/>
        <v>#VALUE!</v>
      </c>
      <c r="AJ1632" t="e">
        <f t="shared" ca="1" si="837"/>
        <v>#VALUE!</v>
      </c>
      <c r="AL1632">
        <v>635.5</v>
      </c>
      <c r="AM1632">
        <v>0</v>
      </c>
      <c r="AN1632" t="e">
        <f t="shared" ca="1" si="848"/>
        <v>#VALUE!</v>
      </c>
      <c r="AO1632" t="e">
        <f t="shared" ca="1" si="838"/>
        <v>#VALUE!</v>
      </c>
      <c r="AP1632" t="e">
        <f t="shared" ca="1" si="847"/>
        <v>#VALUE!</v>
      </c>
      <c r="AQ1632" t="e">
        <f t="shared" ca="1" si="839"/>
        <v>#VALUE!</v>
      </c>
      <c r="AR1632" t="e">
        <f t="shared" ca="1" si="840"/>
        <v>#VALUE!</v>
      </c>
      <c r="AS1632" t="e">
        <f t="shared" ca="1" si="841"/>
        <v>#VALUE!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191</v>
      </c>
      <c r="I1633">
        <v>0</v>
      </c>
      <c r="J1633">
        <f t="shared" si="842"/>
        <v>1</v>
      </c>
      <c r="K1633" t="e">
        <f t="shared" ca="1" si="843"/>
        <v>#VALUE!</v>
      </c>
      <c r="L1633" t="e">
        <f t="shared" ca="1" si="844"/>
        <v>#VALUE!</v>
      </c>
      <c r="M1633" t="e">
        <f t="shared" ca="1" si="817"/>
        <v>#VALUE!</v>
      </c>
      <c r="N1633" t="e">
        <f t="shared" ca="1" si="818"/>
        <v>#VALUE!</v>
      </c>
      <c r="O1633" t="e">
        <f t="shared" ca="1" si="819"/>
        <v>#VALUE!</v>
      </c>
      <c r="P1633" t="e">
        <f t="shared" ca="1" si="820"/>
        <v>#VALUE!</v>
      </c>
      <c r="Q1633" t="e">
        <f t="shared" ca="1" si="821"/>
        <v>#VALUE!</v>
      </c>
      <c r="R1633" t="e">
        <f t="shared" ca="1" si="822"/>
        <v>#VALUE!</v>
      </c>
      <c r="S1633" t="e">
        <f t="shared" ca="1" si="823"/>
        <v>#VALUE!</v>
      </c>
      <c r="T1633" t="e">
        <f t="shared" ca="1" si="824"/>
        <v>#VALUE!</v>
      </c>
      <c r="U1633" t="e">
        <f t="shared" ca="1" si="845"/>
        <v>#VALUE!</v>
      </c>
      <c r="V1633" t="e">
        <f t="shared" ca="1" si="846"/>
        <v>#VALUE!</v>
      </c>
      <c r="W1633" t="e">
        <f t="shared" ca="1" si="825"/>
        <v>#VALUE!</v>
      </c>
      <c r="X1633" t="e">
        <f t="shared" ca="1" si="826"/>
        <v>#VALUE!</v>
      </c>
      <c r="Y1633" t="e">
        <f t="shared" ca="1" si="827"/>
        <v>#VALUE!</v>
      </c>
      <c r="Z1633" t="e">
        <f t="shared" ca="1" si="828"/>
        <v>#VALUE!</v>
      </c>
      <c r="AA1633" t="e">
        <f t="shared" ca="1" si="829"/>
        <v>#VALUE!</v>
      </c>
      <c r="AB1633" t="e">
        <f t="shared" ca="1" si="830"/>
        <v>#VALUE!</v>
      </c>
      <c r="AC1633" t="e">
        <f t="shared" ca="1" si="831"/>
        <v>#VALUE!</v>
      </c>
      <c r="AD1633" t="e">
        <f t="shared" ca="1" si="832"/>
        <v>#VALUE!</v>
      </c>
      <c r="AE1633" t="e">
        <f t="shared" ca="1" si="833"/>
        <v>#VALUE!</v>
      </c>
      <c r="AF1633" t="e">
        <f t="shared" ca="1" si="834"/>
        <v>#VALUE!</v>
      </c>
      <c r="AG1633" t="e">
        <f t="shared" ca="1" si="835"/>
        <v>#VALUE!</v>
      </c>
      <c r="AH1633" t="e">
        <f ca="1">IF(V35="Supercritical",L1633,IF(V35="Subcritical",W1633,IF(AND(V1633=1,AG1633=1),IF(T1633&gt;=AE1633,L1633,W1633),IF(V1633=1,L1633,IF(AG1633=1,W1633,MAX($D$16,POWER((ABS(K1633)^2)/($I$5*MAX(F1633,0.1)^2),1/3)))))))</f>
        <v>#VALUE!</v>
      </c>
      <c r="AI1633" t="e">
        <f t="shared" ca="1" si="836"/>
        <v>#VALUE!</v>
      </c>
      <c r="AJ1633" t="e">
        <f t="shared" ca="1" si="837"/>
        <v>#VALUE!</v>
      </c>
      <c r="AL1633">
        <v>635.5</v>
      </c>
      <c r="AM1633">
        <v>0</v>
      </c>
      <c r="AN1633" t="e">
        <f t="shared" ca="1" si="848"/>
        <v>#VALUE!</v>
      </c>
      <c r="AO1633" t="e">
        <f t="shared" ca="1" si="838"/>
        <v>#VALUE!</v>
      </c>
      <c r="AP1633" t="e">
        <f t="shared" ca="1" si="847"/>
        <v>#VALUE!</v>
      </c>
      <c r="AQ1633" t="e">
        <f t="shared" ca="1" si="839"/>
        <v>#VALUE!</v>
      </c>
      <c r="AR1633" t="e">
        <f t="shared" ca="1" si="840"/>
        <v>#VALUE!</v>
      </c>
      <c r="AS1633" t="e">
        <f t="shared" ca="1" si="841"/>
        <v>#VALUE!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191</v>
      </c>
      <c r="I1634">
        <v>5.7000000000000002E-2</v>
      </c>
      <c r="J1634">
        <f t="shared" si="842"/>
        <v>0.99899999999999878</v>
      </c>
      <c r="K1634" t="e">
        <f t="shared" ca="1" si="843"/>
        <v>#VALUE!</v>
      </c>
      <c r="L1634" t="e">
        <f t="shared" ca="1" si="844"/>
        <v>#VALUE!</v>
      </c>
      <c r="M1634" t="e">
        <f t="shared" ca="1" si="817"/>
        <v>#VALUE!</v>
      </c>
      <c r="N1634" t="e">
        <f t="shared" ca="1" si="818"/>
        <v>#VALUE!</v>
      </c>
      <c r="O1634" t="e">
        <f t="shared" ca="1" si="819"/>
        <v>#VALUE!</v>
      </c>
      <c r="P1634" t="e">
        <f t="shared" ca="1" si="820"/>
        <v>#VALUE!</v>
      </c>
      <c r="Q1634" t="e">
        <f t="shared" ca="1" si="821"/>
        <v>#VALUE!</v>
      </c>
      <c r="R1634" t="e">
        <f t="shared" ca="1" si="822"/>
        <v>#VALUE!</v>
      </c>
      <c r="S1634" t="e">
        <f t="shared" ca="1" si="823"/>
        <v>#VALUE!</v>
      </c>
      <c r="T1634" t="e">
        <f t="shared" ca="1" si="824"/>
        <v>#VALUE!</v>
      </c>
      <c r="U1634" t="e">
        <f t="shared" ca="1" si="845"/>
        <v>#VALUE!</v>
      </c>
      <c r="V1634" t="e">
        <f t="shared" ca="1" si="846"/>
        <v>#VALUE!</v>
      </c>
      <c r="W1634" t="e">
        <f t="shared" ca="1" si="825"/>
        <v>#VALUE!</v>
      </c>
      <c r="X1634" t="e">
        <f t="shared" ca="1" si="826"/>
        <v>#VALUE!</v>
      </c>
      <c r="Y1634" t="e">
        <f t="shared" ca="1" si="827"/>
        <v>#VALUE!</v>
      </c>
      <c r="Z1634" t="e">
        <f t="shared" ca="1" si="828"/>
        <v>#VALUE!</v>
      </c>
      <c r="AA1634" t="e">
        <f t="shared" ca="1" si="829"/>
        <v>#VALUE!</v>
      </c>
      <c r="AB1634" t="e">
        <f t="shared" ca="1" si="830"/>
        <v>#VALUE!</v>
      </c>
      <c r="AC1634" t="e">
        <f t="shared" ca="1" si="831"/>
        <v>#VALUE!</v>
      </c>
      <c r="AD1634" t="e">
        <f t="shared" ca="1" si="832"/>
        <v>#VALUE!</v>
      </c>
      <c r="AE1634" t="e">
        <f t="shared" ca="1" si="833"/>
        <v>#VALUE!</v>
      </c>
      <c r="AF1634" t="e">
        <f t="shared" ca="1" si="834"/>
        <v>#VALUE!</v>
      </c>
      <c r="AG1634" t="e">
        <f t="shared" ca="1" si="835"/>
        <v>#VALUE!</v>
      </c>
      <c r="AH1634" t="e">
        <f ca="1">IF(V35="Supercritical",L1634,IF(V35="Subcritical",W1634,IF(AND(V1634=1,AG1634=1),IF(T1634&gt;=AE1634,L1634,W1634),IF(V1634=1,L1634,IF(AG1634=1,W1634,MAX($D$16,POWER((ABS(K1634)^2)/($I$5*MAX(F1634,0.1)^2),1/3)))))))</f>
        <v>#VALUE!</v>
      </c>
      <c r="AI1634" t="e">
        <f t="shared" ca="1" si="836"/>
        <v>#VALUE!</v>
      </c>
      <c r="AJ1634" t="e">
        <f t="shared" ca="1" si="837"/>
        <v>#VALUE!</v>
      </c>
      <c r="AL1634">
        <v>635.5</v>
      </c>
      <c r="AM1634">
        <v>0</v>
      </c>
      <c r="AN1634" t="e">
        <f t="shared" ca="1" si="848"/>
        <v>#VALUE!</v>
      </c>
      <c r="AO1634" t="e">
        <f t="shared" ca="1" si="838"/>
        <v>#VALUE!</v>
      </c>
      <c r="AP1634" t="e">
        <f t="shared" ca="1" si="847"/>
        <v>#VALUE!</v>
      </c>
      <c r="AQ1634" t="e">
        <f t="shared" ca="1" si="839"/>
        <v>#VALUE!</v>
      </c>
      <c r="AR1634" t="e">
        <f t="shared" ca="1" si="840"/>
        <v>#VALUE!</v>
      </c>
      <c r="AS1634" t="e">
        <f t="shared" ca="1" si="841"/>
        <v>#VALUE!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191</v>
      </c>
      <c r="I1635">
        <v>5.7000000000000002E-2</v>
      </c>
      <c r="J1635">
        <f t="shared" si="842"/>
        <v>1</v>
      </c>
      <c r="K1635" t="e">
        <f t="shared" ca="1" si="843"/>
        <v>#VALUE!</v>
      </c>
      <c r="L1635" t="e">
        <f t="shared" ca="1" si="844"/>
        <v>#VALUE!</v>
      </c>
      <c r="M1635" t="e">
        <f t="shared" ca="1" si="817"/>
        <v>#VALUE!</v>
      </c>
      <c r="N1635" t="e">
        <f t="shared" ca="1" si="818"/>
        <v>#VALUE!</v>
      </c>
      <c r="O1635" t="e">
        <f t="shared" ca="1" si="819"/>
        <v>#VALUE!</v>
      </c>
      <c r="P1635" t="e">
        <f t="shared" ca="1" si="820"/>
        <v>#VALUE!</v>
      </c>
      <c r="Q1635" t="e">
        <f t="shared" ca="1" si="821"/>
        <v>#VALUE!</v>
      </c>
      <c r="R1635" t="e">
        <f t="shared" ca="1" si="822"/>
        <v>#VALUE!</v>
      </c>
      <c r="S1635" t="e">
        <f t="shared" ca="1" si="823"/>
        <v>#VALUE!</v>
      </c>
      <c r="T1635" t="e">
        <f t="shared" ca="1" si="824"/>
        <v>#VALUE!</v>
      </c>
      <c r="U1635" t="e">
        <f t="shared" ca="1" si="845"/>
        <v>#VALUE!</v>
      </c>
      <c r="V1635" t="e">
        <f t="shared" ca="1" si="846"/>
        <v>#VALUE!</v>
      </c>
      <c r="W1635" t="e">
        <f t="shared" ca="1" si="825"/>
        <v>#VALUE!</v>
      </c>
      <c r="X1635" t="e">
        <f t="shared" ca="1" si="826"/>
        <v>#VALUE!</v>
      </c>
      <c r="Y1635" t="e">
        <f t="shared" ca="1" si="827"/>
        <v>#VALUE!</v>
      </c>
      <c r="Z1635" t="e">
        <f t="shared" ca="1" si="828"/>
        <v>#VALUE!</v>
      </c>
      <c r="AA1635" t="e">
        <f t="shared" ca="1" si="829"/>
        <v>#VALUE!</v>
      </c>
      <c r="AB1635" t="e">
        <f t="shared" ca="1" si="830"/>
        <v>#VALUE!</v>
      </c>
      <c r="AC1635" t="e">
        <f t="shared" ca="1" si="831"/>
        <v>#VALUE!</v>
      </c>
      <c r="AD1635" t="e">
        <f t="shared" ca="1" si="832"/>
        <v>#VALUE!</v>
      </c>
      <c r="AE1635" t="e">
        <f t="shared" ca="1" si="833"/>
        <v>#VALUE!</v>
      </c>
      <c r="AF1635" t="e">
        <f t="shared" ca="1" si="834"/>
        <v>#VALUE!</v>
      </c>
      <c r="AG1635" t="e">
        <f t="shared" ca="1" si="835"/>
        <v>#VALUE!</v>
      </c>
      <c r="AH1635" t="e">
        <f ca="1">IF(V35="Supercritical",L1635,IF(V35="Subcritical",W1635,IF(AND(V1635=1,AG1635=1),IF(T1635&gt;=AE1635,L1635,W1635),IF(V1635=1,L1635,IF(AG1635=1,W1635,MAX($D$16,POWER((ABS(K1635)^2)/($I$5*MAX(F1635,0.1)^2),1/3)))))))</f>
        <v>#VALUE!</v>
      </c>
      <c r="AI1635" t="e">
        <f t="shared" ca="1" si="836"/>
        <v>#VALUE!</v>
      </c>
      <c r="AJ1635" t="e">
        <f t="shared" ca="1" si="837"/>
        <v>#VALUE!</v>
      </c>
      <c r="AL1635">
        <v>635.5</v>
      </c>
      <c r="AM1635">
        <v>0</v>
      </c>
      <c r="AN1635" t="e">
        <f t="shared" ca="1" si="848"/>
        <v>#VALUE!</v>
      </c>
      <c r="AO1635" t="e">
        <f t="shared" ca="1" si="838"/>
        <v>#VALUE!</v>
      </c>
      <c r="AP1635" t="e">
        <f t="shared" ca="1" si="847"/>
        <v>#VALUE!</v>
      </c>
      <c r="AQ1635" t="e">
        <f t="shared" ca="1" si="839"/>
        <v>#VALUE!</v>
      </c>
      <c r="AR1635" t="e">
        <f t="shared" ca="1" si="840"/>
        <v>#VALUE!</v>
      </c>
      <c r="AS1635" t="e">
        <f t="shared" ca="1" si="841"/>
        <v>#VALUE!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191</v>
      </c>
      <c r="I1636">
        <v>5.2999999999999999E-2</v>
      </c>
      <c r="J1636">
        <f t="shared" si="842"/>
        <v>1</v>
      </c>
      <c r="K1636" t="e">
        <f t="shared" ca="1" si="843"/>
        <v>#VALUE!</v>
      </c>
      <c r="L1636" t="e">
        <f t="shared" ca="1" si="844"/>
        <v>#VALUE!</v>
      </c>
      <c r="M1636" t="e">
        <f t="shared" ca="1" si="817"/>
        <v>#VALUE!</v>
      </c>
      <c r="N1636" t="e">
        <f t="shared" ca="1" si="818"/>
        <v>#VALUE!</v>
      </c>
      <c r="O1636" t="e">
        <f t="shared" ca="1" si="819"/>
        <v>#VALUE!</v>
      </c>
      <c r="P1636" t="e">
        <f t="shared" ca="1" si="820"/>
        <v>#VALUE!</v>
      </c>
      <c r="Q1636" t="e">
        <f t="shared" ca="1" si="821"/>
        <v>#VALUE!</v>
      </c>
      <c r="R1636" t="e">
        <f t="shared" ca="1" si="822"/>
        <v>#VALUE!</v>
      </c>
      <c r="S1636" t="e">
        <f t="shared" ca="1" si="823"/>
        <v>#VALUE!</v>
      </c>
      <c r="T1636" t="e">
        <f t="shared" ca="1" si="824"/>
        <v>#VALUE!</v>
      </c>
      <c r="U1636" t="e">
        <f t="shared" ca="1" si="845"/>
        <v>#VALUE!</v>
      </c>
      <c r="V1636" t="e">
        <f t="shared" ca="1" si="846"/>
        <v>#VALUE!</v>
      </c>
      <c r="W1636" t="e">
        <f t="shared" ca="1" si="825"/>
        <v>#VALUE!</v>
      </c>
      <c r="X1636" t="e">
        <f t="shared" ca="1" si="826"/>
        <v>#VALUE!</v>
      </c>
      <c r="Y1636" t="e">
        <f t="shared" ca="1" si="827"/>
        <v>#VALUE!</v>
      </c>
      <c r="Z1636" t="e">
        <f t="shared" ca="1" si="828"/>
        <v>#VALUE!</v>
      </c>
      <c r="AA1636" t="e">
        <f t="shared" ca="1" si="829"/>
        <v>#VALUE!</v>
      </c>
      <c r="AB1636" t="e">
        <f t="shared" ca="1" si="830"/>
        <v>#VALUE!</v>
      </c>
      <c r="AC1636" t="e">
        <f t="shared" ca="1" si="831"/>
        <v>#VALUE!</v>
      </c>
      <c r="AD1636" t="e">
        <f t="shared" ca="1" si="832"/>
        <v>#VALUE!</v>
      </c>
      <c r="AE1636" t="e">
        <f t="shared" ca="1" si="833"/>
        <v>#VALUE!</v>
      </c>
      <c r="AF1636" t="e">
        <f t="shared" ca="1" si="834"/>
        <v>#VALUE!</v>
      </c>
      <c r="AG1636" t="e">
        <f t="shared" ca="1" si="835"/>
        <v>#VALUE!</v>
      </c>
      <c r="AH1636" t="e">
        <f ca="1">IF(V35="Supercritical",L1636,IF(V35="Subcritical",W1636,IF(AND(V1636=1,AG1636=1),IF(T1636&gt;=AE1636,L1636,W1636),IF(V1636=1,L1636,IF(AG1636=1,W1636,MAX($D$16,POWER((ABS(K1636)^2)/($I$5*MAX(F1636,0.1)^2),1/3)))))))</f>
        <v>#VALUE!</v>
      </c>
      <c r="AI1636" t="e">
        <f t="shared" ca="1" si="836"/>
        <v>#VALUE!</v>
      </c>
      <c r="AJ1636" t="e">
        <f t="shared" ca="1" si="837"/>
        <v>#VALUE!</v>
      </c>
      <c r="AL1636">
        <v>635.5</v>
      </c>
      <c r="AM1636">
        <v>0</v>
      </c>
      <c r="AN1636" t="e">
        <f t="shared" ca="1" si="848"/>
        <v>#VALUE!</v>
      </c>
      <c r="AO1636" t="e">
        <f t="shared" ca="1" si="838"/>
        <v>#VALUE!</v>
      </c>
      <c r="AP1636" t="e">
        <f t="shared" ca="1" si="847"/>
        <v>#VALUE!</v>
      </c>
      <c r="AQ1636" t="e">
        <f t="shared" ca="1" si="839"/>
        <v>#VALUE!</v>
      </c>
      <c r="AR1636" t="e">
        <f t="shared" ca="1" si="840"/>
        <v>#VALUE!</v>
      </c>
      <c r="AS1636" t="e">
        <f t="shared" ca="1" si="841"/>
        <v>#VALUE!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191</v>
      </c>
      <c r="I1637">
        <v>5.2999999999999999E-2</v>
      </c>
      <c r="J1637">
        <f t="shared" si="842"/>
        <v>1.0010000000000012</v>
      </c>
      <c r="K1637" t="e">
        <f t="shared" ca="1" si="843"/>
        <v>#VALUE!</v>
      </c>
      <c r="L1637" t="e">
        <f t="shared" ca="1" si="844"/>
        <v>#VALUE!</v>
      </c>
      <c r="M1637" t="e">
        <f t="shared" ca="1" si="817"/>
        <v>#VALUE!</v>
      </c>
      <c r="N1637" t="e">
        <f t="shared" ca="1" si="818"/>
        <v>#VALUE!</v>
      </c>
      <c r="O1637" t="e">
        <f t="shared" ca="1" si="819"/>
        <v>#VALUE!</v>
      </c>
      <c r="P1637" t="e">
        <f t="shared" ca="1" si="820"/>
        <v>#VALUE!</v>
      </c>
      <c r="Q1637" t="e">
        <f t="shared" ca="1" si="821"/>
        <v>#VALUE!</v>
      </c>
      <c r="R1637" t="e">
        <f t="shared" ca="1" si="822"/>
        <v>#VALUE!</v>
      </c>
      <c r="S1637" t="e">
        <f t="shared" ca="1" si="823"/>
        <v>#VALUE!</v>
      </c>
      <c r="T1637" t="e">
        <f t="shared" ca="1" si="824"/>
        <v>#VALUE!</v>
      </c>
      <c r="U1637" t="e">
        <f t="shared" ca="1" si="845"/>
        <v>#VALUE!</v>
      </c>
      <c r="V1637" t="e">
        <f t="shared" ca="1" si="846"/>
        <v>#VALUE!</v>
      </c>
      <c r="W1637" t="e">
        <f t="shared" ca="1" si="825"/>
        <v>#VALUE!</v>
      </c>
      <c r="X1637" t="e">
        <f t="shared" ca="1" si="826"/>
        <v>#VALUE!</v>
      </c>
      <c r="Y1637" t="e">
        <f t="shared" ca="1" si="827"/>
        <v>#VALUE!</v>
      </c>
      <c r="Z1637" t="e">
        <f t="shared" ca="1" si="828"/>
        <v>#VALUE!</v>
      </c>
      <c r="AA1637" t="e">
        <f t="shared" ca="1" si="829"/>
        <v>#VALUE!</v>
      </c>
      <c r="AB1637" t="e">
        <f t="shared" ca="1" si="830"/>
        <v>#VALUE!</v>
      </c>
      <c r="AC1637" t="e">
        <f t="shared" ca="1" si="831"/>
        <v>#VALUE!</v>
      </c>
      <c r="AD1637" t="e">
        <f t="shared" ca="1" si="832"/>
        <v>#VALUE!</v>
      </c>
      <c r="AE1637" t="e">
        <f t="shared" ca="1" si="833"/>
        <v>#VALUE!</v>
      </c>
      <c r="AF1637" t="e">
        <f t="shared" ca="1" si="834"/>
        <v>#VALUE!</v>
      </c>
      <c r="AG1637" t="e">
        <f t="shared" ca="1" si="835"/>
        <v>#VALUE!</v>
      </c>
      <c r="AH1637" t="e">
        <f ca="1">IF(V35="Supercritical",L1637,IF(V35="Subcritical",W1637,IF(AND(V1637=1,AG1637=1),IF(T1637&gt;=AE1637,L1637,W1637),IF(V1637=1,L1637,IF(AG1637=1,W1637,MAX($D$16,POWER((ABS(K1637)^2)/($I$5*MAX(F1637,0.1)^2),1/3)))))))</f>
        <v>#VALUE!</v>
      </c>
      <c r="AI1637" t="e">
        <f t="shared" ca="1" si="836"/>
        <v>#VALUE!</v>
      </c>
      <c r="AJ1637" t="e">
        <f t="shared" ca="1" si="837"/>
        <v>#VALUE!</v>
      </c>
      <c r="AL1637">
        <v>635.5</v>
      </c>
      <c r="AM1637">
        <v>0</v>
      </c>
      <c r="AN1637" t="e">
        <f t="shared" ca="1" si="848"/>
        <v>#VALUE!</v>
      </c>
      <c r="AO1637" t="e">
        <f t="shared" ca="1" si="838"/>
        <v>#VALUE!</v>
      </c>
      <c r="AP1637" t="e">
        <f t="shared" ca="1" si="847"/>
        <v>#VALUE!</v>
      </c>
      <c r="AQ1637" t="e">
        <f t="shared" ca="1" si="839"/>
        <v>#VALUE!</v>
      </c>
      <c r="AR1637" t="e">
        <f t="shared" ca="1" si="840"/>
        <v>#VALUE!</v>
      </c>
      <c r="AS1637" t="e">
        <f t="shared" ca="1" si="841"/>
        <v>#VALUE!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191</v>
      </c>
      <c r="I1638">
        <v>5.7000000000000002E-2</v>
      </c>
      <c r="J1638">
        <f t="shared" si="842"/>
        <v>1</v>
      </c>
      <c r="K1638" t="e">
        <f t="shared" ca="1" si="843"/>
        <v>#VALUE!</v>
      </c>
      <c r="L1638" t="e">
        <f t="shared" ca="1" si="844"/>
        <v>#VALUE!</v>
      </c>
      <c r="M1638" t="e">
        <f t="shared" ca="1" si="817"/>
        <v>#VALUE!</v>
      </c>
      <c r="N1638" t="e">
        <f t="shared" ca="1" si="818"/>
        <v>#VALUE!</v>
      </c>
      <c r="O1638" t="e">
        <f t="shared" ca="1" si="819"/>
        <v>#VALUE!</v>
      </c>
      <c r="P1638" t="e">
        <f t="shared" ca="1" si="820"/>
        <v>#VALUE!</v>
      </c>
      <c r="Q1638" t="e">
        <f t="shared" ca="1" si="821"/>
        <v>#VALUE!</v>
      </c>
      <c r="R1638" t="e">
        <f t="shared" ca="1" si="822"/>
        <v>#VALUE!</v>
      </c>
      <c r="S1638" t="e">
        <f t="shared" ca="1" si="823"/>
        <v>#VALUE!</v>
      </c>
      <c r="T1638" t="e">
        <f t="shared" ca="1" si="824"/>
        <v>#VALUE!</v>
      </c>
      <c r="U1638" t="e">
        <f t="shared" ca="1" si="845"/>
        <v>#VALUE!</v>
      </c>
      <c r="V1638" t="e">
        <f t="shared" ca="1" si="846"/>
        <v>#VALUE!</v>
      </c>
      <c r="W1638" t="e">
        <f t="shared" ca="1" si="825"/>
        <v>#VALUE!</v>
      </c>
      <c r="X1638" t="e">
        <f t="shared" ca="1" si="826"/>
        <v>#VALUE!</v>
      </c>
      <c r="Y1638" t="e">
        <f t="shared" ca="1" si="827"/>
        <v>#VALUE!</v>
      </c>
      <c r="Z1638" t="e">
        <f t="shared" ca="1" si="828"/>
        <v>#VALUE!</v>
      </c>
      <c r="AA1638" t="e">
        <f t="shared" ca="1" si="829"/>
        <v>#VALUE!</v>
      </c>
      <c r="AB1638" t="e">
        <f t="shared" ca="1" si="830"/>
        <v>#VALUE!</v>
      </c>
      <c r="AC1638" t="e">
        <f t="shared" ca="1" si="831"/>
        <v>#VALUE!</v>
      </c>
      <c r="AD1638" t="e">
        <f t="shared" ca="1" si="832"/>
        <v>#VALUE!</v>
      </c>
      <c r="AE1638" t="e">
        <f t="shared" ca="1" si="833"/>
        <v>#VALUE!</v>
      </c>
      <c r="AF1638" t="e">
        <f t="shared" ca="1" si="834"/>
        <v>#VALUE!</v>
      </c>
      <c r="AG1638" t="e">
        <f t="shared" ca="1" si="835"/>
        <v>#VALUE!</v>
      </c>
      <c r="AH1638" t="e">
        <f ca="1">IF(V35="Supercritical",L1638,IF(V35="Subcritical",W1638,IF(AND(V1638=1,AG1638=1),IF(T1638&gt;=AE1638,L1638,W1638),IF(V1638=1,L1638,IF(AG1638=1,W1638,MAX($D$16,POWER((ABS(K1638)^2)/($I$5*MAX(F1638,0.1)^2),1/3)))))))</f>
        <v>#VALUE!</v>
      </c>
      <c r="AI1638" t="e">
        <f t="shared" ca="1" si="836"/>
        <v>#VALUE!</v>
      </c>
      <c r="AJ1638" t="e">
        <f t="shared" ca="1" si="837"/>
        <v>#VALUE!</v>
      </c>
      <c r="AL1638">
        <v>635.5</v>
      </c>
      <c r="AM1638">
        <v>0</v>
      </c>
      <c r="AN1638" t="e">
        <f t="shared" ca="1" si="848"/>
        <v>#VALUE!</v>
      </c>
      <c r="AO1638" t="e">
        <f t="shared" ca="1" si="838"/>
        <v>#VALUE!</v>
      </c>
      <c r="AP1638" t="e">
        <f t="shared" ca="1" si="847"/>
        <v>#VALUE!</v>
      </c>
      <c r="AQ1638" t="e">
        <f t="shared" ca="1" si="839"/>
        <v>#VALUE!</v>
      </c>
      <c r="AR1638" t="e">
        <f t="shared" ca="1" si="840"/>
        <v>#VALUE!</v>
      </c>
      <c r="AS1638" t="e">
        <f t="shared" ca="1" si="841"/>
        <v>#VALUE!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191</v>
      </c>
      <c r="I1639">
        <v>5.7000000000000002E-2</v>
      </c>
      <c r="J1639">
        <f t="shared" si="842"/>
        <v>0.99899999999999878</v>
      </c>
      <c r="K1639" t="e">
        <f t="shared" ca="1" si="843"/>
        <v>#VALUE!</v>
      </c>
      <c r="L1639" t="e">
        <f t="shared" ca="1" si="844"/>
        <v>#VALUE!</v>
      </c>
      <c r="M1639" t="e">
        <f t="shared" ca="1" si="817"/>
        <v>#VALUE!</v>
      </c>
      <c r="N1639" t="e">
        <f t="shared" ca="1" si="818"/>
        <v>#VALUE!</v>
      </c>
      <c r="O1639" t="e">
        <f t="shared" ca="1" si="819"/>
        <v>#VALUE!</v>
      </c>
      <c r="P1639" t="e">
        <f t="shared" ca="1" si="820"/>
        <v>#VALUE!</v>
      </c>
      <c r="Q1639" t="e">
        <f t="shared" ca="1" si="821"/>
        <v>#VALUE!</v>
      </c>
      <c r="R1639" t="e">
        <f t="shared" ca="1" si="822"/>
        <v>#VALUE!</v>
      </c>
      <c r="S1639" t="e">
        <f t="shared" ca="1" si="823"/>
        <v>#VALUE!</v>
      </c>
      <c r="T1639" t="e">
        <f t="shared" ca="1" si="824"/>
        <v>#VALUE!</v>
      </c>
      <c r="U1639" t="e">
        <f t="shared" ca="1" si="845"/>
        <v>#VALUE!</v>
      </c>
      <c r="V1639" t="e">
        <f t="shared" ca="1" si="846"/>
        <v>#VALUE!</v>
      </c>
      <c r="W1639" t="e">
        <f t="shared" ca="1" si="825"/>
        <v>#VALUE!</v>
      </c>
      <c r="X1639" t="e">
        <f t="shared" ca="1" si="826"/>
        <v>#VALUE!</v>
      </c>
      <c r="Y1639" t="e">
        <f t="shared" ca="1" si="827"/>
        <v>#VALUE!</v>
      </c>
      <c r="Z1639" t="e">
        <f t="shared" ca="1" si="828"/>
        <v>#VALUE!</v>
      </c>
      <c r="AA1639" t="e">
        <f t="shared" ca="1" si="829"/>
        <v>#VALUE!</v>
      </c>
      <c r="AB1639" t="e">
        <f t="shared" ca="1" si="830"/>
        <v>#VALUE!</v>
      </c>
      <c r="AC1639" t="e">
        <f t="shared" ca="1" si="831"/>
        <v>#VALUE!</v>
      </c>
      <c r="AD1639" t="e">
        <f t="shared" ca="1" si="832"/>
        <v>#VALUE!</v>
      </c>
      <c r="AE1639" t="e">
        <f t="shared" ca="1" si="833"/>
        <v>#VALUE!</v>
      </c>
      <c r="AF1639" t="e">
        <f t="shared" ca="1" si="834"/>
        <v>#VALUE!</v>
      </c>
      <c r="AG1639" t="e">
        <f t="shared" ca="1" si="835"/>
        <v>#VALUE!</v>
      </c>
      <c r="AH1639" t="e">
        <f ca="1">IF(V35="Supercritical",L1639,IF(V35="Subcritical",W1639,IF(AND(V1639=1,AG1639=1),IF(T1639&gt;=AE1639,L1639,W1639),IF(V1639=1,L1639,IF(AG1639=1,W1639,MAX($D$16,POWER((ABS(K1639)^2)/($I$5*MAX(F1639,0.1)^2),1/3)))))))</f>
        <v>#VALUE!</v>
      </c>
      <c r="AI1639" t="e">
        <f t="shared" ca="1" si="836"/>
        <v>#VALUE!</v>
      </c>
      <c r="AJ1639" t="e">
        <f t="shared" ca="1" si="837"/>
        <v>#VALUE!</v>
      </c>
      <c r="AL1639">
        <v>635.5</v>
      </c>
      <c r="AM1639">
        <v>0</v>
      </c>
      <c r="AN1639" t="e">
        <f t="shared" ca="1" si="848"/>
        <v>#VALUE!</v>
      </c>
      <c r="AO1639" t="e">
        <f t="shared" ca="1" si="838"/>
        <v>#VALUE!</v>
      </c>
      <c r="AP1639" t="e">
        <f t="shared" ca="1" si="847"/>
        <v>#VALUE!</v>
      </c>
      <c r="AQ1639" t="e">
        <f t="shared" ca="1" si="839"/>
        <v>#VALUE!</v>
      </c>
      <c r="AR1639" t="e">
        <f t="shared" ca="1" si="840"/>
        <v>#VALUE!</v>
      </c>
      <c r="AS1639" t="e">
        <f t="shared" ca="1" si="841"/>
        <v>#VALUE!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191</v>
      </c>
      <c r="I1640">
        <v>5.2999999999999999E-2</v>
      </c>
      <c r="J1640">
        <f t="shared" si="842"/>
        <v>1</v>
      </c>
      <c r="K1640" t="e">
        <f t="shared" ca="1" si="843"/>
        <v>#VALUE!</v>
      </c>
      <c r="L1640" t="e">
        <f t="shared" ca="1" si="844"/>
        <v>#VALUE!</v>
      </c>
      <c r="M1640" t="e">
        <f t="shared" ca="1" si="817"/>
        <v>#VALUE!</v>
      </c>
      <c r="N1640" t="e">
        <f t="shared" ca="1" si="818"/>
        <v>#VALUE!</v>
      </c>
      <c r="O1640" t="e">
        <f t="shared" ca="1" si="819"/>
        <v>#VALUE!</v>
      </c>
      <c r="P1640" t="e">
        <f t="shared" ca="1" si="820"/>
        <v>#VALUE!</v>
      </c>
      <c r="Q1640" t="e">
        <f t="shared" ca="1" si="821"/>
        <v>#VALUE!</v>
      </c>
      <c r="R1640" t="e">
        <f t="shared" ca="1" si="822"/>
        <v>#VALUE!</v>
      </c>
      <c r="S1640" t="e">
        <f t="shared" ca="1" si="823"/>
        <v>#VALUE!</v>
      </c>
      <c r="T1640" t="e">
        <f t="shared" ca="1" si="824"/>
        <v>#VALUE!</v>
      </c>
      <c r="U1640" t="e">
        <f t="shared" ca="1" si="845"/>
        <v>#VALUE!</v>
      </c>
      <c r="V1640" t="e">
        <f t="shared" ca="1" si="846"/>
        <v>#VALUE!</v>
      </c>
      <c r="W1640" t="e">
        <f t="shared" ca="1" si="825"/>
        <v>#VALUE!</v>
      </c>
      <c r="X1640" t="e">
        <f t="shared" ca="1" si="826"/>
        <v>#VALUE!</v>
      </c>
      <c r="Y1640" t="e">
        <f t="shared" ca="1" si="827"/>
        <v>#VALUE!</v>
      </c>
      <c r="Z1640" t="e">
        <f t="shared" ca="1" si="828"/>
        <v>#VALUE!</v>
      </c>
      <c r="AA1640" t="e">
        <f t="shared" ca="1" si="829"/>
        <v>#VALUE!</v>
      </c>
      <c r="AB1640" t="e">
        <f t="shared" ca="1" si="830"/>
        <v>#VALUE!</v>
      </c>
      <c r="AC1640" t="e">
        <f t="shared" ca="1" si="831"/>
        <v>#VALUE!</v>
      </c>
      <c r="AD1640" t="e">
        <f t="shared" ca="1" si="832"/>
        <v>#VALUE!</v>
      </c>
      <c r="AE1640" t="e">
        <f t="shared" ca="1" si="833"/>
        <v>#VALUE!</v>
      </c>
      <c r="AF1640" t="e">
        <f t="shared" ca="1" si="834"/>
        <v>#VALUE!</v>
      </c>
      <c r="AG1640" t="e">
        <f t="shared" ca="1" si="835"/>
        <v>#VALUE!</v>
      </c>
      <c r="AH1640" t="e">
        <f ca="1">IF(V35="Supercritical",L1640,IF(V35="Subcritical",W1640,IF(AND(V1640=1,AG1640=1),IF(T1640&gt;=AE1640,L1640,W1640),IF(V1640=1,L1640,IF(AG1640=1,W1640,MAX($D$16,POWER((ABS(K1640)^2)/($I$5*MAX(F1640,0.1)^2),1/3)))))))</f>
        <v>#VALUE!</v>
      </c>
      <c r="AI1640" t="e">
        <f t="shared" ca="1" si="836"/>
        <v>#VALUE!</v>
      </c>
      <c r="AJ1640" t="e">
        <f t="shared" ca="1" si="837"/>
        <v>#VALUE!</v>
      </c>
      <c r="AL1640">
        <v>635.5</v>
      </c>
      <c r="AM1640">
        <v>0</v>
      </c>
      <c r="AN1640" t="e">
        <f t="shared" ca="1" si="848"/>
        <v>#VALUE!</v>
      </c>
      <c r="AO1640" t="e">
        <f t="shared" ca="1" si="838"/>
        <v>#VALUE!</v>
      </c>
      <c r="AP1640" t="e">
        <f t="shared" ca="1" si="847"/>
        <v>#VALUE!</v>
      </c>
      <c r="AQ1640" t="e">
        <f t="shared" ca="1" si="839"/>
        <v>#VALUE!</v>
      </c>
      <c r="AR1640" t="e">
        <f t="shared" ca="1" si="840"/>
        <v>#VALUE!</v>
      </c>
      <c r="AS1640" t="e">
        <f t="shared" ca="1" si="841"/>
        <v>#VALUE!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191</v>
      </c>
      <c r="I1641">
        <v>5.2999999999999999E-2</v>
      </c>
      <c r="J1641">
        <f t="shared" si="842"/>
        <v>1.0009999999999977</v>
      </c>
      <c r="K1641" t="e">
        <f t="shared" ca="1" si="843"/>
        <v>#VALUE!</v>
      </c>
      <c r="L1641" t="e">
        <f t="shared" ca="1" si="844"/>
        <v>#VALUE!</v>
      </c>
      <c r="M1641" t="e">
        <f t="shared" ca="1" si="817"/>
        <v>#VALUE!</v>
      </c>
      <c r="N1641" t="e">
        <f t="shared" ca="1" si="818"/>
        <v>#VALUE!</v>
      </c>
      <c r="O1641" t="e">
        <f t="shared" ca="1" si="819"/>
        <v>#VALUE!</v>
      </c>
      <c r="P1641" t="e">
        <f t="shared" ca="1" si="820"/>
        <v>#VALUE!</v>
      </c>
      <c r="Q1641" t="e">
        <f t="shared" ca="1" si="821"/>
        <v>#VALUE!</v>
      </c>
      <c r="R1641" t="e">
        <f t="shared" ca="1" si="822"/>
        <v>#VALUE!</v>
      </c>
      <c r="S1641" t="e">
        <f t="shared" ca="1" si="823"/>
        <v>#VALUE!</v>
      </c>
      <c r="T1641" t="e">
        <f t="shared" ca="1" si="824"/>
        <v>#VALUE!</v>
      </c>
      <c r="U1641" t="e">
        <f t="shared" ca="1" si="845"/>
        <v>#VALUE!</v>
      </c>
      <c r="V1641" t="e">
        <f t="shared" ca="1" si="846"/>
        <v>#VALUE!</v>
      </c>
      <c r="W1641" t="e">
        <f t="shared" ca="1" si="825"/>
        <v>#VALUE!</v>
      </c>
      <c r="X1641" t="e">
        <f t="shared" ca="1" si="826"/>
        <v>#VALUE!</v>
      </c>
      <c r="Y1641" t="e">
        <f t="shared" ca="1" si="827"/>
        <v>#VALUE!</v>
      </c>
      <c r="Z1641" t="e">
        <f t="shared" ca="1" si="828"/>
        <v>#VALUE!</v>
      </c>
      <c r="AA1641" t="e">
        <f t="shared" ca="1" si="829"/>
        <v>#VALUE!</v>
      </c>
      <c r="AB1641" t="e">
        <f t="shared" ca="1" si="830"/>
        <v>#VALUE!</v>
      </c>
      <c r="AC1641" t="e">
        <f t="shared" ca="1" si="831"/>
        <v>#VALUE!</v>
      </c>
      <c r="AD1641" t="e">
        <f t="shared" ca="1" si="832"/>
        <v>#VALUE!</v>
      </c>
      <c r="AE1641" t="e">
        <f t="shared" ca="1" si="833"/>
        <v>#VALUE!</v>
      </c>
      <c r="AF1641" t="e">
        <f t="shared" ca="1" si="834"/>
        <v>#VALUE!</v>
      </c>
      <c r="AG1641" t="e">
        <f t="shared" ca="1" si="835"/>
        <v>#VALUE!</v>
      </c>
      <c r="AH1641" t="e">
        <f ca="1">IF(V35="Supercritical",L1641,IF(V35="Subcritical",W1641,IF(AND(V1641=1,AG1641=1),IF(T1641&gt;=AE1641,L1641,W1641),IF(V1641=1,L1641,IF(AG1641=1,W1641,MAX($D$16,POWER((ABS(K1641)^2)/($I$5*MAX(F1641,0.1)^2),1/3)))))))</f>
        <v>#VALUE!</v>
      </c>
      <c r="AI1641" t="e">
        <f t="shared" ca="1" si="836"/>
        <v>#VALUE!</v>
      </c>
      <c r="AJ1641" t="e">
        <f t="shared" ca="1" si="837"/>
        <v>#VALUE!</v>
      </c>
      <c r="AL1641">
        <v>635.5</v>
      </c>
      <c r="AM1641">
        <v>0</v>
      </c>
      <c r="AN1641" t="e">
        <f t="shared" ca="1" si="848"/>
        <v>#VALUE!</v>
      </c>
      <c r="AO1641" t="e">
        <f t="shared" ca="1" si="838"/>
        <v>#VALUE!</v>
      </c>
      <c r="AP1641" t="e">
        <f t="shared" ca="1" si="847"/>
        <v>#VALUE!</v>
      </c>
      <c r="AQ1641" t="e">
        <f t="shared" ca="1" si="839"/>
        <v>#VALUE!</v>
      </c>
      <c r="AR1641" t="e">
        <f t="shared" ca="1" si="840"/>
        <v>#VALUE!</v>
      </c>
      <c r="AS1641" t="e">
        <f t="shared" ca="1" si="841"/>
        <v>#VALUE!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191</v>
      </c>
      <c r="I1642">
        <v>0</v>
      </c>
      <c r="J1642">
        <f t="shared" si="842"/>
        <v>1</v>
      </c>
      <c r="K1642" t="e">
        <f t="shared" ca="1" si="843"/>
        <v>#VALUE!</v>
      </c>
      <c r="L1642" t="e">
        <f t="shared" ca="1" si="844"/>
        <v>#VALUE!</v>
      </c>
      <c r="M1642" t="e">
        <f t="shared" ca="1" si="817"/>
        <v>#VALUE!</v>
      </c>
      <c r="N1642" t="e">
        <f t="shared" ca="1" si="818"/>
        <v>#VALUE!</v>
      </c>
      <c r="O1642" t="e">
        <f t="shared" ca="1" si="819"/>
        <v>#VALUE!</v>
      </c>
      <c r="P1642" t="e">
        <f t="shared" ca="1" si="820"/>
        <v>#VALUE!</v>
      </c>
      <c r="Q1642" t="e">
        <f t="shared" ca="1" si="821"/>
        <v>#VALUE!</v>
      </c>
      <c r="R1642" t="e">
        <f t="shared" ca="1" si="822"/>
        <v>#VALUE!</v>
      </c>
      <c r="S1642" t="e">
        <f t="shared" ca="1" si="823"/>
        <v>#VALUE!</v>
      </c>
      <c r="T1642" t="e">
        <f t="shared" ca="1" si="824"/>
        <v>#VALUE!</v>
      </c>
      <c r="U1642" t="e">
        <f t="shared" ca="1" si="845"/>
        <v>#VALUE!</v>
      </c>
      <c r="V1642" t="e">
        <f t="shared" ca="1" si="846"/>
        <v>#VALUE!</v>
      </c>
      <c r="W1642">
        <f>MAX($D$16,(P8)-E1642)</f>
        <v>0.05</v>
      </c>
      <c r="X1642">
        <f t="shared" si="826"/>
        <v>0.191</v>
      </c>
      <c r="Y1642">
        <f t="shared" si="827"/>
        <v>4.8724489795918369E-2</v>
      </c>
      <c r="Z1642" t="e">
        <f t="shared" ca="1" si="828"/>
        <v>#VALUE!</v>
      </c>
      <c r="AA1642">
        <f t="shared" si="829"/>
        <v>631.54999999999995</v>
      </c>
      <c r="AB1642" t="e">
        <f t="shared" ca="1" si="830"/>
        <v>#VALUE!</v>
      </c>
      <c r="AC1642" t="e">
        <f t="shared" ca="1" si="831"/>
        <v>#VALUE!</v>
      </c>
      <c r="AD1642" t="e">
        <f t="shared" ca="1" si="832"/>
        <v>#VALUE!</v>
      </c>
      <c r="AE1642" t="e">
        <f t="shared" ca="1" si="833"/>
        <v>#VALUE!</v>
      </c>
      <c r="AF1642">
        <v>0</v>
      </c>
      <c r="AG1642">
        <v>1</v>
      </c>
      <c r="AH1642" t="e">
        <f ca="1">IF(V35="Supercritical",L1642,IF(V35="Subcritical",W1642,IF(AND(V1642=1,AG1642=1),IF(T1642&gt;=AE1642,L1642,W1642),IF(V1642=1,L1642,IF(AG1642=1,W1642,MAX($D$16,POWER((ABS(K1642)^2)/($I$5*MAX(F1642,0.1)^2),1/3)))))))</f>
        <v>#VALUE!</v>
      </c>
      <c r="AI1642" t="e">
        <f t="shared" ca="1" si="836"/>
        <v>#VALUE!</v>
      </c>
      <c r="AJ1642" t="e">
        <f t="shared" ca="1" si="837"/>
        <v>#VALUE!</v>
      </c>
      <c r="AL1642">
        <v>635.5</v>
      </c>
      <c r="AM1642">
        <v>0</v>
      </c>
      <c r="AN1642" t="e">
        <f t="shared" ca="1" si="848"/>
        <v>#VALUE!</v>
      </c>
      <c r="AO1642" t="e">
        <f ca="1">AM1642+AN1642+MAX(0,K1642-(AM1642+AN1642)-0.05)</f>
        <v>#VALUE!</v>
      </c>
      <c r="AP1642" t="e">
        <f t="shared" ca="1" si="847"/>
        <v>#VALUE!</v>
      </c>
      <c r="AQ1642" t="e">
        <f t="shared" ca="1" si="839"/>
        <v>#VALUE!</v>
      </c>
      <c r="AR1642" t="e">
        <f t="shared" ca="1" si="840"/>
        <v>#VALUE!</v>
      </c>
      <c r="AS1642" t="e">
        <f t="shared" ca="1" si="841"/>
        <v>#VALUE!</v>
      </c>
    </row>
    <row r="1645" spans="1:45" x14ac:dyDescent="0.35">
      <c r="A1645" t="s">
        <v>197</v>
      </c>
      <c r="E1645">
        <f>E36</f>
        <v>45.363</v>
      </c>
      <c r="F1645" t="s">
        <v>141</v>
      </c>
      <c r="H1645" t="e">
        <f ca="1">N36</f>
        <v>#VALUE!</v>
      </c>
      <c r="I1645" t="s">
        <v>13</v>
      </c>
      <c r="K1645" t="str">
        <f>V36</f>
        <v>Mixed</v>
      </c>
      <c r="L1645" t="s">
        <v>142</v>
      </c>
    </row>
    <row r="1646" spans="1:45" x14ac:dyDescent="0.35">
      <c r="A1646" t="s">
        <v>143</v>
      </c>
      <c r="B1646" t="s">
        <v>144</v>
      </c>
      <c r="C1646" t="s">
        <v>145</v>
      </c>
      <c r="D1646" t="s">
        <v>146</v>
      </c>
      <c r="E1646" t="s">
        <v>147</v>
      </c>
      <c r="F1646" t="s">
        <v>148</v>
      </c>
      <c r="G1646" t="s">
        <v>149</v>
      </c>
      <c r="H1646" t="s">
        <v>9</v>
      </c>
      <c r="I1646" t="s">
        <v>150</v>
      </c>
      <c r="J1646" t="s">
        <v>151</v>
      </c>
      <c r="K1646" t="s">
        <v>152</v>
      </c>
      <c r="L1646" t="s">
        <v>153</v>
      </c>
      <c r="M1646" t="s">
        <v>154</v>
      </c>
      <c r="N1646" t="s">
        <v>155</v>
      </c>
      <c r="O1646" t="s">
        <v>156</v>
      </c>
      <c r="P1646" t="s">
        <v>157</v>
      </c>
      <c r="Q1646" t="s">
        <v>158</v>
      </c>
      <c r="R1646" t="s">
        <v>159</v>
      </c>
      <c r="S1646" t="s">
        <v>160</v>
      </c>
      <c r="T1646" t="s">
        <v>161</v>
      </c>
      <c r="U1646" t="s">
        <v>162</v>
      </c>
      <c r="V1646" t="s">
        <v>163</v>
      </c>
      <c r="W1646" t="s">
        <v>164</v>
      </c>
      <c r="X1646" t="s">
        <v>165</v>
      </c>
      <c r="Y1646" t="s">
        <v>166</v>
      </c>
      <c r="Z1646" t="s">
        <v>167</v>
      </c>
      <c r="AA1646" t="s">
        <v>168</v>
      </c>
      <c r="AB1646" t="s">
        <v>169</v>
      </c>
      <c r="AC1646" t="s">
        <v>170</v>
      </c>
      <c r="AD1646" t="s">
        <v>171</v>
      </c>
      <c r="AE1646" t="s">
        <v>172</v>
      </c>
      <c r="AF1646" t="s">
        <v>173</v>
      </c>
      <c r="AG1646" t="s">
        <v>174</v>
      </c>
      <c r="AH1646" t="s">
        <v>175</v>
      </c>
      <c r="AI1646" t="s">
        <v>176</v>
      </c>
      <c r="AJ1646" t="s">
        <v>177</v>
      </c>
      <c r="AK1646" t="s">
        <v>178</v>
      </c>
      <c r="AL1646" t="s">
        <v>179</v>
      </c>
      <c r="AM1646" t="s">
        <v>180</v>
      </c>
      <c r="AN1646" t="s">
        <v>181</v>
      </c>
      <c r="AO1646" t="s">
        <v>182</v>
      </c>
      <c r="AP1646" t="s">
        <v>183</v>
      </c>
      <c r="AQ1646" t="s">
        <v>184</v>
      </c>
      <c r="AR1646" t="s">
        <v>185</v>
      </c>
      <c r="AS1646" t="s">
        <v>186</v>
      </c>
    </row>
    <row r="1647" spans="1:45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187</v>
      </c>
      <c r="J1647" t="s">
        <v>52</v>
      </c>
      <c r="K1647" t="s">
        <v>13</v>
      </c>
      <c r="L1647" t="s">
        <v>52</v>
      </c>
      <c r="M1647" t="s">
        <v>188</v>
      </c>
      <c r="N1647" t="s">
        <v>52</v>
      </c>
      <c r="O1647" t="s">
        <v>189</v>
      </c>
      <c r="P1647" t="s">
        <v>52</v>
      </c>
      <c r="Q1647" t="s">
        <v>52</v>
      </c>
      <c r="R1647" t="s">
        <v>22</v>
      </c>
      <c r="S1647" t="s">
        <v>22</v>
      </c>
      <c r="T1647" t="s">
        <v>190</v>
      </c>
      <c r="U1647" t="s">
        <v>52</v>
      </c>
      <c r="V1647" t="s">
        <v>22</v>
      </c>
      <c r="W1647" t="s">
        <v>52</v>
      </c>
      <c r="X1647" t="s">
        <v>188</v>
      </c>
      <c r="Y1647" t="s">
        <v>52</v>
      </c>
      <c r="Z1647" t="s">
        <v>189</v>
      </c>
      <c r="AA1647" t="s">
        <v>52</v>
      </c>
      <c r="AB1647" t="s">
        <v>52</v>
      </c>
      <c r="AC1647" t="s">
        <v>22</v>
      </c>
      <c r="AD1647" t="s">
        <v>22</v>
      </c>
      <c r="AE1647" t="s">
        <v>190</v>
      </c>
      <c r="AF1647" t="s">
        <v>52</v>
      </c>
      <c r="AG1647" t="s">
        <v>22</v>
      </c>
      <c r="AH1647" t="s">
        <v>52</v>
      </c>
      <c r="AI1647" t="s">
        <v>52</v>
      </c>
      <c r="AJ1647" t="s">
        <v>52</v>
      </c>
      <c r="AK1647" t="s">
        <v>52</v>
      </c>
      <c r="AL1647" t="s">
        <v>52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191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49">((F1648)+(G1648)*(L1648))*(L1648)</f>
        <v>0.10249999999999999</v>
      </c>
      <c r="N1648">
        <f t="shared" ref="N1648:N1694" si="850">(((F1648)+(G1648)*(L1648))*(L1648))/MAX((F1648)+2*(L1648)*SQRT(1+(G1648)^2),0.000001)</f>
        <v>4.7674418604651159E-2</v>
      </c>
      <c r="O1648">
        <f t="shared" ref="O1648:O1694" si="851">ABS(K1648)/MAX(((F1648)+(G1648)*(L1648))*(L1648),0.000001)</f>
        <v>0</v>
      </c>
      <c r="P1648">
        <f t="shared" ref="P1648:P1694" si="852">E1648+L1648</f>
        <v>631.54999999999995</v>
      </c>
      <c r="Q1648">
        <f t="shared" ref="Q1648:Q1694" si="853">P1648+((ABS(K1648)/MAX(((F1648)+(G1648)*(L1648))*(L1648),0.000001))^2)/(2*$I$5)</f>
        <v>631.54999999999995</v>
      </c>
      <c r="R1648">
        <f t="shared" ref="R1648:R1694" si="854">((ABS(K1648)*$D$6)/(MAX(((F1648)+(G1648)*(L1648))*(L1648),0.000001)*MAX(((((F1648)+(G1648)*(L1648))*(L1648))/MAX((F1648)+2*(L1648)*SQRT(1+(G1648)^2),0.000001))^(2/3),0.000001)))^2</f>
        <v>0</v>
      </c>
      <c r="S1648">
        <f t="shared" ref="S1648:S1694" si="855">ABS(ABS(K1648)/MAX(((F1648)+(G1648)*(L1648))*(L1648),0.000001))/SQRT($I$5*MAX((((F1648)+(G1648)*(L1648))*(L1648))/MAX((F1648)+2*(G1648)*(L1648),0.000001),0.000001))</f>
        <v>0</v>
      </c>
      <c r="T1648">
        <f t="shared" ref="T1648:T1694" si="856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 t="e">
        <f t="shared" ref="W1648:W1693" ca="1" si="857">IF(OR($D$20=0,AG1649=0),W1649,IF(OR(W1648=0,AD1649&gt;1),MAX($D$16,POWER((ABS(K1648)^2)/($I$5*MAX(F1648,0.1)^2),1/3)),IF(AF1648&gt;0,MAX($D$16,W1648+((AF1648)*$D$18*IF((AD1648)&lt;1,1,-1))),IF(AF1648&lt;0,IF(ABS((MAX($D$16,POWER((ABS(K1648)^2)/($I$5*MAX(F1648,0.1)^2),1/3)))-W1648)&gt;$D$19,MAX($D$16,W1648+($D$18*((MAX($D$16,POWER((ABS(K1648)^2)/($I$5*MAX(F1648,0.1)^2),1/3)))-W1648))),MAX($D$16,POWER((ABS(K1648)^2)/($I$5*MAX(F1648,0.1)^2),1/3))),W1648))))</f>
        <v>#VALUE!</v>
      </c>
      <c r="X1648" t="e">
        <f t="shared" ref="X1648:X1694" ca="1" si="858">((F1648)+(G1648)*(W1648))*(W1648)</f>
        <v>#VALUE!</v>
      </c>
      <c r="Y1648" t="e">
        <f t="shared" ref="Y1648:Y1694" ca="1" si="859">(((F1648)+(G1648)*(W1648))*(W1648))/MAX((F1648)+2*(W1648)*SQRT(1+(G1648)^2),0.000001)</f>
        <v>#VALUE!</v>
      </c>
      <c r="Z1648" t="e">
        <f t="shared" ref="Z1648:Z1694" ca="1" si="860">ABS(K1648)/MAX(((F1648)+(G1648)*(W1648))*(W1648),0.000001)</f>
        <v>#VALUE!</v>
      </c>
      <c r="AA1648" t="e">
        <f t="shared" ref="AA1648:AA1694" ca="1" si="861">E1648+W1648</f>
        <v>#VALUE!</v>
      </c>
      <c r="AB1648" t="e">
        <f t="shared" ref="AB1648:AB1694" ca="1" si="862">AA1648+((ABS(K1648)/MAX(((F1648)+(G1648)*(W1648))*(W1648),0.000001))^2)/(2*$I$5)</f>
        <v>#VALUE!</v>
      </c>
      <c r="AC1648" t="e">
        <f t="shared" ref="AC1648:AC1694" ca="1" si="863">((ABS(K1648)*$D$6)/(MAX(((F1648)+(G1648)*(W1648))*(W1648),0.000001)*MAX(((((F1648)+(G1648)*(W1648))*(W1648))/MAX((F1648)+2*(W1648)*SQRT(1+(G1648)^2),0.000001))^(2/3),0.000001)))^2</f>
        <v>#VALUE!</v>
      </c>
      <c r="AD1648" t="e">
        <f t="shared" ref="AD1648:AD1694" ca="1" si="864">ABS(ABS(K1648)/MAX(((F1648)+(G1648)*(W1648))*(W1648),0.000001))/SQRT($I$5*MAX((((F1648)+(G1648)*(W1648))*(W1648))/MAX((F1648)+2*(G1648)*(W1648),0.000001),0.000001))</f>
        <v>#VALUE!</v>
      </c>
      <c r="AE1648" t="e">
        <f t="shared" ref="AE1648:AE1694" ca="1" si="865">((F1648)*(W1648)^2)/2+(G1648)*(W1648)^3/3+(ABS(K1648)^2)/($I$5*MAX(((F1648)+(G1648)*(W1648))*(W1648),0.000001))</f>
        <v>#VALUE!</v>
      </c>
      <c r="AF1648" t="e">
        <f t="shared" ref="AF1648:AF1693" ca="1" si="866">AB1649+(((AC1648+AC1649)/2)*J1649)+(IF(Z1648&gt;Z1649,$D$8*((Z1648^2-Z1649^2)/(2*$I$5)),$D$9*((Z1649^2-Z1648^2)/(2*$I$5)))+($D$10*(ABS(I1649)/90)*(MAX(Z1648^2,Z1649^2)/(2*$I$5))))-AB1648</f>
        <v>#VALUE!</v>
      </c>
      <c r="AG1648" t="e">
        <f t="shared" ref="AG1648:AG1693" ca="1" si="867">IF(ROUND(AD1648,3)=1,1,IF(AND(ABS(AF1648)&lt;$D$19,AD1648&lt;1),1,0))</f>
        <v>#VALUE!</v>
      </c>
      <c r="AH1648" t="e">
        <f ca="1">IF(V36="Supercritical",L1648,IF(V36="Subcritical",W1648,IF(AND(V1648=1,AG1648=1),IF(T1648&gt;=AE1648,L1648,W1648),IF(V1648=1,L1648,IF(AG1648=1,W1648,MAX($D$16,POWER((ABS(K1648)^2)/($I$5*MAX(F1648,0.1)^2),1/3)))))))</f>
        <v>#VALUE!</v>
      </c>
      <c r="AI1648" t="e">
        <f t="shared" ref="AI1648:AI1694" ca="1" si="868">E1648+AH1648</f>
        <v>#VALUE!</v>
      </c>
      <c r="AJ1648" t="e">
        <f t="shared" ref="AJ1648:AJ1694" ca="1" si="869">AI1648+((ABS(K1648)/MAX(((F1648)+(G1648)*(AH1648))*(AH1648),0.000001))^2)/(2*$I$5)</f>
        <v>#VALUE!</v>
      </c>
      <c r="AM1648">
        <v>0</v>
      </c>
      <c r="AN1648">
        <v>0</v>
      </c>
      <c r="AO1648">
        <f t="shared" ref="AO1648:AO1694" si="870">AM1648+AN1648</f>
        <v>0</v>
      </c>
      <c r="AP1648">
        <f>AO1648</f>
        <v>0</v>
      </c>
      <c r="AQ1648" t="e">
        <f t="shared" ref="AQ1648:AQ1694" ca="1" si="871">ABS(ABS(K1648)/MAX(((F1648)+(G1648)*(AH1648))*(AH1648),0.000001))/SQRT($I$5*MAX((((F1648)+(G1648)*(AH1648))*(AH1648))/MAX((F1648)+2*(G1648)*(AH1648),0.000001),0.000001))</f>
        <v>#VALUE!</v>
      </c>
      <c r="AR1648" t="e">
        <f t="shared" ref="AR1648:AR1694" ca="1" si="872">IF(AQ1648&lt;1,"Subcritical","Supercritical")</f>
        <v>#VALUE!</v>
      </c>
      <c r="AS1648" t="e">
        <f t="shared" ref="AS1648:AS1694" ca="1" si="873">((ABS(K1648)*$D$6)/(MAX(((F1648)+(G1648)*(AH1648))*(AH1648),0.000001)*MAX(((((F1648)+(G1648)*(AH1648))*(AH1648))/MAX((F1648)+2*(AH1648)*SQRT(1+(G1648)^2),0.000001))^(2/3),0.000001)))^2</f>
        <v>#VALUE!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191</v>
      </c>
      <c r="I1649">
        <v>0</v>
      </c>
      <c r="J1649">
        <f t="shared" ref="J1649:J1694" si="874">B1649-B1648</f>
        <v>1</v>
      </c>
      <c r="K1649">
        <v>0</v>
      </c>
      <c r="L1649">
        <f t="shared" ref="L1649:L1694" ca="1" si="875">IF(OR($D$20=0,V1648=0),L1648,IF(OR(L1649=0,S1648&lt;1,S1649&lt;1),MAX($D$16,POWER((ABS(K1649)^2)/($I$5*MAX(F1649,0.1)^2),1/3)),IF(U1649&gt;0,MAX($D$16,L1649+((U1649)*$D$18*IF((S1649)&lt;1,1,-1))),IF(U1649&lt;0,IF(ABS((MAX($D$16,POWER((ABS(K1649)^2)/($I$5*MAX(F1649,0.1)^2),1/3)))-L1649)&gt;$D$19,MAX($D$16,L1649+($D$18*((MAX($D$16,POWER((ABS(K1649)^2)/($I$5*MAX(F1649,0.1)^2),1/3)))-L1649))),MAX($D$16,POWER((ABS(K1649)^2)/($I$5*MAX(F1649,0.1)^2),1/3))),L1649))))</f>
        <v>0.05</v>
      </c>
      <c r="M1649">
        <f t="shared" ca="1" si="849"/>
        <v>0.1166</v>
      </c>
      <c r="N1649">
        <f t="shared" ca="1" si="850"/>
        <v>4.7944078947368421E-2</v>
      </c>
      <c r="O1649">
        <f t="shared" ca="1" si="851"/>
        <v>0</v>
      </c>
      <c r="P1649">
        <f t="shared" ca="1" si="852"/>
        <v>631.54999999999995</v>
      </c>
      <c r="Q1649">
        <f t="shared" ca="1" si="853"/>
        <v>631.54999999999995</v>
      </c>
      <c r="R1649">
        <f t="shared" ca="1" si="854"/>
        <v>0</v>
      </c>
      <c r="S1649">
        <f t="shared" ca="1" si="855"/>
        <v>0</v>
      </c>
      <c r="T1649">
        <f t="shared" ca="1" si="856"/>
        <v>2.9150000000000005E-3</v>
      </c>
      <c r="U1649">
        <f t="shared" ref="U1649:U1694" ca="1" si="876">Q1648-(((R1648+R1649)/2)*J1649)-(IF(O1648&gt;O1649,$D$8*((O1648^2-O1649^2)/(2*$I$5)),$D$9*((O1649^2-O1648^2)/(2*$I$5)))+($D$10*(ABS(I1649)/90)*(MAX(O1648^2,O1649^2)/(2*$I$5))))-Q1649</f>
        <v>0</v>
      </c>
      <c r="V1649">
        <f t="shared" ref="V1649:V1694" ca="1" si="877">IF(ROUND(S1649,3)=1,1,IF(AND(ABS(U1649)&lt;$D$19,S1649&gt;1),1,0))</f>
        <v>0</v>
      </c>
      <c r="W1649" t="e">
        <f t="shared" ca="1" si="857"/>
        <v>#VALUE!</v>
      </c>
      <c r="X1649" t="e">
        <f t="shared" ca="1" si="858"/>
        <v>#VALUE!</v>
      </c>
      <c r="Y1649" t="e">
        <f t="shared" ca="1" si="859"/>
        <v>#VALUE!</v>
      </c>
      <c r="Z1649" t="e">
        <f t="shared" ca="1" si="860"/>
        <v>#VALUE!</v>
      </c>
      <c r="AA1649" t="e">
        <f t="shared" ca="1" si="861"/>
        <v>#VALUE!</v>
      </c>
      <c r="AB1649" t="e">
        <f t="shared" ca="1" si="862"/>
        <v>#VALUE!</v>
      </c>
      <c r="AC1649" t="e">
        <f t="shared" ca="1" si="863"/>
        <v>#VALUE!</v>
      </c>
      <c r="AD1649" t="e">
        <f t="shared" ca="1" si="864"/>
        <v>#VALUE!</v>
      </c>
      <c r="AE1649" t="e">
        <f t="shared" ca="1" si="865"/>
        <v>#VALUE!</v>
      </c>
      <c r="AF1649" t="e">
        <f t="shared" ca="1" si="866"/>
        <v>#VALUE!</v>
      </c>
      <c r="AG1649" t="e">
        <f t="shared" ca="1" si="867"/>
        <v>#VALUE!</v>
      </c>
      <c r="AH1649" t="e">
        <f ca="1">IF(V36="Supercritical",L1649,IF(V36="Subcritical",W1649,IF(AND(V1649=1,AG1649=1),IF(T1649&gt;=AE1649,L1649,W1649),IF(V1649=1,L1649,IF(AG1649=1,W1649,MAX($D$16,POWER((ABS(K1649)^2)/($I$5*MAX(F1649,0.1)^2),1/3)))))))</f>
        <v>#VALUE!</v>
      </c>
      <c r="AI1649" t="e">
        <f t="shared" ca="1" si="868"/>
        <v>#VALUE!</v>
      </c>
      <c r="AJ1649" t="e">
        <f t="shared" ca="1" si="869"/>
        <v>#VALUE!</v>
      </c>
      <c r="AM1649">
        <v>0</v>
      </c>
      <c r="AN1649">
        <v>0</v>
      </c>
      <c r="AO1649">
        <f t="shared" si="870"/>
        <v>0</v>
      </c>
      <c r="AP1649">
        <f t="shared" ref="AP1649:AP1694" si="878">AP1648+AO1649</f>
        <v>0</v>
      </c>
      <c r="AQ1649" t="e">
        <f t="shared" ca="1" si="871"/>
        <v>#VALUE!</v>
      </c>
      <c r="AR1649" t="e">
        <f t="shared" ca="1" si="872"/>
        <v>#VALUE!</v>
      </c>
      <c r="AS1649" t="e">
        <f t="shared" ca="1" si="873"/>
        <v>#VALUE!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191</v>
      </c>
      <c r="I1650">
        <v>5.1999999999999998E-2</v>
      </c>
      <c r="J1650">
        <f t="shared" si="874"/>
        <v>1</v>
      </c>
      <c r="K1650" t="e">
        <f t="shared" ref="K1650:K1675" ca="1" si="879">K1649+(AO1570 + AO1616)</f>
        <v>#VALUE!</v>
      </c>
      <c r="L1650">
        <f t="shared" ca="1" si="875"/>
        <v>0.05</v>
      </c>
      <c r="M1650">
        <f t="shared" ca="1" si="849"/>
        <v>0.13070000000000001</v>
      </c>
      <c r="N1650">
        <f t="shared" ca="1" si="850"/>
        <v>4.8157700810611645E-2</v>
      </c>
      <c r="O1650" t="e">
        <f t="shared" ca="1" si="851"/>
        <v>#VALUE!</v>
      </c>
      <c r="P1650">
        <f t="shared" ca="1" si="852"/>
        <v>631.54999999999995</v>
      </c>
      <c r="Q1650" t="e">
        <f t="shared" ca="1" si="853"/>
        <v>#VALUE!</v>
      </c>
      <c r="R1650" t="e">
        <f t="shared" ca="1" si="854"/>
        <v>#VALUE!</v>
      </c>
      <c r="S1650" t="e">
        <f t="shared" ca="1" si="855"/>
        <v>#VALUE!</v>
      </c>
      <c r="T1650" t="e">
        <f t="shared" ca="1" si="856"/>
        <v>#VALUE!</v>
      </c>
      <c r="U1650" t="e">
        <f t="shared" ca="1" si="876"/>
        <v>#VALUE!</v>
      </c>
      <c r="V1650" t="e">
        <f t="shared" ca="1" si="877"/>
        <v>#VALUE!</v>
      </c>
      <c r="W1650" t="e">
        <f t="shared" ca="1" si="857"/>
        <v>#VALUE!</v>
      </c>
      <c r="X1650" t="e">
        <f t="shared" ca="1" si="858"/>
        <v>#VALUE!</v>
      </c>
      <c r="Y1650" t="e">
        <f t="shared" ca="1" si="859"/>
        <v>#VALUE!</v>
      </c>
      <c r="Z1650" t="e">
        <f t="shared" ca="1" si="860"/>
        <v>#VALUE!</v>
      </c>
      <c r="AA1650" t="e">
        <f t="shared" ca="1" si="861"/>
        <v>#VALUE!</v>
      </c>
      <c r="AB1650" t="e">
        <f t="shared" ca="1" si="862"/>
        <v>#VALUE!</v>
      </c>
      <c r="AC1650" t="e">
        <f t="shared" ca="1" si="863"/>
        <v>#VALUE!</v>
      </c>
      <c r="AD1650" t="e">
        <f t="shared" ca="1" si="864"/>
        <v>#VALUE!</v>
      </c>
      <c r="AE1650" t="e">
        <f t="shared" ca="1" si="865"/>
        <v>#VALUE!</v>
      </c>
      <c r="AF1650" t="e">
        <f t="shared" ca="1" si="866"/>
        <v>#VALUE!</v>
      </c>
      <c r="AG1650" t="e">
        <f t="shared" ca="1" si="867"/>
        <v>#VALUE!</v>
      </c>
      <c r="AH1650" t="e">
        <f ca="1">IF(V36="Supercritical",L1650,IF(V36="Subcritical",W1650,IF(AND(V1650=1,AG1650=1),IF(T1650&gt;=AE1650,L1650,W1650),IF(V1650=1,L1650,IF(AG1650=1,W1650,MAX($D$16,POWER((ABS(K1650)^2)/($I$5*MAX(F1650,0.1)^2),1/3)))))))</f>
        <v>#VALUE!</v>
      </c>
      <c r="AI1650" t="e">
        <f t="shared" ca="1" si="868"/>
        <v>#VALUE!</v>
      </c>
      <c r="AJ1650" t="e">
        <f t="shared" ca="1" si="869"/>
        <v>#VALUE!</v>
      </c>
      <c r="AM1650">
        <v>0</v>
      </c>
      <c r="AN1650">
        <v>0</v>
      </c>
      <c r="AO1650">
        <f t="shared" si="870"/>
        <v>0</v>
      </c>
      <c r="AP1650">
        <f t="shared" si="878"/>
        <v>0</v>
      </c>
      <c r="AQ1650" t="e">
        <f t="shared" ca="1" si="871"/>
        <v>#VALUE!</v>
      </c>
      <c r="AR1650" t="e">
        <f t="shared" ca="1" si="872"/>
        <v>#VALUE!</v>
      </c>
      <c r="AS1650" t="e">
        <f t="shared" ca="1" si="873"/>
        <v>#VALUE!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191</v>
      </c>
      <c r="I1651">
        <v>5.1999999999999998E-2</v>
      </c>
      <c r="J1651">
        <f t="shared" si="874"/>
        <v>1</v>
      </c>
      <c r="K1651" t="e">
        <f t="shared" ca="1" si="879"/>
        <v>#VALUE!</v>
      </c>
      <c r="L1651" t="e">
        <f t="shared" ca="1" si="875"/>
        <v>#VALUE!</v>
      </c>
      <c r="M1651" t="e">
        <f t="shared" ca="1" si="849"/>
        <v>#VALUE!</v>
      </c>
      <c r="N1651" t="e">
        <f t="shared" ca="1" si="850"/>
        <v>#VALUE!</v>
      </c>
      <c r="O1651" t="e">
        <f t="shared" ca="1" si="851"/>
        <v>#VALUE!</v>
      </c>
      <c r="P1651" t="e">
        <f t="shared" ca="1" si="852"/>
        <v>#VALUE!</v>
      </c>
      <c r="Q1651" t="e">
        <f t="shared" ca="1" si="853"/>
        <v>#VALUE!</v>
      </c>
      <c r="R1651" t="e">
        <f t="shared" ca="1" si="854"/>
        <v>#VALUE!</v>
      </c>
      <c r="S1651" t="e">
        <f t="shared" ca="1" si="855"/>
        <v>#VALUE!</v>
      </c>
      <c r="T1651" t="e">
        <f t="shared" ca="1" si="856"/>
        <v>#VALUE!</v>
      </c>
      <c r="U1651" t="e">
        <f t="shared" ca="1" si="876"/>
        <v>#VALUE!</v>
      </c>
      <c r="V1651" t="e">
        <f t="shared" ca="1" si="877"/>
        <v>#VALUE!</v>
      </c>
      <c r="W1651" t="e">
        <f t="shared" ca="1" si="857"/>
        <v>#VALUE!</v>
      </c>
      <c r="X1651" t="e">
        <f t="shared" ca="1" si="858"/>
        <v>#VALUE!</v>
      </c>
      <c r="Y1651" t="e">
        <f t="shared" ca="1" si="859"/>
        <v>#VALUE!</v>
      </c>
      <c r="Z1651" t="e">
        <f t="shared" ca="1" si="860"/>
        <v>#VALUE!</v>
      </c>
      <c r="AA1651" t="e">
        <f t="shared" ca="1" si="861"/>
        <v>#VALUE!</v>
      </c>
      <c r="AB1651" t="e">
        <f t="shared" ca="1" si="862"/>
        <v>#VALUE!</v>
      </c>
      <c r="AC1651" t="e">
        <f t="shared" ca="1" si="863"/>
        <v>#VALUE!</v>
      </c>
      <c r="AD1651" t="e">
        <f t="shared" ca="1" si="864"/>
        <v>#VALUE!</v>
      </c>
      <c r="AE1651" t="e">
        <f t="shared" ca="1" si="865"/>
        <v>#VALUE!</v>
      </c>
      <c r="AF1651" t="e">
        <f t="shared" ca="1" si="866"/>
        <v>#VALUE!</v>
      </c>
      <c r="AG1651" t="e">
        <f t="shared" ca="1" si="867"/>
        <v>#VALUE!</v>
      </c>
      <c r="AH1651" t="e">
        <f ca="1">IF(V36="Supercritical",L1651,IF(V36="Subcritical",W1651,IF(AND(V1651=1,AG1651=1),IF(T1651&gt;=AE1651,L1651,W1651),IF(V1651=1,L1651,IF(AG1651=1,W1651,MAX($D$16,POWER((ABS(K1651)^2)/($I$5*MAX(F1651,0.1)^2),1/3)))))))</f>
        <v>#VALUE!</v>
      </c>
      <c r="AI1651" t="e">
        <f t="shared" ca="1" si="868"/>
        <v>#VALUE!</v>
      </c>
      <c r="AJ1651" t="e">
        <f t="shared" ca="1" si="869"/>
        <v>#VALUE!</v>
      </c>
      <c r="AM1651">
        <v>0</v>
      </c>
      <c r="AN1651">
        <v>0</v>
      </c>
      <c r="AO1651">
        <f t="shared" si="870"/>
        <v>0</v>
      </c>
      <c r="AP1651">
        <f t="shared" si="878"/>
        <v>0</v>
      </c>
      <c r="AQ1651" t="e">
        <f t="shared" ca="1" si="871"/>
        <v>#VALUE!</v>
      </c>
      <c r="AR1651" t="e">
        <f t="shared" ca="1" si="872"/>
        <v>#VALUE!</v>
      </c>
      <c r="AS1651" t="e">
        <f t="shared" ca="1" si="873"/>
        <v>#VALUE!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191</v>
      </c>
      <c r="I1652">
        <v>0</v>
      </c>
      <c r="J1652">
        <f t="shared" si="874"/>
        <v>1</v>
      </c>
      <c r="K1652" t="e">
        <f t="shared" ca="1" si="879"/>
        <v>#VALUE!</v>
      </c>
      <c r="L1652" t="e">
        <f t="shared" ca="1" si="875"/>
        <v>#VALUE!</v>
      </c>
      <c r="M1652" t="e">
        <f t="shared" ca="1" si="849"/>
        <v>#VALUE!</v>
      </c>
      <c r="N1652" t="e">
        <f t="shared" ca="1" si="850"/>
        <v>#VALUE!</v>
      </c>
      <c r="O1652" t="e">
        <f t="shared" ca="1" si="851"/>
        <v>#VALUE!</v>
      </c>
      <c r="P1652" t="e">
        <f t="shared" ca="1" si="852"/>
        <v>#VALUE!</v>
      </c>
      <c r="Q1652" t="e">
        <f t="shared" ca="1" si="853"/>
        <v>#VALUE!</v>
      </c>
      <c r="R1652" t="e">
        <f t="shared" ca="1" si="854"/>
        <v>#VALUE!</v>
      </c>
      <c r="S1652" t="e">
        <f t="shared" ca="1" si="855"/>
        <v>#VALUE!</v>
      </c>
      <c r="T1652" t="e">
        <f t="shared" ca="1" si="856"/>
        <v>#VALUE!</v>
      </c>
      <c r="U1652" t="e">
        <f t="shared" ca="1" si="876"/>
        <v>#VALUE!</v>
      </c>
      <c r="V1652" t="e">
        <f t="shared" ca="1" si="877"/>
        <v>#VALUE!</v>
      </c>
      <c r="W1652" t="e">
        <f t="shared" ca="1" si="857"/>
        <v>#VALUE!</v>
      </c>
      <c r="X1652" t="e">
        <f t="shared" ca="1" si="858"/>
        <v>#VALUE!</v>
      </c>
      <c r="Y1652" t="e">
        <f t="shared" ca="1" si="859"/>
        <v>#VALUE!</v>
      </c>
      <c r="Z1652" t="e">
        <f t="shared" ca="1" si="860"/>
        <v>#VALUE!</v>
      </c>
      <c r="AA1652" t="e">
        <f t="shared" ca="1" si="861"/>
        <v>#VALUE!</v>
      </c>
      <c r="AB1652" t="e">
        <f t="shared" ca="1" si="862"/>
        <v>#VALUE!</v>
      </c>
      <c r="AC1652" t="e">
        <f t="shared" ca="1" si="863"/>
        <v>#VALUE!</v>
      </c>
      <c r="AD1652" t="e">
        <f t="shared" ca="1" si="864"/>
        <v>#VALUE!</v>
      </c>
      <c r="AE1652" t="e">
        <f t="shared" ca="1" si="865"/>
        <v>#VALUE!</v>
      </c>
      <c r="AF1652" t="e">
        <f t="shared" ca="1" si="866"/>
        <v>#VALUE!</v>
      </c>
      <c r="AG1652" t="e">
        <f t="shared" ca="1" si="867"/>
        <v>#VALUE!</v>
      </c>
      <c r="AH1652" t="e">
        <f ca="1">IF(V36="Supercritical",L1652,IF(V36="Subcritical",W1652,IF(AND(V1652=1,AG1652=1),IF(T1652&gt;=AE1652,L1652,W1652),IF(V1652=1,L1652,IF(AG1652=1,W1652,MAX($D$16,POWER((ABS(K1652)^2)/($I$5*MAX(F1652,0.1)^2),1/3)))))))</f>
        <v>#VALUE!</v>
      </c>
      <c r="AI1652" t="e">
        <f t="shared" ca="1" si="868"/>
        <v>#VALUE!</v>
      </c>
      <c r="AJ1652" t="e">
        <f t="shared" ca="1" si="869"/>
        <v>#VALUE!</v>
      </c>
      <c r="AM1652">
        <v>0</v>
      </c>
      <c r="AN1652">
        <v>0</v>
      </c>
      <c r="AO1652">
        <f t="shared" si="870"/>
        <v>0</v>
      </c>
      <c r="AP1652">
        <f t="shared" si="878"/>
        <v>0</v>
      </c>
      <c r="AQ1652" t="e">
        <f t="shared" ca="1" si="871"/>
        <v>#VALUE!</v>
      </c>
      <c r="AR1652" t="e">
        <f t="shared" ca="1" si="872"/>
        <v>#VALUE!</v>
      </c>
      <c r="AS1652" t="e">
        <f t="shared" ca="1" si="873"/>
        <v>#VALUE!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191</v>
      </c>
      <c r="I1653">
        <v>5.1999999999999998E-2</v>
      </c>
      <c r="J1653">
        <f t="shared" si="874"/>
        <v>1</v>
      </c>
      <c r="K1653" t="e">
        <f t="shared" ca="1" si="879"/>
        <v>#VALUE!</v>
      </c>
      <c r="L1653" t="e">
        <f t="shared" ca="1" si="875"/>
        <v>#VALUE!</v>
      </c>
      <c r="M1653" t="e">
        <f t="shared" ca="1" si="849"/>
        <v>#VALUE!</v>
      </c>
      <c r="N1653" t="e">
        <f t="shared" ca="1" si="850"/>
        <v>#VALUE!</v>
      </c>
      <c r="O1653" t="e">
        <f t="shared" ca="1" si="851"/>
        <v>#VALUE!</v>
      </c>
      <c r="P1653" t="e">
        <f t="shared" ca="1" si="852"/>
        <v>#VALUE!</v>
      </c>
      <c r="Q1653" t="e">
        <f t="shared" ca="1" si="853"/>
        <v>#VALUE!</v>
      </c>
      <c r="R1653" t="e">
        <f t="shared" ca="1" si="854"/>
        <v>#VALUE!</v>
      </c>
      <c r="S1653" t="e">
        <f t="shared" ca="1" si="855"/>
        <v>#VALUE!</v>
      </c>
      <c r="T1653" t="e">
        <f t="shared" ca="1" si="856"/>
        <v>#VALUE!</v>
      </c>
      <c r="U1653" t="e">
        <f t="shared" ca="1" si="876"/>
        <v>#VALUE!</v>
      </c>
      <c r="V1653" t="e">
        <f t="shared" ca="1" si="877"/>
        <v>#VALUE!</v>
      </c>
      <c r="W1653" t="e">
        <f t="shared" ca="1" si="857"/>
        <v>#VALUE!</v>
      </c>
      <c r="X1653" t="e">
        <f t="shared" ca="1" si="858"/>
        <v>#VALUE!</v>
      </c>
      <c r="Y1653" t="e">
        <f t="shared" ca="1" si="859"/>
        <v>#VALUE!</v>
      </c>
      <c r="Z1653" t="e">
        <f t="shared" ca="1" si="860"/>
        <v>#VALUE!</v>
      </c>
      <c r="AA1653" t="e">
        <f t="shared" ca="1" si="861"/>
        <v>#VALUE!</v>
      </c>
      <c r="AB1653" t="e">
        <f t="shared" ca="1" si="862"/>
        <v>#VALUE!</v>
      </c>
      <c r="AC1653" t="e">
        <f t="shared" ca="1" si="863"/>
        <v>#VALUE!</v>
      </c>
      <c r="AD1653" t="e">
        <f t="shared" ca="1" si="864"/>
        <v>#VALUE!</v>
      </c>
      <c r="AE1653" t="e">
        <f t="shared" ca="1" si="865"/>
        <v>#VALUE!</v>
      </c>
      <c r="AF1653" t="e">
        <f t="shared" ca="1" si="866"/>
        <v>#VALUE!</v>
      </c>
      <c r="AG1653" t="e">
        <f t="shared" ca="1" si="867"/>
        <v>#VALUE!</v>
      </c>
      <c r="AH1653" t="e">
        <f ca="1">IF(V36="Supercritical",L1653,IF(V36="Subcritical",W1653,IF(AND(V1653=1,AG1653=1),IF(T1653&gt;=AE1653,L1653,W1653),IF(V1653=1,L1653,IF(AG1653=1,W1653,MAX($D$16,POWER((ABS(K1653)^2)/($I$5*MAX(F1653,0.1)^2),1/3)))))))</f>
        <v>#VALUE!</v>
      </c>
      <c r="AI1653" t="e">
        <f t="shared" ca="1" si="868"/>
        <v>#VALUE!</v>
      </c>
      <c r="AJ1653" t="e">
        <f t="shared" ca="1" si="869"/>
        <v>#VALUE!</v>
      </c>
      <c r="AM1653">
        <v>0</v>
      </c>
      <c r="AN1653">
        <v>0</v>
      </c>
      <c r="AO1653">
        <f t="shared" si="870"/>
        <v>0</v>
      </c>
      <c r="AP1653">
        <f t="shared" si="878"/>
        <v>0</v>
      </c>
      <c r="AQ1653" t="e">
        <f t="shared" ca="1" si="871"/>
        <v>#VALUE!</v>
      </c>
      <c r="AR1653" t="e">
        <f t="shared" ca="1" si="872"/>
        <v>#VALUE!</v>
      </c>
      <c r="AS1653" t="e">
        <f t="shared" ca="1" si="873"/>
        <v>#VALUE!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191</v>
      </c>
      <c r="I1654">
        <v>5.266</v>
      </c>
      <c r="J1654">
        <f t="shared" si="874"/>
        <v>1.0010000000000003</v>
      </c>
      <c r="K1654" t="e">
        <f t="shared" ca="1" si="879"/>
        <v>#VALUE!</v>
      </c>
      <c r="L1654" t="e">
        <f t="shared" ca="1" si="875"/>
        <v>#VALUE!</v>
      </c>
      <c r="M1654" t="e">
        <f t="shared" ca="1" si="849"/>
        <v>#VALUE!</v>
      </c>
      <c r="N1654" t="e">
        <f t="shared" ca="1" si="850"/>
        <v>#VALUE!</v>
      </c>
      <c r="O1654" t="e">
        <f t="shared" ca="1" si="851"/>
        <v>#VALUE!</v>
      </c>
      <c r="P1654" t="e">
        <f t="shared" ca="1" si="852"/>
        <v>#VALUE!</v>
      </c>
      <c r="Q1654" t="e">
        <f t="shared" ca="1" si="853"/>
        <v>#VALUE!</v>
      </c>
      <c r="R1654" t="e">
        <f t="shared" ca="1" si="854"/>
        <v>#VALUE!</v>
      </c>
      <c r="S1654" t="e">
        <f t="shared" ca="1" si="855"/>
        <v>#VALUE!</v>
      </c>
      <c r="T1654" t="e">
        <f t="shared" ca="1" si="856"/>
        <v>#VALUE!</v>
      </c>
      <c r="U1654" t="e">
        <f t="shared" ca="1" si="876"/>
        <v>#VALUE!</v>
      </c>
      <c r="V1654" t="e">
        <f t="shared" ca="1" si="877"/>
        <v>#VALUE!</v>
      </c>
      <c r="W1654" t="e">
        <f t="shared" ca="1" si="857"/>
        <v>#VALUE!</v>
      </c>
      <c r="X1654" t="e">
        <f t="shared" ca="1" si="858"/>
        <v>#VALUE!</v>
      </c>
      <c r="Y1654" t="e">
        <f t="shared" ca="1" si="859"/>
        <v>#VALUE!</v>
      </c>
      <c r="Z1654" t="e">
        <f t="shared" ca="1" si="860"/>
        <v>#VALUE!</v>
      </c>
      <c r="AA1654" t="e">
        <f t="shared" ca="1" si="861"/>
        <v>#VALUE!</v>
      </c>
      <c r="AB1654" t="e">
        <f t="shared" ca="1" si="862"/>
        <v>#VALUE!</v>
      </c>
      <c r="AC1654" t="e">
        <f t="shared" ca="1" si="863"/>
        <v>#VALUE!</v>
      </c>
      <c r="AD1654" t="e">
        <f t="shared" ca="1" si="864"/>
        <v>#VALUE!</v>
      </c>
      <c r="AE1654" t="e">
        <f t="shared" ca="1" si="865"/>
        <v>#VALUE!</v>
      </c>
      <c r="AF1654" t="e">
        <f t="shared" ca="1" si="866"/>
        <v>#VALUE!</v>
      </c>
      <c r="AG1654" t="e">
        <f t="shared" ca="1" si="867"/>
        <v>#VALUE!</v>
      </c>
      <c r="AH1654" t="e">
        <f ca="1">IF(V36="Supercritical",L1654,IF(V36="Subcritical",W1654,IF(AND(V1654=1,AG1654=1),IF(T1654&gt;=AE1654,L1654,W1654),IF(V1654=1,L1654,IF(AG1654=1,W1654,MAX($D$16,POWER((ABS(K1654)^2)/($I$5*MAX(F1654,0.1)^2),1/3)))))))</f>
        <v>#VALUE!</v>
      </c>
      <c r="AI1654" t="e">
        <f t="shared" ca="1" si="868"/>
        <v>#VALUE!</v>
      </c>
      <c r="AJ1654" t="e">
        <f t="shared" ca="1" si="869"/>
        <v>#VALUE!</v>
      </c>
      <c r="AM1654">
        <v>0</v>
      </c>
      <c r="AN1654">
        <v>0</v>
      </c>
      <c r="AO1654">
        <f t="shared" si="870"/>
        <v>0</v>
      </c>
      <c r="AP1654">
        <f t="shared" si="878"/>
        <v>0</v>
      </c>
      <c r="AQ1654" t="e">
        <f t="shared" ca="1" si="871"/>
        <v>#VALUE!</v>
      </c>
      <c r="AR1654" t="e">
        <f t="shared" ca="1" si="872"/>
        <v>#VALUE!</v>
      </c>
      <c r="AS1654" t="e">
        <f t="shared" ca="1" si="873"/>
        <v>#VALUE!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191</v>
      </c>
      <c r="I1655">
        <v>17.565999999999999</v>
      </c>
      <c r="J1655">
        <f t="shared" si="874"/>
        <v>0.98499999999999943</v>
      </c>
      <c r="K1655" t="e">
        <f t="shared" ca="1" si="879"/>
        <v>#VALUE!</v>
      </c>
      <c r="L1655" t="e">
        <f t="shared" ca="1" si="875"/>
        <v>#VALUE!</v>
      </c>
      <c r="M1655" t="e">
        <f t="shared" ca="1" si="849"/>
        <v>#VALUE!</v>
      </c>
      <c r="N1655" t="e">
        <f t="shared" ca="1" si="850"/>
        <v>#VALUE!</v>
      </c>
      <c r="O1655" t="e">
        <f t="shared" ca="1" si="851"/>
        <v>#VALUE!</v>
      </c>
      <c r="P1655" t="e">
        <f t="shared" ca="1" si="852"/>
        <v>#VALUE!</v>
      </c>
      <c r="Q1655" t="e">
        <f t="shared" ca="1" si="853"/>
        <v>#VALUE!</v>
      </c>
      <c r="R1655" t="e">
        <f t="shared" ca="1" si="854"/>
        <v>#VALUE!</v>
      </c>
      <c r="S1655" t="e">
        <f t="shared" ca="1" si="855"/>
        <v>#VALUE!</v>
      </c>
      <c r="T1655" t="e">
        <f t="shared" ca="1" si="856"/>
        <v>#VALUE!</v>
      </c>
      <c r="U1655" t="e">
        <f t="shared" ca="1" si="876"/>
        <v>#VALUE!</v>
      </c>
      <c r="V1655" t="e">
        <f t="shared" ca="1" si="877"/>
        <v>#VALUE!</v>
      </c>
      <c r="W1655" t="e">
        <f t="shared" ca="1" si="857"/>
        <v>#VALUE!</v>
      </c>
      <c r="X1655" t="e">
        <f t="shared" ca="1" si="858"/>
        <v>#VALUE!</v>
      </c>
      <c r="Y1655" t="e">
        <f t="shared" ca="1" si="859"/>
        <v>#VALUE!</v>
      </c>
      <c r="Z1655" t="e">
        <f t="shared" ca="1" si="860"/>
        <v>#VALUE!</v>
      </c>
      <c r="AA1655" t="e">
        <f t="shared" ca="1" si="861"/>
        <v>#VALUE!</v>
      </c>
      <c r="AB1655" t="e">
        <f t="shared" ca="1" si="862"/>
        <v>#VALUE!</v>
      </c>
      <c r="AC1655" t="e">
        <f t="shared" ca="1" si="863"/>
        <v>#VALUE!</v>
      </c>
      <c r="AD1655" t="e">
        <f t="shared" ca="1" si="864"/>
        <v>#VALUE!</v>
      </c>
      <c r="AE1655" t="e">
        <f t="shared" ca="1" si="865"/>
        <v>#VALUE!</v>
      </c>
      <c r="AF1655" t="e">
        <f t="shared" ca="1" si="866"/>
        <v>#VALUE!</v>
      </c>
      <c r="AG1655" t="e">
        <f t="shared" ca="1" si="867"/>
        <v>#VALUE!</v>
      </c>
      <c r="AH1655" t="e">
        <f ca="1">IF(V36="Supercritical",L1655,IF(V36="Subcritical",W1655,IF(AND(V1655=1,AG1655=1),IF(T1655&gt;=AE1655,L1655,W1655),IF(V1655=1,L1655,IF(AG1655=1,W1655,MAX($D$16,POWER((ABS(K1655)^2)/($I$5*MAX(F1655,0.1)^2),1/3)))))))</f>
        <v>#VALUE!</v>
      </c>
      <c r="AI1655" t="e">
        <f t="shared" ca="1" si="868"/>
        <v>#VALUE!</v>
      </c>
      <c r="AJ1655" t="e">
        <f t="shared" ca="1" si="869"/>
        <v>#VALUE!</v>
      </c>
      <c r="AM1655">
        <v>0</v>
      </c>
      <c r="AN1655">
        <v>0</v>
      </c>
      <c r="AO1655">
        <f t="shared" si="870"/>
        <v>0</v>
      </c>
      <c r="AP1655">
        <f t="shared" si="878"/>
        <v>0</v>
      </c>
      <c r="AQ1655" t="e">
        <f t="shared" ca="1" si="871"/>
        <v>#VALUE!</v>
      </c>
      <c r="AR1655" t="e">
        <f t="shared" ca="1" si="872"/>
        <v>#VALUE!</v>
      </c>
      <c r="AS1655" t="e">
        <f t="shared" ca="1" si="873"/>
        <v>#VALUE!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191</v>
      </c>
      <c r="I1656">
        <v>5.8999999999999997E-2</v>
      </c>
      <c r="J1656">
        <f t="shared" si="874"/>
        <v>1.0010000000000003</v>
      </c>
      <c r="K1656" t="e">
        <f t="shared" ca="1" si="879"/>
        <v>#VALUE!</v>
      </c>
      <c r="L1656" t="e">
        <f t="shared" ca="1" si="875"/>
        <v>#VALUE!</v>
      </c>
      <c r="M1656" t="e">
        <f t="shared" ca="1" si="849"/>
        <v>#VALUE!</v>
      </c>
      <c r="N1656" t="e">
        <f t="shared" ca="1" si="850"/>
        <v>#VALUE!</v>
      </c>
      <c r="O1656" t="e">
        <f t="shared" ca="1" si="851"/>
        <v>#VALUE!</v>
      </c>
      <c r="P1656" t="e">
        <f t="shared" ca="1" si="852"/>
        <v>#VALUE!</v>
      </c>
      <c r="Q1656" t="e">
        <f t="shared" ca="1" si="853"/>
        <v>#VALUE!</v>
      </c>
      <c r="R1656" t="e">
        <f t="shared" ca="1" si="854"/>
        <v>#VALUE!</v>
      </c>
      <c r="S1656" t="e">
        <f t="shared" ca="1" si="855"/>
        <v>#VALUE!</v>
      </c>
      <c r="T1656" t="e">
        <f t="shared" ca="1" si="856"/>
        <v>#VALUE!</v>
      </c>
      <c r="U1656" t="e">
        <f t="shared" ca="1" si="876"/>
        <v>#VALUE!</v>
      </c>
      <c r="V1656" t="e">
        <f t="shared" ca="1" si="877"/>
        <v>#VALUE!</v>
      </c>
      <c r="W1656" t="e">
        <f t="shared" ca="1" si="857"/>
        <v>#VALUE!</v>
      </c>
      <c r="X1656" t="e">
        <f t="shared" ca="1" si="858"/>
        <v>#VALUE!</v>
      </c>
      <c r="Y1656" t="e">
        <f t="shared" ca="1" si="859"/>
        <v>#VALUE!</v>
      </c>
      <c r="Z1656" t="e">
        <f t="shared" ca="1" si="860"/>
        <v>#VALUE!</v>
      </c>
      <c r="AA1656" t="e">
        <f t="shared" ca="1" si="861"/>
        <v>#VALUE!</v>
      </c>
      <c r="AB1656" t="e">
        <f t="shared" ca="1" si="862"/>
        <v>#VALUE!</v>
      </c>
      <c r="AC1656" t="e">
        <f t="shared" ca="1" si="863"/>
        <v>#VALUE!</v>
      </c>
      <c r="AD1656" t="e">
        <f t="shared" ca="1" si="864"/>
        <v>#VALUE!</v>
      </c>
      <c r="AE1656" t="e">
        <f t="shared" ca="1" si="865"/>
        <v>#VALUE!</v>
      </c>
      <c r="AF1656" t="e">
        <f t="shared" ca="1" si="866"/>
        <v>#VALUE!</v>
      </c>
      <c r="AG1656" t="e">
        <f t="shared" ca="1" si="867"/>
        <v>#VALUE!</v>
      </c>
      <c r="AH1656" t="e">
        <f ca="1">IF(V36="Supercritical",L1656,IF(V36="Subcritical",W1656,IF(AND(V1656=1,AG1656=1),IF(T1656&gt;=AE1656,L1656,W1656),IF(V1656=1,L1656,IF(AG1656=1,W1656,MAX($D$16,POWER((ABS(K1656)^2)/($I$5*MAX(F1656,0.1)^2),1/3)))))))</f>
        <v>#VALUE!</v>
      </c>
      <c r="AI1656" t="e">
        <f t="shared" ca="1" si="868"/>
        <v>#VALUE!</v>
      </c>
      <c r="AJ1656" t="e">
        <f t="shared" ca="1" si="869"/>
        <v>#VALUE!</v>
      </c>
      <c r="AM1656">
        <v>0</v>
      </c>
      <c r="AN1656">
        <v>0</v>
      </c>
      <c r="AO1656">
        <f t="shared" si="870"/>
        <v>0</v>
      </c>
      <c r="AP1656">
        <f t="shared" si="878"/>
        <v>0</v>
      </c>
      <c r="AQ1656" t="e">
        <f t="shared" ca="1" si="871"/>
        <v>#VALUE!</v>
      </c>
      <c r="AR1656" t="e">
        <f t="shared" ca="1" si="872"/>
        <v>#VALUE!</v>
      </c>
      <c r="AS1656" t="e">
        <f t="shared" ca="1" si="873"/>
        <v>#VALUE!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191</v>
      </c>
      <c r="I1657">
        <v>0</v>
      </c>
      <c r="J1657">
        <f t="shared" si="874"/>
        <v>1</v>
      </c>
      <c r="K1657" t="e">
        <f t="shared" ca="1" si="879"/>
        <v>#VALUE!</v>
      </c>
      <c r="L1657" t="e">
        <f t="shared" ca="1" si="875"/>
        <v>#VALUE!</v>
      </c>
      <c r="M1657" t="e">
        <f t="shared" ca="1" si="849"/>
        <v>#VALUE!</v>
      </c>
      <c r="N1657" t="e">
        <f t="shared" ca="1" si="850"/>
        <v>#VALUE!</v>
      </c>
      <c r="O1657" t="e">
        <f t="shared" ca="1" si="851"/>
        <v>#VALUE!</v>
      </c>
      <c r="P1657" t="e">
        <f t="shared" ca="1" si="852"/>
        <v>#VALUE!</v>
      </c>
      <c r="Q1657" t="e">
        <f t="shared" ca="1" si="853"/>
        <v>#VALUE!</v>
      </c>
      <c r="R1657" t="e">
        <f t="shared" ca="1" si="854"/>
        <v>#VALUE!</v>
      </c>
      <c r="S1657" t="e">
        <f t="shared" ca="1" si="855"/>
        <v>#VALUE!</v>
      </c>
      <c r="T1657" t="e">
        <f t="shared" ca="1" si="856"/>
        <v>#VALUE!</v>
      </c>
      <c r="U1657" t="e">
        <f t="shared" ca="1" si="876"/>
        <v>#VALUE!</v>
      </c>
      <c r="V1657" t="e">
        <f t="shared" ca="1" si="877"/>
        <v>#VALUE!</v>
      </c>
      <c r="W1657" t="e">
        <f t="shared" ca="1" si="857"/>
        <v>#VALUE!</v>
      </c>
      <c r="X1657" t="e">
        <f t="shared" ca="1" si="858"/>
        <v>#VALUE!</v>
      </c>
      <c r="Y1657" t="e">
        <f t="shared" ca="1" si="859"/>
        <v>#VALUE!</v>
      </c>
      <c r="Z1657" t="e">
        <f t="shared" ca="1" si="860"/>
        <v>#VALUE!</v>
      </c>
      <c r="AA1657" t="e">
        <f t="shared" ca="1" si="861"/>
        <v>#VALUE!</v>
      </c>
      <c r="AB1657" t="e">
        <f t="shared" ca="1" si="862"/>
        <v>#VALUE!</v>
      </c>
      <c r="AC1657" t="e">
        <f t="shared" ca="1" si="863"/>
        <v>#VALUE!</v>
      </c>
      <c r="AD1657" t="e">
        <f t="shared" ca="1" si="864"/>
        <v>#VALUE!</v>
      </c>
      <c r="AE1657" t="e">
        <f t="shared" ca="1" si="865"/>
        <v>#VALUE!</v>
      </c>
      <c r="AF1657" t="e">
        <f t="shared" ca="1" si="866"/>
        <v>#VALUE!</v>
      </c>
      <c r="AG1657" t="e">
        <f t="shared" ca="1" si="867"/>
        <v>#VALUE!</v>
      </c>
      <c r="AH1657" t="e">
        <f ca="1">IF(V36="Supercritical",L1657,IF(V36="Subcritical",W1657,IF(AND(V1657=1,AG1657=1),IF(T1657&gt;=AE1657,L1657,W1657),IF(V1657=1,L1657,IF(AG1657=1,W1657,MAX($D$16,POWER((ABS(K1657)^2)/($I$5*MAX(F1657,0.1)^2),1/3)))))))</f>
        <v>#VALUE!</v>
      </c>
      <c r="AI1657" t="e">
        <f t="shared" ca="1" si="868"/>
        <v>#VALUE!</v>
      </c>
      <c r="AJ1657" t="e">
        <f t="shared" ca="1" si="869"/>
        <v>#VALUE!</v>
      </c>
      <c r="AM1657">
        <v>0</v>
      </c>
      <c r="AN1657">
        <v>0</v>
      </c>
      <c r="AO1657">
        <f t="shared" si="870"/>
        <v>0</v>
      </c>
      <c r="AP1657">
        <f t="shared" si="878"/>
        <v>0</v>
      </c>
      <c r="AQ1657" t="e">
        <f t="shared" ca="1" si="871"/>
        <v>#VALUE!</v>
      </c>
      <c r="AR1657" t="e">
        <f t="shared" ca="1" si="872"/>
        <v>#VALUE!</v>
      </c>
      <c r="AS1657" t="e">
        <f t="shared" ca="1" si="873"/>
        <v>#VALUE!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191</v>
      </c>
      <c r="I1658">
        <v>5.7000000000000002E-2</v>
      </c>
      <c r="J1658">
        <f t="shared" si="874"/>
        <v>0.99900000000000055</v>
      </c>
      <c r="K1658" t="e">
        <f t="shared" ca="1" si="879"/>
        <v>#VALUE!</v>
      </c>
      <c r="L1658" t="e">
        <f t="shared" ca="1" si="875"/>
        <v>#VALUE!</v>
      </c>
      <c r="M1658" t="e">
        <f t="shared" ca="1" si="849"/>
        <v>#VALUE!</v>
      </c>
      <c r="N1658" t="e">
        <f t="shared" ca="1" si="850"/>
        <v>#VALUE!</v>
      </c>
      <c r="O1658" t="e">
        <f t="shared" ca="1" si="851"/>
        <v>#VALUE!</v>
      </c>
      <c r="P1658" t="e">
        <f t="shared" ca="1" si="852"/>
        <v>#VALUE!</v>
      </c>
      <c r="Q1658" t="e">
        <f t="shared" ca="1" si="853"/>
        <v>#VALUE!</v>
      </c>
      <c r="R1658" t="e">
        <f t="shared" ca="1" si="854"/>
        <v>#VALUE!</v>
      </c>
      <c r="S1658" t="e">
        <f t="shared" ca="1" si="855"/>
        <v>#VALUE!</v>
      </c>
      <c r="T1658" t="e">
        <f t="shared" ca="1" si="856"/>
        <v>#VALUE!</v>
      </c>
      <c r="U1658" t="e">
        <f t="shared" ca="1" si="876"/>
        <v>#VALUE!</v>
      </c>
      <c r="V1658" t="e">
        <f t="shared" ca="1" si="877"/>
        <v>#VALUE!</v>
      </c>
      <c r="W1658" t="e">
        <f t="shared" ca="1" si="857"/>
        <v>#VALUE!</v>
      </c>
      <c r="X1658" t="e">
        <f t="shared" ca="1" si="858"/>
        <v>#VALUE!</v>
      </c>
      <c r="Y1658" t="e">
        <f t="shared" ca="1" si="859"/>
        <v>#VALUE!</v>
      </c>
      <c r="Z1658" t="e">
        <f t="shared" ca="1" si="860"/>
        <v>#VALUE!</v>
      </c>
      <c r="AA1658" t="e">
        <f t="shared" ca="1" si="861"/>
        <v>#VALUE!</v>
      </c>
      <c r="AB1658" t="e">
        <f t="shared" ca="1" si="862"/>
        <v>#VALUE!</v>
      </c>
      <c r="AC1658" t="e">
        <f t="shared" ca="1" si="863"/>
        <v>#VALUE!</v>
      </c>
      <c r="AD1658" t="e">
        <f t="shared" ca="1" si="864"/>
        <v>#VALUE!</v>
      </c>
      <c r="AE1658" t="e">
        <f t="shared" ca="1" si="865"/>
        <v>#VALUE!</v>
      </c>
      <c r="AF1658" t="e">
        <f t="shared" ca="1" si="866"/>
        <v>#VALUE!</v>
      </c>
      <c r="AG1658" t="e">
        <f t="shared" ca="1" si="867"/>
        <v>#VALUE!</v>
      </c>
      <c r="AH1658" t="e">
        <f ca="1">IF(V36="Supercritical",L1658,IF(V36="Subcritical",W1658,IF(AND(V1658=1,AG1658=1),IF(T1658&gt;=AE1658,L1658,W1658),IF(V1658=1,L1658,IF(AG1658=1,W1658,MAX($D$16,POWER((ABS(K1658)^2)/($I$5*MAX(F1658,0.1)^2),1/3)))))))</f>
        <v>#VALUE!</v>
      </c>
      <c r="AI1658" t="e">
        <f t="shared" ca="1" si="868"/>
        <v>#VALUE!</v>
      </c>
      <c r="AJ1658" t="e">
        <f t="shared" ca="1" si="869"/>
        <v>#VALUE!</v>
      </c>
      <c r="AM1658">
        <v>0</v>
      </c>
      <c r="AN1658">
        <v>0</v>
      </c>
      <c r="AO1658">
        <f t="shared" si="870"/>
        <v>0</v>
      </c>
      <c r="AP1658">
        <f t="shared" si="878"/>
        <v>0</v>
      </c>
      <c r="AQ1658" t="e">
        <f t="shared" ca="1" si="871"/>
        <v>#VALUE!</v>
      </c>
      <c r="AR1658" t="e">
        <f t="shared" ca="1" si="872"/>
        <v>#VALUE!</v>
      </c>
      <c r="AS1658" t="e">
        <f t="shared" ca="1" si="873"/>
        <v>#VALUE!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191</v>
      </c>
      <c r="I1659">
        <v>5.5E-2</v>
      </c>
      <c r="J1659">
        <f t="shared" si="874"/>
        <v>1</v>
      </c>
      <c r="K1659" t="e">
        <f t="shared" ca="1" si="879"/>
        <v>#VALUE!</v>
      </c>
      <c r="L1659" t="e">
        <f t="shared" ca="1" si="875"/>
        <v>#VALUE!</v>
      </c>
      <c r="M1659" t="e">
        <f t="shared" ca="1" si="849"/>
        <v>#VALUE!</v>
      </c>
      <c r="N1659" t="e">
        <f t="shared" ca="1" si="850"/>
        <v>#VALUE!</v>
      </c>
      <c r="O1659" t="e">
        <f t="shared" ca="1" si="851"/>
        <v>#VALUE!</v>
      </c>
      <c r="P1659" t="e">
        <f t="shared" ca="1" si="852"/>
        <v>#VALUE!</v>
      </c>
      <c r="Q1659" t="e">
        <f t="shared" ca="1" si="853"/>
        <v>#VALUE!</v>
      </c>
      <c r="R1659" t="e">
        <f t="shared" ca="1" si="854"/>
        <v>#VALUE!</v>
      </c>
      <c r="S1659" t="e">
        <f t="shared" ca="1" si="855"/>
        <v>#VALUE!</v>
      </c>
      <c r="T1659" t="e">
        <f t="shared" ca="1" si="856"/>
        <v>#VALUE!</v>
      </c>
      <c r="U1659" t="e">
        <f t="shared" ca="1" si="876"/>
        <v>#VALUE!</v>
      </c>
      <c r="V1659" t="e">
        <f t="shared" ca="1" si="877"/>
        <v>#VALUE!</v>
      </c>
      <c r="W1659" t="e">
        <f t="shared" ca="1" si="857"/>
        <v>#VALUE!</v>
      </c>
      <c r="X1659" t="e">
        <f t="shared" ca="1" si="858"/>
        <v>#VALUE!</v>
      </c>
      <c r="Y1659" t="e">
        <f t="shared" ca="1" si="859"/>
        <v>#VALUE!</v>
      </c>
      <c r="Z1659" t="e">
        <f t="shared" ca="1" si="860"/>
        <v>#VALUE!</v>
      </c>
      <c r="AA1659" t="e">
        <f t="shared" ca="1" si="861"/>
        <v>#VALUE!</v>
      </c>
      <c r="AB1659" t="e">
        <f t="shared" ca="1" si="862"/>
        <v>#VALUE!</v>
      </c>
      <c r="AC1659" t="e">
        <f t="shared" ca="1" si="863"/>
        <v>#VALUE!</v>
      </c>
      <c r="AD1659" t="e">
        <f t="shared" ca="1" si="864"/>
        <v>#VALUE!</v>
      </c>
      <c r="AE1659" t="e">
        <f t="shared" ca="1" si="865"/>
        <v>#VALUE!</v>
      </c>
      <c r="AF1659" t="e">
        <f t="shared" ca="1" si="866"/>
        <v>#VALUE!</v>
      </c>
      <c r="AG1659" t="e">
        <f t="shared" ca="1" si="867"/>
        <v>#VALUE!</v>
      </c>
      <c r="AH1659" t="e">
        <f ca="1">IF(V36="Supercritical",L1659,IF(V36="Subcritical",W1659,IF(AND(V1659=1,AG1659=1),IF(T1659&gt;=AE1659,L1659,W1659),IF(V1659=1,L1659,IF(AG1659=1,W1659,MAX($D$16,POWER((ABS(K1659)^2)/($I$5*MAX(F1659,0.1)^2),1/3)))))))</f>
        <v>#VALUE!</v>
      </c>
      <c r="AI1659" t="e">
        <f t="shared" ca="1" si="868"/>
        <v>#VALUE!</v>
      </c>
      <c r="AJ1659" t="e">
        <f t="shared" ca="1" si="869"/>
        <v>#VALUE!</v>
      </c>
      <c r="AM1659">
        <v>0</v>
      </c>
      <c r="AN1659">
        <v>0</v>
      </c>
      <c r="AO1659">
        <f t="shared" si="870"/>
        <v>0</v>
      </c>
      <c r="AP1659">
        <f t="shared" si="878"/>
        <v>0</v>
      </c>
      <c r="AQ1659" t="e">
        <f t="shared" ca="1" si="871"/>
        <v>#VALUE!</v>
      </c>
      <c r="AR1659" t="e">
        <f t="shared" ca="1" si="872"/>
        <v>#VALUE!</v>
      </c>
      <c r="AS1659" t="e">
        <f t="shared" ca="1" si="873"/>
        <v>#VALUE!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191</v>
      </c>
      <c r="I1660">
        <v>2E-3</v>
      </c>
      <c r="J1660">
        <f t="shared" si="874"/>
        <v>1.0009999999999994</v>
      </c>
      <c r="K1660" t="e">
        <f t="shared" ca="1" si="879"/>
        <v>#VALUE!</v>
      </c>
      <c r="L1660" t="e">
        <f t="shared" ca="1" si="875"/>
        <v>#VALUE!</v>
      </c>
      <c r="M1660" t="e">
        <f t="shared" ca="1" si="849"/>
        <v>#VALUE!</v>
      </c>
      <c r="N1660" t="e">
        <f t="shared" ca="1" si="850"/>
        <v>#VALUE!</v>
      </c>
      <c r="O1660" t="e">
        <f t="shared" ca="1" si="851"/>
        <v>#VALUE!</v>
      </c>
      <c r="P1660" t="e">
        <f t="shared" ca="1" si="852"/>
        <v>#VALUE!</v>
      </c>
      <c r="Q1660" t="e">
        <f t="shared" ca="1" si="853"/>
        <v>#VALUE!</v>
      </c>
      <c r="R1660" t="e">
        <f t="shared" ca="1" si="854"/>
        <v>#VALUE!</v>
      </c>
      <c r="S1660" t="e">
        <f t="shared" ca="1" si="855"/>
        <v>#VALUE!</v>
      </c>
      <c r="T1660" t="e">
        <f t="shared" ca="1" si="856"/>
        <v>#VALUE!</v>
      </c>
      <c r="U1660" t="e">
        <f t="shared" ca="1" si="876"/>
        <v>#VALUE!</v>
      </c>
      <c r="V1660" t="e">
        <f t="shared" ca="1" si="877"/>
        <v>#VALUE!</v>
      </c>
      <c r="W1660" t="e">
        <f t="shared" ca="1" si="857"/>
        <v>#VALUE!</v>
      </c>
      <c r="X1660" t="e">
        <f t="shared" ca="1" si="858"/>
        <v>#VALUE!</v>
      </c>
      <c r="Y1660" t="e">
        <f t="shared" ca="1" si="859"/>
        <v>#VALUE!</v>
      </c>
      <c r="Z1660" t="e">
        <f t="shared" ca="1" si="860"/>
        <v>#VALUE!</v>
      </c>
      <c r="AA1660" t="e">
        <f t="shared" ca="1" si="861"/>
        <v>#VALUE!</v>
      </c>
      <c r="AB1660" t="e">
        <f t="shared" ca="1" si="862"/>
        <v>#VALUE!</v>
      </c>
      <c r="AC1660" t="e">
        <f t="shared" ca="1" si="863"/>
        <v>#VALUE!</v>
      </c>
      <c r="AD1660" t="e">
        <f t="shared" ca="1" si="864"/>
        <v>#VALUE!</v>
      </c>
      <c r="AE1660" t="e">
        <f t="shared" ca="1" si="865"/>
        <v>#VALUE!</v>
      </c>
      <c r="AF1660" t="e">
        <f t="shared" ca="1" si="866"/>
        <v>#VALUE!</v>
      </c>
      <c r="AG1660" t="e">
        <f t="shared" ca="1" si="867"/>
        <v>#VALUE!</v>
      </c>
      <c r="AH1660" t="e">
        <f ca="1">IF(V36="Supercritical",L1660,IF(V36="Subcritical",W1660,IF(AND(V1660=1,AG1660=1),IF(T1660&gt;=AE1660,L1660,W1660),IF(V1660=1,L1660,IF(AG1660=1,W1660,MAX($D$16,POWER((ABS(K1660)^2)/($I$5*MAX(F1660,0.1)^2),1/3)))))))</f>
        <v>#VALUE!</v>
      </c>
      <c r="AI1660" t="e">
        <f t="shared" ca="1" si="868"/>
        <v>#VALUE!</v>
      </c>
      <c r="AJ1660" t="e">
        <f t="shared" ca="1" si="869"/>
        <v>#VALUE!</v>
      </c>
      <c r="AM1660">
        <v>0</v>
      </c>
      <c r="AN1660">
        <v>0</v>
      </c>
      <c r="AO1660">
        <f t="shared" si="870"/>
        <v>0</v>
      </c>
      <c r="AP1660">
        <f t="shared" si="878"/>
        <v>0</v>
      </c>
      <c r="AQ1660" t="e">
        <f t="shared" ca="1" si="871"/>
        <v>#VALUE!</v>
      </c>
      <c r="AR1660" t="e">
        <f t="shared" ca="1" si="872"/>
        <v>#VALUE!</v>
      </c>
      <c r="AS1660" t="e">
        <f t="shared" ca="1" si="873"/>
        <v>#VALUE!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191</v>
      </c>
      <c r="I1661">
        <v>5.7000000000000002E-2</v>
      </c>
      <c r="J1661">
        <f t="shared" si="874"/>
        <v>0.99900000000000055</v>
      </c>
      <c r="K1661" t="e">
        <f t="shared" ca="1" si="879"/>
        <v>#VALUE!</v>
      </c>
      <c r="L1661" t="e">
        <f t="shared" ca="1" si="875"/>
        <v>#VALUE!</v>
      </c>
      <c r="M1661" t="e">
        <f t="shared" ca="1" si="849"/>
        <v>#VALUE!</v>
      </c>
      <c r="N1661" t="e">
        <f t="shared" ca="1" si="850"/>
        <v>#VALUE!</v>
      </c>
      <c r="O1661" t="e">
        <f t="shared" ca="1" si="851"/>
        <v>#VALUE!</v>
      </c>
      <c r="P1661" t="e">
        <f t="shared" ca="1" si="852"/>
        <v>#VALUE!</v>
      </c>
      <c r="Q1661" t="e">
        <f t="shared" ca="1" si="853"/>
        <v>#VALUE!</v>
      </c>
      <c r="R1661" t="e">
        <f t="shared" ca="1" si="854"/>
        <v>#VALUE!</v>
      </c>
      <c r="S1661" t="e">
        <f t="shared" ca="1" si="855"/>
        <v>#VALUE!</v>
      </c>
      <c r="T1661" t="e">
        <f t="shared" ca="1" si="856"/>
        <v>#VALUE!</v>
      </c>
      <c r="U1661" t="e">
        <f t="shared" ca="1" si="876"/>
        <v>#VALUE!</v>
      </c>
      <c r="V1661" t="e">
        <f t="shared" ca="1" si="877"/>
        <v>#VALUE!</v>
      </c>
      <c r="W1661" t="e">
        <f t="shared" ca="1" si="857"/>
        <v>#VALUE!</v>
      </c>
      <c r="X1661" t="e">
        <f t="shared" ca="1" si="858"/>
        <v>#VALUE!</v>
      </c>
      <c r="Y1661" t="e">
        <f t="shared" ca="1" si="859"/>
        <v>#VALUE!</v>
      </c>
      <c r="Z1661" t="e">
        <f t="shared" ca="1" si="860"/>
        <v>#VALUE!</v>
      </c>
      <c r="AA1661" t="e">
        <f t="shared" ca="1" si="861"/>
        <v>#VALUE!</v>
      </c>
      <c r="AB1661" t="e">
        <f t="shared" ca="1" si="862"/>
        <v>#VALUE!</v>
      </c>
      <c r="AC1661" t="e">
        <f t="shared" ca="1" si="863"/>
        <v>#VALUE!</v>
      </c>
      <c r="AD1661" t="e">
        <f t="shared" ca="1" si="864"/>
        <v>#VALUE!</v>
      </c>
      <c r="AE1661" t="e">
        <f t="shared" ca="1" si="865"/>
        <v>#VALUE!</v>
      </c>
      <c r="AF1661" t="e">
        <f t="shared" ca="1" si="866"/>
        <v>#VALUE!</v>
      </c>
      <c r="AG1661" t="e">
        <f t="shared" ca="1" si="867"/>
        <v>#VALUE!</v>
      </c>
      <c r="AH1661" t="e">
        <f ca="1">IF(V36="Supercritical",L1661,IF(V36="Subcritical",W1661,IF(AND(V1661=1,AG1661=1),IF(T1661&gt;=AE1661,L1661,W1661),IF(V1661=1,L1661,IF(AG1661=1,W1661,MAX($D$16,POWER((ABS(K1661)^2)/($I$5*MAX(F1661,0.1)^2),1/3)))))))</f>
        <v>#VALUE!</v>
      </c>
      <c r="AI1661" t="e">
        <f t="shared" ca="1" si="868"/>
        <v>#VALUE!</v>
      </c>
      <c r="AJ1661" t="e">
        <f t="shared" ca="1" si="869"/>
        <v>#VALUE!</v>
      </c>
      <c r="AM1661">
        <v>0</v>
      </c>
      <c r="AN1661">
        <v>0</v>
      </c>
      <c r="AO1661">
        <f t="shared" si="870"/>
        <v>0</v>
      </c>
      <c r="AP1661">
        <f t="shared" si="878"/>
        <v>0</v>
      </c>
      <c r="AQ1661" t="e">
        <f t="shared" ca="1" si="871"/>
        <v>#VALUE!</v>
      </c>
      <c r="AR1661" t="e">
        <f t="shared" ca="1" si="872"/>
        <v>#VALUE!</v>
      </c>
      <c r="AS1661" t="e">
        <f t="shared" ca="1" si="873"/>
        <v>#VALUE!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191</v>
      </c>
      <c r="I1662">
        <v>5.5E-2</v>
      </c>
      <c r="J1662">
        <f t="shared" si="874"/>
        <v>1</v>
      </c>
      <c r="K1662" t="e">
        <f t="shared" ca="1" si="879"/>
        <v>#VALUE!</v>
      </c>
      <c r="L1662" t="e">
        <f t="shared" ca="1" si="875"/>
        <v>#VALUE!</v>
      </c>
      <c r="M1662" t="e">
        <f t="shared" ca="1" si="849"/>
        <v>#VALUE!</v>
      </c>
      <c r="N1662" t="e">
        <f t="shared" ca="1" si="850"/>
        <v>#VALUE!</v>
      </c>
      <c r="O1662" t="e">
        <f t="shared" ca="1" si="851"/>
        <v>#VALUE!</v>
      </c>
      <c r="P1662" t="e">
        <f t="shared" ca="1" si="852"/>
        <v>#VALUE!</v>
      </c>
      <c r="Q1662" t="e">
        <f t="shared" ca="1" si="853"/>
        <v>#VALUE!</v>
      </c>
      <c r="R1662" t="e">
        <f t="shared" ca="1" si="854"/>
        <v>#VALUE!</v>
      </c>
      <c r="S1662" t="e">
        <f t="shared" ca="1" si="855"/>
        <v>#VALUE!</v>
      </c>
      <c r="T1662" t="e">
        <f t="shared" ca="1" si="856"/>
        <v>#VALUE!</v>
      </c>
      <c r="U1662" t="e">
        <f t="shared" ca="1" si="876"/>
        <v>#VALUE!</v>
      </c>
      <c r="V1662" t="e">
        <f t="shared" ca="1" si="877"/>
        <v>#VALUE!</v>
      </c>
      <c r="W1662" t="e">
        <f t="shared" ca="1" si="857"/>
        <v>#VALUE!</v>
      </c>
      <c r="X1662" t="e">
        <f t="shared" ca="1" si="858"/>
        <v>#VALUE!</v>
      </c>
      <c r="Y1662" t="e">
        <f t="shared" ca="1" si="859"/>
        <v>#VALUE!</v>
      </c>
      <c r="Z1662" t="e">
        <f t="shared" ca="1" si="860"/>
        <v>#VALUE!</v>
      </c>
      <c r="AA1662" t="e">
        <f t="shared" ca="1" si="861"/>
        <v>#VALUE!</v>
      </c>
      <c r="AB1662" t="e">
        <f t="shared" ca="1" si="862"/>
        <v>#VALUE!</v>
      </c>
      <c r="AC1662" t="e">
        <f t="shared" ca="1" si="863"/>
        <v>#VALUE!</v>
      </c>
      <c r="AD1662" t="e">
        <f t="shared" ca="1" si="864"/>
        <v>#VALUE!</v>
      </c>
      <c r="AE1662" t="e">
        <f t="shared" ca="1" si="865"/>
        <v>#VALUE!</v>
      </c>
      <c r="AF1662" t="e">
        <f t="shared" ca="1" si="866"/>
        <v>#VALUE!</v>
      </c>
      <c r="AG1662" t="e">
        <f t="shared" ca="1" si="867"/>
        <v>#VALUE!</v>
      </c>
      <c r="AH1662" t="e">
        <f ca="1">IF(V36="Supercritical",L1662,IF(V36="Subcritical",W1662,IF(AND(V1662=1,AG1662=1),IF(T1662&gt;=AE1662,L1662,W1662),IF(V1662=1,L1662,IF(AG1662=1,W1662,MAX($D$16,POWER((ABS(K1662)^2)/($I$5*MAX(F1662,0.1)^2),1/3)))))))</f>
        <v>#VALUE!</v>
      </c>
      <c r="AI1662" t="e">
        <f t="shared" ca="1" si="868"/>
        <v>#VALUE!</v>
      </c>
      <c r="AJ1662" t="e">
        <f t="shared" ca="1" si="869"/>
        <v>#VALUE!</v>
      </c>
      <c r="AM1662">
        <v>0</v>
      </c>
      <c r="AN1662">
        <v>0</v>
      </c>
      <c r="AO1662">
        <f t="shared" si="870"/>
        <v>0</v>
      </c>
      <c r="AP1662">
        <f t="shared" si="878"/>
        <v>0</v>
      </c>
      <c r="AQ1662" t="e">
        <f t="shared" ca="1" si="871"/>
        <v>#VALUE!</v>
      </c>
      <c r="AR1662" t="e">
        <f t="shared" ca="1" si="872"/>
        <v>#VALUE!</v>
      </c>
      <c r="AS1662" t="e">
        <f t="shared" ca="1" si="873"/>
        <v>#VALUE!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191</v>
      </c>
      <c r="I1663">
        <v>2E-3</v>
      </c>
      <c r="J1663">
        <f t="shared" si="874"/>
        <v>1.0009999999999994</v>
      </c>
      <c r="K1663" t="e">
        <f t="shared" ca="1" si="879"/>
        <v>#VALUE!</v>
      </c>
      <c r="L1663" t="e">
        <f t="shared" ca="1" si="875"/>
        <v>#VALUE!</v>
      </c>
      <c r="M1663" t="e">
        <f t="shared" ca="1" si="849"/>
        <v>#VALUE!</v>
      </c>
      <c r="N1663" t="e">
        <f t="shared" ca="1" si="850"/>
        <v>#VALUE!</v>
      </c>
      <c r="O1663" t="e">
        <f t="shared" ca="1" si="851"/>
        <v>#VALUE!</v>
      </c>
      <c r="P1663" t="e">
        <f t="shared" ca="1" si="852"/>
        <v>#VALUE!</v>
      </c>
      <c r="Q1663" t="e">
        <f t="shared" ca="1" si="853"/>
        <v>#VALUE!</v>
      </c>
      <c r="R1663" t="e">
        <f t="shared" ca="1" si="854"/>
        <v>#VALUE!</v>
      </c>
      <c r="S1663" t="e">
        <f t="shared" ca="1" si="855"/>
        <v>#VALUE!</v>
      </c>
      <c r="T1663" t="e">
        <f t="shared" ca="1" si="856"/>
        <v>#VALUE!</v>
      </c>
      <c r="U1663" t="e">
        <f t="shared" ca="1" si="876"/>
        <v>#VALUE!</v>
      </c>
      <c r="V1663" t="e">
        <f t="shared" ca="1" si="877"/>
        <v>#VALUE!</v>
      </c>
      <c r="W1663" t="e">
        <f t="shared" ca="1" si="857"/>
        <v>#VALUE!</v>
      </c>
      <c r="X1663" t="e">
        <f t="shared" ca="1" si="858"/>
        <v>#VALUE!</v>
      </c>
      <c r="Y1663" t="e">
        <f t="shared" ca="1" si="859"/>
        <v>#VALUE!</v>
      </c>
      <c r="Z1663" t="e">
        <f t="shared" ca="1" si="860"/>
        <v>#VALUE!</v>
      </c>
      <c r="AA1663" t="e">
        <f t="shared" ca="1" si="861"/>
        <v>#VALUE!</v>
      </c>
      <c r="AB1663" t="e">
        <f t="shared" ca="1" si="862"/>
        <v>#VALUE!</v>
      </c>
      <c r="AC1663" t="e">
        <f t="shared" ca="1" si="863"/>
        <v>#VALUE!</v>
      </c>
      <c r="AD1663" t="e">
        <f t="shared" ca="1" si="864"/>
        <v>#VALUE!</v>
      </c>
      <c r="AE1663" t="e">
        <f t="shared" ca="1" si="865"/>
        <v>#VALUE!</v>
      </c>
      <c r="AF1663" t="e">
        <f t="shared" ca="1" si="866"/>
        <v>#VALUE!</v>
      </c>
      <c r="AG1663" t="e">
        <f t="shared" ca="1" si="867"/>
        <v>#VALUE!</v>
      </c>
      <c r="AH1663" t="e">
        <f ca="1">IF(V36="Supercritical",L1663,IF(V36="Subcritical",W1663,IF(AND(V1663=1,AG1663=1),IF(T1663&gt;=AE1663,L1663,W1663),IF(V1663=1,L1663,IF(AG1663=1,W1663,MAX($D$16,POWER((ABS(K1663)^2)/($I$5*MAX(F1663,0.1)^2),1/3)))))))</f>
        <v>#VALUE!</v>
      </c>
      <c r="AI1663" t="e">
        <f t="shared" ca="1" si="868"/>
        <v>#VALUE!</v>
      </c>
      <c r="AJ1663" t="e">
        <f t="shared" ca="1" si="869"/>
        <v>#VALUE!</v>
      </c>
      <c r="AM1663">
        <v>0</v>
      </c>
      <c r="AN1663">
        <v>0</v>
      </c>
      <c r="AO1663">
        <f t="shared" si="870"/>
        <v>0</v>
      </c>
      <c r="AP1663">
        <f t="shared" si="878"/>
        <v>0</v>
      </c>
      <c r="AQ1663" t="e">
        <f t="shared" ca="1" si="871"/>
        <v>#VALUE!</v>
      </c>
      <c r="AR1663" t="e">
        <f t="shared" ca="1" si="872"/>
        <v>#VALUE!</v>
      </c>
      <c r="AS1663" t="e">
        <f t="shared" ca="1" si="873"/>
        <v>#VALUE!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191</v>
      </c>
      <c r="I1664">
        <v>5.7000000000000002E-2</v>
      </c>
      <c r="J1664">
        <f t="shared" si="874"/>
        <v>1</v>
      </c>
      <c r="K1664" t="e">
        <f t="shared" ca="1" si="879"/>
        <v>#VALUE!</v>
      </c>
      <c r="L1664" t="e">
        <f t="shared" ca="1" si="875"/>
        <v>#VALUE!</v>
      </c>
      <c r="M1664" t="e">
        <f t="shared" ca="1" si="849"/>
        <v>#VALUE!</v>
      </c>
      <c r="N1664" t="e">
        <f t="shared" ca="1" si="850"/>
        <v>#VALUE!</v>
      </c>
      <c r="O1664" t="e">
        <f t="shared" ca="1" si="851"/>
        <v>#VALUE!</v>
      </c>
      <c r="P1664" t="e">
        <f t="shared" ca="1" si="852"/>
        <v>#VALUE!</v>
      </c>
      <c r="Q1664" t="e">
        <f t="shared" ca="1" si="853"/>
        <v>#VALUE!</v>
      </c>
      <c r="R1664" t="e">
        <f t="shared" ca="1" si="854"/>
        <v>#VALUE!</v>
      </c>
      <c r="S1664" t="e">
        <f t="shared" ca="1" si="855"/>
        <v>#VALUE!</v>
      </c>
      <c r="T1664" t="e">
        <f t="shared" ca="1" si="856"/>
        <v>#VALUE!</v>
      </c>
      <c r="U1664" t="e">
        <f t="shared" ca="1" si="876"/>
        <v>#VALUE!</v>
      </c>
      <c r="V1664" t="e">
        <f t="shared" ca="1" si="877"/>
        <v>#VALUE!</v>
      </c>
      <c r="W1664" t="e">
        <f t="shared" ca="1" si="857"/>
        <v>#VALUE!</v>
      </c>
      <c r="X1664" t="e">
        <f t="shared" ca="1" si="858"/>
        <v>#VALUE!</v>
      </c>
      <c r="Y1664" t="e">
        <f t="shared" ca="1" si="859"/>
        <v>#VALUE!</v>
      </c>
      <c r="Z1664" t="e">
        <f t="shared" ca="1" si="860"/>
        <v>#VALUE!</v>
      </c>
      <c r="AA1664" t="e">
        <f t="shared" ca="1" si="861"/>
        <v>#VALUE!</v>
      </c>
      <c r="AB1664" t="e">
        <f t="shared" ca="1" si="862"/>
        <v>#VALUE!</v>
      </c>
      <c r="AC1664" t="e">
        <f t="shared" ca="1" si="863"/>
        <v>#VALUE!</v>
      </c>
      <c r="AD1664" t="e">
        <f t="shared" ca="1" si="864"/>
        <v>#VALUE!</v>
      </c>
      <c r="AE1664" t="e">
        <f t="shared" ca="1" si="865"/>
        <v>#VALUE!</v>
      </c>
      <c r="AF1664" t="e">
        <f t="shared" ca="1" si="866"/>
        <v>#VALUE!</v>
      </c>
      <c r="AG1664" t="e">
        <f t="shared" ca="1" si="867"/>
        <v>#VALUE!</v>
      </c>
      <c r="AH1664" t="e">
        <f ca="1">IF(V36="Supercritical",L1664,IF(V36="Subcritical",W1664,IF(AND(V1664=1,AG1664=1),IF(T1664&gt;=AE1664,L1664,W1664),IF(V1664=1,L1664,IF(AG1664=1,W1664,MAX($D$16,POWER((ABS(K1664)^2)/($I$5*MAX(F1664,0.1)^2),1/3)))))))</f>
        <v>#VALUE!</v>
      </c>
      <c r="AI1664" t="e">
        <f t="shared" ca="1" si="868"/>
        <v>#VALUE!</v>
      </c>
      <c r="AJ1664" t="e">
        <f t="shared" ca="1" si="869"/>
        <v>#VALUE!</v>
      </c>
      <c r="AM1664">
        <v>0</v>
      </c>
      <c r="AN1664">
        <v>0</v>
      </c>
      <c r="AO1664">
        <f t="shared" si="870"/>
        <v>0</v>
      </c>
      <c r="AP1664">
        <f t="shared" si="878"/>
        <v>0</v>
      </c>
      <c r="AQ1664" t="e">
        <f t="shared" ca="1" si="871"/>
        <v>#VALUE!</v>
      </c>
      <c r="AR1664" t="e">
        <f t="shared" ca="1" si="872"/>
        <v>#VALUE!</v>
      </c>
      <c r="AS1664" t="e">
        <f t="shared" ca="1" si="873"/>
        <v>#VALUE!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191</v>
      </c>
      <c r="I1665">
        <v>5.7000000000000002E-2</v>
      </c>
      <c r="J1665">
        <f t="shared" si="874"/>
        <v>0.99900000000000055</v>
      </c>
      <c r="K1665" t="e">
        <f t="shared" ca="1" si="879"/>
        <v>#VALUE!</v>
      </c>
      <c r="L1665" t="e">
        <f t="shared" ca="1" si="875"/>
        <v>#VALUE!</v>
      </c>
      <c r="M1665" t="e">
        <f t="shared" ca="1" si="849"/>
        <v>#VALUE!</v>
      </c>
      <c r="N1665" t="e">
        <f t="shared" ca="1" si="850"/>
        <v>#VALUE!</v>
      </c>
      <c r="O1665" t="e">
        <f t="shared" ca="1" si="851"/>
        <v>#VALUE!</v>
      </c>
      <c r="P1665" t="e">
        <f t="shared" ca="1" si="852"/>
        <v>#VALUE!</v>
      </c>
      <c r="Q1665" t="e">
        <f t="shared" ca="1" si="853"/>
        <v>#VALUE!</v>
      </c>
      <c r="R1665" t="e">
        <f t="shared" ca="1" si="854"/>
        <v>#VALUE!</v>
      </c>
      <c r="S1665" t="e">
        <f t="shared" ca="1" si="855"/>
        <v>#VALUE!</v>
      </c>
      <c r="T1665" t="e">
        <f t="shared" ca="1" si="856"/>
        <v>#VALUE!</v>
      </c>
      <c r="U1665" t="e">
        <f t="shared" ca="1" si="876"/>
        <v>#VALUE!</v>
      </c>
      <c r="V1665" t="e">
        <f t="shared" ca="1" si="877"/>
        <v>#VALUE!</v>
      </c>
      <c r="W1665" t="e">
        <f t="shared" ca="1" si="857"/>
        <v>#VALUE!</v>
      </c>
      <c r="X1665" t="e">
        <f t="shared" ca="1" si="858"/>
        <v>#VALUE!</v>
      </c>
      <c r="Y1665" t="e">
        <f t="shared" ca="1" si="859"/>
        <v>#VALUE!</v>
      </c>
      <c r="Z1665" t="e">
        <f t="shared" ca="1" si="860"/>
        <v>#VALUE!</v>
      </c>
      <c r="AA1665" t="e">
        <f t="shared" ca="1" si="861"/>
        <v>#VALUE!</v>
      </c>
      <c r="AB1665" t="e">
        <f t="shared" ca="1" si="862"/>
        <v>#VALUE!</v>
      </c>
      <c r="AC1665" t="e">
        <f t="shared" ca="1" si="863"/>
        <v>#VALUE!</v>
      </c>
      <c r="AD1665" t="e">
        <f t="shared" ca="1" si="864"/>
        <v>#VALUE!</v>
      </c>
      <c r="AE1665" t="e">
        <f t="shared" ca="1" si="865"/>
        <v>#VALUE!</v>
      </c>
      <c r="AF1665" t="e">
        <f t="shared" ca="1" si="866"/>
        <v>#VALUE!</v>
      </c>
      <c r="AG1665" t="e">
        <f t="shared" ca="1" si="867"/>
        <v>#VALUE!</v>
      </c>
      <c r="AH1665" t="e">
        <f ca="1">IF(V36="Supercritical",L1665,IF(V36="Subcritical",W1665,IF(AND(V1665=1,AG1665=1),IF(T1665&gt;=AE1665,L1665,W1665),IF(V1665=1,L1665,IF(AG1665=1,W1665,MAX($D$16,POWER((ABS(K1665)^2)/($I$5*MAX(F1665,0.1)^2),1/3)))))))</f>
        <v>#VALUE!</v>
      </c>
      <c r="AI1665" t="e">
        <f t="shared" ca="1" si="868"/>
        <v>#VALUE!</v>
      </c>
      <c r="AJ1665" t="e">
        <f t="shared" ca="1" si="869"/>
        <v>#VALUE!</v>
      </c>
      <c r="AM1665">
        <v>0</v>
      </c>
      <c r="AN1665">
        <v>0</v>
      </c>
      <c r="AO1665">
        <f t="shared" si="870"/>
        <v>0</v>
      </c>
      <c r="AP1665">
        <f t="shared" si="878"/>
        <v>0</v>
      </c>
      <c r="AQ1665" t="e">
        <f t="shared" ca="1" si="871"/>
        <v>#VALUE!</v>
      </c>
      <c r="AR1665" t="e">
        <f t="shared" ca="1" si="872"/>
        <v>#VALUE!</v>
      </c>
      <c r="AS1665" t="e">
        <f t="shared" ca="1" si="873"/>
        <v>#VALUE!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191</v>
      </c>
      <c r="I1666">
        <v>2E-3</v>
      </c>
      <c r="J1666">
        <f t="shared" si="874"/>
        <v>1</v>
      </c>
      <c r="K1666" t="e">
        <f t="shared" ca="1" si="879"/>
        <v>#VALUE!</v>
      </c>
      <c r="L1666" t="e">
        <f t="shared" ca="1" si="875"/>
        <v>#VALUE!</v>
      </c>
      <c r="M1666" t="e">
        <f t="shared" ca="1" si="849"/>
        <v>#VALUE!</v>
      </c>
      <c r="N1666" t="e">
        <f t="shared" ca="1" si="850"/>
        <v>#VALUE!</v>
      </c>
      <c r="O1666" t="e">
        <f t="shared" ca="1" si="851"/>
        <v>#VALUE!</v>
      </c>
      <c r="P1666" t="e">
        <f t="shared" ca="1" si="852"/>
        <v>#VALUE!</v>
      </c>
      <c r="Q1666" t="e">
        <f t="shared" ca="1" si="853"/>
        <v>#VALUE!</v>
      </c>
      <c r="R1666" t="e">
        <f t="shared" ca="1" si="854"/>
        <v>#VALUE!</v>
      </c>
      <c r="S1666" t="e">
        <f t="shared" ca="1" si="855"/>
        <v>#VALUE!</v>
      </c>
      <c r="T1666" t="e">
        <f t="shared" ca="1" si="856"/>
        <v>#VALUE!</v>
      </c>
      <c r="U1666" t="e">
        <f t="shared" ca="1" si="876"/>
        <v>#VALUE!</v>
      </c>
      <c r="V1666" t="e">
        <f t="shared" ca="1" si="877"/>
        <v>#VALUE!</v>
      </c>
      <c r="W1666" t="e">
        <f t="shared" ca="1" si="857"/>
        <v>#VALUE!</v>
      </c>
      <c r="X1666" t="e">
        <f t="shared" ca="1" si="858"/>
        <v>#VALUE!</v>
      </c>
      <c r="Y1666" t="e">
        <f t="shared" ca="1" si="859"/>
        <v>#VALUE!</v>
      </c>
      <c r="Z1666" t="e">
        <f t="shared" ca="1" si="860"/>
        <v>#VALUE!</v>
      </c>
      <c r="AA1666" t="e">
        <f t="shared" ca="1" si="861"/>
        <v>#VALUE!</v>
      </c>
      <c r="AB1666" t="e">
        <f t="shared" ca="1" si="862"/>
        <v>#VALUE!</v>
      </c>
      <c r="AC1666" t="e">
        <f t="shared" ca="1" si="863"/>
        <v>#VALUE!</v>
      </c>
      <c r="AD1666" t="e">
        <f t="shared" ca="1" si="864"/>
        <v>#VALUE!</v>
      </c>
      <c r="AE1666" t="e">
        <f t="shared" ca="1" si="865"/>
        <v>#VALUE!</v>
      </c>
      <c r="AF1666" t="e">
        <f t="shared" ca="1" si="866"/>
        <v>#VALUE!</v>
      </c>
      <c r="AG1666" t="e">
        <f t="shared" ca="1" si="867"/>
        <v>#VALUE!</v>
      </c>
      <c r="AH1666" t="e">
        <f ca="1">IF(V36="Supercritical",L1666,IF(V36="Subcritical",W1666,IF(AND(V1666=1,AG1666=1),IF(T1666&gt;=AE1666,L1666,W1666),IF(V1666=1,L1666,IF(AG1666=1,W1666,MAX($D$16,POWER((ABS(K1666)^2)/($I$5*MAX(F1666,0.1)^2),1/3)))))))</f>
        <v>#VALUE!</v>
      </c>
      <c r="AI1666" t="e">
        <f t="shared" ca="1" si="868"/>
        <v>#VALUE!</v>
      </c>
      <c r="AJ1666" t="e">
        <f t="shared" ca="1" si="869"/>
        <v>#VALUE!</v>
      </c>
      <c r="AM1666">
        <v>0</v>
      </c>
      <c r="AN1666">
        <v>0</v>
      </c>
      <c r="AO1666">
        <f t="shared" si="870"/>
        <v>0</v>
      </c>
      <c r="AP1666">
        <f t="shared" si="878"/>
        <v>0</v>
      </c>
      <c r="AQ1666" t="e">
        <f t="shared" ca="1" si="871"/>
        <v>#VALUE!</v>
      </c>
      <c r="AR1666" t="e">
        <f t="shared" ca="1" si="872"/>
        <v>#VALUE!</v>
      </c>
      <c r="AS1666" t="e">
        <f t="shared" ca="1" si="873"/>
        <v>#VALUE!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191</v>
      </c>
      <c r="I1667">
        <v>5.5E-2</v>
      </c>
      <c r="J1667">
        <f t="shared" si="874"/>
        <v>1.0009999999999977</v>
      </c>
      <c r="K1667" t="e">
        <f t="shared" ca="1" si="879"/>
        <v>#VALUE!</v>
      </c>
      <c r="L1667" t="e">
        <f t="shared" ca="1" si="875"/>
        <v>#VALUE!</v>
      </c>
      <c r="M1667" t="e">
        <f t="shared" ca="1" si="849"/>
        <v>#VALUE!</v>
      </c>
      <c r="N1667" t="e">
        <f t="shared" ca="1" si="850"/>
        <v>#VALUE!</v>
      </c>
      <c r="O1667" t="e">
        <f t="shared" ca="1" si="851"/>
        <v>#VALUE!</v>
      </c>
      <c r="P1667" t="e">
        <f t="shared" ca="1" si="852"/>
        <v>#VALUE!</v>
      </c>
      <c r="Q1667" t="e">
        <f t="shared" ca="1" si="853"/>
        <v>#VALUE!</v>
      </c>
      <c r="R1667" t="e">
        <f t="shared" ca="1" si="854"/>
        <v>#VALUE!</v>
      </c>
      <c r="S1667" t="e">
        <f t="shared" ca="1" si="855"/>
        <v>#VALUE!</v>
      </c>
      <c r="T1667" t="e">
        <f t="shared" ca="1" si="856"/>
        <v>#VALUE!</v>
      </c>
      <c r="U1667" t="e">
        <f t="shared" ca="1" si="876"/>
        <v>#VALUE!</v>
      </c>
      <c r="V1667" t="e">
        <f t="shared" ca="1" si="877"/>
        <v>#VALUE!</v>
      </c>
      <c r="W1667" t="e">
        <f t="shared" ca="1" si="857"/>
        <v>#VALUE!</v>
      </c>
      <c r="X1667" t="e">
        <f t="shared" ca="1" si="858"/>
        <v>#VALUE!</v>
      </c>
      <c r="Y1667" t="e">
        <f t="shared" ca="1" si="859"/>
        <v>#VALUE!</v>
      </c>
      <c r="Z1667" t="e">
        <f t="shared" ca="1" si="860"/>
        <v>#VALUE!</v>
      </c>
      <c r="AA1667" t="e">
        <f t="shared" ca="1" si="861"/>
        <v>#VALUE!</v>
      </c>
      <c r="AB1667" t="e">
        <f t="shared" ca="1" si="862"/>
        <v>#VALUE!</v>
      </c>
      <c r="AC1667" t="e">
        <f t="shared" ca="1" si="863"/>
        <v>#VALUE!</v>
      </c>
      <c r="AD1667" t="e">
        <f t="shared" ca="1" si="864"/>
        <v>#VALUE!</v>
      </c>
      <c r="AE1667" t="e">
        <f t="shared" ca="1" si="865"/>
        <v>#VALUE!</v>
      </c>
      <c r="AF1667" t="e">
        <f t="shared" ca="1" si="866"/>
        <v>#VALUE!</v>
      </c>
      <c r="AG1667" t="e">
        <f t="shared" ca="1" si="867"/>
        <v>#VALUE!</v>
      </c>
      <c r="AH1667" t="e">
        <f ca="1">IF(V36="Supercritical",L1667,IF(V36="Subcritical",W1667,IF(AND(V1667=1,AG1667=1),IF(T1667&gt;=AE1667,L1667,W1667),IF(V1667=1,L1667,IF(AG1667=1,W1667,MAX($D$16,POWER((ABS(K1667)^2)/($I$5*MAX(F1667,0.1)^2),1/3)))))))</f>
        <v>#VALUE!</v>
      </c>
      <c r="AI1667" t="e">
        <f t="shared" ca="1" si="868"/>
        <v>#VALUE!</v>
      </c>
      <c r="AJ1667" t="e">
        <f t="shared" ca="1" si="869"/>
        <v>#VALUE!</v>
      </c>
      <c r="AM1667">
        <v>0</v>
      </c>
      <c r="AN1667">
        <v>0</v>
      </c>
      <c r="AO1667">
        <f t="shared" si="870"/>
        <v>0</v>
      </c>
      <c r="AP1667">
        <f t="shared" si="878"/>
        <v>0</v>
      </c>
      <c r="AQ1667" t="e">
        <f t="shared" ca="1" si="871"/>
        <v>#VALUE!</v>
      </c>
      <c r="AR1667" t="e">
        <f t="shared" ca="1" si="872"/>
        <v>#VALUE!</v>
      </c>
      <c r="AS1667" t="e">
        <f t="shared" ca="1" si="873"/>
        <v>#VALUE!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191</v>
      </c>
      <c r="I1668">
        <v>9.3789999999999996</v>
      </c>
      <c r="J1668">
        <f t="shared" si="874"/>
        <v>0.99900000000000233</v>
      </c>
      <c r="K1668" t="e">
        <f t="shared" ca="1" si="879"/>
        <v>#VALUE!</v>
      </c>
      <c r="L1668" t="e">
        <f t="shared" ca="1" si="875"/>
        <v>#VALUE!</v>
      </c>
      <c r="M1668" t="e">
        <f t="shared" ca="1" si="849"/>
        <v>#VALUE!</v>
      </c>
      <c r="N1668" t="e">
        <f t="shared" ca="1" si="850"/>
        <v>#VALUE!</v>
      </c>
      <c r="O1668" t="e">
        <f t="shared" ca="1" si="851"/>
        <v>#VALUE!</v>
      </c>
      <c r="P1668" t="e">
        <f t="shared" ca="1" si="852"/>
        <v>#VALUE!</v>
      </c>
      <c r="Q1668" t="e">
        <f t="shared" ca="1" si="853"/>
        <v>#VALUE!</v>
      </c>
      <c r="R1668" t="e">
        <f t="shared" ca="1" si="854"/>
        <v>#VALUE!</v>
      </c>
      <c r="S1668" t="e">
        <f t="shared" ca="1" si="855"/>
        <v>#VALUE!</v>
      </c>
      <c r="T1668" t="e">
        <f t="shared" ca="1" si="856"/>
        <v>#VALUE!</v>
      </c>
      <c r="U1668" t="e">
        <f t="shared" ca="1" si="876"/>
        <v>#VALUE!</v>
      </c>
      <c r="V1668" t="e">
        <f t="shared" ca="1" si="877"/>
        <v>#VALUE!</v>
      </c>
      <c r="W1668" t="e">
        <f t="shared" ca="1" si="857"/>
        <v>#VALUE!</v>
      </c>
      <c r="X1668" t="e">
        <f t="shared" ca="1" si="858"/>
        <v>#VALUE!</v>
      </c>
      <c r="Y1668" t="e">
        <f t="shared" ca="1" si="859"/>
        <v>#VALUE!</v>
      </c>
      <c r="Z1668" t="e">
        <f t="shared" ca="1" si="860"/>
        <v>#VALUE!</v>
      </c>
      <c r="AA1668" t="e">
        <f t="shared" ca="1" si="861"/>
        <v>#VALUE!</v>
      </c>
      <c r="AB1668" t="e">
        <f t="shared" ca="1" si="862"/>
        <v>#VALUE!</v>
      </c>
      <c r="AC1668" t="e">
        <f t="shared" ca="1" si="863"/>
        <v>#VALUE!</v>
      </c>
      <c r="AD1668" t="e">
        <f t="shared" ca="1" si="864"/>
        <v>#VALUE!</v>
      </c>
      <c r="AE1668" t="e">
        <f t="shared" ca="1" si="865"/>
        <v>#VALUE!</v>
      </c>
      <c r="AF1668" t="e">
        <f t="shared" ca="1" si="866"/>
        <v>#VALUE!</v>
      </c>
      <c r="AG1668" t="e">
        <f t="shared" ca="1" si="867"/>
        <v>#VALUE!</v>
      </c>
      <c r="AH1668" t="e">
        <f ca="1">IF(V36="Supercritical",L1668,IF(V36="Subcritical",W1668,IF(AND(V1668=1,AG1668=1),IF(T1668&gt;=AE1668,L1668,W1668),IF(V1668=1,L1668,IF(AG1668=1,W1668,MAX($D$16,POWER((ABS(K1668)^2)/($I$5*MAX(F1668,0.1)^2),1/3)))))))</f>
        <v>#VALUE!</v>
      </c>
      <c r="AI1668" t="e">
        <f t="shared" ca="1" si="868"/>
        <v>#VALUE!</v>
      </c>
      <c r="AJ1668" t="e">
        <f t="shared" ca="1" si="869"/>
        <v>#VALUE!</v>
      </c>
      <c r="AM1668">
        <v>0</v>
      </c>
      <c r="AN1668">
        <v>0</v>
      </c>
      <c r="AO1668">
        <f t="shared" si="870"/>
        <v>0</v>
      </c>
      <c r="AP1668">
        <f t="shared" si="878"/>
        <v>0</v>
      </c>
      <c r="AQ1668" t="e">
        <f t="shared" ca="1" si="871"/>
        <v>#VALUE!</v>
      </c>
      <c r="AR1668" t="e">
        <f t="shared" ca="1" si="872"/>
        <v>#VALUE!</v>
      </c>
      <c r="AS1668" t="e">
        <f t="shared" ca="1" si="873"/>
        <v>#VALUE!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191</v>
      </c>
      <c r="I1669">
        <v>24.236999999999998</v>
      </c>
      <c r="J1669">
        <f t="shared" si="874"/>
        <v>0.96600000000000108</v>
      </c>
      <c r="K1669" t="e">
        <f t="shared" ca="1" si="879"/>
        <v>#VALUE!</v>
      </c>
      <c r="L1669" t="e">
        <f t="shared" ca="1" si="875"/>
        <v>#VALUE!</v>
      </c>
      <c r="M1669" t="e">
        <f t="shared" ca="1" si="849"/>
        <v>#VALUE!</v>
      </c>
      <c r="N1669" t="e">
        <f t="shared" ca="1" si="850"/>
        <v>#VALUE!</v>
      </c>
      <c r="O1669" t="e">
        <f t="shared" ca="1" si="851"/>
        <v>#VALUE!</v>
      </c>
      <c r="P1669" t="e">
        <f t="shared" ca="1" si="852"/>
        <v>#VALUE!</v>
      </c>
      <c r="Q1669" t="e">
        <f t="shared" ca="1" si="853"/>
        <v>#VALUE!</v>
      </c>
      <c r="R1669" t="e">
        <f t="shared" ca="1" si="854"/>
        <v>#VALUE!</v>
      </c>
      <c r="S1669" t="e">
        <f t="shared" ca="1" si="855"/>
        <v>#VALUE!</v>
      </c>
      <c r="T1669" t="e">
        <f t="shared" ca="1" si="856"/>
        <v>#VALUE!</v>
      </c>
      <c r="U1669" t="e">
        <f t="shared" ca="1" si="876"/>
        <v>#VALUE!</v>
      </c>
      <c r="V1669" t="e">
        <f t="shared" ca="1" si="877"/>
        <v>#VALUE!</v>
      </c>
      <c r="W1669" t="e">
        <f t="shared" ca="1" si="857"/>
        <v>#VALUE!</v>
      </c>
      <c r="X1669" t="e">
        <f t="shared" ca="1" si="858"/>
        <v>#VALUE!</v>
      </c>
      <c r="Y1669" t="e">
        <f t="shared" ca="1" si="859"/>
        <v>#VALUE!</v>
      </c>
      <c r="Z1669" t="e">
        <f t="shared" ca="1" si="860"/>
        <v>#VALUE!</v>
      </c>
      <c r="AA1669" t="e">
        <f t="shared" ca="1" si="861"/>
        <v>#VALUE!</v>
      </c>
      <c r="AB1669" t="e">
        <f t="shared" ca="1" si="862"/>
        <v>#VALUE!</v>
      </c>
      <c r="AC1669" t="e">
        <f t="shared" ca="1" si="863"/>
        <v>#VALUE!</v>
      </c>
      <c r="AD1669" t="e">
        <f t="shared" ca="1" si="864"/>
        <v>#VALUE!</v>
      </c>
      <c r="AE1669" t="e">
        <f t="shared" ca="1" si="865"/>
        <v>#VALUE!</v>
      </c>
      <c r="AF1669" t="e">
        <f t="shared" ca="1" si="866"/>
        <v>#VALUE!</v>
      </c>
      <c r="AG1669" t="e">
        <f t="shared" ca="1" si="867"/>
        <v>#VALUE!</v>
      </c>
      <c r="AH1669" t="e">
        <f ca="1">IF(V36="Supercritical",L1669,IF(V36="Subcritical",W1669,IF(AND(V1669=1,AG1669=1),IF(T1669&gt;=AE1669,L1669,W1669),IF(V1669=1,L1669,IF(AG1669=1,W1669,MAX($D$16,POWER((ABS(K1669)^2)/($I$5*MAX(F1669,0.1)^2),1/3)))))))</f>
        <v>#VALUE!</v>
      </c>
      <c r="AI1669" t="e">
        <f t="shared" ca="1" si="868"/>
        <v>#VALUE!</v>
      </c>
      <c r="AJ1669" t="e">
        <f t="shared" ca="1" si="869"/>
        <v>#VALUE!</v>
      </c>
      <c r="AM1669">
        <v>0</v>
      </c>
      <c r="AN1669">
        <v>0</v>
      </c>
      <c r="AO1669">
        <f t="shared" si="870"/>
        <v>0</v>
      </c>
      <c r="AP1669">
        <f t="shared" si="878"/>
        <v>0</v>
      </c>
      <c r="AQ1669" t="e">
        <f t="shared" ca="1" si="871"/>
        <v>#VALUE!</v>
      </c>
      <c r="AR1669" t="e">
        <f t="shared" ca="1" si="872"/>
        <v>#VALUE!</v>
      </c>
      <c r="AS1669" t="e">
        <f t="shared" ca="1" si="873"/>
        <v>#VALUE!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191</v>
      </c>
      <c r="I1670">
        <v>1.9E-2</v>
      </c>
      <c r="J1670">
        <f t="shared" si="874"/>
        <v>0.99899999999999878</v>
      </c>
      <c r="K1670" t="e">
        <f t="shared" ca="1" si="879"/>
        <v>#VALUE!</v>
      </c>
      <c r="L1670" t="e">
        <f t="shared" ca="1" si="875"/>
        <v>#VALUE!</v>
      </c>
      <c r="M1670" t="e">
        <f t="shared" ca="1" si="849"/>
        <v>#VALUE!</v>
      </c>
      <c r="N1670" t="e">
        <f t="shared" ca="1" si="850"/>
        <v>#VALUE!</v>
      </c>
      <c r="O1670" t="e">
        <f t="shared" ca="1" si="851"/>
        <v>#VALUE!</v>
      </c>
      <c r="P1670" t="e">
        <f t="shared" ca="1" si="852"/>
        <v>#VALUE!</v>
      </c>
      <c r="Q1670" t="e">
        <f t="shared" ca="1" si="853"/>
        <v>#VALUE!</v>
      </c>
      <c r="R1670" t="e">
        <f t="shared" ca="1" si="854"/>
        <v>#VALUE!</v>
      </c>
      <c r="S1670" t="e">
        <f t="shared" ca="1" si="855"/>
        <v>#VALUE!</v>
      </c>
      <c r="T1670" t="e">
        <f t="shared" ca="1" si="856"/>
        <v>#VALUE!</v>
      </c>
      <c r="U1670" t="e">
        <f t="shared" ca="1" si="876"/>
        <v>#VALUE!</v>
      </c>
      <c r="V1670" t="e">
        <f t="shared" ca="1" si="877"/>
        <v>#VALUE!</v>
      </c>
      <c r="W1670" t="e">
        <f t="shared" ca="1" si="857"/>
        <v>#VALUE!</v>
      </c>
      <c r="X1670" t="e">
        <f t="shared" ca="1" si="858"/>
        <v>#VALUE!</v>
      </c>
      <c r="Y1670" t="e">
        <f t="shared" ca="1" si="859"/>
        <v>#VALUE!</v>
      </c>
      <c r="Z1670" t="e">
        <f t="shared" ca="1" si="860"/>
        <v>#VALUE!</v>
      </c>
      <c r="AA1670" t="e">
        <f t="shared" ca="1" si="861"/>
        <v>#VALUE!</v>
      </c>
      <c r="AB1670" t="e">
        <f t="shared" ca="1" si="862"/>
        <v>#VALUE!</v>
      </c>
      <c r="AC1670" t="e">
        <f t="shared" ca="1" si="863"/>
        <v>#VALUE!</v>
      </c>
      <c r="AD1670" t="e">
        <f t="shared" ca="1" si="864"/>
        <v>#VALUE!</v>
      </c>
      <c r="AE1670" t="e">
        <f t="shared" ca="1" si="865"/>
        <v>#VALUE!</v>
      </c>
      <c r="AF1670" t="e">
        <f t="shared" ca="1" si="866"/>
        <v>#VALUE!</v>
      </c>
      <c r="AG1670" t="e">
        <f t="shared" ca="1" si="867"/>
        <v>#VALUE!</v>
      </c>
      <c r="AH1670" t="e">
        <f ca="1">IF(V36="Supercritical",L1670,IF(V36="Subcritical",W1670,IF(AND(V1670=1,AG1670=1),IF(T1670&gt;=AE1670,L1670,W1670),IF(V1670=1,L1670,IF(AG1670=1,W1670,MAX($D$16,POWER((ABS(K1670)^2)/($I$5*MAX(F1670,0.1)^2),1/3)))))))</f>
        <v>#VALUE!</v>
      </c>
      <c r="AI1670" t="e">
        <f t="shared" ca="1" si="868"/>
        <v>#VALUE!</v>
      </c>
      <c r="AJ1670" t="e">
        <f t="shared" ca="1" si="869"/>
        <v>#VALUE!</v>
      </c>
      <c r="AM1670">
        <v>0</v>
      </c>
      <c r="AN1670">
        <v>0</v>
      </c>
      <c r="AO1670">
        <f t="shared" si="870"/>
        <v>0</v>
      </c>
      <c r="AP1670">
        <f t="shared" si="878"/>
        <v>0</v>
      </c>
      <c r="AQ1670" t="e">
        <f t="shared" ca="1" si="871"/>
        <v>#VALUE!</v>
      </c>
      <c r="AR1670" t="e">
        <f t="shared" ca="1" si="872"/>
        <v>#VALUE!</v>
      </c>
      <c r="AS1670" t="e">
        <f t="shared" ca="1" si="873"/>
        <v>#VALUE!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191</v>
      </c>
      <c r="I1671">
        <v>4.9000000000000002E-2</v>
      </c>
      <c r="J1671">
        <f t="shared" si="874"/>
        <v>1.0010000000000012</v>
      </c>
      <c r="K1671" t="e">
        <f t="shared" ca="1" si="879"/>
        <v>#VALUE!</v>
      </c>
      <c r="L1671" t="e">
        <f t="shared" ca="1" si="875"/>
        <v>#VALUE!</v>
      </c>
      <c r="M1671" t="e">
        <f t="shared" ca="1" si="849"/>
        <v>#VALUE!</v>
      </c>
      <c r="N1671" t="e">
        <f t="shared" ca="1" si="850"/>
        <v>#VALUE!</v>
      </c>
      <c r="O1671" t="e">
        <f t="shared" ca="1" si="851"/>
        <v>#VALUE!</v>
      </c>
      <c r="P1671" t="e">
        <f t="shared" ca="1" si="852"/>
        <v>#VALUE!</v>
      </c>
      <c r="Q1671" t="e">
        <f t="shared" ca="1" si="853"/>
        <v>#VALUE!</v>
      </c>
      <c r="R1671" t="e">
        <f t="shared" ca="1" si="854"/>
        <v>#VALUE!</v>
      </c>
      <c r="S1671" t="e">
        <f t="shared" ca="1" si="855"/>
        <v>#VALUE!</v>
      </c>
      <c r="T1671" t="e">
        <f t="shared" ca="1" si="856"/>
        <v>#VALUE!</v>
      </c>
      <c r="U1671" t="e">
        <f t="shared" ca="1" si="876"/>
        <v>#VALUE!</v>
      </c>
      <c r="V1671" t="e">
        <f t="shared" ca="1" si="877"/>
        <v>#VALUE!</v>
      </c>
      <c r="W1671" t="e">
        <f t="shared" ca="1" si="857"/>
        <v>#VALUE!</v>
      </c>
      <c r="X1671" t="e">
        <f t="shared" ca="1" si="858"/>
        <v>#VALUE!</v>
      </c>
      <c r="Y1671" t="e">
        <f t="shared" ca="1" si="859"/>
        <v>#VALUE!</v>
      </c>
      <c r="Z1671" t="e">
        <f t="shared" ca="1" si="860"/>
        <v>#VALUE!</v>
      </c>
      <c r="AA1671" t="e">
        <f t="shared" ca="1" si="861"/>
        <v>#VALUE!</v>
      </c>
      <c r="AB1671" t="e">
        <f t="shared" ca="1" si="862"/>
        <v>#VALUE!</v>
      </c>
      <c r="AC1671" t="e">
        <f t="shared" ca="1" si="863"/>
        <v>#VALUE!</v>
      </c>
      <c r="AD1671" t="e">
        <f t="shared" ca="1" si="864"/>
        <v>#VALUE!</v>
      </c>
      <c r="AE1671" t="e">
        <f t="shared" ca="1" si="865"/>
        <v>#VALUE!</v>
      </c>
      <c r="AF1671" t="e">
        <f t="shared" ca="1" si="866"/>
        <v>#VALUE!</v>
      </c>
      <c r="AG1671" t="e">
        <f t="shared" ca="1" si="867"/>
        <v>#VALUE!</v>
      </c>
      <c r="AH1671" t="e">
        <f ca="1">IF(V36="Supercritical",L1671,IF(V36="Subcritical",W1671,IF(AND(V1671=1,AG1671=1),IF(T1671&gt;=AE1671,L1671,W1671),IF(V1671=1,L1671,IF(AG1671=1,W1671,MAX($D$16,POWER((ABS(K1671)^2)/($I$5*MAX(F1671,0.1)^2),1/3)))))))</f>
        <v>#VALUE!</v>
      </c>
      <c r="AI1671" t="e">
        <f t="shared" ca="1" si="868"/>
        <v>#VALUE!</v>
      </c>
      <c r="AJ1671" t="e">
        <f t="shared" ca="1" si="869"/>
        <v>#VALUE!</v>
      </c>
      <c r="AM1671">
        <v>0</v>
      </c>
      <c r="AN1671">
        <v>0</v>
      </c>
      <c r="AO1671">
        <f t="shared" si="870"/>
        <v>0</v>
      </c>
      <c r="AP1671">
        <f t="shared" si="878"/>
        <v>0</v>
      </c>
      <c r="AQ1671" t="e">
        <f t="shared" ca="1" si="871"/>
        <v>#VALUE!</v>
      </c>
      <c r="AR1671" t="e">
        <f t="shared" ca="1" si="872"/>
        <v>#VALUE!</v>
      </c>
      <c r="AS1671" t="e">
        <f t="shared" ca="1" si="873"/>
        <v>#VALUE!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191</v>
      </c>
      <c r="I1672">
        <v>0.03</v>
      </c>
      <c r="J1672">
        <f t="shared" si="874"/>
        <v>1</v>
      </c>
      <c r="K1672" t="e">
        <f t="shared" ca="1" si="879"/>
        <v>#VALUE!</v>
      </c>
      <c r="L1672" t="e">
        <f t="shared" ca="1" si="875"/>
        <v>#VALUE!</v>
      </c>
      <c r="M1672" t="e">
        <f t="shared" ca="1" si="849"/>
        <v>#VALUE!</v>
      </c>
      <c r="N1672" t="e">
        <f t="shared" ca="1" si="850"/>
        <v>#VALUE!</v>
      </c>
      <c r="O1672" t="e">
        <f t="shared" ca="1" si="851"/>
        <v>#VALUE!</v>
      </c>
      <c r="P1672" t="e">
        <f t="shared" ca="1" si="852"/>
        <v>#VALUE!</v>
      </c>
      <c r="Q1672" t="e">
        <f t="shared" ca="1" si="853"/>
        <v>#VALUE!</v>
      </c>
      <c r="R1672" t="e">
        <f t="shared" ca="1" si="854"/>
        <v>#VALUE!</v>
      </c>
      <c r="S1672" t="e">
        <f t="shared" ca="1" si="855"/>
        <v>#VALUE!</v>
      </c>
      <c r="T1672" t="e">
        <f t="shared" ca="1" si="856"/>
        <v>#VALUE!</v>
      </c>
      <c r="U1672" t="e">
        <f t="shared" ca="1" si="876"/>
        <v>#VALUE!</v>
      </c>
      <c r="V1672" t="e">
        <f t="shared" ca="1" si="877"/>
        <v>#VALUE!</v>
      </c>
      <c r="W1672" t="e">
        <f t="shared" ca="1" si="857"/>
        <v>#VALUE!</v>
      </c>
      <c r="X1672" t="e">
        <f t="shared" ca="1" si="858"/>
        <v>#VALUE!</v>
      </c>
      <c r="Y1672" t="e">
        <f t="shared" ca="1" si="859"/>
        <v>#VALUE!</v>
      </c>
      <c r="Z1672" t="e">
        <f t="shared" ca="1" si="860"/>
        <v>#VALUE!</v>
      </c>
      <c r="AA1672" t="e">
        <f t="shared" ca="1" si="861"/>
        <v>#VALUE!</v>
      </c>
      <c r="AB1672" t="e">
        <f t="shared" ca="1" si="862"/>
        <v>#VALUE!</v>
      </c>
      <c r="AC1672" t="e">
        <f t="shared" ca="1" si="863"/>
        <v>#VALUE!</v>
      </c>
      <c r="AD1672" t="e">
        <f t="shared" ca="1" si="864"/>
        <v>#VALUE!</v>
      </c>
      <c r="AE1672" t="e">
        <f t="shared" ca="1" si="865"/>
        <v>#VALUE!</v>
      </c>
      <c r="AF1672" t="e">
        <f t="shared" ca="1" si="866"/>
        <v>#VALUE!</v>
      </c>
      <c r="AG1672" t="e">
        <f t="shared" ca="1" si="867"/>
        <v>#VALUE!</v>
      </c>
      <c r="AH1672" t="e">
        <f ca="1">IF(V36="Supercritical",L1672,IF(V36="Subcritical",W1672,IF(AND(V1672=1,AG1672=1),IF(T1672&gt;=AE1672,L1672,W1672),IF(V1672=1,L1672,IF(AG1672=1,W1672,MAX($D$16,POWER((ABS(K1672)^2)/($I$5*MAX(F1672,0.1)^2),1/3)))))))</f>
        <v>#VALUE!</v>
      </c>
      <c r="AI1672" t="e">
        <f t="shared" ca="1" si="868"/>
        <v>#VALUE!</v>
      </c>
      <c r="AJ1672" t="e">
        <f t="shared" ca="1" si="869"/>
        <v>#VALUE!</v>
      </c>
      <c r="AM1672">
        <v>0</v>
      </c>
      <c r="AN1672">
        <v>0</v>
      </c>
      <c r="AO1672">
        <f t="shared" si="870"/>
        <v>0</v>
      </c>
      <c r="AP1672">
        <f t="shared" si="878"/>
        <v>0</v>
      </c>
      <c r="AQ1672" t="e">
        <f t="shared" ca="1" si="871"/>
        <v>#VALUE!</v>
      </c>
      <c r="AR1672" t="e">
        <f t="shared" ca="1" si="872"/>
        <v>#VALUE!</v>
      </c>
      <c r="AS1672" t="e">
        <f t="shared" ca="1" si="873"/>
        <v>#VALUE!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191</v>
      </c>
      <c r="I1673">
        <v>1.9E-2</v>
      </c>
      <c r="J1673">
        <f t="shared" si="874"/>
        <v>0.99899999999999878</v>
      </c>
      <c r="K1673" t="e">
        <f t="shared" ca="1" si="879"/>
        <v>#VALUE!</v>
      </c>
      <c r="L1673" t="e">
        <f t="shared" ca="1" si="875"/>
        <v>#VALUE!</v>
      </c>
      <c r="M1673" t="e">
        <f t="shared" ca="1" si="849"/>
        <v>#VALUE!</v>
      </c>
      <c r="N1673" t="e">
        <f t="shared" ca="1" si="850"/>
        <v>#VALUE!</v>
      </c>
      <c r="O1673" t="e">
        <f t="shared" ca="1" si="851"/>
        <v>#VALUE!</v>
      </c>
      <c r="P1673" t="e">
        <f t="shared" ca="1" si="852"/>
        <v>#VALUE!</v>
      </c>
      <c r="Q1673" t="e">
        <f t="shared" ca="1" si="853"/>
        <v>#VALUE!</v>
      </c>
      <c r="R1673" t="e">
        <f t="shared" ca="1" si="854"/>
        <v>#VALUE!</v>
      </c>
      <c r="S1673" t="e">
        <f t="shared" ca="1" si="855"/>
        <v>#VALUE!</v>
      </c>
      <c r="T1673" t="e">
        <f t="shared" ca="1" si="856"/>
        <v>#VALUE!</v>
      </c>
      <c r="U1673" t="e">
        <f t="shared" ca="1" si="876"/>
        <v>#VALUE!</v>
      </c>
      <c r="V1673" t="e">
        <f t="shared" ca="1" si="877"/>
        <v>#VALUE!</v>
      </c>
      <c r="W1673" t="e">
        <f t="shared" ca="1" si="857"/>
        <v>#VALUE!</v>
      </c>
      <c r="X1673" t="e">
        <f t="shared" ca="1" si="858"/>
        <v>#VALUE!</v>
      </c>
      <c r="Y1673" t="e">
        <f t="shared" ca="1" si="859"/>
        <v>#VALUE!</v>
      </c>
      <c r="Z1673" t="e">
        <f t="shared" ca="1" si="860"/>
        <v>#VALUE!</v>
      </c>
      <c r="AA1673" t="e">
        <f t="shared" ca="1" si="861"/>
        <v>#VALUE!</v>
      </c>
      <c r="AB1673" t="e">
        <f t="shared" ca="1" si="862"/>
        <v>#VALUE!</v>
      </c>
      <c r="AC1673" t="e">
        <f t="shared" ca="1" si="863"/>
        <v>#VALUE!</v>
      </c>
      <c r="AD1673" t="e">
        <f t="shared" ca="1" si="864"/>
        <v>#VALUE!</v>
      </c>
      <c r="AE1673" t="e">
        <f t="shared" ca="1" si="865"/>
        <v>#VALUE!</v>
      </c>
      <c r="AF1673" t="e">
        <f t="shared" ca="1" si="866"/>
        <v>#VALUE!</v>
      </c>
      <c r="AG1673" t="e">
        <f t="shared" ca="1" si="867"/>
        <v>#VALUE!</v>
      </c>
      <c r="AH1673" t="e">
        <f ca="1">IF(V36="Supercritical",L1673,IF(V36="Subcritical",W1673,IF(AND(V1673=1,AG1673=1),IF(T1673&gt;=AE1673,L1673,W1673),IF(V1673=1,L1673,IF(AG1673=1,W1673,MAX($D$16,POWER((ABS(K1673)^2)/($I$5*MAX(F1673,0.1)^2),1/3)))))))</f>
        <v>#VALUE!</v>
      </c>
      <c r="AI1673" t="e">
        <f t="shared" ca="1" si="868"/>
        <v>#VALUE!</v>
      </c>
      <c r="AJ1673" t="e">
        <f t="shared" ca="1" si="869"/>
        <v>#VALUE!</v>
      </c>
      <c r="AM1673">
        <v>0</v>
      </c>
      <c r="AN1673">
        <v>0</v>
      </c>
      <c r="AO1673">
        <f t="shared" si="870"/>
        <v>0</v>
      </c>
      <c r="AP1673">
        <f t="shared" si="878"/>
        <v>0</v>
      </c>
      <c r="AQ1673" t="e">
        <f t="shared" ca="1" si="871"/>
        <v>#VALUE!</v>
      </c>
      <c r="AR1673" t="e">
        <f t="shared" ca="1" si="872"/>
        <v>#VALUE!</v>
      </c>
      <c r="AS1673" t="e">
        <f t="shared" ca="1" si="873"/>
        <v>#VALUE!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191</v>
      </c>
      <c r="I1674">
        <v>4.9000000000000002E-2</v>
      </c>
      <c r="J1674">
        <f t="shared" si="874"/>
        <v>1.0010000000000012</v>
      </c>
      <c r="K1674" t="e">
        <f t="shared" ca="1" si="879"/>
        <v>#VALUE!</v>
      </c>
      <c r="L1674" t="e">
        <f t="shared" ca="1" si="875"/>
        <v>#VALUE!</v>
      </c>
      <c r="M1674" t="e">
        <f t="shared" ca="1" si="849"/>
        <v>#VALUE!</v>
      </c>
      <c r="N1674" t="e">
        <f t="shared" ca="1" si="850"/>
        <v>#VALUE!</v>
      </c>
      <c r="O1674" t="e">
        <f t="shared" ca="1" si="851"/>
        <v>#VALUE!</v>
      </c>
      <c r="P1674" t="e">
        <f t="shared" ca="1" si="852"/>
        <v>#VALUE!</v>
      </c>
      <c r="Q1674" t="e">
        <f t="shared" ca="1" si="853"/>
        <v>#VALUE!</v>
      </c>
      <c r="R1674" t="e">
        <f t="shared" ca="1" si="854"/>
        <v>#VALUE!</v>
      </c>
      <c r="S1674" t="e">
        <f t="shared" ca="1" si="855"/>
        <v>#VALUE!</v>
      </c>
      <c r="T1674" t="e">
        <f t="shared" ca="1" si="856"/>
        <v>#VALUE!</v>
      </c>
      <c r="U1674" t="e">
        <f t="shared" ca="1" si="876"/>
        <v>#VALUE!</v>
      </c>
      <c r="V1674" t="e">
        <f t="shared" ca="1" si="877"/>
        <v>#VALUE!</v>
      </c>
      <c r="W1674" t="e">
        <f t="shared" ca="1" si="857"/>
        <v>#VALUE!</v>
      </c>
      <c r="X1674" t="e">
        <f t="shared" ca="1" si="858"/>
        <v>#VALUE!</v>
      </c>
      <c r="Y1674" t="e">
        <f t="shared" ca="1" si="859"/>
        <v>#VALUE!</v>
      </c>
      <c r="Z1674" t="e">
        <f t="shared" ca="1" si="860"/>
        <v>#VALUE!</v>
      </c>
      <c r="AA1674" t="e">
        <f t="shared" ca="1" si="861"/>
        <v>#VALUE!</v>
      </c>
      <c r="AB1674" t="e">
        <f t="shared" ca="1" si="862"/>
        <v>#VALUE!</v>
      </c>
      <c r="AC1674" t="e">
        <f t="shared" ca="1" si="863"/>
        <v>#VALUE!</v>
      </c>
      <c r="AD1674" t="e">
        <f t="shared" ca="1" si="864"/>
        <v>#VALUE!</v>
      </c>
      <c r="AE1674" t="e">
        <f t="shared" ca="1" si="865"/>
        <v>#VALUE!</v>
      </c>
      <c r="AF1674" t="e">
        <f t="shared" ca="1" si="866"/>
        <v>#VALUE!</v>
      </c>
      <c r="AG1674" t="e">
        <f t="shared" ca="1" si="867"/>
        <v>#VALUE!</v>
      </c>
      <c r="AH1674" t="e">
        <f ca="1">IF(V36="Supercritical",L1674,IF(V36="Subcritical",W1674,IF(AND(V1674=1,AG1674=1),IF(T1674&gt;=AE1674,L1674,W1674),IF(V1674=1,L1674,IF(AG1674=1,W1674,MAX($D$16,POWER((ABS(K1674)^2)/($I$5*MAX(F1674,0.1)^2),1/3)))))))</f>
        <v>#VALUE!</v>
      </c>
      <c r="AI1674" t="e">
        <f t="shared" ca="1" si="868"/>
        <v>#VALUE!</v>
      </c>
      <c r="AJ1674" t="e">
        <f t="shared" ca="1" si="869"/>
        <v>#VALUE!</v>
      </c>
      <c r="AM1674">
        <v>0</v>
      </c>
      <c r="AN1674">
        <v>0</v>
      </c>
      <c r="AO1674">
        <f t="shared" si="870"/>
        <v>0</v>
      </c>
      <c r="AP1674">
        <f t="shared" si="878"/>
        <v>0</v>
      </c>
      <c r="AQ1674" t="e">
        <f t="shared" ca="1" si="871"/>
        <v>#VALUE!</v>
      </c>
      <c r="AR1674" t="e">
        <f t="shared" ca="1" si="872"/>
        <v>#VALUE!</v>
      </c>
      <c r="AS1674" t="e">
        <f t="shared" ca="1" si="873"/>
        <v>#VALUE!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191</v>
      </c>
      <c r="I1675">
        <v>7.9000000000000001E-2</v>
      </c>
      <c r="J1675">
        <f t="shared" si="874"/>
        <v>1</v>
      </c>
      <c r="K1675" t="e">
        <f t="shared" ca="1" si="879"/>
        <v>#VALUE!</v>
      </c>
      <c r="L1675" t="e">
        <f t="shared" ca="1" si="875"/>
        <v>#VALUE!</v>
      </c>
      <c r="M1675" t="e">
        <f t="shared" ca="1" si="849"/>
        <v>#VALUE!</v>
      </c>
      <c r="N1675" t="e">
        <f t="shared" ca="1" si="850"/>
        <v>#VALUE!</v>
      </c>
      <c r="O1675" t="e">
        <f t="shared" ca="1" si="851"/>
        <v>#VALUE!</v>
      </c>
      <c r="P1675" t="e">
        <f t="shared" ca="1" si="852"/>
        <v>#VALUE!</v>
      </c>
      <c r="Q1675" t="e">
        <f t="shared" ca="1" si="853"/>
        <v>#VALUE!</v>
      </c>
      <c r="R1675" t="e">
        <f t="shared" ca="1" si="854"/>
        <v>#VALUE!</v>
      </c>
      <c r="S1675" t="e">
        <f t="shared" ca="1" si="855"/>
        <v>#VALUE!</v>
      </c>
      <c r="T1675" t="e">
        <f t="shared" ca="1" si="856"/>
        <v>#VALUE!</v>
      </c>
      <c r="U1675" t="e">
        <f t="shared" ca="1" si="876"/>
        <v>#VALUE!</v>
      </c>
      <c r="V1675" t="e">
        <f t="shared" ca="1" si="877"/>
        <v>#VALUE!</v>
      </c>
      <c r="W1675" t="e">
        <f t="shared" ca="1" si="857"/>
        <v>#VALUE!</v>
      </c>
      <c r="X1675" t="e">
        <f t="shared" ca="1" si="858"/>
        <v>#VALUE!</v>
      </c>
      <c r="Y1675" t="e">
        <f t="shared" ca="1" si="859"/>
        <v>#VALUE!</v>
      </c>
      <c r="Z1675" t="e">
        <f t="shared" ca="1" si="860"/>
        <v>#VALUE!</v>
      </c>
      <c r="AA1675" t="e">
        <f t="shared" ca="1" si="861"/>
        <v>#VALUE!</v>
      </c>
      <c r="AB1675" t="e">
        <f t="shared" ca="1" si="862"/>
        <v>#VALUE!</v>
      </c>
      <c r="AC1675" t="e">
        <f t="shared" ca="1" si="863"/>
        <v>#VALUE!</v>
      </c>
      <c r="AD1675" t="e">
        <f t="shared" ca="1" si="864"/>
        <v>#VALUE!</v>
      </c>
      <c r="AE1675" t="e">
        <f t="shared" ca="1" si="865"/>
        <v>#VALUE!</v>
      </c>
      <c r="AF1675" t="e">
        <f t="shared" ca="1" si="866"/>
        <v>#VALUE!</v>
      </c>
      <c r="AG1675" t="e">
        <f t="shared" ca="1" si="867"/>
        <v>#VALUE!</v>
      </c>
      <c r="AH1675" t="e">
        <f ca="1">IF(V36="Supercritical",L1675,IF(V36="Subcritical",W1675,IF(AND(V1675=1,AG1675=1),IF(T1675&gt;=AE1675,L1675,W1675),IF(V1675=1,L1675,IF(AG1675=1,W1675,MAX($D$16,POWER((ABS(K1675)^2)/($I$5*MAX(F1675,0.1)^2),1/3)))))))</f>
        <v>#VALUE!</v>
      </c>
      <c r="AI1675" t="e">
        <f t="shared" ca="1" si="868"/>
        <v>#VALUE!</v>
      </c>
      <c r="AJ1675" t="e">
        <f t="shared" ca="1" si="869"/>
        <v>#VALUE!</v>
      </c>
      <c r="AM1675">
        <v>0</v>
      </c>
      <c r="AN1675">
        <v>0</v>
      </c>
      <c r="AO1675">
        <f t="shared" si="870"/>
        <v>0</v>
      </c>
      <c r="AP1675">
        <f t="shared" si="878"/>
        <v>0</v>
      </c>
      <c r="AQ1675" t="e">
        <f t="shared" ca="1" si="871"/>
        <v>#VALUE!</v>
      </c>
      <c r="AR1675" t="e">
        <f t="shared" ca="1" si="872"/>
        <v>#VALUE!</v>
      </c>
      <c r="AS1675" t="e">
        <f t="shared" ca="1" si="873"/>
        <v>#VALUE!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191</v>
      </c>
      <c r="I1676">
        <v>0.41299999999999998</v>
      </c>
      <c r="J1676">
        <f t="shared" si="874"/>
        <v>0.99899999999999878</v>
      </c>
      <c r="K1676" t="e">
        <f ca="1">K1675+(AO1642)</f>
        <v>#VALUE!</v>
      </c>
      <c r="L1676" t="e">
        <f t="shared" ca="1" si="875"/>
        <v>#VALUE!</v>
      </c>
      <c r="M1676" t="e">
        <f t="shared" ca="1" si="849"/>
        <v>#VALUE!</v>
      </c>
      <c r="N1676" t="e">
        <f t="shared" ca="1" si="850"/>
        <v>#VALUE!</v>
      </c>
      <c r="O1676" t="e">
        <f t="shared" ca="1" si="851"/>
        <v>#VALUE!</v>
      </c>
      <c r="P1676" t="e">
        <f t="shared" ca="1" si="852"/>
        <v>#VALUE!</v>
      </c>
      <c r="Q1676" t="e">
        <f t="shared" ca="1" si="853"/>
        <v>#VALUE!</v>
      </c>
      <c r="R1676" t="e">
        <f t="shared" ca="1" si="854"/>
        <v>#VALUE!</v>
      </c>
      <c r="S1676" t="e">
        <f t="shared" ca="1" si="855"/>
        <v>#VALUE!</v>
      </c>
      <c r="T1676" t="e">
        <f t="shared" ca="1" si="856"/>
        <v>#VALUE!</v>
      </c>
      <c r="U1676" t="e">
        <f t="shared" ca="1" si="876"/>
        <v>#VALUE!</v>
      </c>
      <c r="V1676" t="e">
        <f t="shared" ca="1" si="877"/>
        <v>#VALUE!</v>
      </c>
      <c r="W1676" t="e">
        <f t="shared" ca="1" si="857"/>
        <v>#VALUE!</v>
      </c>
      <c r="X1676" t="e">
        <f t="shared" ca="1" si="858"/>
        <v>#VALUE!</v>
      </c>
      <c r="Y1676" t="e">
        <f t="shared" ca="1" si="859"/>
        <v>#VALUE!</v>
      </c>
      <c r="Z1676" t="e">
        <f t="shared" ca="1" si="860"/>
        <v>#VALUE!</v>
      </c>
      <c r="AA1676" t="e">
        <f t="shared" ca="1" si="861"/>
        <v>#VALUE!</v>
      </c>
      <c r="AB1676" t="e">
        <f t="shared" ca="1" si="862"/>
        <v>#VALUE!</v>
      </c>
      <c r="AC1676" t="e">
        <f t="shared" ca="1" si="863"/>
        <v>#VALUE!</v>
      </c>
      <c r="AD1676" t="e">
        <f t="shared" ca="1" si="864"/>
        <v>#VALUE!</v>
      </c>
      <c r="AE1676" t="e">
        <f t="shared" ca="1" si="865"/>
        <v>#VALUE!</v>
      </c>
      <c r="AF1676" t="e">
        <f t="shared" ca="1" si="866"/>
        <v>#VALUE!</v>
      </c>
      <c r="AG1676" t="e">
        <f t="shared" ca="1" si="867"/>
        <v>#VALUE!</v>
      </c>
      <c r="AH1676" t="e">
        <f ca="1">IF(V36="Supercritical",L1676,IF(V36="Subcritical",W1676,IF(AND(V1676=1,AG1676=1),IF(T1676&gt;=AE1676,L1676,W1676),IF(V1676=1,L1676,IF(AG1676=1,W1676,MAX($D$16,POWER((ABS(K1676)^2)/($I$5*MAX(F1676,0.1)^2),1/3)))))))</f>
        <v>#VALUE!</v>
      </c>
      <c r="AI1676" t="e">
        <f t="shared" ca="1" si="868"/>
        <v>#VALUE!</v>
      </c>
      <c r="AJ1676" t="e">
        <f t="shared" ca="1" si="869"/>
        <v>#VALUE!</v>
      </c>
      <c r="AM1676">
        <v>0</v>
      </c>
      <c r="AN1676">
        <v>0</v>
      </c>
      <c r="AO1676">
        <f t="shared" si="870"/>
        <v>0</v>
      </c>
      <c r="AP1676">
        <f t="shared" si="878"/>
        <v>0</v>
      </c>
      <c r="AQ1676" t="e">
        <f t="shared" ca="1" si="871"/>
        <v>#VALUE!</v>
      </c>
      <c r="AR1676" t="e">
        <f t="shared" ca="1" si="872"/>
        <v>#VALUE!</v>
      </c>
      <c r="AS1676" t="e">
        <f t="shared" ca="1" si="873"/>
        <v>#VALUE!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191</v>
      </c>
      <c r="I1677">
        <v>6.0519999999999996</v>
      </c>
      <c r="J1677">
        <f t="shared" si="874"/>
        <v>1</v>
      </c>
      <c r="K1677" t="e">
        <f t="shared" ref="K1677:K1694" ca="1" si="880">K1676+0</f>
        <v>#VALUE!</v>
      </c>
      <c r="L1677" t="e">
        <f t="shared" ca="1" si="875"/>
        <v>#VALUE!</v>
      </c>
      <c r="M1677" t="e">
        <f t="shared" ca="1" si="849"/>
        <v>#VALUE!</v>
      </c>
      <c r="N1677" t="e">
        <f t="shared" ca="1" si="850"/>
        <v>#VALUE!</v>
      </c>
      <c r="O1677" t="e">
        <f t="shared" ca="1" si="851"/>
        <v>#VALUE!</v>
      </c>
      <c r="P1677" t="e">
        <f t="shared" ca="1" si="852"/>
        <v>#VALUE!</v>
      </c>
      <c r="Q1677" t="e">
        <f t="shared" ca="1" si="853"/>
        <v>#VALUE!</v>
      </c>
      <c r="R1677" t="e">
        <f t="shared" ca="1" si="854"/>
        <v>#VALUE!</v>
      </c>
      <c r="S1677" t="e">
        <f t="shared" ca="1" si="855"/>
        <v>#VALUE!</v>
      </c>
      <c r="T1677" t="e">
        <f t="shared" ca="1" si="856"/>
        <v>#VALUE!</v>
      </c>
      <c r="U1677" t="e">
        <f t="shared" ca="1" si="876"/>
        <v>#VALUE!</v>
      </c>
      <c r="V1677" t="e">
        <f t="shared" ca="1" si="877"/>
        <v>#VALUE!</v>
      </c>
      <c r="W1677" t="e">
        <f t="shared" ca="1" si="857"/>
        <v>#VALUE!</v>
      </c>
      <c r="X1677" t="e">
        <f t="shared" ca="1" si="858"/>
        <v>#VALUE!</v>
      </c>
      <c r="Y1677" t="e">
        <f t="shared" ca="1" si="859"/>
        <v>#VALUE!</v>
      </c>
      <c r="Z1677" t="e">
        <f t="shared" ca="1" si="860"/>
        <v>#VALUE!</v>
      </c>
      <c r="AA1677" t="e">
        <f t="shared" ca="1" si="861"/>
        <v>#VALUE!</v>
      </c>
      <c r="AB1677" t="e">
        <f t="shared" ca="1" si="862"/>
        <v>#VALUE!</v>
      </c>
      <c r="AC1677" t="e">
        <f t="shared" ca="1" si="863"/>
        <v>#VALUE!</v>
      </c>
      <c r="AD1677" t="e">
        <f t="shared" ca="1" si="864"/>
        <v>#VALUE!</v>
      </c>
      <c r="AE1677" t="e">
        <f t="shared" ca="1" si="865"/>
        <v>#VALUE!</v>
      </c>
      <c r="AF1677" t="e">
        <f t="shared" ca="1" si="866"/>
        <v>#VALUE!</v>
      </c>
      <c r="AG1677" t="e">
        <f t="shared" ca="1" si="867"/>
        <v>#VALUE!</v>
      </c>
      <c r="AH1677" t="e">
        <f ca="1">IF(V36="Supercritical",L1677,IF(V36="Subcritical",W1677,IF(AND(V1677=1,AG1677=1),IF(T1677&gt;=AE1677,L1677,W1677),IF(V1677=1,L1677,IF(AG1677=1,W1677,MAX($D$16,POWER((ABS(K1677)^2)/($I$5*MAX(F1677,0.1)^2),1/3)))))))</f>
        <v>#VALUE!</v>
      </c>
      <c r="AI1677" t="e">
        <f t="shared" ca="1" si="868"/>
        <v>#VALUE!</v>
      </c>
      <c r="AJ1677" t="e">
        <f t="shared" ca="1" si="869"/>
        <v>#VALUE!</v>
      </c>
      <c r="AM1677">
        <v>0</v>
      </c>
      <c r="AN1677">
        <v>0</v>
      </c>
      <c r="AO1677">
        <f t="shared" si="870"/>
        <v>0</v>
      </c>
      <c r="AP1677">
        <f t="shared" si="878"/>
        <v>0</v>
      </c>
      <c r="AQ1677" t="e">
        <f t="shared" ca="1" si="871"/>
        <v>#VALUE!</v>
      </c>
      <c r="AR1677" t="e">
        <f t="shared" ca="1" si="872"/>
        <v>#VALUE!</v>
      </c>
      <c r="AS1677" t="e">
        <f t="shared" ca="1" si="873"/>
        <v>#VALUE!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191</v>
      </c>
      <c r="I1678">
        <v>5.1999999999999998E-2</v>
      </c>
      <c r="J1678">
        <f t="shared" si="874"/>
        <v>1.0010000000000012</v>
      </c>
      <c r="K1678" t="e">
        <f t="shared" ca="1" si="880"/>
        <v>#VALUE!</v>
      </c>
      <c r="L1678" t="e">
        <f t="shared" ca="1" si="875"/>
        <v>#VALUE!</v>
      </c>
      <c r="M1678" t="e">
        <f t="shared" ca="1" si="849"/>
        <v>#VALUE!</v>
      </c>
      <c r="N1678" t="e">
        <f t="shared" ca="1" si="850"/>
        <v>#VALUE!</v>
      </c>
      <c r="O1678" t="e">
        <f t="shared" ca="1" si="851"/>
        <v>#VALUE!</v>
      </c>
      <c r="P1678" t="e">
        <f t="shared" ca="1" si="852"/>
        <v>#VALUE!</v>
      </c>
      <c r="Q1678" t="e">
        <f t="shared" ca="1" si="853"/>
        <v>#VALUE!</v>
      </c>
      <c r="R1678" t="e">
        <f t="shared" ca="1" si="854"/>
        <v>#VALUE!</v>
      </c>
      <c r="S1678" t="e">
        <f t="shared" ca="1" si="855"/>
        <v>#VALUE!</v>
      </c>
      <c r="T1678" t="e">
        <f t="shared" ca="1" si="856"/>
        <v>#VALUE!</v>
      </c>
      <c r="U1678" t="e">
        <f t="shared" ca="1" si="876"/>
        <v>#VALUE!</v>
      </c>
      <c r="V1678" t="e">
        <f t="shared" ca="1" si="877"/>
        <v>#VALUE!</v>
      </c>
      <c r="W1678" t="e">
        <f t="shared" ca="1" si="857"/>
        <v>#VALUE!</v>
      </c>
      <c r="X1678" t="e">
        <f t="shared" ca="1" si="858"/>
        <v>#VALUE!</v>
      </c>
      <c r="Y1678" t="e">
        <f t="shared" ca="1" si="859"/>
        <v>#VALUE!</v>
      </c>
      <c r="Z1678" t="e">
        <f t="shared" ca="1" si="860"/>
        <v>#VALUE!</v>
      </c>
      <c r="AA1678" t="e">
        <f t="shared" ca="1" si="861"/>
        <v>#VALUE!</v>
      </c>
      <c r="AB1678" t="e">
        <f t="shared" ca="1" si="862"/>
        <v>#VALUE!</v>
      </c>
      <c r="AC1678" t="e">
        <f t="shared" ca="1" si="863"/>
        <v>#VALUE!</v>
      </c>
      <c r="AD1678" t="e">
        <f t="shared" ca="1" si="864"/>
        <v>#VALUE!</v>
      </c>
      <c r="AE1678" t="e">
        <f t="shared" ca="1" si="865"/>
        <v>#VALUE!</v>
      </c>
      <c r="AF1678" t="e">
        <f t="shared" ca="1" si="866"/>
        <v>#VALUE!</v>
      </c>
      <c r="AG1678" t="e">
        <f t="shared" ca="1" si="867"/>
        <v>#VALUE!</v>
      </c>
      <c r="AH1678" t="e">
        <f ca="1">IF(V36="Supercritical",L1678,IF(V36="Subcritical",W1678,IF(AND(V1678=1,AG1678=1),IF(T1678&gt;=AE1678,L1678,W1678),IF(V1678=1,L1678,IF(AG1678=1,W1678,MAX($D$16,POWER((ABS(K1678)^2)/($I$5*MAX(F1678,0.1)^2),1/3)))))))</f>
        <v>#VALUE!</v>
      </c>
      <c r="AI1678" t="e">
        <f t="shared" ca="1" si="868"/>
        <v>#VALUE!</v>
      </c>
      <c r="AJ1678" t="e">
        <f t="shared" ca="1" si="869"/>
        <v>#VALUE!</v>
      </c>
      <c r="AM1678">
        <v>0</v>
      </c>
      <c r="AN1678">
        <v>0</v>
      </c>
      <c r="AO1678">
        <f t="shared" si="870"/>
        <v>0</v>
      </c>
      <c r="AP1678">
        <f t="shared" si="878"/>
        <v>0</v>
      </c>
      <c r="AQ1678" t="e">
        <f t="shared" ca="1" si="871"/>
        <v>#VALUE!</v>
      </c>
      <c r="AR1678" t="e">
        <f t="shared" ca="1" si="872"/>
        <v>#VALUE!</v>
      </c>
      <c r="AS1678" t="e">
        <f t="shared" ca="1" si="873"/>
        <v>#VALUE!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191</v>
      </c>
      <c r="I1679">
        <v>0</v>
      </c>
      <c r="J1679">
        <f t="shared" si="874"/>
        <v>1</v>
      </c>
      <c r="K1679" t="e">
        <f t="shared" ca="1" si="880"/>
        <v>#VALUE!</v>
      </c>
      <c r="L1679" t="e">
        <f t="shared" ca="1" si="875"/>
        <v>#VALUE!</v>
      </c>
      <c r="M1679" t="e">
        <f t="shared" ca="1" si="849"/>
        <v>#VALUE!</v>
      </c>
      <c r="N1679" t="e">
        <f t="shared" ca="1" si="850"/>
        <v>#VALUE!</v>
      </c>
      <c r="O1679" t="e">
        <f t="shared" ca="1" si="851"/>
        <v>#VALUE!</v>
      </c>
      <c r="P1679" t="e">
        <f t="shared" ca="1" si="852"/>
        <v>#VALUE!</v>
      </c>
      <c r="Q1679" t="e">
        <f t="shared" ca="1" si="853"/>
        <v>#VALUE!</v>
      </c>
      <c r="R1679" t="e">
        <f t="shared" ca="1" si="854"/>
        <v>#VALUE!</v>
      </c>
      <c r="S1679" t="e">
        <f t="shared" ca="1" si="855"/>
        <v>#VALUE!</v>
      </c>
      <c r="T1679" t="e">
        <f t="shared" ca="1" si="856"/>
        <v>#VALUE!</v>
      </c>
      <c r="U1679" t="e">
        <f t="shared" ca="1" si="876"/>
        <v>#VALUE!</v>
      </c>
      <c r="V1679" t="e">
        <f t="shared" ca="1" si="877"/>
        <v>#VALUE!</v>
      </c>
      <c r="W1679" t="e">
        <f t="shared" ca="1" si="857"/>
        <v>#VALUE!</v>
      </c>
      <c r="X1679" t="e">
        <f t="shared" ca="1" si="858"/>
        <v>#VALUE!</v>
      </c>
      <c r="Y1679" t="e">
        <f t="shared" ca="1" si="859"/>
        <v>#VALUE!</v>
      </c>
      <c r="Z1679" t="e">
        <f t="shared" ca="1" si="860"/>
        <v>#VALUE!</v>
      </c>
      <c r="AA1679" t="e">
        <f t="shared" ca="1" si="861"/>
        <v>#VALUE!</v>
      </c>
      <c r="AB1679" t="e">
        <f t="shared" ca="1" si="862"/>
        <v>#VALUE!</v>
      </c>
      <c r="AC1679" t="e">
        <f t="shared" ca="1" si="863"/>
        <v>#VALUE!</v>
      </c>
      <c r="AD1679" t="e">
        <f t="shared" ca="1" si="864"/>
        <v>#VALUE!</v>
      </c>
      <c r="AE1679" t="e">
        <f t="shared" ca="1" si="865"/>
        <v>#VALUE!</v>
      </c>
      <c r="AF1679" t="e">
        <f t="shared" ca="1" si="866"/>
        <v>#VALUE!</v>
      </c>
      <c r="AG1679" t="e">
        <f t="shared" ca="1" si="867"/>
        <v>#VALUE!</v>
      </c>
      <c r="AH1679" t="e">
        <f ca="1">IF(V36="Supercritical",L1679,IF(V36="Subcritical",W1679,IF(AND(V1679=1,AG1679=1),IF(T1679&gt;=AE1679,L1679,W1679),IF(V1679=1,L1679,IF(AG1679=1,W1679,MAX($D$16,POWER((ABS(K1679)^2)/($I$5*MAX(F1679,0.1)^2),1/3)))))))</f>
        <v>#VALUE!</v>
      </c>
      <c r="AI1679" t="e">
        <f t="shared" ca="1" si="868"/>
        <v>#VALUE!</v>
      </c>
      <c r="AJ1679" t="e">
        <f t="shared" ca="1" si="869"/>
        <v>#VALUE!</v>
      </c>
      <c r="AM1679">
        <v>0</v>
      </c>
      <c r="AN1679">
        <v>0</v>
      </c>
      <c r="AO1679">
        <f t="shared" si="870"/>
        <v>0</v>
      </c>
      <c r="AP1679">
        <f t="shared" si="878"/>
        <v>0</v>
      </c>
      <c r="AQ1679" t="e">
        <f t="shared" ca="1" si="871"/>
        <v>#VALUE!</v>
      </c>
      <c r="AR1679" t="e">
        <f t="shared" ca="1" si="872"/>
        <v>#VALUE!</v>
      </c>
      <c r="AS1679" t="e">
        <f t="shared" ca="1" si="873"/>
        <v>#VALUE!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191</v>
      </c>
      <c r="I1680">
        <v>14.763999999999999</v>
      </c>
      <c r="J1680">
        <f t="shared" si="874"/>
        <v>0.99899999999999878</v>
      </c>
      <c r="K1680" t="e">
        <f t="shared" ca="1" si="880"/>
        <v>#VALUE!</v>
      </c>
      <c r="L1680" t="e">
        <f t="shared" ca="1" si="875"/>
        <v>#VALUE!</v>
      </c>
      <c r="M1680" t="e">
        <f t="shared" ca="1" si="849"/>
        <v>#VALUE!</v>
      </c>
      <c r="N1680" t="e">
        <f t="shared" ca="1" si="850"/>
        <v>#VALUE!</v>
      </c>
      <c r="O1680" t="e">
        <f t="shared" ca="1" si="851"/>
        <v>#VALUE!</v>
      </c>
      <c r="P1680" t="e">
        <f t="shared" ca="1" si="852"/>
        <v>#VALUE!</v>
      </c>
      <c r="Q1680" t="e">
        <f t="shared" ca="1" si="853"/>
        <v>#VALUE!</v>
      </c>
      <c r="R1680" t="e">
        <f t="shared" ca="1" si="854"/>
        <v>#VALUE!</v>
      </c>
      <c r="S1680" t="e">
        <f t="shared" ca="1" si="855"/>
        <v>#VALUE!</v>
      </c>
      <c r="T1680" t="e">
        <f t="shared" ca="1" si="856"/>
        <v>#VALUE!</v>
      </c>
      <c r="U1680" t="e">
        <f t="shared" ca="1" si="876"/>
        <v>#VALUE!</v>
      </c>
      <c r="V1680" t="e">
        <f t="shared" ca="1" si="877"/>
        <v>#VALUE!</v>
      </c>
      <c r="W1680" t="e">
        <f t="shared" ca="1" si="857"/>
        <v>#VALUE!</v>
      </c>
      <c r="X1680" t="e">
        <f t="shared" ca="1" si="858"/>
        <v>#VALUE!</v>
      </c>
      <c r="Y1680" t="e">
        <f t="shared" ca="1" si="859"/>
        <v>#VALUE!</v>
      </c>
      <c r="Z1680" t="e">
        <f t="shared" ca="1" si="860"/>
        <v>#VALUE!</v>
      </c>
      <c r="AA1680" t="e">
        <f t="shared" ca="1" si="861"/>
        <v>#VALUE!</v>
      </c>
      <c r="AB1680" t="e">
        <f t="shared" ca="1" si="862"/>
        <v>#VALUE!</v>
      </c>
      <c r="AC1680" t="e">
        <f t="shared" ca="1" si="863"/>
        <v>#VALUE!</v>
      </c>
      <c r="AD1680" t="e">
        <f t="shared" ca="1" si="864"/>
        <v>#VALUE!</v>
      </c>
      <c r="AE1680" t="e">
        <f t="shared" ca="1" si="865"/>
        <v>#VALUE!</v>
      </c>
      <c r="AF1680" t="e">
        <f t="shared" ca="1" si="866"/>
        <v>#VALUE!</v>
      </c>
      <c r="AG1680" t="e">
        <f t="shared" ca="1" si="867"/>
        <v>#VALUE!</v>
      </c>
      <c r="AH1680" t="e">
        <f ca="1">IF(V36="Supercritical",L1680,IF(V36="Subcritical",W1680,IF(AND(V1680=1,AG1680=1),IF(T1680&gt;=AE1680,L1680,W1680),IF(V1680=1,L1680,IF(AG1680=1,W1680,MAX($D$16,POWER((ABS(K1680)^2)/($I$5*MAX(F1680,0.1)^2),1/3)))))))</f>
        <v>#VALUE!</v>
      </c>
      <c r="AI1680" t="e">
        <f t="shared" ca="1" si="868"/>
        <v>#VALUE!</v>
      </c>
      <c r="AJ1680" t="e">
        <f t="shared" ca="1" si="869"/>
        <v>#VALUE!</v>
      </c>
      <c r="AM1680">
        <v>0</v>
      </c>
      <c r="AN1680">
        <v>0</v>
      </c>
      <c r="AO1680">
        <f t="shared" si="870"/>
        <v>0</v>
      </c>
      <c r="AP1680">
        <f t="shared" si="878"/>
        <v>0</v>
      </c>
      <c r="AQ1680" t="e">
        <f t="shared" ca="1" si="871"/>
        <v>#VALUE!</v>
      </c>
      <c r="AR1680" t="e">
        <f t="shared" ca="1" si="872"/>
        <v>#VALUE!</v>
      </c>
      <c r="AS1680" t="e">
        <f t="shared" ca="1" si="873"/>
        <v>#VALUE!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191</v>
      </c>
      <c r="I1681">
        <v>5.2140000000000004</v>
      </c>
      <c r="J1681">
        <f t="shared" si="874"/>
        <v>0.98799999999999955</v>
      </c>
      <c r="K1681" t="e">
        <f t="shared" ca="1" si="880"/>
        <v>#VALUE!</v>
      </c>
      <c r="L1681" t="e">
        <f t="shared" ca="1" si="875"/>
        <v>#VALUE!</v>
      </c>
      <c r="M1681" t="e">
        <f t="shared" ca="1" si="849"/>
        <v>#VALUE!</v>
      </c>
      <c r="N1681" t="e">
        <f t="shared" ca="1" si="850"/>
        <v>#VALUE!</v>
      </c>
      <c r="O1681" t="e">
        <f t="shared" ca="1" si="851"/>
        <v>#VALUE!</v>
      </c>
      <c r="P1681" t="e">
        <f t="shared" ca="1" si="852"/>
        <v>#VALUE!</v>
      </c>
      <c r="Q1681" t="e">
        <f t="shared" ca="1" si="853"/>
        <v>#VALUE!</v>
      </c>
      <c r="R1681" t="e">
        <f t="shared" ca="1" si="854"/>
        <v>#VALUE!</v>
      </c>
      <c r="S1681" t="e">
        <f t="shared" ca="1" si="855"/>
        <v>#VALUE!</v>
      </c>
      <c r="T1681" t="e">
        <f t="shared" ca="1" si="856"/>
        <v>#VALUE!</v>
      </c>
      <c r="U1681" t="e">
        <f t="shared" ca="1" si="876"/>
        <v>#VALUE!</v>
      </c>
      <c r="V1681" t="e">
        <f t="shared" ca="1" si="877"/>
        <v>#VALUE!</v>
      </c>
      <c r="W1681" t="e">
        <f t="shared" ca="1" si="857"/>
        <v>#VALUE!</v>
      </c>
      <c r="X1681" t="e">
        <f t="shared" ca="1" si="858"/>
        <v>#VALUE!</v>
      </c>
      <c r="Y1681" t="e">
        <f t="shared" ca="1" si="859"/>
        <v>#VALUE!</v>
      </c>
      <c r="Z1681" t="e">
        <f t="shared" ca="1" si="860"/>
        <v>#VALUE!</v>
      </c>
      <c r="AA1681" t="e">
        <f t="shared" ca="1" si="861"/>
        <v>#VALUE!</v>
      </c>
      <c r="AB1681" t="e">
        <f t="shared" ca="1" si="862"/>
        <v>#VALUE!</v>
      </c>
      <c r="AC1681" t="e">
        <f t="shared" ca="1" si="863"/>
        <v>#VALUE!</v>
      </c>
      <c r="AD1681" t="e">
        <f t="shared" ca="1" si="864"/>
        <v>#VALUE!</v>
      </c>
      <c r="AE1681" t="e">
        <f t="shared" ca="1" si="865"/>
        <v>#VALUE!</v>
      </c>
      <c r="AF1681" t="e">
        <f t="shared" ca="1" si="866"/>
        <v>#VALUE!</v>
      </c>
      <c r="AG1681" t="e">
        <f t="shared" ca="1" si="867"/>
        <v>#VALUE!</v>
      </c>
      <c r="AH1681" t="e">
        <f ca="1">IF(V36="Supercritical",L1681,IF(V36="Subcritical",W1681,IF(AND(V1681=1,AG1681=1),IF(T1681&gt;=AE1681,L1681,W1681),IF(V1681=1,L1681,IF(AG1681=1,W1681,MAX($D$16,POWER((ABS(K1681)^2)/($I$5*MAX(F1681,0.1)^2),1/3)))))))</f>
        <v>#VALUE!</v>
      </c>
      <c r="AI1681" t="e">
        <f t="shared" ca="1" si="868"/>
        <v>#VALUE!</v>
      </c>
      <c r="AJ1681" t="e">
        <f t="shared" ca="1" si="869"/>
        <v>#VALUE!</v>
      </c>
      <c r="AM1681">
        <v>0</v>
      </c>
      <c r="AN1681">
        <v>0</v>
      </c>
      <c r="AO1681">
        <f t="shared" si="870"/>
        <v>0</v>
      </c>
      <c r="AP1681">
        <f t="shared" si="878"/>
        <v>0</v>
      </c>
      <c r="AQ1681" t="e">
        <f t="shared" ca="1" si="871"/>
        <v>#VALUE!</v>
      </c>
      <c r="AR1681" t="e">
        <f t="shared" ca="1" si="872"/>
        <v>#VALUE!</v>
      </c>
      <c r="AS1681" t="e">
        <f t="shared" ca="1" si="873"/>
        <v>#VALUE!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191</v>
      </c>
      <c r="I1682">
        <v>4.6479999999999997</v>
      </c>
      <c r="J1682">
        <f t="shared" si="874"/>
        <v>1</v>
      </c>
      <c r="K1682" t="e">
        <f t="shared" ca="1" si="880"/>
        <v>#VALUE!</v>
      </c>
      <c r="L1682" t="e">
        <f t="shared" ca="1" si="875"/>
        <v>#VALUE!</v>
      </c>
      <c r="M1682" t="e">
        <f t="shared" ca="1" si="849"/>
        <v>#VALUE!</v>
      </c>
      <c r="N1682" t="e">
        <f t="shared" ca="1" si="850"/>
        <v>#VALUE!</v>
      </c>
      <c r="O1682" t="e">
        <f t="shared" ca="1" si="851"/>
        <v>#VALUE!</v>
      </c>
      <c r="P1682" t="e">
        <f t="shared" ca="1" si="852"/>
        <v>#VALUE!</v>
      </c>
      <c r="Q1682" t="e">
        <f t="shared" ca="1" si="853"/>
        <v>#VALUE!</v>
      </c>
      <c r="R1682" t="e">
        <f t="shared" ca="1" si="854"/>
        <v>#VALUE!</v>
      </c>
      <c r="S1682" t="e">
        <f t="shared" ca="1" si="855"/>
        <v>#VALUE!</v>
      </c>
      <c r="T1682" t="e">
        <f t="shared" ca="1" si="856"/>
        <v>#VALUE!</v>
      </c>
      <c r="U1682" t="e">
        <f t="shared" ca="1" si="876"/>
        <v>#VALUE!</v>
      </c>
      <c r="V1682" t="e">
        <f t="shared" ca="1" si="877"/>
        <v>#VALUE!</v>
      </c>
      <c r="W1682" t="e">
        <f t="shared" ca="1" si="857"/>
        <v>#VALUE!</v>
      </c>
      <c r="X1682" t="e">
        <f t="shared" ca="1" si="858"/>
        <v>#VALUE!</v>
      </c>
      <c r="Y1682" t="e">
        <f t="shared" ca="1" si="859"/>
        <v>#VALUE!</v>
      </c>
      <c r="Z1682" t="e">
        <f t="shared" ca="1" si="860"/>
        <v>#VALUE!</v>
      </c>
      <c r="AA1682" t="e">
        <f t="shared" ca="1" si="861"/>
        <v>#VALUE!</v>
      </c>
      <c r="AB1682" t="e">
        <f t="shared" ca="1" si="862"/>
        <v>#VALUE!</v>
      </c>
      <c r="AC1682" t="e">
        <f t="shared" ca="1" si="863"/>
        <v>#VALUE!</v>
      </c>
      <c r="AD1682" t="e">
        <f t="shared" ca="1" si="864"/>
        <v>#VALUE!</v>
      </c>
      <c r="AE1682" t="e">
        <f t="shared" ca="1" si="865"/>
        <v>#VALUE!</v>
      </c>
      <c r="AF1682" t="e">
        <f t="shared" ca="1" si="866"/>
        <v>#VALUE!</v>
      </c>
      <c r="AG1682" t="e">
        <f t="shared" ca="1" si="867"/>
        <v>#VALUE!</v>
      </c>
      <c r="AH1682" t="e">
        <f ca="1">IF(V36="Supercritical",L1682,IF(V36="Subcritical",W1682,IF(AND(V1682=1,AG1682=1),IF(T1682&gt;=AE1682,L1682,W1682),IF(V1682=1,L1682,IF(AG1682=1,W1682,MAX($D$16,POWER((ABS(K1682)^2)/($I$5*MAX(F1682,0.1)^2),1/3)))))))</f>
        <v>#VALUE!</v>
      </c>
      <c r="AI1682" t="e">
        <f t="shared" ca="1" si="868"/>
        <v>#VALUE!</v>
      </c>
      <c r="AJ1682" t="e">
        <f t="shared" ca="1" si="869"/>
        <v>#VALUE!</v>
      </c>
      <c r="AM1682">
        <v>0</v>
      </c>
      <c r="AN1682">
        <v>0</v>
      </c>
      <c r="AO1682">
        <f t="shared" si="870"/>
        <v>0</v>
      </c>
      <c r="AP1682">
        <f t="shared" si="878"/>
        <v>0</v>
      </c>
      <c r="AQ1682" t="e">
        <f t="shared" ca="1" si="871"/>
        <v>#VALUE!</v>
      </c>
      <c r="AR1682" t="e">
        <f t="shared" ca="1" si="872"/>
        <v>#VALUE!</v>
      </c>
      <c r="AS1682" t="e">
        <f t="shared" ca="1" si="873"/>
        <v>#VALUE!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191</v>
      </c>
      <c r="I1683">
        <v>5.7000000000000002E-2</v>
      </c>
      <c r="J1683">
        <f t="shared" si="874"/>
        <v>1</v>
      </c>
      <c r="K1683" t="e">
        <f t="shared" ca="1" si="880"/>
        <v>#VALUE!</v>
      </c>
      <c r="L1683" t="e">
        <f t="shared" ca="1" si="875"/>
        <v>#VALUE!</v>
      </c>
      <c r="M1683" t="e">
        <f t="shared" ca="1" si="849"/>
        <v>#VALUE!</v>
      </c>
      <c r="N1683" t="e">
        <f t="shared" ca="1" si="850"/>
        <v>#VALUE!</v>
      </c>
      <c r="O1683" t="e">
        <f t="shared" ca="1" si="851"/>
        <v>#VALUE!</v>
      </c>
      <c r="P1683" t="e">
        <f t="shared" ca="1" si="852"/>
        <v>#VALUE!</v>
      </c>
      <c r="Q1683" t="e">
        <f t="shared" ca="1" si="853"/>
        <v>#VALUE!</v>
      </c>
      <c r="R1683" t="e">
        <f t="shared" ca="1" si="854"/>
        <v>#VALUE!</v>
      </c>
      <c r="S1683" t="e">
        <f t="shared" ca="1" si="855"/>
        <v>#VALUE!</v>
      </c>
      <c r="T1683" t="e">
        <f t="shared" ca="1" si="856"/>
        <v>#VALUE!</v>
      </c>
      <c r="U1683" t="e">
        <f t="shared" ca="1" si="876"/>
        <v>#VALUE!</v>
      </c>
      <c r="V1683" t="e">
        <f t="shared" ca="1" si="877"/>
        <v>#VALUE!</v>
      </c>
      <c r="W1683" t="e">
        <f t="shared" ca="1" si="857"/>
        <v>#VALUE!</v>
      </c>
      <c r="X1683" t="e">
        <f t="shared" ca="1" si="858"/>
        <v>#VALUE!</v>
      </c>
      <c r="Y1683" t="e">
        <f t="shared" ca="1" si="859"/>
        <v>#VALUE!</v>
      </c>
      <c r="Z1683" t="e">
        <f t="shared" ca="1" si="860"/>
        <v>#VALUE!</v>
      </c>
      <c r="AA1683" t="e">
        <f t="shared" ca="1" si="861"/>
        <v>#VALUE!</v>
      </c>
      <c r="AB1683" t="e">
        <f t="shared" ca="1" si="862"/>
        <v>#VALUE!</v>
      </c>
      <c r="AC1683" t="e">
        <f t="shared" ca="1" si="863"/>
        <v>#VALUE!</v>
      </c>
      <c r="AD1683" t="e">
        <f t="shared" ca="1" si="864"/>
        <v>#VALUE!</v>
      </c>
      <c r="AE1683" t="e">
        <f t="shared" ca="1" si="865"/>
        <v>#VALUE!</v>
      </c>
      <c r="AF1683" t="e">
        <f t="shared" ca="1" si="866"/>
        <v>#VALUE!</v>
      </c>
      <c r="AG1683" t="e">
        <f t="shared" ca="1" si="867"/>
        <v>#VALUE!</v>
      </c>
      <c r="AH1683" t="e">
        <f ca="1">IF(V36="Supercritical",L1683,IF(V36="Subcritical",W1683,IF(AND(V1683=1,AG1683=1),IF(T1683&gt;=AE1683,L1683,W1683),IF(V1683=1,L1683,IF(AG1683=1,W1683,MAX($D$16,POWER((ABS(K1683)^2)/($I$5*MAX(F1683,0.1)^2),1/3)))))))</f>
        <v>#VALUE!</v>
      </c>
      <c r="AI1683" t="e">
        <f t="shared" ca="1" si="868"/>
        <v>#VALUE!</v>
      </c>
      <c r="AJ1683" t="e">
        <f t="shared" ca="1" si="869"/>
        <v>#VALUE!</v>
      </c>
      <c r="AM1683">
        <v>0</v>
      </c>
      <c r="AN1683">
        <v>0</v>
      </c>
      <c r="AO1683">
        <f t="shared" si="870"/>
        <v>0</v>
      </c>
      <c r="AP1683">
        <f t="shared" si="878"/>
        <v>0</v>
      </c>
      <c r="AQ1683" t="e">
        <f t="shared" ca="1" si="871"/>
        <v>#VALUE!</v>
      </c>
      <c r="AR1683" t="e">
        <f t="shared" ca="1" si="872"/>
        <v>#VALUE!</v>
      </c>
      <c r="AS1683" t="e">
        <f t="shared" ca="1" si="873"/>
        <v>#VALUE!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191</v>
      </c>
      <c r="I1684">
        <v>0</v>
      </c>
      <c r="J1684">
        <f t="shared" si="874"/>
        <v>1</v>
      </c>
      <c r="K1684" t="e">
        <f t="shared" ca="1" si="880"/>
        <v>#VALUE!</v>
      </c>
      <c r="L1684" t="e">
        <f t="shared" ca="1" si="875"/>
        <v>#VALUE!</v>
      </c>
      <c r="M1684" t="e">
        <f t="shared" ca="1" si="849"/>
        <v>#VALUE!</v>
      </c>
      <c r="N1684" t="e">
        <f t="shared" ca="1" si="850"/>
        <v>#VALUE!</v>
      </c>
      <c r="O1684" t="e">
        <f t="shared" ca="1" si="851"/>
        <v>#VALUE!</v>
      </c>
      <c r="P1684" t="e">
        <f t="shared" ca="1" si="852"/>
        <v>#VALUE!</v>
      </c>
      <c r="Q1684" t="e">
        <f t="shared" ca="1" si="853"/>
        <v>#VALUE!</v>
      </c>
      <c r="R1684" t="e">
        <f t="shared" ca="1" si="854"/>
        <v>#VALUE!</v>
      </c>
      <c r="S1684" t="e">
        <f t="shared" ca="1" si="855"/>
        <v>#VALUE!</v>
      </c>
      <c r="T1684" t="e">
        <f t="shared" ca="1" si="856"/>
        <v>#VALUE!</v>
      </c>
      <c r="U1684" t="e">
        <f t="shared" ca="1" si="876"/>
        <v>#VALUE!</v>
      </c>
      <c r="V1684" t="e">
        <f t="shared" ca="1" si="877"/>
        <v>#VALUE!</v>
      </c>
      <c r="W1684" t="e">
        <f t="shared" ca="1" si="857"/>
        <v>#VALUE!</v>
      </c>
      <c r="X1684" t="e">
        <f t="shared" ca="1" si="858"/>
        <v>#VALUE!</v>
      </c>
      <c r="Y1684" t="e">
        <f t="shared" ca="1" si="859"/>
        <v>#VALUE!</v>
      </c>
      <c r="Z1684" t="e">
        <f t="shared" ca="1" si="860"/>
        <v>#VALUE!</v>
      </c>
      <c r="AA1684" t="e">
        <f t="shared" ca="1" si="861"/>
        <v>#VALUE!</v>
      </c>
      <c r="AB1684" t="e">
        <f t="shared" ca="1" si="862"/>
        <v>#VALUE!</v>
      </c>
      <c r="AC1684" t="e">
        <f t="shared" ca="1" si="863"/>
        <v>#VALUE!</v>
      </c>
      <c r="AD1684" t="e">
        <f t="shared" ca="1" si="864"/>
        <v>#VALUE!</v>
      </c>
      <c r="AE1684" t="e">
        <f t="shared" ca="1" si="865"/>
        <v>#VALUE!</v>
      </c>
      <c r="AF1684" t="e">
        <f t="shared" ca="1" si="866"/>
        <v>#VALUE!</v>
      </c>
      <c r="AG1684" t="e">
        <f t="shared" ca="1" si="867"/>
        <v>#VALUE!</v>
      </c>
      <c r="AH1684" t="e">
        <f ca="1">IF(V36="Supercritical",L1684,IF(V36="Subcritical",W1684,IF(AND(V1684=1,AG1684=1),IF(T1684&gt;=AE1684,L1684,W1684),IF(V1684=1,L1684,IF(AG1684=1,W1684,MAX($D$16,POWER((ABS(K1684)^2)/($I$5*MAX(F1684,0.1)^2),1/3)))))))</f>
        <v>#VALUE!</v>
      </c>
      <c r="AI1684" t="e">
        <f t="shared" ca="1" si="868"/>
        <v>#VALUE!</v>
      </c>
      <c r="AJ1684" t="e">
        <f t="shared" ca="1" si="869"/>
        <v>#VALUE!</v>
      </c>
      <c r="AM1684">
        <v>0</v>
      </c>
      <c r="AN1684">
        <v>0</v>
      </c>
      <c r="AO1684">
        <f t="shared" si="870"/>
        <v>0</v>
      </c>
      <c r="AP1684">
        <f t="shared" si="878"/>
        <v>0</v>
      </c>
      <c r="AQ1684" t="e">
        <f t="shared" ca="1" si="871"/>
        <v>#VALUE!</v>
      </c>
      <c r="AR1684" t="e">
        <f t="shared" ca="1" si="872"/>
        <v>#VALUE!</v>
      </c>
      <c r="AS1684" t="e">
        <f t="shared" ca="1" si="873"/>
        <v>#VALUE!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191</v>
      </c>
      <c r="I1685">
        <v>0</v>
      </c>
      <c r="J1685">
        <f t="shared" si="874"/>
        <v>1</v>
      </c>
      <c r="K1685" t="e">
        <f t="shared" ca="1" si="880"/>
        <v>#VALUE!</v>
      </c>
      <c r="L1685" t="e">
        <f t="shared" ca="1" si="875"/>
        <v>#VALUE!</v>
      </c>
      <c r="M1685" t="e">
        <f t="shared" ca="1" si="849"/>
        <v>#VALUE!</v>
      </c>
      <c r="N1685" t="e">
        <f t="shared" ca="1" si="850"/>
        <v>#VALUE!</v>
      </c>
      <c r="O1685" t="e">
        <f t="shared" ca="1" si="851"/>
        <v>#VALUE!</v>
      </c>
      <c r="P1685" t="e">
        <f t="shared" ca="1" si="852"/>
        <v>#VALUE!</v>
      </c>
      <c r="Q1685" t="e">
        <f t="shared" ca="1" si="853"/>
        <v>#VALUE!</v>
      </c>
      <c r="R1685" t="e">
        <f t="shared" ca="1" si="854"/>
        <v>#VALUE!</v>
      </c>
      <c r="S1685" t="e">
        <f t="shared" ca="1" si="855"/>
        <v>#VALUE!</v>
      </c>
      <c r="T1685" t="e">
        <f t="shared" ca="1" si="856"/>
        <v>#VALUE!</v>
      </c>
      <c r="U1685" t="e">
        <f t="shared" ca="1" si="876"/>
        <v>#VALUE!</v>
      </c>
      <c r="V1685" t="e">
        <f t="shared" ca="1" si="877"/>
        <v>#VALUE!</v>
      </c>
      <c r="W1685" t="e">
        <f t="shared" ca="1" si="857"/>
        <v>#VALUE!</v>
      </c>
      <c r="X1685" t="e">
        <f t="shared" ca="1" si="858"/>
        <v>#VALUE!</v>
      </c>
      <c r="Y1685" t="e">
        <f t="shared" ca="1" si="859"/>
        <v>#VALUE!</v>
      </c>
      <c r="Z1685" t="e">
        <f t="shared" ca="1" si="860"/>
        <v>#VALUE!</v>
      </c>
      <c r="AA1685" t="e">
        <f t="shared" ca="1" si="861"/>
        <v>#VALUE!</v>
      </c>
      <c r="AB1685" t="e">
        <f t="shared" ca="1" si="862"/>
        <v>#VALUE!</v>
      </c>
      <c r="AC1685" t="e">
        <f t="shared" ca="1" si="863"/>
        <v>#VALUE!</v>
      </c>
      <c r="AD1685" t="e">
        <f t="shared" ca="1" si="864"/>
        <v>#VALUE!</v>
      </c>
      <c r="AE1685" t="e">
        <f t="shared" ca="1" si="865"/>
        <v>#VALUE!</v>
      </c>
      <c r="AF1685" t="e">
        <f t="shared" ca="1" si="866"/>
        <v>#VALUE!</v>
      </c>
      <c r="AG1685" t="e">
        <f t="shared" ca="1" si="867"/>
        <v>#VALUE!</v>
      </c>
      <c r="AH1685" t="e">
        <f ca="1">IF(V36="Supercritical",L1685,IF(V36="Subcritical",W1685,IF(AND(V1685=1,AG1685=1),IF(T1685&gt;=AE1685,L1685,W1685),IF(V1685=1,L1685,IF(AG1685=1,W1685,MAX($D$16,POWER((ABS(K1685)^2)/($I$5*MAX(F1685,0.1)^2),1/3)))))))</f>
        <v>#VALUE!</v>
      </c>
      <c r="AI1685" t="e">
        <f t="shared" ca="1" si="868"/>
        <v>#VALUE!</v>
      </c>
      <c r="AJ1685" t="e">
        <f t="shared" ca="1" si="869"/>
        <v>#VALUE!</v>
      </c>
      <c r="AM1685">
        <v>0</v>
      </c>
      <c r="AN1685">
        <v>0</v>
      </c>
      <c r="AO1685">
        <f t="shared" si="870"/>
        <v>0</v>
      </c>
      <c r="AP1685">
        <f t="shared" si="878"/>
        <v>0</v>
      </c>
      <c r="AQ1685" t="e">
        <f t="shared" ca="1" si="871"/>
        <v>#VALUE!</v>
      </c>
      <c r="AR1685" t="e">
        <f t="shared" ca="1" si="872"/>
        <v>#VALUE!</v>
      </c>
      <c r="AS1685" t="e">
        <f t="shared" ca="1" si="873"/>
        <v>#VALUE!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191</v>
      </c>
      <c r="I1686">
        <v>5.7000000000000002E-2</v>
      </c>
      <c r="J1686">
        <f t="shared" si="874"/>
        <v>1</v>
      </c>
      <c r="K1686" t="e">
        <f t="shared" ca="1" si="880"/>
        <v>#VALUE!</v>
      </c>
      <c r="L1686" t="e">
        <f t="shared" ca="1" si="875"/>
        <v>#VALUE!</v>
      </c>
      <c r="M1686" t="e">
        <f t="shared" ca="1" si="849"/>
        <v>#VALUE!</v>
      </c>
      <c r="N1686" t="e">
        <f t="shared" ca="1" si="850"/>
        <v>#VALUE!</v>
      </c>
      <c r="O1686" t="e">
        <f t="shared" ca="1" si="851"/>
        <v>#VALUE!</v>
      </c>
      <c r="P1686" t="e">
        <f t="shared" ca="1" si="852"/>
        <v>#VALUE!</v>
      </c>
      <c r="Q1686" t="e">
        <f t="shared" ca="1" si="853"/>
        <v>#VALUE!</v>
      </c>
      <c r="R1686" t="e">
        <f t="shared" ca="1" si="854"/>
        <v>#VALUE!</v>
      </c>
      <c r="S1686" t="e">
        <f t="shared" ca="1" si="855"/>
        <v>#VALUE!</v>
      </c>
      <c r="T1686" t="e">
        <f t="shared" ca="1" si="856"/>
        <v>#VALUE!</v>
      </c>
      <c r="U1686" t="e">
        <f t="shared" ca="1" si="876"/>
        <v>#VALUE!</v>
      </c>
      <c r="V1686" t="e">
        <f t="shared" ca="1" si="877"/>
        <v>#VALUE!</v>
      </c>
      <c r="W1686" t="e">
        <f t="shared" ca="1" si="857"/>
        <v>#VALUE!</v>
      </c>
      <c r="X1686" t="e">
        <f t="shared" ca="1" si="858"/>
        <v>#VALUE!</v>
      </c>
      <c r="Y1686" t="e">
        <f t="shared" ca="1" si="859"/>
        <v>#VALUE!</v>
      </c>
      <c r="Z1686" t="e">
        <f t="shared" ca="1" si="860"/>
        <v>#VALUE!</v>
      </c>
      <c r="AA1686" t="e">
        <f t="shared" ca="1" si="861"/>
        <v>#VALUE!</v>
      </c>
      <c r="AB1686" t="e">
        <f t="shared" ca="1" si="862"/>
        <v>#VALUE!</v>
      </c>
      <c r="AC1686" t="e">
        <f t="shared" ca="1" si="863"/>
        <v>#VALUE!</v>
      </c>
      <c r="AD1686" t="e">
        <f t="shared" ca="1" si="864"/>
        <v>#VALUE!</v>
      </c>
      <c r="AE1686" t="e">
        <f t="shared" ca="1" si="865"/>
        <v>#VALUE!</v>
      </c>
      <c r="AF1686" t="e">
        <f t="shared" ca="1" si="866"/>
        <v>#VALUE!</v>
      </c>
      <c r="AG1686" t="e">
        <f t="shared" ca="1" si="867"/>
        <v>#VALUE!</v>
      </c>
      <c r="AH1686" t="e">
        <f ca="1">IF(V36="Supercritical",L1686,IF(V36="Subcritical",W1686,IF(AND(V1686=1,AG1686=1),IF(T1686&gt;=AE1686,L1686,W1686),IF(V1686=1,L1686,IF(AG1686=1,W1686,MAX($D$16,POWER((ABS(K1686)^2)/($I$5*MAX(F1686,0.1)^2),1/3)))))))</f>
        <v>#VALUE!</v>
      </c>
      <c r="AI1686" t="e">
        <f t="shared" ca="1" si="868"/>
        <v>#VALUE!</v>
      </c>
      <c r="AJ1686" t="e">
        <f t="shared" ca="1" si="869"/>
        <v>#VALUE!</v>
      </c>
      <c r="AM1686">
        <v>0</v>
      </c>
      <c r="AN1686">
        <v>0</v>
      </c>
      <c r="AO1686">
        <f t="shared" si="870"/>
        <v>0</v>
      </c>
      <c r="AP1686">
        <f t="shared" si="878"/>
        <v>0</v>
      </c>
      <c r="AQ1686" t="e">
        <f t="shared" ca="1" si="871"/>
        <v>#VALUE!</v>
      </c>
      <c r="AR1686" t="e">
        <f t="shared" ca="1" si="872"/>
        <v>#VALUE!</v>
      </c>
      <c r="AS1686" t="e">
        <f t="shared" ca="1" si="873"/>
        <v>#VALUE!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191</v>
      </c>
      <c r="I1687">
        <v>5.7000000000000002E-2</v>
      </c>
      <c r="J1687">
        <f t="shared" si="874"/>
        <v>1</v>
      </c>
      <c r="K1687" t="e">
        <f t="shared" ca="1" si="880"/>
        <v>#VALUE!</v>
      </c>
      <c r="L1687" t="e">
        <f t="shared" ca="1" si="875"/>
        <v>#VALUE!</v>
      </c>
      <c r="M1687" t="e">
        <f t="shared" ca="1" si="849"/>
        <v>#VALUE!</v>
      </c>
      <c r="N1687" t="e">
        <f t="shared" ca="1" si="850"/>
        <v>#VALUE!</v>
      </c>
      <c r="O1687" t="e">
        <f t="shared" ca="1" si="851"/>
        <v>#VALUE!</v>
      </c>
      <c r="P1687" t="e">
        <f t="shared" ca="1" si="852"/>
        <v>#VALUE!</v>
      </c>
      <c r="Q1687" t="e">
        <f t="shared" ca="1" si="853"/>
        <v>#VALUE!</v>
      </c>
      <c r="R1687" t="e">
        <f t="shared" ca="1" si="854"/>
        <v>#VALUE!</v>
      </c>
      <c r="S1687" t="e">
        <f t="shared" ca="1" si="855"/>
        <v>#VALUE!</v>
      </c>
      <c r="T1687" t="e">
        <f t="shared" ca="1" si="856"/>
        <v>#VALUE!</v>
      </c>
      <c r="U1687" t="e">
        <f t="shared" ca="1" si="876"/>
        <v>#VALUE!</v>
      </c>
      <c r="V1687" t="e">
        <f t="shared" ca="1" si="877"/>
        <v>#VALUE!</v>
      </c>
      <c r="W1687" t="e">
        <f t="shared" ca="1" si="857"/>
        <v>#VALUE!</v>
      </c>
      <c r="X1687" t="e">
        <f t="shared" ca="1" si="858"/>
        <v>#VALUE!</v>
      </c>
      <c r="Y1687" t="e">
        <f t="shared" ca="1" si="859"/>
        <v>#VALUE!</v>
      </c>
      <c r="Z1687" t="e">
        <f t="shared" ca="1" si="860"/>
        <v>#VALUE!</v>
      </c>
      <c r="AA1687" t="e">
        <f t="shared" ca="1" si="861"/>
        <v>#VALUE!</v>
      </c>
      <c r="AB1687" t="e">
        <f t="shared" ca="1" si="862"/>
        <v>#VALUE!</v>
      </c>
      <c r="AC1687" t="e">
        <f t="shared" ca="1" si="863"/>
        <v>#VALUE!</v>
      </c>
      <c r="AD1687" t="e">
        <f t="shared" ca="1" si="864"/>
        <v>#VALUE!</v>
      </c>
      <c r="AE1687" t="e">
        <f t="shared" ca="1" si="865"/>
        <v>#VALUE!</v>
      </c>
      <c r="AF1687" t="e">
        <f t="shared" ca="1" si="866"/>
        <v>#VALUE!</v>
      </c>
      <c r="AG1687" t="e">
        <f t="shared" ca="1" si="867"/>
        <v>#VALUE!</v>
      </c>
      <c r="AH1687" t="e">
        <f ca="1">IF(V36="Supercritical",L1687,IF(V36="Subcritical",W1687,IF(AND(V1687=1,AG1687=1),IF(T1687&gt;=AE1687,L1687,W1687),IF(V1687=1,L1687,IF(AG1687=1,W1687,MAX($D$16,POWER((ABS(K1687)^2)/($I$5*MAX(F1687,0.1)^2),1/3)))))))</f>
        <v>#VALUE!</v>
      </c>
      <c r="AI1687" t="e">
        <f t="shared" ca="1" si="868"/>
        <v>#VALUE!</v>
      </c>
      <c r="AJ1687" t="e">
        <f t="shared" ca="1" si="869"/>
        <v>#VALUE!</v>
      </c>
      <c r="AM1687">
        <v>0</v>
      </c>
      <c r="AN1687">
        <v>0</v>
      </c>
      <c r="AO1687">
        <f t="shared" si="870"/>
        <v>0</v>
      </c>
      <c r="AP1687">
        <f t="shared" si="878"/>
        <v>0</v>
      </c>
      <c r="AQ1687" t="e">
        <f t="shared" ca="1" si="871"/>
        <v>#VALUE!</v>
      </c>
      <c r="AR1687" t="e">
        <f t="shared" ca="1" si="872"/>
        <v>#VALUE!</v>
      </c>
      <c r="AS1687" t="e">
        <f t="shared" ca="1" si="873"/>
        <v>#VALUE!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191</v>
      </c>
      <c r="I1688">
        <v>0</v>
      </c>
      <c r="J1688">
        <f t="shared" si="874"/>
        <v>1</v>
      </c>
      <c r="K1688" t="e">
        <f t="shared" ca="1" si="880"/>
        <v>#VALUE!</v>
      </c>
      <c r="L1688" t="e">
        <f t="shared" ca="1" si="875"/>
        <v>#VALUE!</v>
      </c>
      <c r="M1688" t="e">
        <f t="shared" ca="1" si="849"/>
        <v>#VALUE!</v>
      </c>
      <c r="N1688" t="e">
        <f t="shared" ca="1" si="850"/>
        <v>#VALUE!</v>
      </c>
      <c r="O1688" t="e">
        <f t="shared" ca="1" si="851"/>
        <v>#VALUE!</v>
      </c>
      <c r="P1688" t="e">
        <f t="shared" ca="1" si="852"/>
        <v>#VALUE!</v>
      </c>
      <c r="Q1688" t="e">
        <f t="shared" ca="1" si="853"/>
        <v>#VALUE!</v>
      </c>
      <c r="R1688" t="e">
        <f t="shared" ca="1" si="854"/>
        <v>#VALUE!</v>
      </c>
      <c r="S1688" t="e">
        <f t="shared" ca="1" si="855"/>
        <v>#VALUE!</v>
      </c>
      <c r="T1688" t="e">
        <f t="shared" ca="1" si="856"/>
        <v>#VALUE!</v>
      </c>
      <c r="U1688" t="e">
        <f t="shared" ca="1" si="876"/>
        <v>#VALUE!</v>
      </c>
      <c r="V1688" t="e">
        <f t="shared" ca="1" si="877"/>
        <v>#VALUE!</v>
      </c>
      <c r="W1688" t="e">
        <f t="shared" ca="1" si="857"/>
        <v>#VALUE!</v>
      </c>
      <c r="X1688" t="e">
        <f t="shared" ca="1" si="858"/>
        <v>#VALUE!</v>
      </c>
      <c r="Y1688" t="e">
        <f t="shared" ca="1" si="859"/>
        <v>#VALUE!</v>
      </c>
      <c r="Z1688" t="e">
        <f t="shared" ca="1" si="860"/>
        <v>#VALUE!</v>
      </c>
      <c r="AA1688" t="e">
        <f t="shared" ca="1" si="861"/>
        <v>#VALUE!</v>
      </c>
      <c r="AB1688" t="e">
        <f t="shared" ca="1" si="862"/>
        <v>#VALUE!</v>
      </c>
      <c r="AC1688" t="e">
        <f t="shared" ca="1" si="863"/>
        <v>#VALUE!</v>
      </c>
      <c r="AD1688" t="e">
        <f t="shared" ca="1" si="864"/>
        <v>#VALUE!</v>
      </c>
      <c r="AE1688" t="e">
        <f t="shared" ca="1" si="865"/>
        <v>#VALUE!</v>
      </c>
      <c r="AF1688" t="e">
        <f t="shared" ca="1" si="866"/>
        <v>#VALUE!</v>
      </c>
      <c r="AG1688" t="e">
        <f t="shared" ca="1" si="867"/>
        <v>#VALUE!</v>
      </c>
      <c r="AH1688" t="e">
        <f ca="1">IF(V36="Supercritical",L1688,IF(V36="Subcritical",W1688,IF(AND(V1688=1,AG1688=1),IF(T1688&gt;=AE1688,L1688,W1688),IF(V1688=1,L1688,IF(AG1688=1,W1688,MAX($D$16,POWER((ABS(K1688)^2)/($I$5*MAX(F1688,0.1)^2),1/3)))))))</f>
        <v>#VALUE!</v>
      </c>
      <c r="AI1688" t="e">
        <f t="shared" ca="1" si="868"/>
        <v>#VALUE!</v>
      </c>
      <c r="AJ1688" t="e">
        <f t="shared" ca="1" si="869"/>
        <v>#VALUE!</v>
      </c>
      <c r="AM1688">
        <v>0</v>
      </c>
      <c r="AN1688">
        <v>0</v>
      </c>
      <c r="AO1688">
        <f t="shared" si="870"/>
        <v>0</v>
      </c>
      <c r="AP1688">
        <f t="shared" si="878"/>
        <v>0</v>
      </c>
      <c r="AQ1688" t="e">
        <f t="shared" ca="1" si="871"/>
        <v>#VALUE!</v>
      </c>
      <c r="AR1688" t="e">
        <f t="shared" ca="1" si="872"/>
        <v>#VALUE!</v>
      </c>
      <c r="AS1688" t="e">
        <f t="shared" ca="1" si="873"/>
        <v>#VALUE!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191</v>
      </c>
      <c r="I1689">
        <v>0</v>
      </c>
      <c r="J1689">
        <f t="shared" si="874"/>
        <v>1</v>
      </c>
      <c r="K1689" t="e">
        <f t="shared" ca="1" si="880"/>
        <v>#VALUE!</v>
      </c>
      <c r="L1689" t="e">
        <f t="shared" ca="1" si="875"/>
        <v>#VALUE!</v>
      </c>
      <c r="M1689" t="e">
        <f t="shared" ca="1" si="849"/>
        <v>#VALUE!</v>
      </c>
      <c r="N1689" t="e">
        <f t="shared" ca="1" si="850"/>
        <v>#VALUE!</v>
      </c>
      <c r="O1689" t="e">
        <f t="shared" ca="1" si="851"/>
        <v>#VALUE!</v>
      </c>
      <c r="P1689" t="e">
        <f t="shared" ca="1" si="852"/>
        <v>#VALUE!</v>
      </c>
      <c r="Q1689" t="e">
        <f t="shared" ca="1" si="853"/>
        <v>#VALUE!</v>
      </c>
      <c r="R1689" t="e">
        <f t="shared" ca="1" si="854"/>
        <v>#VALUE!</v>
      </c>
      <c r="S1689" t="e">
        <f t="shared" ca="1" si="855"/>
        <v>#VALUE!</v>
      </c>
      <c r="T1689" t="e">
        <f t="shared" ca="1" si="856"/>
        <v>#VALUE!</v>
      </c>
      <c r="U1689" t="e">
        <f t="shared" ca="1" si="876"/>
        <v>#VALUE!</v>
      </c>
      <c r="V1689" t="e">
        <f t="shared" ca="1" si="877"/>
        <v>#VALUE!</v>
      </c>
      <c r="W1689" t="e">
        <f t="shared" ca="1" si="857"/>
        <v>#VALUE!</v>
      </c>
      <c r="X1689" t="e">
        <f t="shared" ca="1" si="858"/>
        <v>#VALUE!</v>
      </c>
      <c r="Y1689" t="e">
        <f t="shared" ca="1" si="859"/>
        <v>#VALUE!</v>
      </c>
      <c r="Z1689" t="e">
        <f t="shared" ca="1" si="860"/>
        <v>#VALUE!</v>
      </c>
      <c r="AA1689" t="e">
        <f t="shared" ca="1" si="861"/>
        <v>#VALUE!</v>
      </c>
      <c r="AB1689" t="e">
        <f t="shared" ca="1" si="862"/>
        <v>#VALUE!</v>
      </c>
      <c r="AC1689" t="e">
        <f t="shared" ca="1" si="863"/>
        <v>#VALUE!</v>
      </c>
      <c r="AD1689" t="e">
        <f t="shared" ca="1" si="864"/>
        <v>#VALUE!</v>
      </c>
      <c r="AE1689" t="e">
        <f t="shared" ca="1" si="865"/>
        <v>#VALUE!</v>
      </c>
      <c r="AF1689" t="e">
        <f t="shared" ca="1" si="866"/>
        <v>#VALUE!</v>
      </c>
      <c r="AG1689" t="e">
        <f t="shared" ca="1" si="867"/>
        <v>#VALUE!</v>
      </c>
      <c r="AH1689" t="e">
        <f ca="1">IF(V36="Supercritical",L1689,IF(V36="Subcritical",W1689,IF(AND(V1689=1,AG1689=1),IF(T1689&gt;=AE1689,L1689,W1689),IF(V1689=1,L1689,IF(AG1689=1,W1689,MAX($D$16,POWER((ABS(K1689)^2)/($I$5*MAX(F1689,0.1)^2),1/3)))))))</f>
        <v>#VALUE!</v>
      </c>
      <c r="AI1689" t="e">
        <f t="shared" ca="1" si="868"/>
        <v>#VALUE!</v>
      </c>
      <c r="AJ1689" t="e">
        <f t="shared" ca="1" si="869"/>
        <v>#VALUE!</v>
      </c>
      <c r="AM1689">
        <v>0</v>
      </c>
      <c r="AN1689">
        <v>0</v>
      </c>
      <c r="AO1689">
        <f t="shared" si="870"/>
        <v>0</v>
      </c>
      <c r="AP1689">
        <f t="shared" si="878"/>
        <v>0</v>
      </c>
      <c r="AQ1689" t="e">
        <f t="shared" ca="1" si="871"/>
        <v>#VALUE!</v>
      </c>
      <c r="AR1689" t="e">
        <f t="shared" ca="1" si="872"/>
        <v>#VALUE!</v>
      </c>
      <c r="AS1689" t="e">
        <f t="shared" ca="1" si="873"/>
        <v>#VALUE!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191</v>
      </c>
      <c r="I1690">
        <v>5.7000000000000002E-2</v>
      </c>
      <c r="J1690">
        <f t="shared" si="874"/>
        <v>1</v>
      </c>
      <c r="K1690" t="e">
        <f t="shared" ca="1" si="880"/>
        <v>#VALUE!</v>
      </c>
      <c r="L1690" t="e">
        <f t="shared" ca="1" si="875"/>
        <v>#VALUE!</v>
      </c>
      <c r="M1690" t="e">
        <f t="shared" ca="1" si="849"/>
        <v>#VALUE!</v>
      </c>
      <c r="N1690" t="e">
        <f t="shared" ca="1" si="850"/>
        <v>#VALUE!</v>
      </c>
      <c r="O1690" t="e">
        <f t="shared" ca="1" si="851"/>
        <v>#VALUE!</v>
      </c>
      <c r="P1690" t="e">
        <f t="shared" ca="1" si="852"/>
        <v>#VALUE!</v>
      </c>
      <c r="Q1690" t="e">
        <f t="shared" ca="1" si="853"/>
        <v>#VALUE!</v>
      </c>
      <c r="R1690" t="e">
        <f t="shared" ca="1" si="854"/>
        <v>#VALUE!</v>
      </c>
      <c r="S1690" t="e">
        <f t="shared" ca="1" si="855"/>
        <v>#VALUE!</v>
      </c>
      <c r="T1690" t="e">
        <f t="shared" ca="1" si="856"/>
        <v>#VALUE!</v>
      </c>
      <c r="U1690" t="e">
        <f t="shared" ca="1" si="876"/>
        <v>#VALUE!</v>
      </c>
      <c r="V1690" t="e">
        <f t="shared" ca="1" si="877"/>
        <v>#VALUE!</v>
      </c>
      <c r="W1690" t="e">
        <f t="shared" ca="1" si="857"/>
        <v>#VALUE!</v>
      </c>
      <c r="X1690" t="e">
        <f t="shared" ca="1" si="858"/>
        <v>#VALUE!</v>
      </c>
      <c r="Y1690" t="e">
        <f t="shared" ca="1" si="859"/>
        <v>#VALUE!</v>
      </c>
      <c r="Z1690" t="e">
        <f t="shared" ca="1" si="860"/>
        <v>#VALUE!</v>
      </c>
      <c r="AA1690" t="e">
        <f t="shared" ca="1" si="861"/>
        <v>#VALUE!</v>
      </c>
      <c r="AB1690" t="e">
        <f t="shared" ca="1" si="862"/>
        <v>#VALUE!</v>
      </c>
      <c r="AC1690" t="e">
        <f t="shared" ca="1" si="863"/>
        <v>#VALUE!</v>
      </c>
      <c r="AD1690" t="e">
        <f t="shared" ca="1" si="864"/>
        <v>#VALUE!</v>
      </c>
      <c r="AE1690" t="e">
        <f t="shared" ca="1" si="865"/>
        <v>#VALUE!</v>
      </c>
      <c r="AF1690" t="e">
        <f t="shared" ca="1" si="866"/>
        <v>#VALUE!</v>
      </c>
      <c r="AG1690" t="e">
        <f t="shared" ca="1" si="867"/>
        <v>#VALUE!</v>
      </c>
      <c r="AH1690" t="e">
        <f ca="1">IF(V36="Supercritical",L1690,IF(V36="Subcritical",W1690,IF(AND(V1690=1,AG1690=1),IF(T1690&gt;=AE1690,L1690,W1690),IF(V1690=1,L1690,IF(AG1690=1,W1690,MAX($D$16,POWER((ABS(K1690)^2)/($I$5*MAX(F1690,0.1)^2),1/3)))))))</f>
        <v>#VALUE!</v>
      </c>
      <c r="AI1690" t="e">
        <f t="shared" ca="1" si="868"/>
        <v>#VALUE!</v>
      </c>
      <c r="AJ1690" t="e">
        <f t="shared" ca="1" si="869"/>
        <v>#VALUE!</v>
      </c>
      <c r="AM1690">
        <v>0</v>
      </c>
      <c r="AN1690">
        <v>0</v>
      </c>
      <c r="AO1690">
        <f t="shared" si="870"/>
        <v>0</v>
      </c>
      <c r="AP1690">
        <f t="shared" si="878"/>
        <v>0</v>
      </c>
      <c r="AQ1690" t="e">
        <f t="shared" ca="1" si="871"/>
        <v>#VALUE!</v>
      </c>
      <c r="AR1690" t="e">
        <f t="shared" ca="1" si="872"/>
        <v>#VALUE!</v>
      </c>
      <c r="AS1690" t="e">
        <f t="shared" ca="1" si="873"/>
        <v>#VALUE!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191</v>
      </c>
      <c r="I1691">
        <v>5.7000000000000002E-2</v>
      </c>
      <c r="J1691">
        <f t="shared" si="874"/>
        <v>1</v>
      </c>
      <c r="K1691" t="e">
        <f t="shared" ca="1" si="880"/>
        <v>#VALUE!</v>
      </c>
      <c r="L1691" t="e">
        <f t="shared" ca="1" si="875"/>
        <v>#VALUE!</v>
      </c>
      <c r="M1691" t="e">
        <f t="shared" ca="1" si="849"/>
        <v>#VALUE!</v>
      </c>
      <c r="N1691" t="e">
        <f t="shared" ca="1" si="850"/>
        <v>#VALUE!</v>
      </c>
      <c r="O1691" t="e">
        <f t="shared" ca="1" si="851"/>
        <v>#VALUE!</v>
      </c>
      <c r="P1691" t="e">
        <f t="shared" ca="1" si="852"/>
        <v>#VALUE!</v>
      </c>
      <c r="Q1691" t="e">
        <f t="shared" ca="1" si="853"/>
        <v>#VALUE!</v>
      </c>
      <c r="R1691" t="e">
        <f t="shared" ca="1" si="854"/>
        <v>#VALUE!</v>
      </c>
      <c r="S1691" t="e">
        <f t="shared" ca="1" si="855"/>
        <v>#VALUE!</v>
      </c>
      <c r="T1691" t="e">
        <f t="shared" ca="1" si="856"/>
        <v>#VALUE!</v>
      </c>
      <c r="U1691" t="e">
        <f t="shared" ca="1" si="876"/>
        <v>#VALUE!</v>
      </c>
      <c r="V1691" t="e">
        <f t="shared" ca="1" si="877"/>
        <v>#VALUE!</v>
      </c>
      <c r="W1691" t="e">
        <f t="shared" ca="1" si="857"/>
        <v>#VALUE!</v>
      </c>
      <c r="X1691" t="e">
        <f t="shared" ca="1" si="858"/>
        <v>#VALUE!</v>
      </c>
      <c r="Y1691" t="e">
        <f t="shared" ca="1" si="859"/>
        <v>#VALUE!</v>
      </c>
      <c r="Z1691" t="e">
        <f t="shared" ca="1" si="860"/>
        <v>#VALUE!</v>
      </c>
      <c r="AA1691" t="e">
        <f t="shared" ca="1" si="861"/>
        <v>#VALUE!</v>
      </c>
      <c r="AB1691" t="e">
        <f t="shared" ca="1" si="862"/>
        <v>#VALUE!</v>
      </c>
      <c r="AC1691" t="e">
        <f t="shared" ca="1" si="863"/>
        <v>#VALUE!</v>
      </c>
      <c r="AD1691" t="e">
        <f t="shared" ca="1" si="864"/>
        <v>#VALUE!</v>
      </c>
      <c r="AE1691" t="e">
        <f t="shared" ca="1" si="865"/>
        <v>#VALUE!</v>
      </c>
      <c r="AF1691" t="e">
        <f t="shared" ca="1" si="866"/>
        <v>#VALUE!</v>
      </c>
      <c r="AG1691" t="e">
        <f t="shared" ca="1" si="867"/>
        <v>#VALUE!</v>
      </c>
      <c r="AH1691" t="e">
        <f ca="1">IF(V36="Supercritical",L1691,IF(V36="Subcritical",W1691,IF(AND(V1691=1,AG1691=1),IF(T1691&gt;=AE1691,L1691,W1691),IF(V1691=1,L1691,IF(AG1691=1,W1691,MAX($D$16,POWER((ABS(K1691)^2)/($I$5*MAX(F1691,0.1)^2),1/3)))))))</f>
        <v>#VALUE!</v>
      </c>
      <c r="AI1691" t="e">
        <f t="shared" ca="1" si="868"/>
        <v>#VALUE!</v>
      </c>
      <c r="AJ1691" t="e">
        <f t="shared" ca="1" si="869"/>
        <v>#VALUE!</v>
      </c>
      <c r="AM1691">
        <v>0</v>
      </c>
      <c r="AN1691">
        <v>0</v>
      </c>
      <c r="AO1691">
        <f t="shared" si="870"/>
        <v>0</v>
      </c>
      <c r="AP1691">
        <f t="shared" si="878"/>
        <v>0</v>
      </c>
      <c r="AQ1691" t="e">
        <f t="shared" ca="1" si="871"/>
        <v>#VALUE!</v>
      </c>
      <c r="AR1691" t="e">
        <f t="shared" ca="1" si="872"/>
        <v>#VALUE!</v>
      </c>
      <c r="AS1691" t="e">
        <f t="shared" ca="1" si="873"/>
        <v>#VALUE!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191</v>
      </c>
      <c r="I1692">
        <v>0</v>
      </c>
      <c r="J1692">
        <f t="shared" si="874"/>
        <v>1</v>
      </c>
      <c r="K1692" t="e">
        <f t="shared" ca="1" si="880"/>
        <v>#VALUE!</v>
      </c>
      <c r="L1692" t="e">
        <f t="shared" ca="1" si="875"/>
        <v>#VALUE!</v>
      </c>
      <c r="M1692" t="e">
        <f t="shared" ca="1" si="849"/>
        <v>#VALUE!</v>
      </c>
      <c r="N1692" t="e">
        <f t="shared" ca="1" si="850"/>
        <v>#VALUE!</v>
      </c>
      <c r="O1692" t="e">
        <f t="shared" ca="1" si="851"/>
        <v>#VALUE!</v>
      </c>
      <c r="P1692" t="e">
        <f t="shared" ca="1" si="852"/>
        <v>#VALUE!</v>
      </c>
      <c r="Q1692" t="e">
        <f t="shared" ca="1" si="853"/>
        <v>#VALUE!</v>
      </c>
      <c r="R1692" t="e">
        <f t="shared" ca="1" si="854"/>
        <v>#VALUE!</v>
      </c>
      <c r="S1692" t="e">
        <f t="shared" ca="1" si="855"/>
        <v>#VALUE!</v>
      </c>
      <c r="T1692" t="e">
        <f t="shared" ca="1" si="856"/>
        <v>#VALUE!</v>
      </c>
      <c r="U1692" t="e">
        <f t="shared" ca="1" si="876"/>
        <v>#VALUE!</v>
      </c>
      <c r="V1692" t="e">
        <f t="shared" ca="1" si="877"/>
        <v>#VALUE!</v>
      </c>
      <c r="W1692" t="e">
        <f t="shared" ca="1" si="857"/>
        <v>#VALUE!</v>
      </c>
      <c r="X1692" t="e">
        <f t="shared" ca="1" si="858"/>
        <v>#VALUE!</v>
      </c>
      <c r="Y1692" t="e">
        <f t="shared" ca="1" si="859"/>
        <v>#VALUE!</v>
      </c>
      <c r="Z1692" t="e">
        <f t="shared" ca="1" si="860"/>
        <v>#VALUE!</v>
      </c>
      <c r="AA1692" t="e">
        <f t="shared" ca="1" si="861"/>
        <v>#VALUE!</v>
      </c>
      <c r="AB1692" t="e">
        <f t="shared" ca="1" si="862"/>
        <v>#VALUE!</v>
      </c>
      <c r="AC1692" t="e">
        <f t="shared" ca="1" si="863"/>
        <v>#VALUE!</v>
      </c>
      <c r="AD1692" t="e">
        <f t="shared" ca="1" si="864"/>
        <v>#VALUE!</v>
      </c>
      <c r="AE1692" t="e">
        <f t="shared" ca="1" si="865"/>
        <v>#VALUE!</v>
      </c>
      <c r="AF1692" t="e">
        <f t="shared" ca="1" si="866"/>
        <v>#VALUE!</v>
      </c>
      <c r="AG1692" t="e">
        <f t="shared" ca="1" si="867"/>
        <v>#VALUE!</v>
      </c>
      <c r="AH1692" t="e">
        <f ca="1">IF(V36="Supercritical",L1692,IF(V36="Subcritical",W1692,IF(AND(V1692=1,AG1692=1),IF(T1692&gt;=AE1692,L1692,W1692),IF(V1692=1,L1692,IF(AG1692=1,W1692,MAX($D$16,POWER((ABS(K1692)^2)/($I$5*MAX(F1692,0.1)^2),1/3)))))))</f>
        <v>#VALUE!</v>
      </c>
      <c r="AI1692" t="e">
        <f t="shared" ca="1" si="868"/>
        <v>#VALUE!</v>
      </c>
      <c r="AJ1692" t="e">
        <f t="shared" ca="1" si="869"/>
        <v>#VALUE!</v>
      </c>
      <c r="AM1692">
        <v>0</v>
      </c>
      <c r="AN1692">
        <v>0</v>
      </c>
      <c r="AO1692">
        <f t="shared" si="870"/>
        <v>0</v>
      </c>
      <c r="AP1692">
        <f t="shared" si="878"/>
        <v>0</v>
      </c>
      <c r="AQ1692" t="e">
        <f t="shared" ca="1" si="871"/>
        <v>#VALUE!</v>
      </c>
      <c r="AR1692" t="e">
        <f t="shared" ca="1" si="872"/>
        <v>#VALUE!</v>
      </c>
      <c r="AS1692" t="e">
        <f t="shared" ca="1" si="873"/>
        <v>#VALUE!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191</v>
      </c>
      <c r="I1693">
        <v>6.2E-2</v>
      </c>
      <c r="J1693">
        <f t="shared" si="874"/>
        <v>1</v>
      </c>
      <c r="K1693" t="e">
        <f t="shared" ca="1" si="880"/>
        <v>#VALUE!</v>
      </c>
      <c r="L1693" t="e">
        <f t="shared" ca="1" si="875"/>
        <v>#VALUE!</v>
      </c>
      <c r="M1693" t="e">
        <f t="shared" ca="1" si="849"/>
        <v>#VALUE!</v>
      </c>
      <c r="N1693" t="e">
        <f t="shared" ca="1" si="850"/>
        <v>#VALUE!</v>
      </c>
      <c r="O1693" t="e">
        <f t="shared" ca="1" si="851"/>
        <v>#VALUE!</v>
      </c>
      <c r="P1693" t="e">
        <f t="shared" ca="1" si="852"/>
        <v>#VALUE!</v>
      </c>
      <c r="Q1693" t="e">
        <f t="shared" ca="1" si="853"/>
        <v>#VALUE!</v>
      </c>
      <c r="R1693" t="e">
        <f t="shared" ca="1" si="854"/>
        <v>#VALUE!</v>
      </c>
      <c r="S1693" t="e">
        <f t="shared" ca="1" si="855"/>
        <v>#VALUE!</v>
      </c>
      <c r="T1693" t="e">
        <f t="shared" ca="1" si="856"/>
        <v>#VALUE!</v>
      </c>
      <c r="U1693" t="e">
        <f t="shared" ca="1" si="876"/>
        <v>#VALUE!</v>
      </c>
      <c r="V1693" t="e">
        <f t="shared" ca="1" si="877"/>
        <v>#VALUE!</v>
      </c>
      <c r="W1693" t="e">
        <f t="shared" ca="1" si="857"/>
        <v>#VALUE!</v>
      </c>
      <c r="X1693" t="e">
        <f t="shared" ca="1" si="858"/>
        <v>#VALUE!</v>
      </c>
      <c r="Y1693" t="e">
        <f t="shared" ca="1" si="859"/>
        <v>#VALUE!</v>
      </c>
      <c r="Z1693" t="e">
        <f t="shared" ca="1" si="860"/>
        <v>#VALUE!</v>
      </c>
      <c r="AA1693" t="e">
        <f t="shared" ca="1" si="861"/>
        <v>#VALUE!</v>
      </c>
      <c r="AB1693" t="e">
        <f t="shared" ca="1" si="862"/>
        <v>#VALUE!</v>
      </c>
      <c r="AC1693" t="e">
        <f t="shared" ca="1" si="863"/>
        <v>#VALUE!</v>
      </c>
      <c r="AD1693" t="e">
        <f t="shared" ca="1" si="864"/>
        <v>#VALUE!</v>
      </c>
      <c r="AE1693" t="e">
        <f t="shared" ca="1" si="865"/>
        <v>#VALUE!</v>
      </c>
      <c r="AF1693" t="e">
        <f t="shared" ca="1" si="866"/>
        <v>#VALUE!</v>
      </c>
      <c r="AG1693" t="e">
        <f t="shared" ca="1" si="867"/>
        <v>#VALUE!</v>
      </c>
      <c r="AH1693" t="e">
        <f ca="1">IF(V36="Supercritical",L1693,IF(V36="Subcritical",W1693,IF(AND(V1693=1,AG1693=1),IF(T1693&gt;=AE1693,L1693,W1693),IF(V1693=1,L1693,IF(AG1693=1,W1693,MAX($D$16,POWER((ABS(K1693)^2)/($I$5*MAX(F1693,0.1)^2),1/3)))))))</f>
        <v>#VALUE!</v>
      </c>
      <c r="AI1693" t="e">
        <f t="shared" ca="1" si="868"/>
        <v>#VALUE!</v>
      </c>
      <c r="AJ1693" t="e">
        <f t="shared" ca="1" si="869"/>
        <v>#VALUE!</v>
      </c>
      <c r="AM1693">
        <v>0</v>
      </c>
      <c r="AN1693">
        <v>0</v>
      </c>
      <c r="AO1693">
        <f t="shared" si="870"/>
        <v>0</v>
      </c>
      <c r="AP1693">
        <f t="shared" si="878"/>
        <v>0</v>
      </c>
      <c r="AQ1693" t="e">
        <f t="shared" ca="1" si="871"/>
        <v>#VALUE!</v>
      </c>
      <c r="AR1693" t="e">
        <f t="shared" ca="1" si="872"/>
        <v>#VALUE!</v>
      </c>
      <c r="AS1693" t="e">
        <f t="shared" ca="1" si="873"/>
        <v>#VALUE!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191</v>
      </c>
      <c r="I1694">
        <v>0</v>
      </c>
      <c r="J1694">
        <f t="shared" si="874"/>
        <v>0.42399999999999949</v>
      </c>
      <c r="K1694" t="e">
        <f t="shared" ca="1" si="880"/>
        <v>#VALUE!</v>
      </c>
      <c r="L1694" t="e">
        <f t="shared" ca="1" si="875"/>
        <v>#VALUE!</v>
      </c>
      <c r="M1694" t="e">
        <f t="shared" ca="1" si="849"/>
        <v>#VALUE!</v>
      </c>
      <c r="N1694" t="e">
        <f t="shared" ca="1" si="850"/>
        <v>#VALUE!</v>
      </c>
      <c r="O1694" t="e">
        <f t="shared" ca="1" si="851"/>
        <v>#VALUE!</v>
      </c>
      <c r="P1694" t="e">
        <f t="shared" ca="1" si="852"/>
        <v>#VALUE!</v>
      </c>
      <c r="Q1694" t="e">
        <f t="shared" ca="1" si="853"/>
        <v>#VALUE!</v>
      </c>
      <c r="R1694" t="e">
        <f t="shared" ca="1" si="854"/>
        <v>#VALUE!</v>
      </c>
      <c r="S1694" t="e">
        <f t="shared" ca="1" si="855"/>
        <v>#VALUE!</v>
      </c>
      <c r="T1694" t="e">
        <f t="shared" ca="1" si="856"/>
        <v>#VALUE!</v>
      </c>
      <c r="U1694" t="e">
        <f t="shared" ca="1" si="876"/>
        <v>#VALUE!</v>
      </c>
      <c r="V1694" t="e">
        <f t="shared" ca="1" si="877"/>
        <v>#VALUE!</v>
      </c>
      <c r="W1694">
        <f>MAX($D$16,(P10)-E1694)</f>
        <v>3</v>
      </c>
      <c r="X1694">
        <f t="shared" si="858"/>
        <v>9.6000000000000014</v>
      </c>
      <c r="Y1694">
        <f t="shared" si="859"/>
        <v>1.0434782608695654</v>
      </c>
      <c r="Z1694" t="e">
        <f t="shared" ca="1" si="860"/>
        <v>#VALUE!</v>
      </c>
      <c r="AA1694">
        <f t="shared" si="861"/>
        <v>625</v>
      </c>
      <c r="AB1694" t="e">
        <f t="shared" ca="1" si="862"/>
        <v>#VALUE!</v>
      </c>
      <c r="AC1694" t="e">
        <f t="shared" ca="1" si="863"/>
        <v>#VALUE!</v>
      </c>
      <c r="AD1694" t="e">
        <f t="shared" ca="1" si="864"/>
        <v>#VALUE!</v>
      </c>
      <c r="AE1694" t="e">
        <f t="shared" ca="1" si="865"/>
        <v>#VALUE!</v>
      </c>
      <c r="AF1694">
        <v>0</v>
      </c>
      <c r="AG1694">
        <v>1</v>
      </c>
      <c r="AH1694" t="e">
        <f ca="1">IF(V36="Supercritical",L1694,IF(V36="Subcritical",W1694,IF(AND(V1694=1,AG1694=1),IF(T1694&gt;=AE1694,L1694,W1694),IF(V1694=1,L1694,IF(AG1694=1,W1694,MAX($D$16,POWER((ABS(K1694)^2)/($I$5*MAX(F1694,0.1)^2),1/3)))))))</f>
        <v>#VALUE!</v>
      </c>
      <c r="AI1694" t="e">
        <f t="shared" ca="1" si="868"/>
        <v>#VALUE!</v>
      </c>
      <c r="AJ1694" t="e">
        <f t="shared" ca="1" si="869"/>
        <v>#VALUE!</v>
      </c>
      <c r="AM1694">
        <v>0</v>
      </c>
      <c r="AN1694">
        <v>0</v>
      </c>
      <c r="AO1694">
        <f t="shared" si="870"/>
        <v>0</v>
      </c>
      <c r="AP1694">
        <f t="shared" si="878"/>
        <v>0</v>
      </c>
      <c r="AQ1694" t="e">
        <f t="shared" ca="1" si="871"/>
        <v>#VALUE!</v>
      </c>
      <c r="AR1694" t="e">
        <f t="shared" ca="1" si="872"/>
        <v>#VALUE!</v>
      </c>
      <c r="AS1694" t="e">
        <f t="shared" ca="1" si="873"/>
        <v>#VALUE!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2026-04-20T01:57:34Z</dcterms:created>
  <dcterms:modified xsi:type="dcterms:W3CDTF">2026-04-20T03:09:39Z</dcterms:modified>
</cp:coreProperties>
</file>